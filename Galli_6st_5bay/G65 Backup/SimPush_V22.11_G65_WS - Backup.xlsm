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filterPrivacy="1" codeName="ThisWorkbook"/>
  <xr:revisionPtr revIDLastSave="0" documentId="13_ncr:1_{534C6384-E248-47C2-80C9-9BBB1F495B93}" xr6:coauthVersionLast="45" xr6:coauthVersionMax="45" xr10:uidLastSave="{00000000-0000-0000-0000-000000000000}"/>
  <bookViews>
    <workbookView xWindow="-120" yWindow="-120" windowWidth="29040" windowHeight="15840" activeTab="4" xr2:uid="{00000000-000D-0000-FFFF-FFFF00000000}"/>
  </bookViews>
  <sheets>
    <sheet name="Structural Information" sheetId="1" r:id="rId1"/>
    <sheet name="Frame Capacities" sheetId="5" r:id="rId2"/>
    <sheet name="Infill Capacities" sheetId="6" r:id="rId3"/>
    <sheet name="System Capacities" sheetId="7" r:id="rId4"/>
    <sheet name="Yield Mechanism" sheetId="3" r:id="rId5"/>
    <sheet name="Post-yield Mechanism" sheetId="4" r:id="rId6"/>
  </sheets>
  <definedNames>
    <definedName name="Asbb">'Structural Information'!$AF$21</definedName>
    <definedName name="Asbt">'Structural Information'!$AF$20</definedName>
    <definedName name="Ascol1">'Structural Information'!$AF$25</definedName>
    <definedName name="Ascol2">'Structural Information'!$AF$30</definedName>
    <definedName name="Ascol3">'Structural Information'!$AF$35</definedName>
    <definedName name="Ec_M">'Structural Information'!$AR$27</definedName>
    <definedName name="Ec_S">'Structural Information'!$AR$33</definedName>
    <definedName name="Ec_W">'Structural Information'!$AR$21</definedName>
    <definedName name="epc0">'Structural Information'!$AM$25</definedName>
    <definedName name="epy">'Structural Information'!$AO$20</definedName>
    <definedName name="Ewh_M">'Structural Information'!$AR$24</definedName>
    <definedName name="Ewh_S">'Structural Information'!$AR$30</definedName>
    <definedName name="Ewh_W">'Structural Information'!$AR$18</definedName>
    <definedName name="Ewv_M">'Structural Information'!$AR$25</definedName>
    <definedName name="Ewv_S">'Structural Information'!$AR$31</definedName>
    <definedName name="Ewv_W">'Structural Information'!$AR$19</definedName>
    <definedName name="Fck">'Structural Information'!$AM$24</definedName>
    <definedName name="fwh_M">'Structural Information'!$AT$27</definedName>
    <definedName name="fwh_S">'Structural Information'!$AT$33</definedName>
    <definedName name="fwh_W">'Structural Information'!$AT$21</definedName>
    <definedName name="fws_M">'Structural Information'!$AT$24</definedName>
    <definedName name="fws_S">'Structural Information'!$AT$30</definedName>
    <definedName name="fws_W">'Structural Information'!$AT$18</definedName>
    <definedName name="fwu_M">'Structural Information'!$AT$25</definedName>
    <definedName name="fwu_S">'Structural Information'!$AT$31</definedName>
    <definedName name="fwu_W">'Structural Information'!$AT$19</definedName>
    <definedName name="fwv_M">'Structural Information'!$AT$26</definedName>
    <definedName name="fwv_S">'Structural Information'!$AT$32</definedName>
    <definedName name="fwv_W">'Structural Information'!$AT$20</definedName>
    <definedName name="Fyk">'Structural Information'!$AO$19</definedName>
    <definedName name="Gw_M">'Structural Information'!$AR$26</definedName>
    <definedName name="Gw_S">'Structural Information'!$AR$32</definedName>
    <definedName name="Gw_W">'Structural Information'!$AR$20</definedName>
    <definedName name="Hbe">'Structural Information'!$AB$19</definedName>
    <definedName name="Hbeam1">'Structural Information'!$AB$19</definedName>
    <definedName name="Hcol1">'Structural Information'!$AB$24</definedName>
    <definedName name="Hcol2">'Structural Information'!$AB$29</definedName>
    <definedName name="Hcol3">'Structural Information'!$AB$34</definedName>
    <definedName name="hstr0">'Structural Information'!$AC$12</definedName>
    <definedName name="hstr1">'Structural Information'!$AC$11</definedName>
    <definedName name="hstr2">'Structural Information'!$AC$10</definedName>
    <definedName name="hstr3">'Structural Information'!$AC$9</definedName>
    <definedName name="hstr4">'Structural Information'!$AC$8</definedName>
    <definedName name="hstr5">'Structural Information'!$AC$7</definedName>
    <definedName name="hstr6">'Structural Information'!$AC$6</definedName>
    <definedName name="Lbay1">'Structural Information'!$AM$10</definedName>
    <definedName name="Lbay2">'Structural Information'!$AM$9</definedName>
    <definedName name="Lbay3">'Structural Information'!$AM$8</definedName>
    <definedName name="Lbay4">'Structural Information'!$AM$7</definedName>
    <definedName name="Lbay5">'Structural Information'!$AM$6</definedName>
    <definedName name="mstr1">'Structural Information'!$AJ$11</definedName>
    <definedName name="mstr2">'Structural Information'!$AJ$10</definedName>
    <definedName name="mstr3">'Structural Information'!$AJ$9</definedName>
    <definedName name="mstr4">'Structural Information'!$AJ$8</definedName>
    <definedName name="mstr5">'Structural Information'!$AJ$7</definedName>
    <definedName name="mstr6">'Structural Information'!$AJ$6</definedName>
    <definedName name="Phicol1">'Structural Information'!$AE$25</definedName>
    <definedName name="Phicol2">'Structural Information'!$AE$30</definedName>
    <definedName name="Phicol3">'Structural Information'!$AE$35</definedName>
    <definedName name="StepSize">'Yield Mechanism'!$S$70</definedName>
    <definedName name="theta_c">'Yield Mechanism'!$C$30</definedName>
    <definedName name="tw_M">'Structural Information'!$AV$24</definedName>
    <definedName name="tw_S">'Structural Information'!$AV$30</definedName>
    <definedName name="tw_W">'Structural Information'!$AV$18</definedName>
    <definedName name="Wbe">'Structural Information'!$AB$20</definedName>
    <definedName name="Wcol1">'Structural Information'!$AB$25</definedName>
    <definedName name="Wcol2">'Structural Information'!$AB$30</definedName>
    <definedName name="Wcol3">'Structural Information'!$AB$35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10" i="4" l="1"/>
  <c r="P10" i="4"/>
  <c r="K10" i="4"/>
  <c r="L10" i="4" s="1"/>
  <c r="L9" i="4" s="1"/>
  <c r="L8" i="4" s="1"/>
  <c r="L7" i="4" s="1"/>
  <c r="L6" i="4" s="1"/>
  <c r="L5" i="4" s="1"/>
  <c r="Q9" i="4"/>
  <c r="P9" i="4"/>
  <c r="K9" i="4"/>
  <c r="Q8" i="4"/>
  <c r="P8" i="4"/>
  <c r="K8" i="4"/>
  <c r="Q7" i="4"/>
  <c r="P7" i="4"/>
  <c r="K7" i="4"/>
  <c r="Q6" i="4"/>
  <c r="P6" i="4"/>
  <c r="K6" i="4"/>
  <c r="Q5" i="4"/>
  <c r="P5" i="4"/>
  <c r="K5" i="4"/>
  <c r="Q21" i="4"/>
  <c r="P21" i="4"/>
  <c r="K21" i="4"/>
  <c r="Q20" i="4"/>
  <c r="P20" i="4"/>
  <c r="K20" i="4"/>
  <c r="Q19" i="4"/>
  <c r="P19" i="4"/>
  <c r="K19" i="4"/>
  <c r="Q18" i="4"/>
  <c r="P18" i="4"/>
  <c r="K18" i="4"/>
  <c r="Q17" i="4"/>
  <c r="P17" i="4"/>
  <c r="K17" i="4"/>
  <c r="Q16" i="4"/>
  <c r="P16" i="4"/>
  <c r="K16" i="4"/>
  <c r="Q32" i="4"/>
  <c r="P32" i="4"/>
  <c r="K32" i="4"/>
  <c r="L32" i="4" s="1"/>
  <c r="L31" i="4" s="1"/>
  <c r="L30" i="4" s="1"/>
  <c r="L29" i="4" s="1"/>
  <c r="L28" i="4" s="1"/>
  <c r="L27" i="4" s="1"/>
  <c r="Q31" i="4"/>
  <c r="P31" i="4"/>
  <c r="K31" i="4"/>
  <c r="Q30" i="4"/>
  <c r="P30" i="4"/>
  <c r="K30" i="4"/>
  <c r="Q29" i="4"/>
  <c r="P29" i="4"/>
  <c r="K29" i="4"/>
  <c r="Q28" i="4"/>
  <c r="P28" i="4"/>
  <c r="K28" i="4"/>
  <c r="Q27" i="4"/>
  <c r="P27" i="4"/>
  <c r="K27" i="4"/>
  <c r="Q43" i="4"/>
  <c r="P43" i="4"/>
  <c r="K43" i="4"/>
  <c r="L43" i="4" s="1"/>
  <c r="L42" i="4" s="1"/>
  <c r="L41" i="4" s="1"/>
  <c r="L40" i="4" s="1"/>
  <c r="L39" i="4" s="1"/>
  <c r="L38" i="4" s="1"/>
  <c r="Q42" i="4"/>
  <c r="P42" i="4"/>
  <c r="K42" i="4"/>
  <c r="Q41" i="4"/>
  <c r="P41" i="4"/>
  <c r="K41" i="4"/>
  <c r="Q40" i="4"/>
  <c r="P40" i="4"/>
  <c r="K40" i="4"/>
  <c r="Q39" i="4"/>
  <c r="P39" i="4"/>
  <c r="K39" i="4"/>
  <c r="Q38" i="4"/>
  <c r="P38" i="4"/>
  <c r="K38" i="4"/>
  <c r="Q54" i="4"/>
  <c r="P54" i="4"/>
  <c r="K54" i="4"/>
  <c r="L54" i="4" s="1"/>
  <c r="L53" i="4" s="1"/>
  <c r="L52" i="4" s="1"/>
  <c r="L51" i="4" s="1"/>
  <c r="L50" i="4" s="1"/>
  <c r="L49" i="4" s="1"/>
  <c r="Q53" i="4"/>
  <c r="P53" i="4"/>
  <c r="K53" i="4"/>
  <c r="Q52" i="4"/>
  <c r="P52" i="4"/>
  <c r="K52" i="4"/>
  <c r="Q51" i="4"/>
  <c r="P51" i="4"/>
  <c r="K51" i="4"/>
  <c r="Q50" i="4"/>
  <c r="P50" i="4"/>
  <c r="K50" i="4"/>
  <c r="Q49" i="4"/>
  <c r="P49" i="4"/>
  <c r="K49" i="4"/>
  <c r="Q65" i="4"/>
  <c r="P65" i="4"/>
  <c r="K65" i="4"/>
  <c r="L65" i="4" s="1"/>
  <c r="L64" i="4" s="1"/>
  <c r="L63" i="4" s="1"/>
  <c r="L62" i="4" s="1"/>
  <c r="L61" i="4" s="1"/>
  <c r="L60" i="4" s="1"/>
  <c r="Q64" i="4"/>
  <c r="P64" i="4"/>
  <c r="K64" i="4"/>
  <c r="Q63" i="4"/>
  <c r="P63" i="4"/>
  <c r="K63" i="4"/>
  <c r="Q62" i="4"/>
  <c r="P62" i="4"/>
  <c r="K62" i="4"/>
  <c r="Q61" i="4"/>
  <c r="P61" i="4"/>
  <c r="K61" i="4"/>
  <c r="Q60" i="4"/>
  <c r="P60" i="4"/>
  <c r="K60" i="4"/>
  <c r="L21" i="4" l="1"/>
  <c r="L20" i="4" s="1"/>
  <c r="L19" i="4" s="1"/>
  <c r="L18" i="4" s="1"/>
  <c r="L17" i="4" s="1"/>
  <c r="L16" i="4" s="1"/>
  <c r="L10" i="3"/>
  <c r="L9" i="3"/>
  <c r="L8" i="3"/>
  <c r="L7" i="3"/>
  <c r="L6" i="3"/>
  <c r="L5" i="3"/>
  <c r="K10" i="3"/>
  <c r="K9" i="3"/>
  <c r="K8" i="3"/>
  <c r="K7" i="3"/>
  <c r="K6" i="3"/>
  <c r="K5" i="3"/>
  <c r="CW16" i="6" l="1"/>
  <c r="CW15" i="6"/>
  <c r="CW14" i="6"/>
  <c r="CW13" i="6"/>
  <c r="CW12" i="6"/>
  <c r="CW11" i="6"/>
  <c r="BV16" i="5"/>
  <c r="BV15" i="5"/>
  <c r="BV14" i="5"/>
  <c r="BV13" i="5"/>
  <c r="BV12" i="5"/>
  <c r="BV11" i="5"/>
  <c r="M69" i="7" l="1"/>
  <c r="I69" i="7"/>
  <c r="E69" i="7"/>
  <c r="M56" i="7"/>
  <c r="I56" i="7"/>
  <c r="E56" i="7"/>
  <c r="L69" i="7"/>
  <c r="H69" i="7"/>
  <c r="D69" i="7"/>
  <c r="L56" i="7"/>
  <c r="H56" i="7"/>
  <c r="D56" i="7"/>
  <c r="K69" i="7"/>
  <c r="G69" i="7"/>
  <c r="C69" i="7"/>
  <c r="K56" i="7"/>
  <c r="G56" i="7"/>
  <c r="C56" i="7"/>
  <c r="G33" i="7"/>
  <c r="G34" i="7"/>
  <c r="G35" i="7"/>
  <c r="G36" i="7"/>
  <c r="G37" i="7"/>
  <c r="I33" i="7"/>
  <c r="J33" i="7"/>
  <c r="I34" i="7"/>
  <c r="J34" i="7"/>
  <c r="I35" i="7"/>
  <c r="J35" i="7"/>
  <c r="I36" i="7"/>
  <c r="J36" i="7"/>
  <c r="I37" i="7"/>
  <c r="J37" i="7"/>
  <c r="J32" i="7"/>
  <c r="I32" i="7"/>
  <c r="G32" i="7"/>
  <c r="J20" i="7"/>
  <c r="J21" i="7"/>
  <c r="J22" i="7"/>
  <c r="J23" i="7"/>
  <c r="J24" i="7"/>
  <c r="I20" i="7"/>
  <c r="I21" i="7"/>
  <c r="I22" i="7"/>
  <c r="I23" i="7"/>
  <c r="I24" i="7"/>
  <c r="G20" i="7"/>
  <c r="G21" i="7"/>
  <c r="G22" i="7"/>
  <c r="G23" i="7"/>
  <c r="G24" i="7"/>
  <c r="I19" i="7"/>
  <c r="G19" i="7"/>
  <c r="J19" i="7"/>
  <c r="BQ16" i="5"/>
  <c r="E67" i="7" l="1"/>
  <c r="D67" i="7"/>
  <c r="AS48" i="7"/>
  <c r="AP49" i="7"/>
  <c r="AP45" i="7"/>
  <c r="AS56" i="7"/>
  <c r="AP57" i="7"/>
  <c r="AP53" i="7"/>
  <c r="AS64" i="7"/>
  <c r="AP65" i="7"/>
  <c r="AS72" i="7"/>
  <c r="AP73" i="7"/>
  <c r="AS80" i="7"/>
  <c r="AP81" i="7"/>
  <c r="AS88" i="7"/>
  <c r="AP89" i="7"/>
  <c r="BD22" i="5"/>
  <c r="BD21" i="5"/>
  <c r="BD20" i="5"/>
  <c r="BD19" i="5"/>
  <c r="BD18" i="5"/>
  <c r="BD16" i="5"/>
  <c r="BD15" i="5"/>
  <c r="BD14" i="5"/>
  <c r="BD13" i="5"/>
  <c r="BD12" i="5"/>
  <c r="BD10" i="5"/>
  <c r="BD9" i="5"/>
  <c r="BD8" i="5"/>
  <c r="BD7" i="5"/>
  <c r="BD6" i="5"/>
  <c r="BD5" i="5"/>
  <c r="AW34" i="5"/>
  <c r="BA34" i="5" s="1"/>
  <c r="BC34" i="5" s="1"/>
  <c r="BC16" i="5"/>
  <c r="BD34" i="5" l="1"/>
  <c r="BA22" i="5"/>
  <c r="BA21" i="5"/>
  <c r="BA20" i="5"/>
  <c r="BA19" i="5"/>
  <c r="BA18" i="5"/>
  <c r="BA16" i="5"/>
  <c r="BA15" i="5"/>
  <c r="BA14" i="5"/>
  <c r="BA13" i="5"/>
  <c r="BA12" i="5"/>
  <c r="BA10" i="5"/>
  <c r="BA9" i="5"/>
  <c r="BA8" i="5"/>
  <c r="BA7" i="5"/>
  <c r="BA11" i="5"/>
  <c r="BA17" i="5"/>
  <c r="BA23" i="5"/>
  <c r="BA6" i="5"/>
  <c r="BA5" i="5"/>
  <c r="AR33" i="1" l="1"/>
  <c r="AR27" i="1"/>
  <c r="AR21" i="1"/>
  <c r="O15" i="3" l="1"/>
  <c r="O16" i="3"/>
  <c r="O17" i="3"/>
  <c r="O18" i="3"/>
  <c r="O19" i="3"/>
  <c r="O20" i="3"/>
  <c r="BE33" i="5" l="1"/>
  <c r="BE32" i="5"/>
  <c r="BE31" i="5"/>
  <c r="BE30" i="5"/>
  <c r="L15" i="3" l="1"/>
  <c r="C30" i="3" l="1"/>
  <c r="H143" i="4"/>
  <c r="E192" i="4" l="1"/>
  <c r="E189" i="4"/>
  <c r="E190" i="4"/>
  <c r="E191" i="4"/>
  <c r="E193" i="4"/>
  <c r="E194" i="4"/>
  <c r="E188" i="4"/>
  <c r="C143" i="4"/>
  <c r="D143" i="4"/>
  <c r="E143" i="4"/>
  <c r="F143" i="4"/>
  <c r="G143" i="4"/>
  <c r="D5" i="4"/>
  <c r="D6" i="4"/>
  <c r="D7" i="4"/>
  <c r="D8" i="4"/>
  <c r="D10" i="4"/>
  <c r="C5" i="4"/>
  <c r="E5" i="4" s="1"/>
  <c r="C6" i="4"/>
  <c r="C7" i="4"/>
  <c r="S63" i="3"/>
  <c r="S50" i="3"/>
  <c r="S37" i="3"/>
  <c r="S24" i="3"/>
  <c r="S11" i="3" l="1"/>
  <c r="M55" i="7"/>
  <c r="L55" i="7"/>
  <c r="I55" i="7"/>
  <c r="H55" i="7"/>
  <c r="E55" i="7"/>
  <c r="D55" i="7"/>
  <c r="E68" i="7"/>
  <c r="D68" i="7"/>
  <c r="I68" i="7"/>
  <c r="H68" i="7"/>
  <c r="M68" i="7"/>
  <c r="L68" i="7"/>
  <c r="I67" i="7"/>
  <c r="M67" i="7"/>
  <c r="BE35" i="5"/>
  <c r="BE36" i="5"/>
  <c r="BE37" i="5"/>
  <c r="BE38" i="5"/>
  <c r="BE39" i="5"/>
  <c r="BB35" i="5"/>
  <c r="BB36" i="5"/>
  <c r="BB37" i="5"/>
  <c r="BB38" i="5"/>
  <c r="BB39" i="5"/>
  <c r="BE29" i="5"/>
  <c r="BB29" i="5"/>
  <c r="BE23" i="5"/>
  <c r="BB23" i="5"/>
  <c r="BC23" i="5" s="1"/>
  <c r="BE17" i="5"/>
  <c r="BB17" i="5"/>
  <c r="BC17" i="5" s="1"/>
  <c r="BE11" i="5"/>
  <c r="BB11" i="5"/>
  <c r="BC11" i="5" s="1"/>
  <c r="N117" i="5" l="1"/>
  <c r="N118" i="5"/>
  <c r="AU46" i="5" l="1"/>
  <c r="AU45" i="5"/>
  <c r="AU44" i="5"/>
  <c r="AU43" i="5"/>
  <c r="AU42" i="5"/>
  <c r="AU41" i="5"/>
  <c r="AU37" i="5"/>
  <c r="AU38" i="5"/>
  <c r="AU39" i="5"/>
  <c r="AU36" i="5"/>
  <c r="AU40" i="5"/>
  <c r="AU35" i="5"/>
  <c r="AU33" i="5"/>
  <c r="AU32" i="5"/>
  <c r="AU31" i="5"/>
  <c r="AU30" i="5"/>
  <c r="AU25" i="5"/>
  <c r="AU26" i="5"/>
  <c r="AU27" i="5"/>
  <c r="AU24" i="5"/>
  <c r="AU28" i="5"/>
  <c r="AU29" i="5"/>
  <c r="AU34" i="5"/>
  <c r="AU23" i="5"/>
  <c r="AU7" i="5"/>
  <c r="AU8" i="5"/>
  <c r="AU9" i="5"/>
  <c r="AU10" i="5"/>
  <c r="AU11" i="5"/>
  <c r="AU12" i="5"/>
  <c r="AU13" i="5"/>
  <c r="AU14" i="5"/>
  <c r="AU15" i="5"/>
  <c r="AU16" i="5"/>
  <c r="AU17" i="5"/>
  <c r="AU18" i="5"/>
  <c r="AU19" i="5"/>
  <c r="AU20" i="5"/>
  <c r="AU21" i="5"/>
  <c r="AU22" i="5"/>
  <c r="AU6" i="5"/>
  <c r="AU5" i="5"/>
  <c r="AM35" i="1" l="1"/>
  <c r="AM30" i="1"/>
  <c r="AM25" i="1"/>
  <c r="AM20" i="1"/>
  <c r="I4" i="6" l="1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3" i="6"/>
  <c r="I24" i="6"/>
  <c r="I28" i="6"/>
  <c r="I20" i="6"/>
  <c r="I21" i="6"/>
  <c r="I22" i="6"/>
  <c r="I25" i="6"/>
  <c r="I26" i="6"/>
  <c r="I27" i="6"/>
  <c r="I29" i="6"/>
  <c r="I33" i="6"/>
  <c r="I30" i="6"/>
  <c r="I31" i="6"/>
  <c r="I32" i="6"/>
  <c r="H22" i="6"/>
  <c r="H21" i="6"/>
  <c r="H20" i="6"/>
  <c r="H28" i="6"/>
  <c r="H24" i="6"/>
  <c r="H23" i="6"/>
  <c r="H19" i="6"/>
  <c r="H25" i="6"/>
  <c r="H26" i="6"/>
  <c r="H27" i="6"/>
  <c r="H33" i="6"/>
  <c r="H29" i="6"/>
  <c r="H32" i="6"/>
  <c r="H31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0" i="6"/>
  <c r="G8" i="6"/>
  <c r="G7" i="6"/>
  <c r="G6" i="6"/>
  <c r="G5" i="6"/>
  <c r="G4" i="6"/>
  <c r="G13" i="6"/>
  <c r="G12" i="6"/>
  <c r="G11" i="6"/>
  <c r="G10" i="6"/>
  <c r="G9" i="6"/>
  <c r="G18" i="6"/>
  <c r="G17" i="6"/>
  <c r="G16" i="6"/>
  <c r="G15" i="6"/>
  <c r="G14" i="6"/>
  <c r="G23" i="6"/>
  <c r="G22" i="6"/>
  <c r="G21" i="6"/>
  <c r="G20" i="6"/>
  <c r="G19" i="6"/>
  <c r="G26" i="6"/>
  <c r="G27" i="6"/>
  <c r="G25" i="6"/>
  <c r="G28" i="6"/>
  <c r="G24" i="6"/>
  <c r="G31" i="6"/>
  <c r="G32" i="6"/>
  <c r="G30" i="6"/>
  <c r="G29" i="6"/>
  <c r="G33" i="6"/>
  <c r="J4" i="6" l="1"/>
  <c r="O148" i="5"/>
  <c r="N148" i="5"/>
  <c r="O147" i="5"/>
  <c r="N147" i="5"/>
  <c r="O146" i="5"/>
  <c r="N146" i="5"/>
  <c r="O145" i="5"/>
  <c r="N145" i="5"/>
  <c r="O144" i="5"/>
  <c r="N144" i="5"/>
  <c r="O143" i="5"/>
  <c r="N143" i="5"/>
  <c r="O142" i="5"/>
  <c r="N142" i="5"/>
  <c r="O141" i="5"/>
  <c r="N141" i="5"/>
  <c r="O140" i="5"/>
  <c r="N140" i="5"/>
  <c r="O139" i="5"/>
  <c r="N139" i="5"/>
  <c r="O138" i="5"/>
  <c r="N138" i="5"/>
  <c r="O137" i="5"/>
  <c r="N137" i="5"/>
  <c r="O136" i="5"/>
  <c r="N136" i="5"/>
  <c r="O135" i="5"/>
  <c r="N135" i="5"/>
  <c r="O134" i="5"/>
  <c r="N134" i="5"/>
  <c r="O133" i="5"/>
  <c r="N133" i="5"/>
  <c r="O132" i="5"/>
  <c r="N132" i="5"/>
  <c r="O131" i="5"/>
  <c r="N131" i="5"/>
  <c r="O130" i="5"/>
  <c r="N130" i="5"/>
  <c r="O129" i="5"/>
  <c r="N129" i="5"/>
  <c r="O128" i="5"/>
  <c r="N128" i="5"/>
  <c r="O127" i="5"/>
  <c r="N127" i="5"/>
  <c r="O126" i="5"/>
  <c r="N126" i="5"/>
  <c r="O125" i="5"/>
  <c r="N125" i="5"/>
  <c r="O124" i="5"/>
  <c r="N124" i="5"/>
  <c r="O123" i="5"/>
  <c r="N123" i="5"/>
  <c r="O122" i="5"/>
  <c r="N122" i="5"/>
  <c r="O121" i="5"/>
  <c r="N121" i="5"/>
  <c r="O120" i="5"/>
  <c r="N120" i="5"/>
  <c r="O119" i="5"/>
  <c r="N119" i="5"/>
  <c r="O118" i="5"/>
  <c r="O113" i="5"/>
  <c r="N113" i="5"/>
  <c r="N115" i="5"/>
  <c r="O115" i="5"/>
  <c r="N116" i="5"/>
  <c r="O116" i="5"/>
  <c r="O117" i="5"/>
  <c r="O114" i="5"/>
  <c r="N114" i="5"/>
  <c r="DB11" i="6" l="1"/>
  <c r="D53" i="7" s="1"/>
  <c r="DB12" i="6"/>
  <c r="H53" i="7" s="1"/>
  <c r="DB13" i="6"/>
  <c r="L53" i="7" s="1"/>
  <c r="BA18" i="6"/>
  <c r="AV18" i="6"/>
  <c r="AR18" i="6"/>
  <c r="BA17" i="6"/>
  <c r="AV17" i="6"/>
  <c r="AR17" i="6"/>
  <c r="BA16" i="6"/>
  <c r="AV16" i="6"/>
  <c r="AR16" i="6"/>
  <c r="BA15" i="6"/>
  <c r="AV15" i="6"/>
  <c r="AR15" i="6"/>
  <c r="BA14" i="6"/>
  <c r="AV14" i="6"/>
  <c r="AR14" i="6"/>
  <c r="BA13" i="6"/>
  <c r="AV13" i="6"/>
  <c r="AR13" i="6"/>
  <c r="BA12" i="6"/>
  <c r="AV12" i="6"/>
  <c r="AR12" i="6"/>
  <c r="BA11" i="6"/>
  <c r="AV11" i="6"/>
  <c r="AR11" i="6"/>
  <c r="BA10" i="6"/>
  <c r="AV10" i="6"/>
  <c r="AR10" i="6"/>
  <c r="BA9" i="6"/>
  <c r="AV9" i="6"/>
  <c r="AR9" i="6"/>
  <c r="BA8" i="6"/>
  <c r="AV8" i="6"/>
  <c r="AR8" i="6"/>
  <c r="BA7" i="6"/>
  <c r="AV7" i="6"/>
  <c r="AR7" i="6"/>
  <c r="BA6" i="6"/>
  <c r="AV6" i="6"/>
  <c r="AR6" i="6"/>
  <c r="BA5" i="6"/>
  <c r="AV5" i="6"/>
  <c r="AR5" i="6"/>
  <c r="BA4" i="6"/>
  <c r="AV4" i="6"/>
  <c r="AR4" i="6"/>
  <c r="Y52" i="6"/>
  <c r="Y51" i="6"/>
  <c r="Y50" i="6"/>
  <c r="Y49" i="6"/>
  <c r="Y48" i="6"/>
  <c r="Y47" i="6"/>
  <c r="Y46" i="6"/>
  <c r="Y45" i="6"/>
  <c r="Y44" i="6"/>
  <c r="Y43" i="6"/>
  <c r="Y42" i="6"/>
  <c r="Y41" i="6"/>
  <c r="Y40" i="6"/>
  <c r="Y39" i="6"/>
  <c r="Y38" i="6"/>
  <c r="J18" i="6"/>
  <c r="F18" i="6"/>
  <c r="K18" i="6" s="1"/>
  <c r="J17" i="6"/>
  <c r="F17" i="6"/>
  <c r="K17" i="6" s="1"/>
  <c r="J16" i="6"/>
  <c r="F16" i="6"/>
  <c r="K16" i="6" s="1"/>
  <c r="J15" i="6"/>
  <c r="F15" i="6"/>
  <c r="K15" i="6" s="1"/>
  <c r="J14" i="6"/>
  <c r="F14" i="6"/>
  <c r="K14" i="6" s="1"/>
  <c r="J13" i="6"/>
  <c r="F13" i="6"/>
  <c r="K13" i="6" s="1"/>
  <c r="J12" i="6"/>
  <c r="F12" i="6"/>
  <c r="K12" i="6" s="1"/>
  <c r="J11" i="6"/>
  <c r="F11" i="6"/>
  <c r="K11" i="6" s="1"/>
  <c r="J10" i="6"/>
  <c r="F10" i="6"/>
  <c r="K10" i="6" s="1"/>
  <c r="J9" i="6"/>
  <c r="F9" i="6"/>
  <c r="K9" i="6" s="1"/>
  <c r="J8" i="6"/>
  <c r="F8" i="6"/>
  <c r="K8" i="6" s="1"/>
  <c r="J7" i="6"/>
  <c r="F7" i="6"/>
  <c r="K7" i="6" s="1"/>
  <c r="J6" i="6"/>
  <c r="F6" i="6"/>
  <c r="K6" i="6" s="1"/>
  <c r="J5" i="6"/>
  <c r="F5" i="6"/>
  <c r="K5" i="6" s="1"/>
  <c r="F4" i="6"/>
  <c r="K4" i="6" s="1"/>
  <c r="E7" i="4" l="1"/>
  <c r="E6" i="4"/>
  <c r="AM40" i="5"/>
  <c r="AF40" i="5"/>
  <c r="Y40" i="5"/>
  <c r="AM39" i="5"/>
  <c r="BM11" i="5" s="1"/>
  <c r="AF39" i="5"/>
  <c r="Y39" i="5"/>
  <c r="AM30" i="5"/>
  <c r="AF30" i="5"/>
  <c r="Y30" i="5"/>
  <c r="AM29" i="5"/>
  <c r="AF29" i="5"/>
  <c r="BL12" i="5" s="1"/>
  <c r="AO55" i="7" s="1"/>
  <c r="Y29" i="5"/>
  <c r="AM20" i="5"/>
  <c r="AF20" i="5"/>
  <c r="Y20" i="5"/>
  <c r="AM19" i="5"/>
  <c r="BK11" i="5" s="1"/>
  <c r="AO46" i="7" s="1"/>
  <c r="AF19" i="5"/>
  <c r="Y19" i="5"/>
  <c r="AM10" i="5"/>
  <c r="AF10" i="5"/>
  <c r="Y10" i="5"/>
  <c r="AM9" i="5"/>
  <c r="AF9" i="5"/>
  <c r="Y9" i="5"/>
  <c r="N64" i="5"/>
  <c r="O64" i="5"/>
  <c r="N65" i="5"/>
  <c r="O65" i="5"/>
  <c r="N66" i="5"/>
  <c r="O66" i="5"/>
  <c r="N67" i="5"/>
  <c r="O67" i="5"/>
  <c r="N68" i="5"/>
  <c r="O68" i="5"/>
  <c r="N59" i="5"/>
  <c r="O59" i="5"/>
  <c r="N60" i="5"/>
  <c r="O60" i="5"/>
  <c r="N61" i="5"/>
  <c r="O61" i="5"/>
  <c r="N62" i="5"/>
  <c r="O62" i="5"/>
  <c r="N56" i="5"/>
  <c r="O56" i="5"/>
  <c r="N52" i="5"/>
  <c r="O52" i="5"/>
  <c r="N53" i="5"/>
  <c r="O53" i="5"/>
  <c r="N54" i="5"/>
  <c r="O54" i="5"/>
  <c r="N55" i="5"/>
  <c r="O55" i="5"/>
  <c r="N47" i="5"/>
  <c r="O47" i="5"/>
  <c r="N48" i="5"/>
  <c r="O48" i="5"/>
  <c r="N49" i="5"/>
  <c r="O49" i="5"/>
  <c r="N50" i="5"/>
  <c r="O50" i="5"/>
  <c r="N44" i="5"/>
  <c r="O44" i="5"/>
  <c r="N41" i="5"/>
  <c r="O41" i="5"/>
  <c r="N42" i="5"/>
  <c r="O42" i="5"/>
  <c r="N43" i="5"/>
  <c r="O43" i="5"/>
  <c r="AJ6" i="1"/>
  <c r="AJ7" i="1"/>
  <c r="AJ8" i="1"/>
  <c r="AC6" i="1"/>
  <c r="AC7" i="1"/>
  <c r="AC8" i="1"/>
  <c r="BN11" i="5" l="1"/>
  <c r="AO49" i="7" s="1"/>
  <c r="AO48" i="7"/>
  <c r="K73" i="4"/>
  <c r="K84" i="4"/>
  <c r="K106" i="4"/>
  <c r="K117" i="4"/>
  <c r="K139" i="4"/>
  <c r="K95" i="4"/>
  <c r="K128" i="4"/>
  <c r="K150" i="4"/>
  <c r="K161" i="4"/>
  <c r="K183" i="4"/>
  <c r="K205" i="4"/>
  <c r="K172" i="4"/>
  <c r="K216" i="4"/>
  <c r="K194" i="4"/>
  <c r="H34" i="7"/>
  <c r="D8" i="7"/>
  <c r="H21" i="7"/>
  <c r="AT17" i="5"/>
  <c r="AV17" i="5" s="1"/>
  <c r="AT22" i="5"/>
  <c r="AV22" i="5" s="1"/>
  <c r="AT21" i="5"/>
  <c r="AV21" i="5" s="1"/>
  <c r="AT18" i="5"/>
  <c r="AV18" i="5" s="1"/>
  <c r="AT19" i="5"/>
  <c r="AV19" i="5" s="1"/>
  <c r="AT20" i="5"/>
  <c r="AV20" i="5" s="1"/>
  <c r="BK20" i="6"/>
  <c r="BK21" i="6"/>
  <c r="BK19" i="6"/>
  <c r="BK17" i="6"/>
  <c r="BK18" i="6"/>
  <c r="BK16" i="6"/>
  <c r="E17" i="6"/>
  <c r="L17" i="6" s="1"/>
  <c r="E16" i="6"/>
  <c r="L16" i="6" s="1"/>
  <c r="BI21" i="6"/>
  <c r="E15" i="6"/>
  <c r="L15" i="6" s="1"/>
  <c r="BI20" i="6"/>
  <c r="E14" i="6"/>
  <c r="L14" i="6" s="1"/>
  <c r="E18" i="6"/>
  <c r="L18" i="6" s="1"/>
  <c r="BI19" i="6"/>
  <c r="AP15" i="6"/>
  <c r="BI18" i="6"/>
  <c r="AP18" i="6"/>
  <c r="BI17" i="6"/>
  <c r="AP17" i="6"/>
  <c r="BI16" i="6"/>
  <c r="AP16" i="6"/>
  <c r="AP14" i="6"/>
  <c r="BR4" i="6"/>
  <c r="BJ13" i="5"/>
  <c r="BL13" i="5"/>
  <c r="AO63" i="7" s="1"/>
  <c r="K72" i="4"/>
  <c r="K127" i="4"/>
  <c r="K116" i="4"/>
  <c r="K138" i="4"/>
  <c r="K105" i="4"/>
  <c r="K83" i="4"/>
  <c r="K94" i="4"/>
  <c r="K171" i="4"/>
  <c r="K149" i="4"/>
  <c r="K215" i="4"/>
  <c r="K193" i="4"/>
  <c r="K160" i="4"/>
  <c r="K182" i="4"/>
  <c r="K204" i="4"/>
  <c r="D7" i="7"/>
  <c r="H20" i="7"/>
  <c r="H33" i="7"/>
  <c r="AT15" i="5"/>
  <c r="AV15" i="5" s="1"/>
  <c r="AT16" i="5"/>
  <c r="AV16" i="5" s="1"/>
  <c r="AT13" i="5"/>
  <c r="AV13" i="5" s="1"/>
  <c r="AT14" i="5"/>
  <c r="AV14" i="5" s="1"/>
  <c r="AT12" i="5"/>
  <c r="AV12" i="5" s="1"/>
  <c r="AT11" i="5"/>
  <c r="AV11" i="5" s="1"/>
  <c r="BK15" i="6"/>
  <c r="BK14" i="6"/>
  <c r="BK11" i="6"/>
  <c r="BK10" i="6"/>
  <c r="BK13" i="6"/>
  <c r="BK12" i="6"/>
  <c r="BI12" i="6"/>
  <c r="AP12" i="6"/>
  <c r="E9" i="6"/>
  <c r="L9" i="6" s="1"/>
  <c r="BI10" i="6"/>
  <c r="BI11" i="6"/>
  <c r="AP11" i="6"/>
  <c r="AP10" i="6"/>
  <c r="AP9" i="6"/>
  <c r="E12" i="6"/>
  <c r="L12" i="6" s="1"/>
  <c r="E11" i="6"/>
  <c r="L11" i="6" s="1"/>
  <c r="BI15" i="6"/>
  <c r="E10" i="6"/>
  <c r="L10" i="6" s="1"/>
  <c r="BI14" i="6"/>
  <c r="BI13" i="6"/>
  <c r="AP13" i="6"/>
  <c r="E13" i="6"/>
  <c r="L13" i="6" s="1"/>
  <c r="BQ4" i="6"/>
  <c r="K71" i="4"/>
  <c r="K93" i="4"/>
  <c r="K137" i="4"/>
  <c r="K104" i="4"/>
  <c r="K126" i="4"/>
  <c r="K82" i="4"/>
  <c r="K115" i="4"/>
  <c r="K203" i="4"/>
  <c r="K170" i="4"/>
  <c r="K148" i="4"/>
  <c r="K181" i="4"/>
  <c r="K214" i="4"/>
  <c r="K192" i="4"/>
  <c r="K159" i="4"/>
  <c r="BK4" i="6"/>
  <c r="H19" i="7"/>
  <c r="D6" i="7"/>
  <c r="H32" i="7"/>
  <c r="AT5" i="5"/>
  <c r="AV5" i="5" s="1"/>
  <c r="AT9" i="5"/>
  <c r="AV9" i="5" s="1"/>
  <c r="AT10" i="5"/>
  <c r="AV10" i="5" s="1"/>
  <c r="AT7" i="5"/>
  <c r="AV7" i="5" s="1"/>
  <c r="AT8" i="5"/>
  <c r="AV8" i="5" s="1"/>
  <c r="AT6" i="5"/>
  <c r="AV6" i="5" s="1"/>
  <c r="BI5" i="6"/>
  <c r="BI8" i="6"/>
  <c r="BI9" i="6"/>
  <c r="BK7" i="6"/>
  <c r="BI6" i="6"/>
  <c r="BK5" i="6"/>
  <c r="BI7" i="6"/>
  <c r="BK8" i="6"/>
  <c r="BK6" i="6"/>
  <c r="BI4" i="6"/>
  <c r="BK9" i="6"/>
  <c r="E6" i="6"/>
  <c r="L6" i="6" s="1"/>
  <c r="E8" i="6"/>
  <c r="L8" i="6" s="1"/>
  <c r="AP8" i="6"/>
  <c r="E7" i="6"/>
  <c r="L7" i="6" s="1"/>
  <c r="AP7" i="6"/>
  <c r="AP6" i="6"/>
  <c r="E5" i="6"/>
  <c r="L5" i="6" s="1"/>
  <c r="AP5" i="6"/>
  <c r="E4" i="6"/>
  <c r="L4" i="6" s="1"/>
  <c r="AP4" i="6"/>
  <c r="BP4" i="6"/>
  <c r="Y171" i="4"/>
  <c r="Y39" i="4"/>
  <c r="Y19" i="3"/>
  <c r="Y45" i="3"/>
  <c r="Y204" i="4"/>
  <c r="Y58" i="3"/>
  <c r="Y116" i="4"/>
  <c r="Y193" i="4"/>
  <c r="Y61" i="4"/>
  <c r="Y6" i="3"/>
  <c r="Y17" i="4"/>
  <c r="Y138" i="4"/>
  <c r="Y6" i="4"/>
  <c r="Y215" i="4"/>
  <c r="Y83" i="4"/>
  <c r="Y160" i="4"/>
  <c r="Y28" i="4"/>
  <c r="Y105" i="4"/>
  <c r="Y72" i="4"/>
  <c r="Y149" i="4"/>
  <c r="Y182" i="4"/>
  <c r="Y50" i="4"/>
  <c r="Y32" i="3"/>
  <c r="Y127" i="4"/>
  <c r="Y94" i="4"/>
  <c r="E6" i="3"/>
  <c r="BJ11" i="5"/>
  <c r="AO45" i="7" s="1"/>
  <c r="BL11" i="5"/>
  <c r="AO47" i="7" s="1"/>
  <c r="Y117" i="4"/>
  <c r="Y7" i="4"/>
  <c r="Y194" i="4"/>
  <c r="Y62" i="4"/>
  <c r="Y46" i="3"/>
  <c r="Y139" i="4"/>
  <c r="Y33" i="3"/>
  <c r="Y216" i="4"/>
  <c r="Y84" i="4"/>
  <c r="Y150" i="4"/>
  <c r="Y161" i="4"/>
  <c r="Y29" i="4"/>
  <c r="Y7" i="3"/>
  <c r="Y106" i="4"/>
  <c r="Y95" i="4"/>
  <c r="Y183" i="4"/>
  <c r="Y51" i="4"/>
  <c r="Y128" i="4"/>
  <c r="Y18" i="4"/>
  <c r="Y205" i="4"/>
  <c r="Y73" i="4"/>
  <c r="Y59" i="3"/>
  <c r="Y172" i="4"/>
  <c r="Y40" i="4"/>
  <c r="Y20" i="3"/>
  <c r="E7" i="3"/>
  <c r="BJ12" i="5"/>
  <c r="AO53" i="7" s="1"/>
  <c r="AQ53" i="7" s="1"/>
  <c r="BK13" i="5"/>
  <c r="AO62" i="7" s="1"/>
  <c r="BM13" i="5"/>
  <c r="BK12" i="5"/>
  <c r="AO54" i="7" s="1"/>
  <c r="BM12" i="5"/>
  <c r="Y214" i="4"/>
  <c r="Y60" i="4"/>
  <c r="Y18" i="3"/>
  <c r="Y137" i="4"/>
  <c r="Y148" i="4"/>
  <c r="Y71" i="4"/>
  <c r="Y159" i="4"/>
  <c r="Y5" i="4"/>
  <c r="Y31" i="3"/>
  <c r="Y126" i="4"/>
  <c r="Y170" i="4"/>
  <c r="Y82" i="4"/>
  <c r="Y181" i="4"/>
  <c r="Y93" i="4"/>
  <c r="Y27" i="4"/>
  <c r="Y16" i="4"/>
  <c r="Y44" i="3"/>
  <c r="Y192" i="4"/>
  <c r="Y104" i="4"/>
  <c r="Y203" i="4"/>
  <c r="Y115" i="4"/>
  <c r="Y38" i="4"/>
  <c r="Y57" i="3"/>
  <c r="Y5" i="3"/>
  <c r="Y49" i="4"/>
  <c r="E5" i="3"/>
  <c r="D9" i="4"/>
  <c r="C10" i="4"/>
  <c r="C9" i="4"/>
  <c r="C8" i="4"/>
  <c r="AQ45" i="7" l="1"/>
  <c r="N8" i="7"/>
  <c r="AO61" i="7"/>
  <c r="BN12" i="5"/>
  <c r="AO57" i="7" s="1"/>
  <c r="AO56" i="7"/>
  <c r="BN13" i="5"/>
  <c r="AO65" i="7" s="1"/>
  <c r="AO64" i="7"/>
  <c r="N4" i="6"/>
  <c r="X4" i="6" s="1"/>
  <c r="M4" i="6"/>
  <c r="AX9" i="5"/>
  <c r="AW9" i="5"/>
  <c r="M17" i="6"/>
  <c r="N17" i="6"/>
  <c r="X17" i="6" s="1"/>
  <c r="AW17" i="5"/>
  <c r="AX5" i="5"/>
  <c r="AW5" i="5"/>
  <c r="N13" i="6"/>
  <c r="X13" i="6" s="1"/>
  <c r="M13" i="6"/>
  <c r="AW14" i="5"/>
  <c r="AW11" i="5"/>
  <c r="N5" i="6"/>
  <c r="X5" i="6" s="1"/>
  <c r="M5" i="6"/>
  <c r="M9" i="6"/>
  <c r="N9" i="6"/>
  <c r="X9" i="6" s="1"/>
  <c r="AW13" i="5"/>
  <c r="N7" i="6"/>
  <c r="X7" i="6" s="1"/>
  <c r="M7" i="6"/>
  <c r="AW16" i="5"/>
  <c r="AW15" i="5"/>
  <c r="N18" i="6"/>
  <c r="X18" i="6" s="1"/>
  <c r="M18" i="6"/>
  <c r="N8" i="6"/>
  <c r="X8" i="6" s="1"/>
  <c r="M8" i="6"/>
  <c r="M10" i="6"/>
  <c r="N10" i="6"/>
  <c r="X10" i="6" s="1"/>
  <c r="M14" i="6"/>
  <c r="N14" i="6"/>
  <c r="X14" i="6" s="1"/>
  <c r="AW20" i="5"/>
  <c r="N6" i="6"/>
  <c r="X6" i="6" s="1"/>
  <c r="M6" i="6"/>
  <c r="AX6" i="5"/>
  <c r="AW6" i="5"/>
  <c r="AW19" i="5"/>
  <c r="AX8" i="5"/>
  <c r="AW8" i="5"/>
  <c r="N11" i="6"/>
  <c r="X11" i="6" s="1"/>
  <c r="M11" i="6"/>
  <c r="N15" i="6"/>
  <c r="X15" i="6" s="1"/>
  <c r="M15" i="6"/>
  <c r="AW18" i="5"/>
  <c r="AW12" i="5"/>
  <c r="AX7" i="5"/>
  <c r="AW7" i="5"/>
  <c r="M12" i="6"/>
  <c r="N12" i="6"/>
  <c r="X12" i="6" s="1"/>
  <c r="AW21" i="5"/>
  <c r="AX10" i="5"/>
  <c r="AW10" i="5"/>
  <c r="N16" i="6"/>
  <c r="X16" i="6" s="1"/>
  <c r="M16" i="6"/>
  <c r="AW22" i="5"/>
  <c r="E8" i="7" l="1"/>
  <c r="E6" i="7"/>
  <c r="E7" i="7"/>
  <c r="N7" i="7"/>
  <c r="BF5" i="5"/>
  <c r="BC5" i="5"/>
  <c r="AZ5" i="5"/>
  <c r="BF8" i="5"/>
  <c r="BC8" i="5"/>
  <c r="AZ8" i="5"/>
  <c r="F28" i="4"/>
  <c r="C18" i="3"/>
  <c r="D18" i="4" s="1"/>
  <c r="N6" i="7"/>
  <c r="BF10" i="5"/>
  <c r="BC10" i="5"/>
  <c r="AZ10" i="5"/>
  <c r="BF7" i="5"/>
  <c r="BC7" i="5"/>
  <c r="AZ7" i="5"/>
  <c r="BF9" i="5"/>
  <c r="BC9" i="5"/>
  <c r="AZ9" i="5"/>
  <c r="BC6" i="5"/>
  <c r="BF6" i="5"/>
  <c r="AZ6" i="5"/>
  <c r="N233" i="4"/>
  <c r="N234" i="4"/>
  <c r="N235" i="4"/>
  <c r="C16" i="3" l="1"/>
  <c r="D16" i="4" s="1"/>
  <c r="F26" i="4"/>
  <c r="C17" i="3"/>
  <c r="D17" i="4" s="1"/>
  <c r="F27" i="4"/>
  <c r="BO14" i="6"/>
  <c r="BO13" i="6"/>
  <c r="BO12" i="6"/>
  <c r="BO11" i="6"/>
  <c r="BR11" i="6" l="1"/>
  <c r="CA19" i="6" s="1"/>
  <c r="BQ11" i="6"/>
  <c r="BZ19" i="6" s="1"/>
  <c r="BP11" i="6"/>
  <c r="BY19" i="6" s="1"/>
  <c r="BR12" i="6"/>
  <c r="CA23" i="6" s="1"/>
  <c r="BP12" i="6"/>
  <c r="BY23" i="6" s="1"/>
  <c r="BQ12" i="6"/>
  <c r="BZ23" i="6" s="1"/>
  <c r="BP14" i="6"/>
  <c r="BY28" i="6" s="1"/>
  <c r="BQ14" i="6"/>
  <c r="BZ28" i="6" s="1"/>
  <c r="BR14" i="6"/>
  <c r="CA28" i="6" s="1"/>
  <c r="BR13" i="6"/>
  <c r="CA24" i="6" s="1"/>
  <c r="BQ13" i="6"/>
  <c r="BZ24" i="6" s="1"/>
  <c r="BP13" i="6"/>
  <c r="BY24" i="6" s="1"/>
  <c r="BA20" i="6"/>
  <c r="BA21" i="6"/>
  <c r="BA22" i="6"/>
  <c r="BA23" i="6"/>
  <c r="BA24" i="6"/>
  <c r="BA25" i="6"/>
  <c r="BA26" i="6"/>
  <c r="BA27" i="6"/>
  <c r="BA28" i="6"/>
  <c r="BA29" i="6"/>
  <c r="BA30" i="6"/>
  <c r="BA31" i="6"/>
  <c r="BA32" i="6"/>
  <c r="BA33" i="6"/>
  <c r="AV24" i="6"/>
  <c r="AV25" i="6"/>
  <c r="AV26" i="6"/>
  <c r="AV27" i="6"/>
  <c r="AV28" i="6"/>
  <c r="AV29" i="6"/>
  <c r="AV30" i="6"/>
  <c r="AV31" i="6"/>
  <c r="AV32" i="6"/>
  <c r="AV33" i="6"/>
  <c r="AV23" i="6"/>
  <c r="AV22" i="6"/>
  <c r="AV21" i="6"/>
  <c r="AV20" i="6"/>
  <c r="AR20" i="6"/>
  <c r="AR21" i="6"/>
  <c r="AR22" i="6"/>
  <c r="AR23" i="6"/>
  <c r="AR24" i="6"/>
  <c r="AR25" i="6"/>
  <c r="AR26" i="6"/>
  <c r="AR27" i="6"/>
  <c r="AR28" i="6"/>
  <c r="AR29" i="6"/>
  <c r="AR30" i="6"/>
  <c r="AR31" i="6"/>
  <c r="AR32" i="6"/>
  <c r="AR33" i="6"/>
  <c r="Y57" i="6"/>
  <c r="Y56" i="6"/>
  <c r="Y55" i="6"/>
  <c r="Y54" i="6"/>
  <c r="Y53" i="6"/>
  <c r="Y62" i="6"/>
  <c r="Y61" i="6"/>
  <c r="Y60" i="6"/>
  <c r="Y59" i="6"/>
  <c r="Y58" i="6"/>
  <c r="Y67" i="6"/>
  <c r="Y66" i="6"/>
  <c r="J26" i="6"/>
  <c r="J28" i="6"/>
  <c r="J29" i="6"/>
  <c r="J30" i="6"/>
  <c r="J31" i="6"/>
  <c r="J32" i="6"/>
  <c r="J33" i="6"/>
  <c r="J23" i="6"/>
  <c r="J25" i="6"/>
  <c r="J22" i="6"/>
  <c r="J20" i="6"/>
  <c r="F33" i="6"/>
  <c r="K33" i="6" s="1"/>
  <c r="F32" i="6"/>
  <c r="K32" i="6" s="1"/>
  <c r="F31" i="6"/>
  <c r="F30" i="6"/>
  <c r="F29" i="6"/>
  <c r="K29" i="6" s="1"/>
  <c r="F28" i="6"/>
  <c r="K28" i="6" s="1"/>
  <c r="F27" i="6"/>
  <c r="K27" i="6" s="1"/>
  <c r="F26" i="6"/>
  <c r="F25" i="6"/>
  <c r="K25" i="6" s="1"/>
  <c r="F24" i="6"/>
  <c r="F23" i="6"/>
  <c r="F22" i="6"/>
  <c r="AM36" i="5"/>
  <c r="AM35" i="5"/>
  <c r="AF36" i="5"/>
  <c r="AF35" i="5"/>
  <c r="Y36" i="5"/>
  <c r="Y35" i="5"/>
  <c r="AM26" i="5"/>
  <c r="AM25" i="5"/>
  <c r="AF26" i="5"/>
  <c r="AF25" i="5"/>
  <c r="Y26" i="5"/>
  <c r="Y25" i="5"/>
  <c r="AM16" i="5"/>
  <c r="AM15" i="5"/>
  <c r="AF16" i="5"/>
  <c r="AF15" i="5"/>
  <c r="Y16" i="5"/>
  <c r="Y15" i="5"/>
  <c r="AM6" i="5"/>
  <c r="AM5" i="5"/>
  <c r="AF6" i="5"/>
  <c r="AF5" i="5"/>
  <c r="Y6" i="5"/>
  <c r="Y5" i="5"/>
  <c r="O63" i="5"/>
  <c r="N63" i="5"/>
  <c r="O58" i="5"/>
  <c r="N58" i="5"/>
  <c r="O57" i="5"/>
  <c r="N57" i="5"/>
  <c r="AJ10" i="1"/>
  <c r="AJ11" i="1"/>
  <c r="AJ12" i="1"/>
  <c r="AJ9" i="1"/>
  <c r="Y219" i="4" l="1"/>
  <c r="Y87" i="4"/>
  <c r="Y109" i="4"/>
  <c r="Y23" i="3"/>
  <c r="Y49" i="3"/>
  <c r="Y164" i="4"/>
  <c r="Y32" i="4"/>
  <c r="Y10" i="3"/>
  <c r="Y65" i="4"/>
  <c r="Y186" i="4"/>
  <c r="Y54" i="4"/>
  <c r="Y36" i="3"/>
  <c r="Y76" i="4"/>
  <c r="Y62" i="3"/>
  <c r="Y131" i="4"/>
  <c r="Y208" i="4"/>
  <c r="Y120" i="4"/>
  <c r="Y197" i="4"/>
  <c r="Y153" i="4"/>
  <c r="Y21" i="4"/>
  <c r="Y98" i="4"/>
  <c r="Y175" i="4"/>
  <c r="Y43" i="4"/>
  <c r="Y142" i="4"/>
  <c r="Y10" i="4"/>
  <c r="E10" i="3"/>
  <c r="Y141" i="4"/>
  <c r="Y9" i="4"/>
  <c r="Y119" i="4"/>
  <c r="Y218" i="4"/>
  <c r="Y86" i="4"/>
  <c r="Y163" i="4"/>
  <c r="Y31" i="4"/>
  <c r="Y9" i="3"/>
  <c r="Y108" i="4"/>
  <c r="Y61" i="3"/>
  <c r="Y185" i="4"/>
  <c r="Y53" i="4"/>
  <c r="Y35" i="3"/>
  <c r="Y130" i="4"/>
  <c r="Y42" i="4"/>
  <c r="Y207" i="4"/>
  <c r="Y75" i="4"/>
  <c r="Y22" i="3"/>
  <c r="Y152" i="4"/>
  <c r="Y20" i="4"/>
  <c r="Y97" i="4"/>
  <c r="Y174" i="4"/>
  <c r="Y196" i="4"/>
  <c r="Y64" i="4"/>
  <c r="Y48" i="3"/>
  <c r="E9" i="3"/>
  <c r="Y195" i="4"/>
  <c r="Y63" i="4"/>
  <c r="Y47" i="3"/>
  <c r="Y34" i="3"/>
  <c r="Y140" i="4"/>
  <c r="Y8" i="4"/>
  <c r="Y217" i="4"/>
  <c r="Y85" i="4"/>
  <c r="Y162" i="4"/>
  <c r="Y30" i="4"/>
  <c r="Y8" i="3"/>
  <c r="Y173" i="4"/>
  <c r="Y21" i="3"/>
  <c r="Y107" i="4"/>
  <c r="Y184" i="4"/>
  <c r="Y52" i="4"/>
  <c r="Y41" i="4"/>
  <c r="Y129" i="4"/>
  <c r="Y206" i="4"/>
  <c r="Y74" i="4"/>
  <c r="Y60" i="3"/>
  <c r="Y96" i="4"/>
  <c r="Y151" i="4"/>
  <c r="Y19" i="4"/>
  <c r="Y118" i="4"/>
  <c r="E8" i="3"/>
  <c r="K31" i="6"/>
  <c r="K24" i="6"/>
  <c r="K26" i="6"/>
  <c r="K22" i="6"/>
  <c r="K30" i="6"/>
  <c r="K23" i="6"/>
  <c r="J27" i="6"/>
  <c r="J24" i="6"/>
  <c r="J21" i="6"/>
  <c r="U32" i="7" l="1"/>
  <c r="U33" i="7" l="1"/>
  <c r="U34" i="7" l="1"/>
  <c r="N229" i="4" l="1"/>
  <c r="M229" i="4" l="1"/>
  <c r="O229" i="4" s="1"/>
  <c r="F38" i="4" s="1"/>
  <c r="E186" i="4" l="1"/>
  <c r="U6" i="7"/>
  <c r="U7" i="7" l="1"/>
  <c r="U8" i="7" l="1"/>
  <c r="N39" i="5" l="1"/>
  <c r="O39" i="5"/>
  <c r="N40" i="5"/>
  <c r="O40" i="5"/>
  <c r="N45" i="5"/>
  <c r="O45" i="5"/>
  <c r="N46" i="5"/>
  <c r="O46" i="5"/>
  <c r="DB16" i="6" l="1"/>
  <c r="DB15" i="6"/>
  <c r="DB14" i="6"/>
  <c r="BO10" i="6" l="1"/>
  <c r="BO9" i="6"/>
  <c r="BO8" i="6"/>
  <c r="BO7" i="6"/>
  <c r="BO6" i="6"/>
  <c r="BO5" i="6"/>
  <c r="BR5" i="6" l="1"/>
  <c r="CA4" i="6" s="1"/>
  <c r="BQ5" i="6"/>
  <c r="BZ4" i="6" s="1"/>
  <c r="BP5" i="6"/>
  <c r="BY4" i="6" s="1"/>
  <c r="BP6" i="6"/>
  <c r="BY8" i="6" s="1"/>
  <c r="BR6" i="6"/>
  <c r="CA8" i="6" s="1"/>
  <c r="BQ6" i="6"/>
  <c r="BZ8" i="6" s="1"/>
  <c r="BQ9" i="6"/>
  <c r="BZ14" i="6" s="1"/>
  <c r="BR9" i="6"/>
  <c r="CA14" i="6" s="1"/>
  <c r="BP9" i="6"/>
  <c r="BY14" i="6" s="1"/>
  <c r="BR7" i="6"/>
  <c r="CA9" i="6" s="1"/>
  <c r="BP7" i="6"/>
  <c r="BY9" i="6" s="1"/>
  <c r="BQ7" i="6"/>
  <c r="BZ9" i="6" s="1"/>
  <c r="BP8" i="6"/>
  <c r="BY13" i="6" s="1"/>
  <c r="BR8" i="6"/>
  <c r="CA13" i="6" s="1"/>
  <c r="BQ8" i="6"/>
  <c r="BZ13" i="6" s="1"/>
  <c r="BP10" i="6"/>
  <c r="BY18" i="6" s="1"/>
  <c r="BQ10" i="6"/>
  <c r="BZ18" i="6" s="1"/>
  <c r="BR10" i="6"/>
  <c r="CA18" i="6" s="1"/>
  <c r="H67" i="7" l="1"/>
  <c r="L67" i="7"/>
  <c r="BA19" i="6" l="1"/>
  <c r="AV19" i="6"/>
  <c r="AR19" i="6"/>
  <c r="O51" i="5" l="1"/>
  <c r="N51" i="5"/>
  <c r="D186" i="4" l="1"/>
  <c r="Q236" i="4" l="1"/>
  <c r="M236" i="4"/>
  <c r="P236" i="4" l="1"/>
  <c r="R236" i="4" s="1"/>
  <c r="L236" i="4"/>
  <c r="N236" i="4" s="1"/>
  <c r="F41" i="4" s="1"/>
  <c r="J236" i="4" l="1"/>
  <c r="Y65" i="6" l="1"/>
  <c r="Y64" i="6"/>
  <c r="Y63" i="6"/>
  <c r="B130" i="4" l="1"/>
  <c r="B129" i="4" s="1"/>
  <c r="B128" i="4" s="1"/>
  <c r="B127" i="4" s="1"/>
  <c r="B126" i="4" s="1"/>
  <c r="X63" i="3"/>
  <c r="X50" i="3"/>
  <c r="X24" i="3"/>
  <c r="X11" i="3"/>
  <c r="F21" i="6"/>
  <c r="K21" i="6" s="1"/>
  <c r="F20" i="6"/>
  <c r="K20" i="6" s="1"/>
  <c r="J19" i="6"/>
  <c r="F19" i="6"/>
  <c r="K19" i="6" s="1"/>
  <c r="AF36" i="1"/>
  <c r="AO35" i="1"/>
  <c r="AF35" i="1"/>
  <c r="AF31" i="1"/>
  <c r="AO30" i="1"/>
  <c r="AF30" i="1"/>
  <c r="AF26" i="1"/>
  <c r="AO25" i="1"/>
  <c r="AF25" i="1"/>
  <c r="AF21" i="1"/>
  <c r="AO20" i="1"/>
  <c r="AF20" i="1"/>
  <c r="AC12" i="1"/>
  <c r="AC11" i="1"/>
  <c r="AC10" i="1"/>
  <c r="AC9" i="1"/>
  <c r="Y12" i="6" l="1"/>
  <c r="Z12" i="6" s="1"/>
  <c r="Y4" i="6"/>
  <c r="Z4" i="6" s="1"/>
  <c r="Y8" i="6"/>
  <c r="Z8" i="6" s="1"/>
  <c r="Y11" i="6"/>
  <c r="Z11" i="6" s="1"/>
  <c r="Y9" i="6"/>
  <c r="Z9" i="6" s="1"/>
  <c r="Y6" i="6"/>
  <c r="Z6" i="6" s="1"/>
  <c r="Y7" i="6"/>
  <c r="Z7" i="6" s="1"/>
  <c r="Y17" i="6"/>
  <c r="Z17" i="6" s="1"/>
  <c r="Y10" i="6"/>
  <c r="Z10" i="6" s="1"/>
  <c r="Y15" i="6"/>
  <c r="Z15" i="6" s="1"/>
  <c r="Y13" i="6"/>
  <c r="Z13" i="6" s="1"/>
  <c r="Y16" i="6"/>
  <c r="Z16" i="6" s="1"/>
  <c r="Y14" i="6"/>
  <c r="Z14" i="6" s="1"/>
  <c r="Y5" i="6"/>
  <c r="Z5" i="6" s="1"/>
  <c r="Y18" i="6"/>
  <c r="Z18" i="6" s="1"/>
  <c r="Z64" i="6"/>
  <c r="Z45" i="6"/>
  <c r="Z41" i="6"/>
  <c r="Z44" i="6"/>
  <c r="Z42" i="6"/>
  <c r="Z46" i="6"/>
  <c r="Z43" i="6"/>
  <c r="Z48" i="6"/>
  <c r="Z49" i="6"/>
  <c r="Z47" i="6"/>
  <c r="Z38" i="6"/>
  <c r="Z40" i="6"/>
  <c r="Z50" i="6"/>
  <c r="Z39" i="6"/>
  <c r="Z51" i="6"/>
  <c r="Z52" i="6"/>
  <c r="K74" i="4"/>
  <c r="K118" i="4"/>
  <c r="K140" i="4"/>
  <c r="K96" i="4"/>
  <c r="K107" i="4"/>
  <c r="K129" i="4"/>
  <c r="K85" i="4"/>
  <c r="K162" i="4"/>
  <c r="K206" i="4"/>
  <c r="K151" i="4"/>
  <c r="K184" i="4"/>
  <c r="K173" i="4"/>
  <c r="K195" i="4"/>
  <c r="K217" i="4"/>
  <c r="H35" i="7"/>
  <c r="D9" i="7"/>
  <c r="H22" i="7"/>
  <c r="AT28" i="5"/>
  <c r="AT24" i="5"/>
  <c r="AT25" i="5"/>
  <c r="AT26" i="5"/>
  <c r="AT27" i="5"/>
  <c r="AV27" i="5" s="1"/>
  <c r="AT23" i="5"/>
  <c r="BK26" i="6"/>
  <c r="BK25" i="6"/>
  <c r="BK24" i="6"/>
  <c r="BK22" i="6"/>
  <c r="BK23" i="6"/>
  <c r="BK27" i="6"/>
  <c r="AP22" i="6"/>
  <c r="AP23" i="6"/>
  <c r="BI22" i="6"/>
  <c r="AP21" i="6"/>
  <c r="BI23" i="6"/>
  <c r="BJ23" i="6" s="1"/>
  <c r="AP20" i="6"/>
  <c r="BI24" i="6"/>
  <c r="BJ24" i="6" s="1"/>
  <c r="AP19" i="6"/>
  <c r="BI25" i="6"/>
  <c r="BJ25" i="6" s="1"/>
  <c r="BI26" i="6"/>
  <c r="BJ26" i="6" s="1"/>
  <c r="BI27" i="6"/>
  <c r="BJ14" i="5"/>
  <c r="AO69" i="7" s="1"/>
  <c r="BK14" i="5"/>
  <c r="AO70" i="7" s="1"/>
  <c r="BM14" i="5"/>
  <c r="BL14" i="5"/>
  <c r="AO71" i="7" s="1"/>
  <c r="AX12" i="5"/>
  <c r="AX22" i="5"/>
  <c r="AX14" i="5"/>
  <c r="AX16" i="5"/>
  <c r="AX19" i="5"/>
  <c r="AX21" i="5"/>
  <c r="AX11" i="5"/>
  <c r="AX17" i="5"/>
  <c r="AX15" i="5"/>
  <c r="AX18" i="5"/>
  <c r="AX20" i="5"/>
  <c r="AX13" i="5"/>
  <c r="BJ4" i="6"/>
  <c r="BJ19" i="6"/>
  <c r="BJ17" i="6"/>
  <c r="BJ13" i="6"/>
  <c r="BJ9" i="6"/>
  <c r="BJ8" i="6"/>
  <c r="BJ5" i="6"/>
  <c r="BJ21" i="6"/>
  <c r="BJ16" i="6"/>
  <c r="BJ6" i="6"/>
  <c r="BJ14" i="6"/>
  <c r="BJ12" i="6"/>
  <c r="BJ20" i="6"/>
  <c r="BJ11" i="6"/>
  <c r="BJ7" i="6"/>
  <c r="BJ15" i="6"/>
  <c r="BJ10" i="6"/>
  <c r="BJ18" i="6"/>
  <c r="K75" i="4"/>
  <c r="K141" i="4"/>
  <c r="K119" i="4"/>
  <c r="K108" i="4"/>
  <c r="K130" i="4"/>
  <c r="K86" i="4"/>
  <c r="K97" i="4"/>
  <c r="K174" i="4"/>
  <c r="K152" i="4"/>
  <c r="K218" i="4"/>
  <c r="K196" i="4"/>
  <c r="K163" i="4"/>
  <c r="K185" i="4"/>
  <c r="K207" i="4"/>
  <c r="H36" i="7"/>
  <c r="D10" i="7"/>
  <c r="H23" i="7"/>
  <c r="AT29" i="5"/>
  <c r="AT33" i="5"/>
  <c r="AT34" i="5"/>
  <c r="AT31" i="5"/>
  <c r="AT32" i="5"/>
  <c r="AT30" i="5"/>
  <c r="BK31" i="6"/>
  <c r="BK30" i="6"/>
  <c r="BK28" i="6"/>
  <c r="BK32" i="6"/>
  <c r="BK33" i="6"/>
  <c r="BK29" i="6"/>
  <c r="BI31" i="6"/>
  <c r="BJ31" i="6" s="1"/>
  <c r="AP24" i="6"/>
  <c r="BI33" i="6"/>
  <c r="BI29" i="6"/>
  <c r="BJ29" i="6" s="1"/>
  <c r="BI32" i="6"/>
  <c r="BJ32" i="6" s="1"/>
  <c r="AP26" i="6"/>
  <c r="BI28" i="6"/>
  <c r="BJ28" i="6" s="1"/>
  <c r="AP27" i="6"/>
  <c r="AP28" i="6"/>
  <c r="BI30" i="6"/>
  <c r="BJ30" i="6" s="1"/>
  <c r="AP25" i="6"/>
  <c r="BK15" i="5"/>
  <c r="AO78" i="7" s="1"/>
  <c r="BL15" i="5"/>
  <c r="AO79" i="7" s="1"/>
  <c r="BJ15" i="5"/>
  <c r="AO77" i="7" s="1"/>
  <c r="BM15" i="5"/>
  <c r="K76" i="4"/>
  <c r="L76" i="4" s="1"/>
  <c r="L75" i="4" s="1"/>
  <c r="L74" i="4" s="1"/>
  <c r="L73" i="4" s="1"/>
  <c r="L72" i="4" s="1"/>
  <c r="L71" i="4" s="1"/>
  <c r="K109" i="4"/>
  <c r="L109" i="4" s="1"/>
  <c r="L108" i="4" s="1"/>
  <c r="L107" i="4" s="1"/>
  <c r="L106" i="4" s="1"/>
  <c r="L105" i="4" s="1"/>
  <c r="L104" i="4" s="1"/>
  <c r="K131" i="4"/>
  <c r="L131" i="4" s="1"/>
  <c r="L130" i="4" s="1"/>
  <c r="L129" i="4" s="1"/>
  <c r="L128" i="4" s="1"/>
  <c r="L127" i="4" s="1"/>
  <c r="L126" i="4" s="1"/>
  <c r="K87" i="4"/>
  <c r="L87" i="4" s="1"/>
  <c r="L86" i="4" s="1"/>
  <c r="L85" i="4" s="1"/>
  <c r="L84" i="4" s="1"/>
  <c r="L83" i="4" s="1"/>
  <c r="L82" i="4" s="1"/>
  <c r="K142" i="4"/>
  <c r="L142" i="4" s="1"/>
  <c r="K120" i="4"/>
  <c r="L120" i="4" s="1"/>
  <c r="L119" i="4" s="1"/>
  <c r="L118" i="4" s="1"/>
  <c r="L117" i="4" s="1"/>
  <c r="L116" i="4" s="1"/>
  <c r="L115" i="4" s="1"/>
  <c r="K98" i="4"/>
  <c r="L98" i="4" s="1"/>
  <c r="L97" i="4" s="1"/>
  <c r="L96" i="4" s="1"/>
  <c r="L95" i="4" s="1"/>
  <c r="L94" i="4" s="1"/>
  <c r="L93" i="4" s="1"/>
  <c r="K175" i="4"/>
  <c r="L175" i="4" s="1"/>
  <c r="L174" i="4" s="1"/>
  <c r="L173" i="4" s="1"/>
  <c r="L172" i="4" s="1"/>
  <c r="L171" i="4" s="1"/>
  <c r="L170" i="4" s="1"/>
  <c r="K153" i="4"/>
  <c r="L153" i="4" s="1"/>
  <c r="L152" i="4" s="1"/>
  <c r="K219" i="4"/>
  <c r="L219" i="4" s="1"/>
  <c r="L218" i="4" s="1"/>
  <c r="L217" i="4" s="1"/>
  <c r="L216" i="4" s="1"/>
  <c r="L215" i="4" s="1"/>
  <c r="L214" i="4" s="1"/>
  <c r="K197" i="4"/>
  <c r="L197" i="4" s="1"/>
  <c r="L196" i="4" s="1"/>
  <c r="L195" i="4" s="1"/>
  <c r="L194" i="4" s="1"/>
  <c r="L193" i="4" s="1"/>
  <c r="L192" i="4" s="1"/>
  <c r="K164" i="4"/>
  <c r="L164" i="4" s="1"/>
  <c r="L163" i="4" s="1"/>
  <c r="L162" i="4" s="1"/>
  <c r="L161" i="4" s="1"/>
  <c r="L160" i="4" s="1"/>
  <c r="L159" i="4" s="1"/>
  <c r="K186" i="4"/>
  <c r="L186" i="4" s="1"/>
  <c r="L185" i="4" s="1"/>
  <c r="L184" i="4" s="1"/>
  <c r="L183" i="4" s="1"/>
  <c r="L182" i="4" s="1"/>
  <c r="L181" i="4" s="1"/>
  <c r="K208" i="4"/>
  <c r="L208" i="4" s="1"/>
  <c r="L207" i="4" s="1"/>
  <c r="L206" i="4" s="1"/>
  <c r="L205" i="4" s="1"/>
  <c r="L204" i="4" s="1"/>
  <c r="L203" i="4" s="1"/>
  <c r="D11" i="7"/>
  <c r="H24" i="7"/>
  <c r="H37" i="7"/>
  <c r="AV41" i="5"/>
  <c r="AW41" i="5" s="1"/>
  <c r="AT41" i="5"/>
  <c r="AT39" i="5"/>
  <c r="AT40" i="5"/>
  <c r="AT36" i="5"/>
  <c r="AT37" i="5"/>
  <c r="AT38" i="5"/>
  <c r="AV38" i="5" s="1"/>
  <c r="AT35" i="5"/>
  <c r="AV46" i="5"/>
  <c r="AW46" i="5" s="1"/>
  <c r="AT46" i="5"/>
  <c r="AV43" i="5"/>
  <c r="AW43" i="5" s="1"/>
  <c r="AV45" i="5"/>
  <c r="AW45" i="5" s="1"/>
  <c r="AT45" i="5"/>
  <c r="AV42" i="5"/>
  <c r="AW42" i="5" s="1"/>
  <c r="AT42" i="5"/>
  <c r="AV44" i="5"/>
  <c r="AW44" i="5" s="1"/>
  <c r="AT44" i="5"/>
  <c r="AT43" i="5"/>
  <c r="BK38" i="6"/>
  <c r="BK34" i="6"/>
  <c r="BK37" i="6"/>
  <c r="BK36" i="6"/>
  <c r="BK35" i="6"/>
  <c r="BK39" i="6"/>
  <c r="AP33" i="6"/>
  <c r="AP32" i="6"/>
  <c r="AP31" i="6"/>
  <c r="AP30" i="6"/>
  <c r="AP29" i="6"/>
  <c r="BK16" i="5"/>
  <c r="AO86" i="7" s="1"/>
  <c r="BL16" i="5"/>
  <c r="AO87" i="7" s="1"/>
  <c r="BJ16" i="5"/>
  <c r="BM16" i="5"/>
  <c r="V63" i="3"/>
  <c r="V62" i="3" s="1"/>
  <c r="V61" i="3" s="1"/>
  <c r="V60" i="3" s="1"/>
  <c r="V59" i="3" s="1"/>
  <c r="V58" i="3" s="1"/>
  <c r="V57" i="3" s="1"/>
  <c r="V50" i="3"/>
  <c r="V49" i="3" s="1"/>
  <c r="V48" i="3" s="1"/>
  <c r="V47" i="3" s="1"/>
  <c r="V46" i="3" s="1"/>
  <c r="V45" i="3" s="1"/>
  <c r="V44" i="3" s="1"/>
  <c r="V37" i="3"/>
  <c r="V36" i="3" s="1"/>
  <c r="V35" i="3" s="1"/>
  <c r="V34" i="3" s="1"/>
  <c r="V33" i="3" s="1"/>
  <c r="V32" i="3" s="1"/>
  <c r="V31" i="3" s="1"/>
  <c r="V24" i="3"/>
  <c r="V23" i="3" s="1"/>
  <c r="V22" i="3" s="1"/>
  <c r="V21" i="3" s="1"/>
  <c r="V20" i="3" s="1"/>
  <c r="V19" i="3" s="1"/>
  <c r="V18" i="3" s="1"/>
  <c r="V11" i="3"/>
  <c r="V10" i="3" s="1"/>
  <c r="V9" i="3" s="1"/>
  <c r="V8" i="3" s="1"/>
  <c r="V7" i="3" s="1"/>
  <c r="V6" i="3" s="1"/>
  <c r="V5" i="3" s="1"/>
  <c r="B11" i="3"/>
  <c r="BS4" i="6"/>
  <c r="BS5" i="6" s="1"/>
  <c r="E23" i="6"/>
  <c r="L23" i="6" s="1"/>
  <c r="BJ27" i="6"/>
  <c r="AV28" i="5"/>
  <c r="E22" i="6"/>
  <c r="L22" i="6" s="1"/>
  <c r="AV34" i="5"/>
  <c r="AV33" i="5"/>
  <c r="E28" i="6"/>
  <c r="L28" i="6" s="1"/>
  <c r="E27" i="6"/>
  <c r="L27" i="6" s="1"/>
  <c r="BJ33" i="6"/>
  <c r="BI39" i="6"/>
  <c r="BJ39" i="6" s="1"/>
  <c r="AV39" i="5"/>
  <c r="E31" i="6"/>
  <c r="L31" i="6" s="1"/>
  <c r="BI35" i="6"/>
  <c r="BJ35" i="6" s="1"/>
  <c r="E32" i="6"/>
  <c r="L32" i="6" s="1"/>
  <c r="BI36" i="6"/>
  <c r="BJ36" i="6" s="1"/>
  <c r="E33" i="6"/>
  <c r="L33" i="6" s="1"/>
  <c r="BI37" i="6"/>
  <c r="BJ37" i="6" s="1"/>
  <c r="BI38" i="6"/>
  <c r="BJ38" i="6" s="1"/>
  <c r="AV40" i="5"/>
  <c r="AV36" i="5"/>
  <c r="AV35" i="5"/>
  <c r="AV37" i="5"/>
  <c r="Z65" i="6"/>
  <c r="Z57" i="6"/>
  <c r="Z54" i="6"/>
  <c r="Z53" i="6"/>
  <c r="Z59" i="6"/>
  <c r="Z58" i="6"/>
  <c r="Z60" i="6"/>
  <c r="Z56" i="6"/>
  <c r="Z61" i="6"/>
  <c r="Z62" i="6"/>
  <c r="Z66" i="6"/>
  <c r="Z67" i="6"/>
  <c r="Z55" i="6"/>
  <c r="Z63" i="6"/>
  <c r="BU4" i="6"/>
  <c r="BI34" i="6"/>
  <c r="BJ34" i="6" s="1"/>
  <c r="BT4" i="6"/>
  <c r="E20" i="6"/>
  <c r="L20" i="6" s="1"/>
  <c r="N20" i="6" s="1"/>
  <c r="E8" i="4"/>
  <c r="E9" i="4"/>
  <c r="E10" i="4"/>
  <c r="E19" i="6"/>
  <c r="L19" i="6" s="1"/>
  <c r="N19" i="6" s="1"/>
  <c r="E21" i="6"/>
  <c r="L21" i="6" s="1"/>
  <c r="N21" i="6" s="1"/>
  <c r="AV26" i="5"/>
  <c r="AV25" i="5"/>
  <c r="AV24" i="5"/>
  <c r="AV23" i="5"/>
  <c r="E26" i="6"/>
  <c r="L26" i="6" s="1"/>
  <c r="E25" i="6"/>
  <c r="L25" i="6" s="1"/>
  <c r="E30" i="6"/>
  <c r="L30" i="6" s="1"/>
  <c r="E29" i="6"/>
  <c r="L29" i="6" s="1"/>
  <c r="AV30" i="5"/>
  <c r="AV32" i="5"/>
  <c r="E24" i="6"/>
  <c r="L24" i="6" s="1"/>
  <c r="AV31" i="5"/>
  <c r="AV29" i="5"/>
  <c r="X37" i="3"/>
  <c r="AX41" i="5" l="1"/>
  <c r="BA44" i="5"/>
  <c r="BD44" i="5"/>
  <c r="BN14" i="5"/>
  <c r="AO73" i="7" s="1"/>
  <c r="AO72" i="7"/>
  <c r="BD42" i="5"/>
  <c r="BA42" i="5"/>
  <c r="BD45" i="5"/>
  <c r="BA45" i="5"/>
  <c r="BD41" i="5"/>
  <c r="BF41" i="5" s="1"/>
  <c r="BA41" i="5"/>
  <c r="BC41" i="5" s="1"/>
  <c r="BD43" i="5"/>
  <c r="BA43" i="5"/>
  <c r="BN16" i="5"/>
  <c r="AO89" i="7" s="1"/>
  <c r="AO88" i="7"/>
  <c r="BD46" i="5"/>
  <c r="BA46" i="5"/>
  <c r="BN15" i="5"/>
  <c r="AO81" i="7" s="1"/>
  <c r="AO80" i="7"/>
  <c r="E11" i="7"/>
  <c r="AO85" i="7"/>
  <c r="AW27" i="5"/>
  <c r="AX27" i="5"/>
  <c r="AW38" i="5"/>
  <c r="AX38" i="5"/>
  <c r="BA38" i="5" s="1"/>
  <c r="BC38" i="5" s="1"/>
  <c r="AW33" i="5"/>
  <c r="BA33" i="5" s="1"/>
  <c r="BC33" i="5" s="1"/>
  <c r="AX33" i="5"/>
  <c r="BD33" i="5" s="1"/>
  <c r="BF15" i="5"/>
  <c r="BC15" i="5"/>
  <c r="AZ15" i="5"/>
  <c r="AX42" i="5"/>
  <c r="AZ42" i="5" s="1"/>
  <c r="AA16" i="6"/>
  <c r="AB16" i="6"/>
  <c r="BD11" i="5"/>
  <c r="BF11" i="5" s="1"/>
  <c r="AZ11" i="5"/>
  <c r="AX44" i="5"/>
  <c r="AZ44" i="5" s="1"/>
  <c r="AA15" i="6"/>
  <c r="AB15" i="6"/>
  <c r="AA13" i="6"/>
  <c r="AB13" i="6"/>
  <c r="BF21" i="5"/>
  <c r="BC21" i="5"/>
  <c r="AZ21" i="5"/>
  <c r="AA10" i="6"/>
  <c r="AB10" i="6"/>
  <c r="BF19" i="5"/>
  <c r="BC19" i="5"/>
  <c r="AZ19" i="5"/>
  <c r="AB17" i="6"/>
  <c r="AA17" i="6"/>
  <c r="BF16" i="5"/>
  <c r="AZ16" i="5"/>
  <c r="AB7" i="6"/>
  <c r="AA7" i="6"/>
  <c r="BF14" i="5"/>
  <c r="BC14" i="5"/>
  <c r="AZ14" i="5"/>
  <c r="E9" i="7"/>
  <c r="AB6" i="6"/>
  <c r="AA6" i="6"/>
  <c r="AW29" i="5"/>
  <c r="AX29" i="5"/>
  <c r="BA29" i="5" s="1"/>
  <c r="BC29" i="5" s="1"/>
  <c r="AW31" i="5"/>
  <c r="BA31" i="5" s="1"/>
  <c r="BC31" i="5" s="1"/>
  <c r="AX31" i="5"/>
  <c r="AW32" i="5"/>
  <c r="BA32" i="5" s="1"/>
  <c r="BC32" i="5" s="1"/>
  <c r="AX32" i="5"/>
  <c r="AW39" i="5"/>
  <c r="AX39" i="5"/>
  <c r="BA39" i="5" s="1"/>
  <c r="BC39" i="5" s="1"/>
  <c r="L151" i="4"/>
  <c r="L150" i="4" s="1"/>
  <c r="L149" i="4" s="1"/>
  <c r="L148" i="4" s="1"/>
  <c r="BF22" i="5"/>
  <c r="BC22" i="5"/>
  <c r="AZ22" i="5"/>
  <c r="AB9" i="6"/>
  <c r="AA9" i="6"/>
  <c r="AX23" i="5"/>
  <c r="AW23" i="5"/>
  <c r="BD17" i="5"/>
  <c r="BF17" i="5" s="1"/>
  <c r="AZ17" i="5"/>
  <c r="AW28" i="5"/>
  <c r="AX28" i="5"/>
  <c r="AW30" i="5"/>
  <c r="BA30" i="5" s="1"/>
  <c r="BC30" i="5" s="1"/>
  <c r="AX30" i="5"/>
  <c r="AZ30" i="5" s="1"/>
  <c r="AW37" i="5"/>
  <c r="AX37" i="5"/>
  <c r="BA37" i="5" s="1"/>
  <c r="BC37" i="5" s="1"/>
  <c r="B10" i="3"/>
  <c r="B9" i="3" s="1"/>
  <c r="B8" i="3" s="1"/>
  <c r="B7" i="3" s="1"/>
  <c r="B6" i="3" s="1"/>
  <c r="B5" i="3" s="1"/>
  <c r="D5" i="3" s="1"/>
  <c r="BF12" i="5"/>
  <c r="BC12" i="5"/>
  <c r="AZ12" i="5"/>
  <c r="AB11" i="6"/>
  <c r="AA11" i="6"/>
  <c r="AX34" i="5"/>
  <c r="AW24" i="5"/>
  <c r="AX24" i="5"/>
  <c r="AZ24" i="5" s="1"/>
  <c r="AW35" i="5"/>
  <c r="AX35" i="5"/>
  <c r="BA35" i="5" s="1"/>
  <c r="BC35" i="5" s="1"/>
  <c r="BF13" i="5"/>
  <c r="BC13" i="5"/>
  <c r="AZ13" i="5"/>
  <c r="AX45" i="5"/>
  <c r="AB18" i="6"/>
  <c r="AA18" i="6"/>
  <c r="AA8" i="6"/>
  <c r="AB8" i="6"/>
  <c r="AW36" i="5"/>
  <c r="AX36" i="5"/>
  <c r="BA36" i="5" s="1"/>
  <c r="BC36" i="5" s="1"/>
  <c r="BF20" i="5"/>
  <c r="BC20" i="5"/>
  <c r="AZ20" i="5"/>
  <c r="AX46" i="5"/>
  <c r="AB5" i="6"/>
  <c r="AA5" i="6"/>
  <c r="AA4" i="6"/>
  <c r="AB4" i="6"/>
  <c r="AG4" i="6" s="1"/>
  <c r="AW25" i="5"/>
  <c r="AX25" i="5"/>
  <c r="AZ25" i="5" s="1"/>
  <c r="AW26" i="5"/>
  <c r="AX26" i="5"/>
  <c r="AZ26" i="5" s="1"/>
  <c r="AW40" i="5"/>
  <c r="AX40" i="5"/>
  <c r="L141" i="4"/>
  <c r="L140" i="4" s="1"/>
  <c r="L139" i="4" s="1"/>
  <c r="L138" i="4" s="1"/>
  <c r="L137" i="4" s="1"/>
  <c r="N10" i="7"/>
  <c r="F30" i="4" s="1"/>
  <c r="BF18" i="5"/>
  <c r="BC18" i="5"/>
  <c r="AZ18" i="5"/>
  <c r="AX43" i="5"/>
  <c r="AB14" i="6"/>
  <c r="AA14" i="6"/>
  <c r="AB12" i="6"/>
  <c r="AA12" i="6"/>
  <c r="M33" i="6"/>
  <c r="N33" i="6"/>
  <c r="X33" i="6" s="1"/>
  <c r="Y33" i="6" s="1"/>
  <c r="Z33" i="6" s="1"/>
  <c r="AA33" i="6" s="1"/>
  <c r="M28" i="6"/>
  <c r="N28" i="6"/>
  <c r="X28" i="6" s="1"/>
  <c r="Y28" i="6" s="1"/>
  <c r="Z28" i="6" s="1"/>
  <c r="AB28" i="6" s="1"/>
  <c r="M22" i="6"/>
  <c r="N22" i="6"/>
  <c r="X22" i="6" s="1"/>
  <c r="Y22" i="6" s="1"/>
  <c r="Z22" i="6" s="1"/>
  <c r="AA22" i="6" s="1"/>
  <c r="BC44" i="5"/>
  <c r="M32" i="6"/>
  <c r="N32" i="6"/>
  <c r="X32" i="6" s="1"/>
  <c r="Y32" i="6" s="1"/>
  <c r="Z32" i="6" s="1"/>
  <c r="AB32" i="6" s="1"/>
  <c r="AZ45" i="5"/>
  <c r="BC45" i="5"/>
  <c r="BF45" i="5"/>
  <c r="M23" i="6"/>
  <c r="N23" i="6"/>
  <c r="X23" i="6" s="1"/>
  <c r="Y23" i="6" s="1"/>
  <c r="Z23" i="6" s="1"/>
  <c r="AA23" i="6" s="1"/>
  <c r="BC42" i="5"/>
  <c r="M31" i="6"/>
  <c r="N31" i="6"/>
  <c r="X31" i="6" s="1"/>
  <c r="Y31" i="6" s="1"/>
  <c r="Z31" i="6" s="1"/>
  <c r="AA31" i="6" s="1"/>
  <c r="AZ41" i="5"/>
  <c r="M27" i="6"/>
  <c r="N27" i="6"/>
  <c r="X27" i="6" s="1"/>
  <c r="Y27" i="6" s="1"/>
  <c r="Z27" i="6" s="1"/>
  <c r="AA27" i="6" s="1"/>
  <c r="AZ46" i="5"/>
  <c r="BS14" i="6"/>
  <c r="CB28" i="6" s="1"/>
  <c r="BS13" i="6"/>
  <c r="CB24" i="6" s="1"/>
  <c r="BS12" i="6"/>
  <c r="BS11" i="6"/>
  <c r="BS9" i="6"/>
  <c r="BS10" i="6"/>
  <c r="BS6" i="6"/>
  <c r="BS8" i="6"/>
  <c r="BS7" i="6"/>
  <c r="M20" i="6"/>
  <c r="BT5" i="6"/>
  <c r="BT9" i="6"/>
  <c r="BT13" i="6"/>
  <c r="BT6" i="6"/>
  <c r="BT10" i="6"/>
  <c r="BT14" i="6"/>
  <c r="BT12" i="6"/>
  <c r="BT7" i="6"/>
  <c r="BT11" i="6"/>
  <c r="BT8" i="6"/>
  <c r="BU5" i="6"/>
  <c r="CD4" i="6" s="1"/>
  <c r="BU9" i="6"/>
  <c r="BU13" i="6"/>
  <c r="BU6" i="6"/>
  <c r="BU10" i="6"/>
  <c r="BU14" i="6"/>
  <c r="BU7" i="6"/>
  <c r="BU11" i="6"/>
  <c r="BU12" i="6"/>
  <c r="BU8" i="6"/>
  <c r="AZ29" i="5"/>
  <c r="AZ32" i="5"/>
  <c r="AZ31" i="5"/>
  <c r="M26" i="6"/>
  <c r="N26" i="6"/>
  <c r="M29" i="6"/>
  <c r="N29" i="6"/>
  <c r="N24" i="6"/>
  <c r="M24" i="6"/>
  <c r="X21" i="6"/>
  <c r="X20" i="6"/>
  <c r="M30" i="6"/>
  <c r="N30" i="6"/>
  <c r="N25" i="6"/>
  <c r="M25" i="6"/>
  <c r="M21" i="6"/>
  <c r="BF43" i="5"/>
  <c r="BF44" i="5"/>
  <c r="BJ22" i="6"/>
  <c r="M19" i="6"/>
  <c r="BD31" i="5" l="1"/>
  <c r="BA40" i="5"/>
  <c r="BD40" i="5"/>
  <c r="BD30" i="5"/>
  <c r="BF30" i="5" s="1"/>
  <c r="BD24" i="5"/>
  <c r="BF24" i="5" s="1"/>
  <c r="BA24" i="5"/>
  <c r="BC24" i="5" s="1"/>
  <c r="BD25" i="5"/>
  <c r="BF25" i="5" s="1"/>
  <c r="BA25" i="5"/>
  <c r="BC25" i="5" s="1"/>
  <c r="BA27" i="5"/>
  <c r="BC27" i="5" s="1"/>
  <c r="BD27" i="5"/>
  <c r="BF27" i="5" s="1"/>
  <c r="BD26" i="5"/>
  <c r="BF26" i="5" s="1"/>
  <c r="BA26" i="5"/>
  <c r="BC26" i="5" s="1"/>
  <c r="BD28" i="5"/>
  <c r="BA28" i="5"/>
  <c r="N11" i="7"/>
  <c r="F31" i="4" s="1"/>
  <c r="AG13" i="6"/>
  <c r="AC15" i="6"/>
  <c r="AG14" i="6"/>
  <c r="AC14" i="6"/>
  <c r="AF14" i="6"/>
  <c r="BD37" i="5"/>
  <c r="BF37" i="5" s="1"/>
  <c r="BD29" i="5"/>
  <c r="BF29" i="5" s="1"/>
  <c r="AG16" i="6"/>
  <c r="AC16" i="6"/>
  <c r="AF16" i="6"/>
  <c r="BC43" i="5"/>
  <c r="AZ43" i="5"/>
  <c r="BD36" i="5"/>
  <c r="BF36" i="5" s="1"/>
  <c r="AG8" i="6"/>
  <c r="AF8" i="6"/>
  <c r="AC8" i="6"/>
  <c r="AF6" i="6"/>
  <c r="AC6" i="6"/>
  <c r="AG6" i="6"/>
  <c r="AC17" i="6"/>
  <c r="AF17" i="6"/>
  <c r="AG17" i="6"/>
  <c r="AF4" i="6"/>
  <c r="AC4" i="6"/>
  <c r="AF18" i="6"/>
  <c r="AC18" i="6"/>
  <c r="AG18" i="6"/>
  <c r="AC11" i="6"/>
  <c r="AG11" i="6"/>
  <c r="AF11" i="6"/>
  <c r="AF13" i="6"/>
  <c r="AC13" i="6"/>
  <c r="AC5" i="6"/>
  <c r="AG5" i="6"/>
  <c r="AF5" i="6"/>
  <c r="BD39" i="5"/>
  <c r="BF39" i="5" s="1"/>
  <c r="AE15" i="6"/>
  <c r="AD15" i="6"/>
  <c r="N9" i="7"/>
  <c r="AG15" i="6"/>
  <c r="AF15" i="6"/>
  <c r="E10" i="7"/>
  <c r="BF46" i="5"/>
  <c r="BC46" i="5"/>
  <c r="BD32" i="5"/>
  <c r="BF32" i="5" s="1"/>
  <c r="BD38" i="5"/>
  <c r="BF38" i="5" s="1"/>
  <c r="AF10" i="6"/>
  <c r="BX12" i="5"/>
  <c r="BX11" i="5"/>
  <c r="AG12" i="6"/>
  <c r="AC12" i="6"/>
  <c r="AF12" i="6"/>
  <c r="D11" i="3"/>
  <c r="BD23" i="5"/>
  <c r="BF23" i="5" s="1"/>
  <c r="AC10" i="6"/>
  <c r="AG10" i="6"/>
  <c r="BD35" i="5"/>
  <c r="BF35" i="5" s="1"/>
  <c r="AG9" i="6"/>
  <c r="AC9" i="6"/>
  <c r="AF9" i="6"/>
  <c r="AF7" i="6"/>
  <c r="AG7" i="6"/>
  <c r="AC7" i="6"/>
  <c r="AB33" i="6"/>
  <c r="AC33" i="6" s="1"/>
  <c r="AB31" i="6"/>
  <c r="AC31" i="6" s="1"/>
  <c r="BF40" i="5"/>
  <c r="AA32" i="6"/>
  <c r="AG32" i="6" s="1"/>
  <c r="AA28" i="6"/>
  <c r="AC28" i="6" s="1"/>
  <c r="AZ39" i="5"/>
  <c r="AZ34" i="5"/>
  <c r="BF34" i="5"/>
  <c r="AB22" i="6"/>
  <c r="AC22" i="6" s="1"/>
  <c r="AZ28" i="5"/>
  <c r="BF28" i="5"/>
  <c r="BC28" i="5"/>
  <c r="AZ37" i="5"/>
  <c r="AB27" i="6"/>
  <c r="AF27" i="6" s="1"/>
  <c r="AB23" i="6"/>
  <c r="AG23" i="6" s="1"/>
  <c r="AZ38" i="5"/>
  <c r="AZ27" i="5"/>
  <c r="BX13" i="5" s="1"/>
  <c r="AP61" i="7" s="1"/>
  <c r="AQ61" i="7" s="1"/>
  <c r="AZ36" i="5"/>
  <c r="AZ35" i="5"/>
  <c r="AZ33" i="5"/>
  <c r="BF33" i="5"/>
  <c r="BC40" i="5"/>
  <c r="AZ40" i="5"/>
  <c r="AZ23" i="5"/>
  <c r="X30" i="6"/>
  <c r="X24" i="6"/>
  <c r="X29" i="6"/>
  <c r="Y20" i="6"/>
  <c r="Z20" i="6" s="1"/>
  <c r="X26" i="6"/>
  <c r="X25" i="6"/>
  <c r="Y21" i="6"/>
  <c r="Z21" i="6" s="1"/>
  <c r="BF31" i="5"/>
  <c r="X19" i="6"/>
  <c r="Y19" i="6" s="1"/>
  <c r="BF42" i="5"/>
  <c r="C21" i="3"/>
  <c r="C20" i="3"/>
  <c r="AF33" i="6" l="1"/>
  <c r="AD13" i="6"/>
  <c r="AE13" i="6"/>
  <c r="AH13" i="6" s="1"/>
  <c r="AI13" i="6" s="1"/>
  <c r="AE17" i="6"/>
  <c r="AD17" i="6"/>
  <c r="F6" i="7"/>
  <c r="G6" i="7" s="1"/>
  <c r="D49" i="7"/>
  <c r="CB21" i="5"/>
  <c r="BX21" i="5"/>
  <c r="C26" i="4"/>
  <c r="BQ11" i="5"/>
  <c r="AD16" i="6"/>
  <c r="AE16" i="6"/>
  <c r="BX22" i="5"/>
  <c r="F7" i="7"/>
  <c r="G7" i="7" s="1"/>
  <c r="H49" i="7"/>
  <c r="CB22" i="5"/>
  <c r="C27" i="4"/>
  <c r="BQ12" i="5"/>
  <c r="AD6" i="6"/>
  <c r="AE6" i="6"/>
  <c r="AH15" i="6"/>
  <c r="AI15" i="6" s="1"/>
  <c r="F8" i="7"/>
  <c r="G8" i="7" s="1"/>
  <c r="CB23" i="5"/>
  <c r="BZ12" i="5"/>
  <c r="AP55" i="7" s="1"/>
  <c r="BZ11" i="5"/>
  <c r="BY12" i="5"/>
  <c r="AP54" i="7" s="1"/>
  <c r="AQ54" i="7" s="1"/>
  <c r="BY11" i="5"/>
  <c r="AP46" i="7" s="1"/>
  <c r="AQ46" i="7" s="1"/>
  <c r="AE11" i="6"/>
  <c r="AD11" i="6"/>
  <c r="AE8" i="6"/>
  <c r="AD8" i="6"/>
  <c r="AD12" i="6"/>
  <c r="AE12" i="6"/>
  <c r="AD10" i="6"/>
  <c r="AE10" i="6"/>
  <c r="AE18" i="6"/>
  <c r="AD18" i="6"/>
  <c r="AD9" i="6"/>
  <c r="AE9" i="6"/>
  <c r="AH9" i="6" s="1"/>
  <c r="AI9" i="6" s="1"/>
  <c r="AD5" i="6"/>
  <c r="AE5" i="6"/>
  <c r="AD4" i="6"/>
  <c r="AE4" i="6"/>
  <c r="AE14" i="6"/>
  <c r="AD14" i="6"/>
  <c r="AH14" i="6" s="1"/>
  <c r="AI14" i="6" s="1"/>
  <c r="BY13" i="5"/>
  <c r="AP62" i="7" s="1"/>
  <c r="AQ62" i="7" s="1"/>
  <c r="AE7" i="6"/>
  <c r="AD7" i="6"/>
  <c r="L49" i="7"/>
  <c r="BX23" i="5"/>
  <c r="BQ13" i="5"/>
  <c r="C28" i="4"/>
  <c r="BY16" i="5"/>
  <c r="BX16" i="5"/>
  <c r="AP85" i="7" s="1"/>
  <c r="AQ85" i="7" s="1"/>
  <c r="BZ14" i="5"/>
  <c r="BZ13" i="5"/>
  <c r="AP63" i="7" s="1"/>
  <c r="AG33" i="6"/>
  <c r="AG31" i="6"/>
  <c r="AF31" i="6"/>
  <c r="AC23" i="6"/>
  <c r="AD23" i="6" s="1"/>
  <c r="AF28" i="6"/>
  <c r="AG28" i="6"/>
  <c r="AF32" i="6"/>
  <c r="AC32" i="6"/>
  <c r="BX14" i="5"/>
  <c r="AP69" i="7" s="1"/>
  <c r="AQ69" i="7" s="1"/>
  <c r="BX15" i="5"/>
  <c r="AP77" i="7" s="1"/>
  <c r="AQ77" i="7" s="1"/>
  <c r="AF22" i="6"/>
  <c r="AF23" i="6"/>
  <c r="AG22" i="6"/>
  <c r="AC27" i="6"/>
  <c r="AD27" i="6" s="1"/>
  <c r="AG27" i="6"/>
  <c r="AD28" i="6"/>
  <c r="AE28" i="6"/>
  <c r="AD22" i="6"/>
  <c r="AE22" i="6"/>
  <c r="AD31" i="6"/>
  <c r="AE31" i="6"/>
  <c r="AD33" i="6"/>
  <c r="AE33" i="6"/>
  <c r="AD32" i="6"/>
  <c r="Y25" i="6"/>
  <c r="Z25" i="6" s="1"/>
  <c r="AA20" i="6"/>
  <c r="AB20" i="6"/>
  <c r="Y29" i="6"/>
  <c r="Z29" i="6" s="1"/>
  <c r="Y30" i="6"/>
  <c r="Z30" i="6" s="1"/>
  <c r="AA21" i="6"/>
  <c r="AB21" i="6"/>
  <c r="Y26" i="6"/>
  <c r="Z26" i="6" s="1"/>
  <c r="Y24" i="6"/>
  <c r="Z24" i="6" s="1"/>
  <c r="F29" i="4"/>
  <c r="C19" i="3"/>
  <c r="D19" i="4" s="1"/>
  <c r="Z19" i="6"/>
  <c r="AA19" i="6" s="1"/>
  <c r="D20" i="4"/>
  <c r="D21" i="4"/>
  <c r="AQ63" i="7" l="1"/>
  <c r="D65" i="7"/>
  <c r="AP71" i="7"/>
  <c r="D52" i="7"/>
  <c r="AP47" i="7"/>
  <c r="AQ47" i="7" s="1"/>
  <c r="L63" i="7"/>
  <c r="AP86" i="7"/>
  <c r="AQ86" i="7" s="1"/>
  <c r="AQ55" i="7"/>
  <c r="AH17" i="6"/>
  <c r="AI17" i="6" s="1"/>
  <c r="AH8" i="6"/>
  <c r="AI8" i="6" s="1"/>
  <c r="AH5" i="6"/>
  <c r="AI5" i="6" s="1"/>
  <c r="AU8" i="6"/>
  <c r="AJ8" i="6"/>
  <c r="AQ8" i="6" s="1"/>
  <c r="AS8" i="6" s="1"/>
  <c r="AT8" i="6" s="1"/>
  <c r="BY25" i="6" s="1"/>
  <c r="AK8" i="6"/>
  <c r="AZ8" i="6" s="1"/>
  <c r="BB8" i="6" s="1"/>
  <c r="BC8" i="6" s="1"/>
  <c r="AU15" i="6"/>
  <c r="AK15" i="6"/>
  <c r="AZ15" i="6" s="1"/>
  <c r="BB15" i="6" s="1"/>
  <c r="BC15" i="6" s="1"/>
  <c r="AJ15" i="6"/>
  <c r="AQ15" i="6" s="1"/>
  <c r="AS15" i="6" s="1"/>
  <c r="AT15" i="6" s="1"/>
  <c r="CA10" i="6" s="1"/>
  <c r="P115" i="4"/>
  <c r="P126" i="4"/>
  <c r="P104" i="4"/>
  <c r="P93" i="4"/>
  <c r="P159" i="4"/>
  <c r="P71" i="4"/>
  <c r="P137" i="4"/>
  <c r="P192" i="4"/>
  <c r="P170" i="4"/>
  <c r="P214" i="4"/>
  <c r="P148" i="4"/>
  <c r="P203" i="4"/>
  <c r="P181" i="4"/>
  <c r="P82" i="4"/>
  <c r="AH16" i="6"/>
  <c r="AI16" i="6" s="1"/>
  <c r="BY14" i="5"/>
  <c r="AH12" i="6"/>
  <c r="AI12" i="6" s="1"/>
  <c r="P73" i="4"/>
  <c r="P106" i="4"/>
  <c r="P128" i="4"/>
  <c r="P139" i="4"/>
  <c r="P117" i="4"/>
  <c r="P95" i="4"/>
  <c r="P84" i="4"/>
  <c r="P161" i="4"/>
  <c r="P183" i="4"/>
  <c r="P172" i="4"/>
  <c r="P150" i="4"/>
  <c r="P194" i="4"/>
  <c r="P205" i="4"/>
  <c r="P216" i="4"/>
  <c r="AH4" i="6"/>
  <c r="AI4" i="6" s="1"/>
  <c r="F9" i="7"/>
  <c r="CB24" i="5"/>
  <c r="AH11" i="6"/>
  <c r="AI11" i="6" s="1"/>
  <c r="AH6" i="6"/>
  <c r="AI6" i="6" s="1"/>
  <c r="AU5" i="6"/>
  <c r="AK5" i="6"/>
  <c r="AZ5" i="6" s="1"/>
  <c r="BB5" i="6" s="1"/>
  <c r="BC5" i="6" s="1"/>
  <c r="AJ5" i="6"/>
  <c r="AQ5" i="6" s="1"/>
  <c r="AS5" i="6" s="1"/>
  <c r="AT5" i="6" s="1"/>
  <c r="BY10" i="6" s="1"/>
  <c r="F10" i="7"/>
  <c r="G10" i="7" s="1"/>
  <c r="CB25" i="5"/>
  <c r="AU9" i="6"/>
  <c r="AJ9" i="6"/>
  <c r="AQ9" i="6" s="1"/>
  <c r="AK9" i="6"/>
  <c r="AZ9" i="6" s="1"/>
  <c r="BB9" i="6" s="1"/>
  <c r="BC9" i="6" s="1"/>
  <c r="BR11" i="5"/>
  <c r="E51" i="7" s="1"/>
  <c r="BY21" i="5"/>
  <c r="P72" i="4"/>
  <c r="P105" i="4"/>
  <c r="P127" i="4"/>
  <c r="P83" i="4"/>
  <c r="P116" i="4"/>
  <c r="P94" i="4"/>
  <c r="P138" i="4"/>
  <c r="P215" i="4"/>
  <c r="P193" i="4"/>
  <c r="P160" i="4"/>
  <c r="P182" i="4"/>
  <c r="P171" i="4"/>
  <c r="P204" i="4"/>
  <c r="P149" i="4"/>
  <c r="AU14" i="6"/>
  <c r="AK14" i="6"/>
  <c r="AZ14" i="6" s="1"/>
  <c r="BB14" i="6" s="1"/>
  <c r="BC14" i="6" s="1"/>
  <c r="AJ14" i="6"/>
  <c r="AQ14" i="6" s="1"/>
  <c r="H51" i="7"/>
  <c r="BR12" i="5"/>
  <c r="BY22" i="5"/>
  <c r="AU17" i="6"/>
  <c r="AK17" i="6"/>
  <c r="AZ17" i="6" s="1"/>
  <c r="BB17" i="6" s="1"/>
  <c r="BC17" i="6" s="1"/>
  <c r="AJ17" i="6"/>
  <c r="AQ17" i="6" s="1"/>
  <c r="AS17" i="6" s="1"/>
  <c r="AT17" i="6" s="1"/>
  <c r="CA20" i="6" s="1"/>
  <c r="F11" i="7"/>
  <c r="G11" i="7" s="1"/>
  <c r="CB26" i="5"/>
  <c r="AH7" i="6"/>
  <c r="AI7" i="6" s="1"/>
  <c r="AH18" i="6"/>
  <c r="AI18" i="6" s="1"/>
  <c r="D51" i="7"/>
  <c r="BZ21" i="5"/>
  <c r="BS11" i="5"/>
  <c r="AU13" i="6"/>
  <c r="AJ13" i="6"/>
  <c r="AQ13" i="6" s="1"/>
  <c r="AS13" i="6" s="1"/>
  <c r="AT13" i="6" s="1"/>
  <c r="BZ25" i="6" s="1"/>
  <c r="AK13" i="6"/>
  <c r="AZ13" i="6" s="1"/>
  <c r="BZ16" i="5"/>
  <c r="AH10" i="6"/>
  <c r="AI10" i="6" s="1"/>
  <c r="BZ22" i="5"/>
  <c r="H52" i="7"/>
  <c r="BS12" i="5"/>
  <c r="CA12" i="5" s="1"/>
  <c r="AP56" i="7" s="1"/>
  <c r="BZ15" i="5"/>
  <c r="BY15" i="5"/>
  <c r="BQ15" i="5"/>
  <c r="BQ14" i="5"/>
  <c r="BY23" i="5"/>
  <c r="L51" i="7"/>
  <c r="BZ23" i="5"/>
  <c r="L52" i="7"/>
  <c r="C31" i="4"/>
  <c r="BR16" i="5"/>
  <c r="BR13" i="5"/>
  <c r="BS13" i="5"/>
  <c r="CA13" i="5" s="1"/>
  <c r="BX24" i="5"/>
  <c r="AE32" i="6"/>
  <c r="AH32" i="6" s="1"/>
  <c r="AI32" i="6" s="1"/>
  <c r="AU32" i="6" s="1"/>
  <c r="AE23" i="6"/>
  <c r="AH23" i="6" s="1"/>
  <c r="AI23" i="6" s="1"/>
  <c r="AU23" i="6" s="1"/>
  <c r="BX26" i="5"/>
  <c r="L62" i="7"/>
  <c r="AE27" i="6"/>
  <c r="AH27" i="6" s="1"/>
  <c r="AI27" i="6" s="1"/>
  <c r="AH28" i="6"/>
  <c r="AI28" i="6" s="1"/>
  <c r="AJ28" i="6" s="1"/>
  <c r="AQ28" i="6" s="1"/>
  <c r="AS28" i="6" s="1"/>
  <c r="AT28" i="6" s="1"/>
  <c r="CC25" i="6" s="1"/>
  <c r="AH33" i="6"/>
  <c r="AI33" i="6" s="1"/>
  <c r="AJ33" i="6" s="1"/>
  <c r="AQ33" i="6" s="1"/>
  <c r="AS33" i="6" s="1"/>
  <c r="AT33" i="6" s="1"/>
  <c r="CD25" i="6" s="1"/>
  <c r="AH22" i="6"/>
  <c r="AI22" i="6" s="1"/>
  <c r="AJ22" i="6" s="1"/>
  <c r="AQ22" i="6" s="1"/>
  <c r="AS22" i="6" s="1"/>
  <c r="AT22" i="6" s="1"/>
  <c r="CB20" i="6" s="1"/>
  <c r="AH31" i="6"/>
  <c r="AI31" i="6" s="1"/>
  <c r="AA26" i="6"/>
  <c r="AB26" i="6"/>
  <c r="AA25" i="6"/>
  <c r="AB25" i="6"/>
  <c r="AC21" i="6"/>
  <c r="AF21" i="6"/>
  <c r="AG21" i="6"/>
  <c r="AB29" i="6"/>
  <c r="AA29" i="6"/>
  <c r="AB30" i="6"/>
  <c r="AA30" i="6"/>
  <c r="AC20" i="6"/>
  <c r="AF20" i="6"/>
  <c r="AG20" i="6"/>
  <c r="AA24" i="6"/>
  <c r="AB24" i="6"/>
  <c r="H62" i="7"/>
  <c r="AB19" i="6"/>
  <c r="AC19" i="6" s="1"/>
  <c r="C30" i="4"/>
  <c r="D62" i="7"/>
  <c r="BX25" i="5"/>
  <c r="C29" i="4"/>
  <c r="AQ56" i="7" l="1"/>
  <c r="AQ57" i="7"/>
  <c r="BY25" i="5"/>
  <c r="AP78" i="7"/>
  <c r="AQ78" i="7" s="1"/>
  <c r="L54" i="7"/>
  <c r="AP64" i="7"/>
  <c r="BS16" i="5"/>
  <c r="CA16" i="5" s="1"/>
  <c r="AP87" i="7"/>
  <c r="AQ87" i="7" s="1"/>
  <c r="D64" i="7"/>
  <c r="AP70" i="7"/>
  <c r="AQ70" i="7" s="1"/>
  <c r="AQ71" i="7"/>
  <c r="AP79" i="7"/>
  <c r="AQ79" i="7" s="1"/>
  <c r="H64" i="7"/>
  <c r="BB13" i="6"/>
  <c r="BC13" i="6" s="1"/>
  <c r="BS14" i="5"/>
  <c r="CA14" i="5" s="1"/>
  <c r="BR14" i="5"/>
  <c r="BY24" i="5"/>
  <c r="BS15" i="5"/>
  <c r="CA15" i="5" s="1"/>
  <c r="H63" i="7"/>
  <c r="H54" i="7"/>
  <c r="CA22" i="5"/>
  <c r="V34" i="7"/>
  <c r="BY12" i="6"/>
  <c r="AW13" i="6"/>
  <c r="AX13" i="6"/>
  <c r="AY13" i="6" s="1"/>
  <c r="BZ26" i="6" s="1"/>
  <c r="I51" i="7"/>
  <c r="AW5" i="6"/>
  <c r="AX5" i="6"/>
  <c r="AY5" i="6" s="1"/>
  <c r="BY11" i="6" s="1"/>
  <c r="E52" i="7"/>
  <c r="BT11" i="5"/>
  <c r="AW17" i="6"/>
  <c r="AX17" i="6"/>
  <c r="AY17" i="6" s="1"/>
  <c r="CA21" i="6" s="1"/>
  <c r="AU6" i="6"/>
  <c r="AK6" i="6"/>
  <c r="AZ6" i="6" s="1"/>
  <c r="BB6" i="6" s="1"/>
  <c r="BC6" i="6" s="1"/>
  <c r="AJ6" i="6"/>
  <c r="AQ6" i="6" s="1"/>
  <c r="AS6" i="6" s="1"/>
  <c r="AT6" i="6" s="1"/>
  <c r="BY15" i="6" s="1"/>
  <c r="AS14" i="6"/>
  <c r="AT14" i="6" s="1"/>
  <c r="CA5" i="6" s="1"/>
  <c r="AU11" i="6"/>
  <c r="AJ11" i="6"/>
  <c r="AQ11" i="6" s="1"/>
  <c r="AS11" i="6" s="1"/>
  <c r="AT11" i="6" s="1"/>
  <c r="BZ15" i="6" s="1"/>
  <c r="AK11" i="6"/>
  <c r="AZ11" i="6" s="1"/>
  <c r="AU12" i="6"/>
  <c r="AK12" i="6"/>
  <c r="AZ12" i="6" s="1"/>
  <c r="BB12" i="6" s="1"/>
  <c r="BC12" i="6" s="1"/>
  <c r="AJ12" i="6"/>
  <c r="AQ12" i="6" s="1"/>
  <c r="AS12" i="6" s="1"/>
  <c r="AT12" i="6" s="1"/>
  <c r="BZ20" i="6" s="1"/>
  <c r="CA12" i="6"/>
  <c r="AU18" i="6"/>
  <c r="AK18" i="6"/>
  <c r="AZ18" i="6" s="1"/>
  <c r="AJ18" i="6"/>
  <c r="AQ18" i="6" s="1"/>
  <c r="AS18" i="6" s="1"/>
  <c r="AT18" i="6" s="1"/>
  <c r="CA25" i="6" s="1"/>
  <c r="CA11" i="5"/>
  <c r="AP48" i="7" s="1"/>
  <c r="AW15" i="6"/>
  <c r="AX15" i="6"/>
  <c r="AY15" i="6" s="1"/>
  <c r="CA11" i="6" s="1"/>
  <c r="P74" i="4"/>
  <c r="P118" i="4"/>
  <c r="P140" i="4"/>
  <c r="P96" i="4"/>
  <c r="P129" i="4"/>
  <c r="P107" i="4"/>
  <c r="P85" i="4"/>
  <c r="P184" i="4"/>
  <c r="P206" i="4"/>
  <c r="P173" i="4"/>
  <c r="P151" i="4"/>
  <c r="P217" i="4"/>
  <c r="P195" i="4"/>
  <c r="P162" i="4"/>
  <c r="AU7" i="6"/>
  <c r="AK7" i="6"/>
  <c r="AZ7" i="6" s="1"/>
  <c r="AJ7" i="6"/>
  <c r="AQ7" i="6" s="1"/>
  <c r="AS7" i="6" s="1"/>
  <c r="AT7" i="6" s="1"/>
  <c r="BY20" i="6" s="1"/>
  <c r="AW14" i="6"/>
  <c r="AX14" i="6"/>
  <c r="AY14" i="6" s="1"/>
  <c r="CA6" i="6" s="1"/>
  <c r="BZ7" i="6"/>
  <c r="AU16" i="6"/>
  <c r="AK16" i="6"/>
  <c r="AZ16" i="6" s="1"/>
  <c r="BB16" i="6" s="1"/>
  <c r="BC16" i="6" s="1"/>
  <c r="AJ16" i="6"/>
  <c r="AQ16" i="6" s="1"/>
  <c r="AS16" i="6" s="1"/>
  <c r="AT16" i="6" s="1"/>
  <c r="CA15" i="6" s="1"/>
  <c r="BY27" i="6"/>
  <c r="P76" i="4"/>
  <c r="P109" i="4"/>
  <c r="P131" i="4"/>
  <c r="P87" i="4"/>
  <c r="P120" i="4"/>
  <c r="P142" i="4"/>
  <c r="P98" i="4"/>
  <c r="P197" i="4"/>
  <c r="P219" i="4"/>
  <c r="P175" i="4"/>
  <c r="P164" i="4"/>
  <c r="P208" i="4"/>
  <c r="P186" i="4"/>
  <c r="P153" i="4"/>
  <c r="AS9" i="6"/>
  <c r="AT9" i="6" s="1"/>
  <c r="BZ5" i="6" s="1"/>
  <c r="AJ4" i="6"/>
  <c r="AQ4" i="6" s="1"/>
  <c r="AK4" i="6"/>
  <c r="AZ4" i="6" s="1"/>
  <c r="AU4" i="6"/>
  <c r="BZ27" i="6"/>
  <c r="I52" i="7"/>
  <c r="BT12" i="5"/>
  <c r="AW9" i="6"/>
  <c r="AX9" i="6"/>
  <c r="AY9" i="6" s="1"/>
  <c r="BZ6" i="6" s="1"/>
  <c r="AW8" i="6"/>
  <c r="AX8" i="6"/>
  <c r="AY8" i="6" s="1"/>
  <c r="BY26" i="6" s="1"/>
  <c r="P75" i="4"/>
  <c r="P108" i="4"/>
  <c r="P130" i="4"/>
  <c r="P86" i="4"/>
  <c r="P141" i="4"/>
  <c r="P119" i="4"/>
  <c r="P97" i="4"/>
  <c r="P174" i="4"/>
  <c r="P152" i="4"/>
  <c r="P163" i="4"/>
  <c r="P218" i="4"/>
  <c r="P196" i="4"/>
  <c r="P207" i="4"/>
  <c r="P185" i="4"/>
  <c r="AU10" i="6"/>
  <c r="AK10" i="6"/>
  <c r="AZ10" i="6" s="1"/>
  <c r="BB10" i="6" s="1"/>
  <c r="BC10" i="6" s="1"/>
  <c r="AJ10" i="6"/>
  <c r="AQ10" i="6" s="1"/>
  <c r="AS10" i="6" s="1"/>
  <c r="AT10" i="6" s="1"/>
  <c r="BZ10" i="6" s="1"/>
  <c r="BR15" i="5"/>
  <c r="BT14" i="5"/>
  <c r="CA23" i="5"/>
  <c r="BT13" i="5"/>
  <c r="M52" i="7"/>
  <c r="M51" i="7"/>
  <c r="BT16" i="5"/>
  <c r="M66" i="7" s="1"/>
  <c r="AU28" i="6"/>
  <c r="AW28" i="6" s="1"/>
  <c r="M64" i="7"/>
  <c r="E64" i="7"/>
  <c r="AK33" i="6"/>
  <c r="AZ33" i="6" s="1"/>
  <c r="BB33" i="6" s="1"/>
  <c r="BC33" i="6" s="1"/>
  <c r="AK32" i="6"/>
  <c r="AZ32" i="6" s="1"/>
  <c r="AK22" i="6"/>
  <c r="AZ22" i="6" s="1"/>
  <c r="AU22" i="6"/>
  <c r="AW22" i="6" s="1"/>
  <c r="AK28" i="6"/>
  <c r="AZ28" i="6" s="1"/>
  <c r="AU33" i="6"/>
  <c r="AK23" i="6"/>
  <c r="AZ23" i="6" s="1"/>
  <c r="BB23" i="6" s="1"/>
  <c r="BC23" i="6" s="1"/>
  <c r="AJ23" i="6"/>
  <c r="AQ23" i="6" s="1"/>
  <c r="AS23" i="6" s="1"/>
  <c r="AT23" i="6" s="1"/>
  <c r="CB25" i="6" s="1"/>
  <c r="AJ32" i="6"/>
  <c r="AQ32" i="6" s="1"/>
  <c r="AS32" i="6" s="1"/>
  <c r="AT32" i="6" s="1"/>
  <c r="CD20" i="6" s="1"/>
  <c r="AW23" i="6"/>
  <c r="AK27" i="6"/>
  <c r="AZ27" i="6" s="1"/>
  <c r="AU27" i="6"/>
  <c r="AJ27" i="6"/>
  <c r="AQ27" i="6" s="1"/>
  <c r="AS27" i="6" s="1"/>
  <c r="AT27" i="6" s="1"/>
  <c r="CC20" i="6" s="1"/>
  <c r="AU31" i="6"/>
  <c r="AJ31" i="6"/>
  <c r="AQ31" i="6" s="1"/>
  <c r="AS31" i="6" s="1"/>
  <c r="AT31" i="6" s="1"/>
  <c r="AK31" i="6"/>
  <c r="AZ31" i="6" s="1"/>
  <c r="AW32" i="6"/>
  <c r="AC24" i="6"/>
  <c r="AF24" i="6"/>
  <c r="AG24" i="6"/>
  <c r="AD20" i="6"/>
  <c r="AE20" i="6"/>
  <c r="AD21" i="6"/>
  <c r="AE21" i="6"/>
  <c r="AC30" i="6"/>
  <c r="AF30" i="6"/>
  <c r="AG30" i="6"/>
  <c r="AC25" i="6"/>
  <c r="AF25" i="6"/>
  <c r="AG25" i="6"/>
  <c r="AC29" i="6"/>
  <c r="AD29" i="6" s="1"/>
  <c r="AF29" i="6"/>
  <c r="AG29" i="6"/>
  <c r="AC26" i="6"/>
  <c r="AG26" i="6"/>
  <c r="AF26" i="6"/>
  <c r="AG19" i="6"/>
  <c r="AF19" i="6"/>
  <c r="BZ26" i="5"/>
  <c r="L65" i="7"/>
  <c r="BZ24" i="5"/>
  <c r="BZ25" i="5"/>
  <c r="BY26" i="5"/>
  <c r="M65" i="7"/>
  <c r="G9" i="7"/>
  <c r="L66" i="7" l="1"/>
  <c r="AP88" i="7"/>
  <c r="AQ64" i="7"/>
  <c r="AQ65" i="7"/>
  <c r="H66" i="7"/>
  <c r="AP80" i="7"/>
  <c r="D66" i="7"/>
  <c r="AP72" i="7"/>
  <c r="AQ49" i="7"/>
  <c r="AQ48" i="7"/>
  <c r="BB27" i="6"/>
  <c r="BC27" i="6" s="1"/>
  <c r="BB18" i="6"/>
  <c r="BC18" i="6" s="1"/>
  <c r="BB4" i="6"/>
  <c r="BC4" i="6" s="1"/>
  <c r="BY7" i="6" s="1"/>
  <c r="BB22" i="6"/>
  <c r="BC22" i="6" s="1"/>
  <c r="CB22" i="6" s="1"/>
  <c r="BB7" i="6"/>
  <c r="BC7" i="6" s="1"/>
  <c r="BB32" i="6"/>
  <c r="BC32" i="6" s="1"/>
  <c r="CD22" i="6" s="1"/>
  <c r="BB28" i="6"/>
  <c r="BC28" i="6" s="1"/>
  <c r="BB31" i="6"/>
  <c r="BC31" i="6" s="1"/>
  <c r="BB11" i="6"/>
  <c r="BC11" i="6" s="1"/>
  <c r="BT15" i="5"/>
  <c r="I66" i="7" s="1"/>
  <c r="CM12" i="6"/>
  <c r="D54" i="7"/>
  <c r="CA21" i="5"/>
  <c r="M53" i="7"/>
  <c r="M54" i="7"/>
  <c r="AW4" i="6"/>
  <c r="AX4" i="6"/>
  <c r="AW7" i="6"/>
  <c r="AX7" i="6"/>
  <c r="AY7" i="6" s="1"/>
  <c r="BY21" i="6" s="1"/>
  <c r="CA7" i="6"/>
  <c r="CM13" i="6"/>
  <c r="AW11" i="6"/>
  <c r="AX11" i="6"/>
  <c r="AY11" i="6" s="1"/>
  <c r="BZ16" i="6" s="1"/>
  <c r="BY22" i="6"/>
  <c r="CM11" i="6"/>
  <c r="AS4" i="6"/>
  <c r="AT4" i="6" s="1"/>
  <c r="BY5" i="6" s="1"/>
  <c r="CA27" i="6"/>
  <c r="AW18" i="6"/>
  <c r="AX18" i="6"/>
  <c r="AY18" i="6" s="1"/>
  <c r="CA26" i="6" s="1"/>
  <c r="BY17" i="6"/>
  <c r="AW6" i="6"/>
  <c r="AX6" i="6"/>
  <c r="AY6" i="6" s="1"/>
  <c r="BY16" i="6" s="1"/>
  <c r="AX16" i="6"/>
  <c r="AY16" i="6" s="1"/>
  <c r="CA16" i="6" s="1"/>
  <c r="AW16" i="6"/>
  <c r="AW10" i="6"/>
  <c r="AX10" i="6"/>
  <c r="AY10" i="6" s="1"/>
  <c r="BZ11" i="6" s="1"/>
  <c r="BZ22" i="6"/>
  <c r="E53" i="7"/>
  <c r="E54" i="7"/>
  <c r="CA22" i="6"/>
  <c r="I53" i="7"/>
  <c r="I54" i="7"/>
  <c r="AW12" i="6"/>
  <c r="AX12" i="6"/>
  <c r="AY12" i="6" s="1"/>
  <c r="BZ21" i="6" s="1"/>
  <c r="E66" i="7"/>
  <c r="CC27" i="6"/>
  <c r="AX28" i="6"/>
  <c r="AY28" i="6" s="1"/>
  <c r="CC26" i="6" s="1"/>
  <c r="I65" i="7"/>
  <c r="AX33" i="6"/>
  <c r="AY33" i="6" s="1"/>
  <c r="CD26" i="6" s="1"/>
  <c r="AW33" i="6"/>
  <c r="AX22" i="6"/>
  <c r="AY22" i="6" s="1"/>
  <c r="CB21" i="6" s="1"/>
  <c r="AX23" i="6"/>
  <c r="AY23" i="6" s="1"/>
  <c r="CB26" i="6" s="1"/>
  <c r="CB27" i="6"/>
  <c r="AX32" i="6"/>
  <c r="AY32" i="6" s="1"/>
  <c r="CD21" i="6" s="1"/>
  <c r="AW31" i="6"/>
  <c r="AX31" i="6"/>
  <c r="AY31" i="6" s="1"/>
  <c r="AX27" i="6"/>
  <c r="AY27" i="6" s="1"/>
  <c r="CC21" i="6" s="1"/>
  <c r="AW27" i="6"/>
  <c r="AH21" i="6"/>
  <c r="AI21" i="6" s="1"/>
  <c r="AU21" i="6" s="1"/>
  <c r="E65" i="7"/>
  <c r="CA24" i="5"/>
  <c r="AE29" i="6"/>
  <c r="AD25" i="6"/>
  <c r="AE25" i="6"/>
  <c r="AH20" i="6"/>
  <c r="AI20" i="6" s="1"/>
  <c r="CD28" i="6"/>
  <c r="CB4" i="6"/>
  <c r="CC28" i="6"/>
  <c r="AD26" i="6"/>
  <c r="CC4" i="6"/>
  <c r="CD19" i="6"/>
  <c r="AE26" i="6"/>
  <c r="AD30" i="6"/>
  <c r="AE30" i="6"/>
  <c r="AD24" i="6"/>
  <c r="AE24" i="6"/>
  <c r="V32" i="7"/>
  <c r="V33" i="7"/>
  <c r="CD15" i="6"/>
  <c r="AD19" i="6"/>
  <c r="AE19" i="6"/>
  <c r="CA25" i="5"/>
  <c r="CA26" i="5"/>
  <c r="AQ80" i="7" l="1"/>
  <c r="AQ81" i="7"/>
  <c r="AQ72" i="7"/>
  <c r="AQ73" i="7"/>
  <c r="AQ89" i="7"/>
  <c r="AQ88" i="7"/>
  <c r="O7" i="7"/>
  <c r="G27" i="4" s="1"/>
  <c r="AR53" i="7"/>
  <c r="O8" i="7"/>
  <c r="AR61" i="7"/>
  <c r="AY4" i="6"/>
  <c r="BY6" i="6" s="1"/>
  <c r="BZ12" i="6"/>
  <c r="O6" i="7"/>
  <c r="H6" i="7"/>
  <c r="CA17" i="6"/>
  <c r="BZ17" i="6"/>
  <c r="CD27" i="6"/>
  <c r="CC22" i="6"/>
  <c r="AK21" i="6"/>
  <c r="AZ21" i="6" s="1"/>
  <c r="BB21" i="6" s="1"/>
  <c r="BC21" i="6" s="1"/>
  <c r="AJ21" i="6"/>
  <c r="AQ21" i="6" s="1"/>
  <c r="AS21" i="6" s="1"/>
  <c r="AT21" i="6" s="1"/>
  <c r="CD18" i="6"/>
  <c r="CD24" i="6"/>
  <c r="CD23" i="6"/>
  <c r="CB9" i="6"/>
  <c r="CB8" i="6"/>
  <c r="CB19" i="6"/>
  <c r="CB18" i="6"/>
  <c r="CB23" i="6"/>
  <c r="CC23" i="6"/>
  <c r="CC24" i="6"/>
  <c r="AH24" i="6"/>
  <c r="AI24" i="6" s="1"/>
  <c r="AU24" i="6" s="1"/>
  <c r="AH26" i="6"/>
  <c r="AI26" i="6" s="1"/>
  <c r="AU26" i="6" s="1"/>
  <c r="CC18" i="6"/>
  <c r="CC19" i="6"/>
  <c r="AW21" i="6"/>
  <c r="AH25" i="6"/>
  <c r="AI25" i="6" s="1"/>
  <c r="AH30" i="6"/>
  <c r="AI30" i="6" s="1"/>
  <c r="AU20" i="6"/>
  <c r="AJ20" i="6"/>
  <c r="AQ20" i="6" s="1"/>
  <c r="AS20" i="6" s="1"/>
  <c r="AT20" i="6" s="1"/>
  <c r="CB10" i="6" s="1"/>
  <c r="AK20" i="6"/>
  <c r="AZ20" i="6" s="1"/>
  <c r="AH29" i="6"/>
  <c r="AI29" i="6" s="1"/>
  <c r="CD16" i="6"/>
  <c r="CD8" i="6"/>
  <c r="CD9" i="6"/>
  <c r="CC13" i="6"/>
  <c r="CC14" i="6"/>
  <c r="CC8" i="6"/>
  <c r="CC9" i="6"/>
  <c r="CB14" i="6"/>
  <c r="CB13" i="6"/>
  <c r="CD14" i="6"/>
  <c r="CD13" i="6"/>
  <c r="AH19" i="6"/>
  <c r="AI19" i="6" s="1"/>
  <c r="AU19" i="6" s="1"/>
  <c r="D17" i="3" l="1"/>
  <c r="H8" i="7"/>
  <c r="H7" i="7"/>
  <c r="CH4" i="6"/>
  <c r="CS11" i="6" s="1"/>
  <c r="BB20" i="6"/>
  <c r="BC20" i="6" s="1"/>
  <c r="D16" i="3"/>
  <c r="G26" i="4"/>
  <c r="G28" i="4"/>
  <c r="D18" i="3"/>
  <c r="CH14" i="6"/>
  <c r="CS13" i="6" s="1"/>
  <c r="CI9" i="6"/>
  <c r="CT12" i="6" s="1"/>
  <c r="I48" i="7" s="1"/>
  <c r="CI4" i="6"/>
  <c r="CT11" i="6" s="1"/>
  <c r="E48" i="7" s="1"/>
  <c r="CI14" i="6"/>
  <c r="CT13" i="6" s="1"/>
  <c r="M48" i="7" s="1"/>
  <c r="CJ4" i="6"/>
  <c r="CU11" i="6" s="1"/>
  <c r="CJ14" i="6"/>
  <c r="CU13" i="6" s="1"/>
  <c r="CJ9" i="6"/>
  <c r="CU12" i="6" s="1"/>
  <c r="CH9" i="6"/>
  <c r="CS12" i="6" s="1"/>
  <c r="CN13" i="6"/>
  <c r="AR62" i="7" s="1"/>
  <c r="CN12" i="6"/>
  <c r="AR54" i="7" s="1"/>
  <c r="CN11" i="6"/>
  <c r="AR46" i="7" s="1"/>
  <c r="CN14" i="6"/>
  <c r="AR70" i="7" s="1"/>
  <c r="AX21" i="6"/>
  <c r="AY21" i="6" s="1"/>
  <c r="AK24" i="6"/>
  <c r="AZ24" i="6" s="1"/>
  <c r="BB24" i="6" s="1"/>
  <c r="BC24" i="6" s="1"/>
  <c r="AJ24" i="6"/>
  <c r="AQ24" i="6" s="1"/>
  <c r="AS24" i="6" s="1"/>
  <c r="AT24" i="6" s="1"/>
  <c r="AK26" i="6"/>
  <c r="AZ26" i="6" s="1"/>
  <c r="BB26" i="6" s="1"/>
  <c r="BC26" i="6" s="1"/>
  <c r="AJ26" i="6"/>
  <c r="AQ26" i="6" s="1"/>
  <c r="AS26" i="6" s="1"/>
  <c r="AT26" i="6" s="1"/>
  <c r="CC15" i="6" s="1"/>
  <c r="AU29" i="6"/>
  <c r="AJ29" i="6"/>
  <c r="AQ29" i="6" s="1"/>
  <c r="AK29" i="6"/>
  <c r="AZ29" i="6" s="1"/>
  <c r="BB29" i="6" s="1"/>
  <c r="BC29" i="6" s="1"/>
  <c r="AU30" i="6"/>
  <c r="AK30" i="6"/>
  <c r="AZ30" i="6" s="1"/>
  <c r="BB30" i="6" s="1"/>
  <c r="BC30" i="6" s="1"/>
  <c r="AJ30" i="6"/>
  <c r="AQ30" i="6" s="1"/>
  <c r="AS30" i="6" s="1"/>
  <c r="AT30" i="6" s="1"/>
  <c r="CD10" i="6" s="1"/>
  <c r="AW26" i="6"/>
  <c r="AW19" i="6"/>
  <c r="AU25" i="6"/>
  <c r="CN15" i="6" s="1"/>
  <c r="AR78" i="7" s="1"/>
  <c r="AJ25" i="6"/>
  <c r="AQ25" i="6" s="1"/>
  <c r="AS25" i="6" s="1"/>
  <c r="AT25" i="6" s="1"/>
  <c r="CC10" i="6" s="1"/>
  <c r="AK25" i="6"/>
  <c r="AZ25" i="6" s="1"/>
  <c r="AW24" i="6"/>
  <c r="AW20" i="6"/>
  <c r="AX20" i="6"/>
  <c r="AY20" i="6" s="1"/>
  <c r="CB11" i="6" s="1"/>
  <c r="CD17" i="6"/>
  <c r="AK19" i="6"/>
  <c r="AZ19" i="6" s="1"/>
  <c r="BB19" i="6" s="1"/>
  <c r="BC19" i="6" s="1"/>
  <c r="AJ19" i="6"/>
  <c r="AQ19" i="6" s="1"/>
  <c r="CM14" i="6" s="1"/>
  <c r="CB15" i="6"/>
  <c r="CY11" i="6" l="1"/>
  <c r="E47" i="7"/>
  <c r="R6" i="7" s="1"/>
  <c r="G16" i="3" s="1"/>
  <c r="BB25" i="6"/>
  <c r="BC25" i="6" s="1"/>
  <c r="AR69" i="7"/>
  <c r="CY21" i="6"/>
  <c r="CY13" i="6"/>
  <c r="AS61" i="7" s="1"/>
  <c r="AT61" i="7" s="1"/>
  <c r="M47" i="7"/>
  <c r="H9" i="7"/>
  <c r="O9" i="7"/>
  <c r="I49" i="7"/>
  <c r="I50" i="7"/>
  <c r="M49" i="7"/>
  <c r="M50" i="7"/>
  <c r="CY12" i="6"/>
  <c r="AS53" i="7" s="1"/>
  <c r="AT53" i="7" s="1"/>
  <c r="I47" i="7"/>
  <c r="E50" i="7"/>
  <c r="E49" i="7"/>
  <c r="D47" i="7"/>
  <c r="Q6" i="7" s="1"/>
  <c r="F16" i="3" s="1"/>
  <c r="I6" i="7"/>
  <c r="J6" i="7" s="1"/>
  <c r="CZ11" i="6"/>
  <c r="CM16" i="6"/>
  <c r="CP12" i="6"/>
  <c r="AR56" i="7" s="1"/>
  <c r="CO11" i="6"/>
  <c r="AR47" i="7" s="1"/>
  <c r="CP11" i="6"/>
  <c r="AR48" i="7" s="1"/>
  <c r="CO13" i="6"/>
  <c r="CP13" i="6"/>
  <c r="AR64" i="7" s="1"/>
  <c r="CO12" i="6"/>
  <c r="AR55" i="7" s="1"/>
  <c r="AX24" i="6"/>
  <c r="AY24" i="6" s="1"/>
  <c r="CC6" i="6" s="1"/>
  <c r="AX26" i="6"/>
  <c r="AY26" i="6" s="1"/>
  <c r="CC16" i="6" s="1"/>
  <c r="CB12" i="6"/>
  <c r="CN16" i="6"/>
  <c r="AR86" i="7" s="1"/>
  <c r="CM15" i="6"/>
  <c r="CP16" i="6"/>
  <c r="AR88" i="7" s="1"/>
  <c r="CO16" i="6"/>
  <c r="AR87" i="7" s="1"/>
  <c r="AS29" i="6"/>
  <c r="AT29" i="6" s="1"/>
  <c r="CO15" i="6"/>
  <c r="AR79" i="7" s="1"/>
  <c r="AS19" i="6"/>
  <c r="AT19" i="6" s="1"/>
  <c r="CB5" i="6" s="1"/>
  <c r="CP15" i="6"/>
  <c r="AR80" i="7" s="1"/>
  <c r="CP14" i="6"/>
  <c r="AR72" i="7" s="1"/>
  <c r="CO14" i="6"/>
  <c r="AR71" i="7" s="1"/>
  <c r="AW30" i="6"/>
  <c r="AX30" i="6"/>
  <c r="AY30" i="6" s="1"/>
  <c r="CD11" i="6" s="1"/>
  <c r="AW25" i="6"/>
  <c r="AX25" i="6"/>
  <c r="AY25" i="6" s="1"/>
  <c r="CC11" i="6" s="1"/>
  <c r="AX19" i="6"/>
  <c r="AY19" i="6" s="1"/>
  <c r="CB6" i="6" s="1"/>
  <c r="AW29" i="6"/>
  <c r="AX29" i="6"/>
  <c r="AY29" i="6" s="1"/>
  <c r="CD6" i="6" s="1"/>
  <c r="CC5" i="6"/>
  <c r="CB16" i="6"/>
  <c r="CB17" i="6"/>
  <c r="CC7" i="6"/>
  <c r="CC17" i="6"/>
  <c r="DB22" i="6" l="1"/>
  <c r="CY22" i="6"/>
  <c r="CY23" i="6"/>
  <c r="D27" i="4"/>
  <c r="DB23" i="6"/>
  <c r="CZ13" i="6"/>
  <c r="CZ23" i="6" s="1"/>
  <c r="AS45" i="7"/>
  <c r="DB21" i="6"/>
  <c r="D26" i="4"/>
  <c r="L48" i="7"/>
  <c r="AS62" i="7"/>
  <c r="AT62" i="7" s="1"/>
  <c r="D48" i="7"/>
  <c r="AS46" i="7"/>
  <c r="O11" i="7"/>
  <c r="AR45" i="7"/>
  <c r="AR85" i="7"/>
  <c r="H10" i="7"/>
  <c r="AR77" i="7"/>
  <c r="DA13" i="6"/>
  <c r="AS63" i="7" s="1"/>
  <c r="AR63" i="7"/>
  <c r="AT64" i="7" s="1"/>
  <c r="D28" i="4"/>
  <c r="Q106" i="4" s="1"/>
  <c r="C47" i="7"/>
  <c r="P6" i="7" s="1"/>
  <c r="E16" i="3" s="1"/>
  <c r="R7" i="7"/>
  <c r="G17" i="3" s="1"/>
  <c r="Q72" i="4"/>
  <c r="Q83" i="4"/>
  <c r="Q105" i="4"/>
  <c r="Q116" i="4"/>
  <c r="Q138" i="4"/>
  <c r="Q94" i="4"/>
  <c r="Q193" i="4"/>
  <c r="Q171" i="4"/>
  <c r="Q182" i="4"/>
  <c r="Q160" i="4"/>
  <c r="Q204" i="4"/>
  <c r="Q149" i="4"/>
  <c r="Q172" i="4"/>
  <c r="Q150" i="4"/>
  <c r="Q194" i="4"/>
  <c r="H47" i="7"/>
  <c r="Q7" i="7" s="1"/>
  <c r="F17" i="3" s="1"/>
  <c r="I7" i="7"/>
  <c r="J7" i="7" s="1"/>
  <c r="CZ12" i="6"/>
  <c r="CI19" i="6"/>
  <c r="CT14" i="6" s="1"/>
  <c r="DA23" i="6"/>
  <c r="R8" i="7"/>
  <c r="G18" i="3" s="1"/>
  <c r="L47" i="7"/>
  <c r="Q8" i="7" s="1"/>
  <c r="F18" i="3" s="1"/>
  <c r="I8" i="7"/>
  <c r="J8" i="7" s="1"/>
  <c r="DA11" i="6"/>
  <c r="AS47" i="7" s="1"/>
  <c r="AT47" i="7" s="1"/>
  <c r="CZ21" i="6"/>
  <c r="CH19" i="6"/>
  <c r="CS14" i="6" s="1"/>
  <c r="CD5" i="6"/>
  <c r="CH24" i="6"/>
  <c r="CS15" i="6" s="1"/>
  <c r="CD12" i="6"/>
  <c r="CI29" i="6"/>
  <c r="CT16" i="6" s="1"/>
  <c r="CD7" i="6"/>
  <c r="CI24" i="6"/>
  <c r="CT15" i="6" s="1"/>
  <c r="CB7" i="6"/>
  <c r="CJ19" i="6" s="1"/>
  <c r="CU14" i="6" s="1"/>
  <c r="CC12" i="6"/>
  <c r="CJ24" i="6" s="1"/>
  <c r="CU15" i="6" s="1"/>
  <c r="Q205" i="4" l="1"/>
  <c r="Q183" i="4"/>
  <c r="Q161" i="4"/>
  <c r="Q216" i="4"/>
  <c r="Q95" i="4"/>
  <c r="Q139" i="4"/>
  <c r="C48" i="7"/>
  <c r="C49" i="7" s="1"/>
  <c r="Q117" i="4"/>
  <c r="Q215" i="4"/>
  <c r="Q127" i="4"/>
  <c r="O10" i="7"/>
  <c r="Q73" i="4"/>
  <c r="Q71" i="4"/>
  <c r="Q115" i="4"/>
  <c r="Q170" i="4"/>
  <c r="Q181" i="4"/>
  <c r="Q148" i="4"/>
  <c r="Q214" i="4"/>
  <c r="Q192" i="4"/>
  <c r="Q203" i="4"/>
  <c r="Q104" i="4"/>
  <c r="Q159" i="4"/>
  <c r="Q93" i="4"/>
  <c r="Q137" i="4"/>
  <c r="Q126" i="4"/>
  <c r="Q82" i="4"/>
  <c r="Q128" i="4"/>
  <c r="Q84" i="4"/>
  <c r="H11" i="7"/>
  <c r="AT48" i="7"/>
  <c r="AT63" i="7"/>
  <c r="AT45" i="7"/>
  <c r="AT46" i="7"/>
  <c r="DA12" i="6"/>
  <c r="AS55" i="7" s="1"/>
  <c r="AS54" i="7"/>
  <c r="AT54" i="7" s="1"/>
  <c r="L50" i="7"/>
  <c r="CY14" i="6"/>
  <c r="CZ14" i="6" s="1"/>
  <c r="AS70" i="7" s="1"/>
  <c r="CY15" i="6"/>
  <c r="CZ15" i="6" s="1"/>
  <c r="AS78" i="7" s="1"/>
  <c r="I64" i="7"/>
  <c r="I63" i="7"/>
  <c r="G47" i="7"/>
  <c r="H48" i="7"/>
  <c r="CZ22" i="6"/>
  <c r="K47" i="7"/>
  <c r="CH29" i="6"/>
  <c r="CS16" i="6" s="1"/>
  <c r="M60" i="7" s="1"/>
  <c r="DA21" i="6"/>
  <c r="D50" i="7"/>
  <c r="CJ29" i="6"/>
  <c r="CU16" i="6" s="1"/>
  <c r="E60" i="7"/>
  <c r="E63" i="7"/>
  <c r="E62" i="7"/>
  <c r="M61" i="7"/>
  <c r="C50" i="7" l="1"/>
  <c r="C51" i="7" s="1"/>
  <c r="C52" i="7" s="1"/>
  <c r="C53" i="7" s="1"/>
  <c r="C54" i="7" s="1"/>
  <c r="C55" i="7" s="1"/>
  <c r="H50" i="7"/>
  <c r="I10" i="7"/>
  <c r="AS77" i="7"/>
  <c r="AT55" i="7"/>
  <c r="AT56" i="7"/>
  <c r="DA22" i="6"/>
  <c r="I9" i="7"/>
  <c r="AS69" i="7"/>
  <c r="AT69" i="7" s="1"/>
  <c r="R9" i="7"/>
  <c r="G19" i="3" s="1"/>
  <c r="P7" i="7"/>
  <c r="E17" i="3" s="1"/>
  <c r="G48" i="7"/>
  <c r="G49" i="7" s="1"/>
  <c r="G50" i="7" s="1"/>
  <c r="G51" i="7" s="1"/>
  <c r="G52" i="7" s="1"/>
  <c r="G53" i="7" s="1"/>
  <c r="G54" i="7" s="1"/>
  <c r="G55" i="7" s="1"/>
  <c r="P8" i="7"/>
  <c r="E18" i="3" s="1"/>
  <c r="K48" i="7"/>
  <c r="K49" i="7" s="1"/>
  <c r="K50" i="7" s="1"/>
  <c r="K51" i="7" s="1"/>
  <c r="K52" i="7" s="1"/>
  <c r="K53" i="7" s="1"/>
  <c r="K54" i="7" s="1"/>
  <c r="K55" i="7" s="1"/>
  <c r="CY16" i="6"/>
  <c r="DA14" i="6"/>
  <c r="AS71" i="7" s="1"/>
  <c r="DA15" i="6"/>
  <c r="M63" i="7"/>
  <c r="E28" i="4"/>
  <c r="M62" i="7"/>
  <c r="H61" i="7"/>
  <c r="D61" i="7"/>
  <c r="E61" i="7"/>
  <c r="D60" i="7"/>
  <c r="Q9" i="7" s="1"/>
  <c r="F19" i="3" s="1"/>
  <c r="I62" i="7"/>
  <c r="I60" i="7"/>
  <c r="G29" i="4"/>
  <c r="G31" i="4"/>
  <c r="AT70" i="7" l="1"/>
  <c r="CY26" i="6"/>
  <c r="AS85" i="7"/>
  <c r="AT85" i="7" s="1"/>
  <c r="H65" i="7"/>
  <c r="AS79" i="7"/>
  <c r="AT78" i="7"/>
  <c r="AT77" i="7"/>
  <c r="AT72" i="7"/>
  <c r="AT71" i="7"/>
  <c r="D31" i="4"/>
  <c r="R11" i="7"/>
  <c r="DB26" i="6"/>
  <c r="C60" i="7"/>
  <c r="R10" i="7"/>
  <c r="G20" i="3" s="1"/>
  <c r="I11" i="7"/>
  <c r="J11" i="7" s="1"/>
  <c r="CZ16" i="6"/>
  <c r="AS86" i="7" s="1"/>
  <c r="AT86" i="7" s="1"/>
  <c r="L60" i="7"/>
  <c r="H28" i="4"/>
  <c r="D63" i="7"/>
  <c r="E26" i="4"/>
  <c r="I61" i="7"/>
  <c r="H60" i="7"/>
  <c r="Q10" i="7" s="1"/>
  <c r="F20" i="3" s="1"/>
  <c r="CZ24" i="6"/>
  <c r="CY24" i="6"/>
  <c r="DB24" i="6"/>
  <c r="D29" i="4"/>
  <c r="D21" i="3"/>
  <c r="D19" i="3"/>
  <c r="V8" i="7" l="1"/>
  <c r="G21" i="3"/>
  <c r="G60" i="7"/>
  <c r="P10" i="7" s="1"/>
  <c r="E20" i="3" s="1"/>
  <c r="Q11" i="7"/>
  <c r="F21" i="3" s="1"/>
  <c r="K60" i="7"/>
  <c r="AT79" i="7"/>
  <c r="AT80" i="7"/>
  <c r="P9" i="7"/>
  <c r="E19" i="3" s="1"/>
  <c r="C61" i="7"/>
  <c r="C62" i="7" s="1"/>
  <c r="C63" i="7" s="1"/>
  <c r="C64" i="7" s="1"/>
  <c r="C65" i="7" s="1"/>
  <c r="C66" i="7" s="1"/>
  <c r="C67" i="7" s="1"/>
  <c r="C68" i="7" s="1"/>
  <c r="Q74" i="4"/>
  <c r="Q96" i="4"/>
  <c r="Q140" i="4"/>
  <c r="Q129" i="4"/>
  <c r="Q107" i="4"/>
  <c r="Q118" i="4"/>
  <c r="Q85" i="4"/>
  <c r="Q206" i="4"/>
  <c r="Q173" i="4"/>
  <c r="Q151" i="4"/>
  <c r="Q162" i="4"/>
  <c r="Q217" i="4"/>
  <c r="Q195" i="4"/>
  <c r="Q184" i="4"/>
  <c r="Q76" i="4"/>
  <c r="Q87" i="4"/>
  <c r="Q109" i="4"/>
  <c r="Q120" i="4"/>
  <c r="Q142" i="4"/>
  <c r="Q131" i="4"/>
  <c r="Q98" i="4"/>
  <c r="Q219" i="4"/>
  <c r="Q164" i="4"/>
  <c r="Q208" i="4"/>
  <c r="Q186" i="4"/>
  <c r="Q175" i="4"/>
  <c r="Q153" i="4"/>
  <c r="Q197" i="4"/>
  <c r="DA16" i="6"/>
  <c r="L61" i="7"/>
  <c r="CZ26" i="6"/>
  <c r="H26" i="4"/>
  <c r="V7" i="7"/>
  <c r="DB25" i="6"/>
  <c r="D30" i="4"/>
  <c r="CY25" i="6"/>
  <c r="J9" i="7"/>
  <c r="CZ25" i="6"/>
  <c r="R228" i="4"/>
  <c r="O235" i="4" s="1"/>
  <c r="R226" i="4"/>
  <c r="R227" i="4"/>
  <c r="O234" i="4" s="1"/>
  <c r="E29" i="4"/>
  <c r="E31" i="4" l="1"/>
  <c r="G61" i="7"/>
  <c r="G62" i="7" s="1"/>
  <c r="G63" i="7" s="1"/>
  <c r="G64" i="7" s="1"/>
  <c r="G65" i="7" s="1"/>
  <c r="G66" i="7" s="1"/>
  <c r="G67" i="7" s="1"/>
  <c r="G68" i="7" s="1"/>
  <c r="AS87" i="7"/>
  <c r="L64" i="7"/>
  <c r="Q75" i="4"/>
  <c r="Q108" i="4"/>
  <c r="Q130" i="4"/>
  <c r="Q141" i="4"/>
  <c r="Q86" i="4"/>
  <c r="Q97" i="4"/>
  <c r="Q119" i="4"/>
  <c r="Q174" i="4"/>
  <c r="Q152" i="4"/>
  <c r="Q207" i="4"/>
  <c r="Q218" i="4"/>
  <c r="Q196" i="4"/>
  <c r="Q163" i="4"/>
  <c r="Q185" i="4"/>
  <c r="P11" i="7"/>
  <c r="E21" i="3" s="1"/>
  <c r="K61" i="7"/>
  <c r="K62" i="7" s="1"/>
  <c r="K63" i="7" s="1"/>
  <c r="K64" i="7" s="1"/>
  <c r="K65" i="7" s="1"/>
  <c r="K66" i="7" s="1"/>
  <c r="K67" i="7" s="1"/>
  <c r="K68" i="7" s="1"/>
  <c r="DA26" i="6"/>
  <c r="H27" i="4"/>
  <c r="E27" i="4"/>
  <c r="S233" i="4"/>
  <c r="O233" i="4"/>
  <c r="V6" i="7"/>
  <c r="DA24" i="6"/>
  <c r="S235" i="4"/>
  <c r="S234" i="4"/>
  <c r="AT88" i="7" l="1"/>
  <c r="AT87" i="7"/>
  <c r="DA25" i="6"/>
  <c r="G30" i="4"/>
  <c r="J10" i="7" l="1"/>
  <c r="D20" i="3"/>
  <c r="E30" i="4" l="1"/>
  <c r="Q226" i="4" l="1"/>
  <c r="U19" i="7" s="1"/>
  <c r="V19" i="7" s="1"/>
  <c r="S226" i="4" l="1"/>
  <c r="Q227" i="4"/>
  <c r="U20" i="7" s="1"/>
  <c r="V20" i="7" s="1"/>
  <c r="S227" i="4" l="1"/>
  <c r="Q228" i="4"/>
  <c r="U21" i="7" s="1"/>
  <c r="V21" i="7" s="1"/>
  <c r="H29" i="4"/>
  <c r="S228" i="4" l="1"/>
  <c r="H31" i="4"/>
  <c r="H30" i="4"/>
  <c r="D8" i="3"/>
  <c r="D10" i="3"/>
  <c r="D9" i="3"/>
  <c r="D6" i="3"/>
  <c r="D7" i="3"/>
  <c r="F9" i="3" l="1"/>
  <c r="F10" i="3"/>
  <c r="F7" i="3"/>
  <c r="F8" i="3"/>
  <c r="F5" i="3"/>
  <c r="C5" i="3"/>
  <c r="C9" i="3"/>
  <c r="C7" i="3"/>
  <c r="C10" i="3"/>
  <c r="F6" i="3"/>
  <c r="C6" i="3"/>
  <c r="C8" i="3"/>
  <c r="N9" i="3" l="1"/>
  <c r="N7" i="3"/>
  <c r="N6" i="3"/>
  <c r="N8" i="3"/>
  <c r="N10" i="3"/>
  <c r="N5" i="3"/>
  <c r="F12" i="3"/>
  <c r="G5" i="3" l="1"/>
  <c r="I5" i="3" s="1"/>
  <c r="J5" i="3" s="1"/>
  <c r="R5" i="3" s="1"/>
  <c r="G6" i="3"/>
  <c r="G10" i="3"/>
  <c r="G7" i="3"/>
  <c r="G9" i="3"/>
  <c r="G8" i="3"/>
  <c r="M8" i="3"/>
  <c r="O8" i="3"/>
  <c r="M6" i="3"/>
  <c r="O6" i="3"/>
  <c r="M5" i="3"/>
  <c r="O5" i="3"/>
  <c r="M7" i="3"/>
  <c r="O7" i="3"/>
  <c r="M9" i="3"/>
  <c r="O9" i="3"/>
  <c r="O10" i="3"/>
  <c r="M10" i="3"/>
  <c r="I6" i="3" l="1"/>
  <c r="I7" i="3" s="1"/>
  <c r="I8" i="3" s="1"/>
  <c r="I9" i="3" s="1"/>
  <c r="I10" i="3" s="1"/>
  <c r="H5" i="3" l="1"/>
  <c r="P5" i="3"/>
  <c r="J6" i="3" l="1"/>
  <c r="W5" i="3"/>
  <c r="AE5" i="3" l="1"/>
  <c r="AG5" i="3" s="1"/>
  <c r="AF5" i="3"/>
  <c r="AH5" i="3" s="1"/>
  <c r="P6" i="3"/>
  <c r="J7" i="3" s="1"/>
  <c r="P7" i="3" s="1"/>
  <c r="R6" i="3"/>
  <c r="W6" i="3" s="1"/>
  <c r="H6" i="3"/>
  <c r="AE6" i="3" l="1"/>
  <c r="AG6" i="3" s="1"/>
  <c r="AF6" i="3"/>
  <c r="AH6" i="3" s="1"/>
  <c r="H7" i="3"/>
  <c r="R7" i="3"/>
  <c r="W7" i="3" s="1"/>
  <c r="AI5" i="3"/>
  <c r="J8" i="3"/>
  <c r="AE7" i="3" l="1"/>
  <c r="AG7" i="3" s="1"/>
  <c r="AF7" i="3"/>
  <c r="AH7" i="3" s="1"/>
  <c r="H8" i="3"/>
  <c r="R8" i="3"/>
  <c r="AI6" i="3"/>
  <c r="P8" i="3"/>
  <c r="AI7" i="3" l="1"/>
  <c r="W8" i="3"/>
  <c r="J9" i="3"/>
  <c r="AE8" i="3" l="1"/>
  <c r="AF8" i="3"/>
  <c r="AH8" i="3" s="1"/>
  <c r="H9" i="3"/>
  <c r="R9" i="3"/>
  <c r="W9" i="3" s="1"/>
  <c r="P9" i="3"/>
  <c r="J10" i="3" s="1"/>
  <c r="R10" i="3" s="1"/>
  <c r="AI8" i="3" l="1"/>
  <c r="AF9" i="3"/>
  <c r="AH9" i="3" s="1"/>
  <c r="AE9" i="3"/>
  <c r="AG8" i="3"/>
  <c r="H10" i="3"/>
  <c r="P10" i="3"/>
  <c r="AG9" i="3" l="1"/>
  <c r="AI9" i="3"/>
  <c r="W10" i="3"/>
  <c r="S10" i="3"/>
  <c r="AF10" i="3" l="1"/>
  <c r="AH10" i="3" s="1"/>
  <c r="AE10" i="3"/>
  <c r="X10" i="3"/>
  <c r="Z10" i="3" s="1"/>
  <c r="S9" i="3"/>
  <c r="AG10" i="3" l="1"/>
  <c r="AI10" i="3"/>
  <c r="X9" i="3"/>
  <c r="Z9" i="3" s="1"/>
  <c r="S8" i="3"/>
  <c r="X8" i="3" l="1"/>
  <c r="Z8" i="3" s="1"/>
  <c r="S7" i="3"/>
  <c r="X7" i="3" l="1"/>
  <c r="Z7" i="3" s="1"/>
  <c r="S6" i="3"/>
  <c r="S5" i="3" l="1"/>
  <c r="X5" i="3" s="1"/>
  <c r="Z5" i="3" s="1"/>
  <c r="X6" i="3"/>
  <c r="Z6" i="3" s="1"/>
  <c r="Z12" i="3" l="1"/>
  <c r="AA10" i="3" l="1"/>
  <c r="AA8" i="3"/>
  <c r="AA7" i="3"/>
  <c r="AA6" i="3"/>
  <c r="AA9" i="3"/>
  <c r="AA5" i="3"/>
  <c r="AC5" i="3" s="1"/>
  <c r="AC6" i="3" l="1"/>
  <c r="AD5" i="3"/>
  <c r="AK5" i="3" l="1"/>
  <c r="R18" i="3"/>
  <c r="AJ5" i="3"/>
  <c r="AB5" i="3"/>
  <c r="AC7" i="3"/>
  <c r="AC8" i="3" l="1"/>
  <c r="W18" i="3"/>
  <c r="AD6" i="3"/>
  <c r="AF18" i="3" l="1"/>
  <c r="AH18" i="3" s="1"/>
  <c r="AE18" i="3"/>
  <c r="AK6" i="3"/>
  <c r="R19" i="3"/>
  <c r="AB6" i="3"/>
  <c r="AJ6" i="3"/>
  <c r="AC9" i="3"/>
  <c r="AC10" i="3" l="1"/>
  <c r="AG18" i="3"/>
  <c r="AI18" i="3"/>
  <c r="W19" i="3"/>
  <c r="AD7" i="3"/>
  <c r="R20" i="3" s="1"/>
  <c r="AF19" i="3" l="1"/>
  <c r="AH19" i="3" s="1"/>
  <c r="AE19" i="3"/>
  <c r="AK7" i="3"/>
  <c r="AB7" i="3"/>
  <c r="AJ7" i="3"/>
  <c r="AI19" i="3" l="1"/>
  <c r="AG19" i="3"/>
  <c r="W20" i="3"/>
  <c r="AD8" i="3"/>
  <c r="R21" i="3" s="1"/>
  <c r="AF20" i="3" l="1"/>
  <c r="AH20" i="3" s="1"/>
  <c r="AE20" i="3"/>
  <c r="AK8" i="3"/>
  <c r="AJ8" i="3"/>
  <c r="AB8" i="3"/>
  <c r="AG20" i="3" l="1"/>
  <c r="AI20" i="3"/>
  <c r="W21" i="3"/>
  <c r="AD9" i="3"/>
  <c r="AE21" i="3" l="1"/>
  <c r="AF21" i="3"/>
  <c r="AH21" i="3" s="1"/>
  <c r="AK9" i="3"/>
  <c r="R22" i="3"/>
  <c r="AB9" i="3"/>
  <c r="AJ9" i="3"/>
  <c r="AD10" i="3" s="1"/>
  <c r="R23" i="3" s="1"/>
  <c r="AB10" i="3" l="1"/>
  <c r="AK10" i="3"/>
  <c r="AJ10" i="3"/>
  <c r="S23" i="3" s="1"/>
  <c r="W22" i="3"/>
  <c r="AG21" i="3"/>
  <c r="AI21" i="3"/>
  <c r="AF22" i="3" l="1"/>
  <c r="AH22" i="3" s="1"/>
  <c r="AE22" i="3"/>
  <c r="AG22" i="3" s="1"/>
  <c r="W23" i="3"/>
  <c r="X23" i="3"/>
  <c r="Z23" i="3" s="1"/>
  <c r="S22" i="3"/>
  <c r="AF23" i="3" l="1"/>
  <c r="AH23" i="3" s="1"/>
  <c r="AE23" i="3"/>
  <c r="AG23" i="3" s="1"/>
  <c r="AI22" i="3"/>
  <c r="X22" i="3"/>
  <c r="S21" i="3"/>
  <c r="AI23" i="3" l="1"/>
  <c r="X21" i="3"/>
  <c r="S20" i="3"/>
  <c r="Z22" i="3"/>
  <c r="Z21" i="3" l="1"/>
  <c r="X20" i="3"/>
  <c r="S19" i="3"/>
  <c r="X19" i="3" l="1"/>
  <c r="S18" i="3"/>
  <c r="X18" i="3" s="1"/>
  <c r="Z20" i="3"/>
  <c r="Z19" i="3" l="1"/>
  <c r="Z18" i="3"/>
  <c r="Z25" i="3" l="1"/>
  <c r="AA23" i="3" s="1"/>
  <c r="AA20" i="3" l="1"/>
  <c r="AA19" i="3"/>
  <c r="AA18" i="3"/>
  <c r="AC18" i="3" s="1"/>
  <c r="AA21" i="3"/>
  <c r="AA22" i="3"/>
  <c r="AD18" i="3" l="1"/>
  <c r="R31" i="3" s="1"/>
  <c r="AC19" i="3"/>
  <c r="AC20" i="3" s="1"/>
  <c r="AB18" i="3" l="1"/>
  <c r="AK18" i="3"/>
  <c r="AJ18" i="3"/>
  <c r="AD19" i="3" s="1"/>
  <c r="R32" i="3" s="1"/>
  <c r="W31" i="3"/>
  <c r="AC21" i="3"/>
  <c r="AF31" i="3" l="1"/>
  <c r="AH31" i="3" s="1"/>
  <c r="AE31" i="3"/>
  <c r="AG31" i="3" s="1"/>
  <c r="AJ19" i="3"/>
  <c r="AD20" i="3" s="1"/>
  <c r="AK19" i="3"/>
  <c r="AB19" i="3"/>
  <c r="W32" i="3"/>
  <c r="AC22" i="3"/>
  <c r="AF32" i="3" l="1"/>
  <c r="AH32" i="3" s="1"/>
  <c r="AE32" i="3"/>
  <c r="AG32" i="3" s="1"/>
  <c r="AK20" i="3"/>
  <c r="R33" i="3"/>
  <c r="AB20" i="3"/>
  <c r="AJ20" i="3"/>
  <c r="AI31" i="3"/>
  <c r="AC23" i="3"/>
  <c r="W33" i="3" l="1"/>
  <c r="AD21" i="3"/>
  <c r="AI32" i="3"/>
  <c r="AE33" i="3" l="1"/>
  <c r="AG33" i="3" s="1"/>
  <c r="AF33" i="3"/>
  <c r="AH33" i="3" s="1"/>
  <c r="AB21" i="3"/>
  <c r="R34" i="3"/>
  <c r="AJ21" i="3"/>
  <c r="AK21" i="3"/>
  <c r="AI33" i="3" l="1"/>
  <c r="W34" i="3"/>
  <c r="AD22" i="3"/>
  <c r="AE34" i="3" l="1"/>
  <c r="AG34" i="3" s="1"/>
  <c r="AF34" i="3"/>
  <c r="AH34" i="3" s="1"/>
  <c r="AK22" i="3"/>
  <c r="R35" i="3"/>
  <c r="W35" i="3" s="1"/>
  <c r="AJ22" i="3"/>
  <c r="AD23" i="3" s="1"/>
  <c r="AB22" i="3"/>
  <c r="AF35" i="3" l="1"/>
  <c r="AH35" i="3" s="1"/>
  <c r="AE35" i="3"/>
  <c r="AI34" i="3"/>
  <c r="AK23" i="3"/>
  <c r="R36" i="3"/>
  <c r="AJ23" i="3"/>
  <c r="AB23" i="3"/>
  <c r="AG35" i="3" l="1"/>
  <c r="AI35" i="3"/>
  <c r="W36" i="3"/>
  <c r="S36" i="3"/>
  <c r="AF36" i="3" l="1"/>
  <c r="AH36" i="3" s="1"/>
  <c r="AE36" i="3"/>
  <c r="S35" i="3"/>
  <c r="X36" i="3"/>
  <c r="Z36" i="3" s="1"/>
  <c r="AI36" i="3" l="1"/>
  <c r="AG36" i="3"/>
  <c r="S34" i="3"/>
  <c r="X35" i="3"/>
  <c r="Z35" i="3" s="1"/>
  <c r="X34" i="3" l="1"/>
  <c r="Z34" i="3" s="1"/>
  <c r="S33" i="3"/>
  <c r="X33" i="3" l="1"/>
  <c r="Z33" i="3" s="1"/>
  <c r="S32" i="3"/>
  <c r="X32" i="3" l="1"/>
  <c r="Z32" i="3" s="1"/>
  <c r="S31" i="3"/>
  <c r="X31" i="3" s="1"/>
  <c r="Z31" i="3" s="1"/>
  <c r="Z38" i="3" l="1"/>
  <c r="AA34" i="3" s="1"/>
  <c r="AA32" i="3" l="1"/>
  <c r="AA36" i="3"/>
  <c r="AA35" i="3"/>
  <c r="AA31" i="3"/>
  <c r="AC31" i="3" s="1"/>
  <c r="AA33" i="3"/>
  <c r="AD31" i="3" l="1"/>
  <c r="R44" i="3" s="1"/>
  <c r="AC32" i="3"/>
  <c r="AK31" i="3" l="1"/>
  <c r="W44" i="3"/>
  <c r="AC33" i="3"/>
  <c r="AJ31" i="3"/>
  <c r="AD32" i="3" s="1"/>
  <c r="R45" i="3" s="1"/>
  <c r="AB31" i="3"/>
  <c r="AF44" i="3" l="1"/>
  <c r="AH44" i="3" s="1"/>
  <c r="AE44" i="3"/>
  <c r="AK32" i="3"/>
  <c r="AJ32" i="3"/>
  <c r="AB32" i="3"/>
  <c r="AC34" i="3"/>
  <c r="AC35" i="3" l="1"/>
  <c r="AG44" i="3"/>
  <c r="AI44" i="3"/>
  <c r="W45" i="3"/>
  <c r="AD33" i="3"/>
  <c r="AF45" i="3" l="1"/>
  <c r="AH45" i="3" s="1"/>
  <c r="AE45" i="3"/>
  <c r="AK33" i="3"/>
  <c r="R46" i="3"/>
  <c r="AB33" i="3"/>
  <c r="AJ33" i="3"/>
  <c r="AC36" i="3"/>
  <c r="AG45" i="3" l="1"/>
  <c r="AI45" i="3"/>
  <c r="AD34" i="3"/>
  <c r="W46" i="3"/>
  <c r="AF46" i="3" l="1"/>
  <c r="AH46" i="3" s="1"/>
  <c r="AE46" i="3"/>
  <c r="AK34" i="3"/>
  <c r="R47" i="3"/>
  <c r="W47" i="3" s="1"/>
  <c r="AB34" i="3"/>
  <c r="AJ34" i="3"/>
  <c r="AD35" i="3" s="1"/>
  <c r="AE47" i="3" l="1"/>
  <c r="AF47" i="3"/>
  <c r="AH47" i="3" s="1"/>
  <c r="AK35" i="3"/>
  <c r="R48" i="3"/>
  <c r="AJ35" i="3"/>
  <c r="AB35" i="3"/>
  <c r="AG46" i="3"/>
  <c r="AI46" i="3"/>
  <c r="AD36" i="3" l="1"/>
  <c r="W48" i="3"/>
  <c r="AG47" i="3"/>
  <c r="AI47" i="3"/>
  <c r="AF48" i="3" l="1"/>
  <c r="AH48" i="3" s="1"/>
  <c r="AE48" i="3"/>
  <c r="AK36" i="3"/>
  <c r="R49" i="3"/>
  <c r="AJ36" i="3"/>
  <c r="AB36" i="3"/>
  <c r="W49" i="3" l="1"/>
  <c r="S49" i="3"/>
  <c r="AI48" i="3"/>
  <c r="AG48" i="3"/>
  <c r="AF49" i="3" l="1"/>
  <c r="AH49" i="3" s="1"/>
  <c r="AE49" i="3"/>
  <c r="X49" i="3"/>
  <c r="Z49" i="3" s="1"/>
  <c r="S48" i="3"/>
  <c r="AI49" i="3" l="1"/>
  <c r="AG49" i="3"/>
  <c r="S47" i="3"/>
  <c r="X48" i="3"/>
  <c r="Z48" i="3" s="1"/>
  <c r="S46" i="3" l="1"/>
  <c r="X47" i="3"/>
  <c r="Z47" i="3" s="1"/>
  <c r="X46" i="3" l="1"/>
  <c r="Z46" i="3" s="1"/>
  <c r="S45" i="3"/>
  <c r="X45" i="3" l="1"/>
  <c r="Z45" i="3" s="1"/>
  <c r="S44" i="3"/>
  <c r="X44" i="3" s="1"/>
  <c r="Z44" i="3" s="1"/>
  <c r="Z51" i="3" l="1"/>
  <c r="AA49" i="3" s="1"/>
  <c r="AA44" i="3" l="1"/>
  <c r="AC44" i="3" s="1"/>
  <c r="AA47" i="3"/>
  <c r="AA48" i="3"/>
  <c r="AA46" i="3"/>
  <c r="AA45" i="3"/>
  <c r="AD44" i="3" l="1"/>
  <c r="R57" i="3" s="1"/>
  <c r="AC45" i="3"/>
  <c r="AC46" i="3" s="1"/>
  <c r="AK44" i="3" l="1"/>
  <c r="AB44" i="3"/>
  <c r="AJ44" i="3"/>
  <c r="AD45" i="3" s="1"/>
  <c r="R58" i="3" s="1"/>
  <c r="AC47" i="3"/>
  <c r="AC48" i="3" s="1"/>
  <c r="AB45" i="3" l="1"/>
  <c r="AK45" i="3"/>
  <c r="W57" i="3"/>
  <c r="AJ45" i="3"/>
  <c r="AD46" i="3" s="1"/>
  <c r="W58" i="3"/>
  <c r="AC49" i="3"/>
  <c r="AF58" i="3" l="1"/>
  <c r="AH58" i="3" s="1"/>
  <c r="AE58" i="3"/>
  <c r="AF57" i="3"/>
  <c r="AH57" i="3" s="1"/>
  <c r="AE57" i="3"/>
  <c r="C16" i="4" s="1"/>
  <c r="E16" i="4" s="1"/>
  <c r="AK46" i="3"/>
  <c r="R59" i="3"/>
  <c r="AB46" i="3"/>
  <c r="AJ46" i="3"/>
  <c r="AG57" i="3" l="1"/>
  <c r="AI57" i="3"/>
  <c r="W59" i="3"/>
  <c r="AD47" i="3"/>
  <c r="AG58" i="3"/>
  <c r="AI58" i="3"/>
  <c r="C17" i="4"/>
  <c r="E17" i="4" s="1"/>
  <c r="T61" i="4" l="1"/>
  <c r="T28" i="4"/>
  <c r="T215" i="4"/>
  <c r="T193" i="4"/>
  <c r="T171" i="4"/>
  <c r="T149" i="4"/>
  <c r="T127" i="4"/>
  <c r="T105" i="4"/>
  <c r="T83" i="4"/>
  <c r="T50" i="4"/>
  <c r="U50" i="4" s="1"/>
  <c r="T17" i="4"/>
  <c r="U17" i="4" s="1"/>
  <c r="T39" i="4"/>
  <c r="T204" i="4"/>
  <c r="T182" i="4"/>
  <c r="T160" i="4"/>
  <c r="T138" i="4"/>
  <c r="T116" i="4"/>
  <c r="T94" i="4"/>
  <c r="T72" i="4"/>
  <c r="T6" i="4"/>
  <c r="T38" i="4"/>
  <c r="U38" i="4" s="1"/>
  <c r="T5" i="4"/>
  <c r="U5" i="4" s="1"/>
  <c r="T214" i="4"/>
  <c r="T170" i="4"/>
  <c r="T126" i="4"/>
  <c r="T60" i="4"/>
  <c r="U60" i="4" s="1"/>
  <c r="T27" i="4"/>
  <c r="U27" i="4" s="1"/>
  <c r="T203" i="4"/>
  <c r="T159" i="4"/>
  <c r="T115" i="4"/>
  <c r="T71" i="4"/>
  <c r="T148" i="4"/>
  <c r="T181" i="4"/>
  <c r="T137" i="4"/>
  <c r="T93" i="4"/>
  <c r="T192" i="4"/>
  <c r="T104" i="4"/>
  <c r="T49" i="4"/>
  <c r="U49" i="4" s="1"/>
  <c r="T16" i="4"/>
  <c r="U16" i="4" s="1"/>
  <c r="T82" i="4"/>
  <c r="AF59" i="3"/>
  <c r="AH59" i="3" s="1"/>
  <c r="AE59" i="3"/>
  <c r="AK47" i="3"/>
  <c r="R60" i="3"/>
  <c r="AB47" i="3"/>
  <c r="AJ47" i="3"/>
  <c r="U39" i="4" l="1"/>
  <c r="U28" i="4"/>
  <c r="U6" i="4"/>
  <c r="U61" i="4"/>
  <c r="C18" i="4"/>
  <c r="E18" i="4" s="1"/>
  <c r="AG59" i="3"/>
  <c r="AI59" i="3"/>
  <c r="AD48" i="3"/>
  <c r="W60" i="3"/>
  <c r="T18" i="4" l="1"/>
  <c r="U18" i="4" s="1"/>
  <c r="T216" i="4"/>
  <c r="T194" i="4"/>
  <c r="T172" i="4"/>
  <c r="T150" i="4"/>
  <c r="T128" i="4"/>
  <c r="T106" i="4"/>
  <c r="T84" i="4"/>
  <c r="T7" i="4"/>
  <c r="U7" i="4" s="1"/>
  <c r="T62" i="4"/>
  <c r="U62" i="4" s="1"/>
  <c r="T40" i="4"/>
  <c r="U40" i="4" s="1"/>
  <c r="T205" i="4"/>
  <c r="T183" i="4"/>
  <c r="T161" i="4"/>
  <c r="T139" i="4"/>
  <c r="T117" i="4"/>
  <c r="T95" i="4"/>
  <c r="T73" i="4"/>
  <c r="T29" i="4"/>
  <c r="U29" i="4" s="1"/>
  <c r="T51" i="4"/>
  <c r="U51" i="4" s="1"/>
  <c r="AE60" i="3"/>
  <c r="AF60" i="3"/>
  <c r="AH60" i="3" s="1"/>
  <c r="AK48" i="3"/>
  <c r="R61" i="3"/>
  <c r="AJ48" i="3"/>
  <c r="AB48" i="3"/>
  <c r="AD49" i="3" l="1"/>
  <c r="W61" i="3"/>
  <c r="AI60" i="3"/>
  <c r="AG60" i="3"/>
  <c r="C19" i="4"/>
  <c r="E19" i="4" s="1"/>
  <c r="T217" i="4" l="1"/>
  <c r="T195" i="4"/>
  <c r="T173" i="4"/>
  <c r="T151" i="4"/>
  <c r="T129" i="4"/>
  <c r="T107" i="4"/>
  <c r="T85" i="4"/>
  <c r="T63" i="4"/>
  <c r="U63" i="4" s="1"/>
  <c r="T30" i="4"/>
  <c r="U30" i="4" s="1"/>
  <c r="T206" i="4"/>
  <c r="T184" i="4"/>
  <c r="T162" i="4"/>
  <c r="T140" i="4"/>
  <c r="T118" i="4"/>
  <c r="T96" i="4"/>
  <c r="T74" i="4"/>
  <c r="T19" i="4"/>
  <c r="U19" i="4" s="1"/>
  <c r="T41" i="4"/>
  <c r="U41" i="4" s="1"/>
  <c r="T52" i="4"/>
  <c r="U52" i="4" s="1"/>
  <c r="T8" i="4"/>
  <c r="U8" i="4" s="1"/>
  <c r="AF61" i="3"/>
  <c r="AH61" i="3" s="1"/>
  <c r="AE61" i="3"/>
  <c r="AK49" i="3"/>
  <c r="R62" i="3"/>
  <c r="AB49" i="3"/>
  <c r="AJ49" i="3"/>
  <c r="W62" i="3" l="1"/>
  <c r="S62" i="3"/>
  <c r="C20" i="4"/>
  <c r="E20" i="4" s="1"/>
  <c r="AG61" i="3"/>
  <c r="AI61" i="3"/>
  <c r="T20" i="4" l="1"/>
  <c r="U20" i="4" s="1"/>
  <c r="T9" i="4"/>
  <c r="U9" i="4" s="1"/>
  <c r="T207" i="4"/>
  <c r="T185" i="4"/>
  <c r="T163" i="4"/>
  <c r="T141" i="4"/>
  <c r="T119" i="4"/>
  <c r="T97" i="4"/>
  <c r="T75" i="4"/>
  <c r="T42" i="4"/>
  <c r="U42" i="4" s="1"/>
  <c r="T64" i="4"/>
  <c r="U64" i="4" s="1"/>
  <c r="T31" i="4"/>
  <c r="U31" i="4" s="1"/>
  <c r="T53" i="4"/>
  <c r="U53" i="4" s="1"/>
  <c r="T218" i="4"/>
  <c r="T196" i="4"/>
  <c r="T174" i="4"/>
  <c r="T152" i="4"/>
  <c r="T130" i="4"/>
  <c r="T108" i="4"/>
  <c r="T86" i="4"/>
  <c r="AF62" i="3"/>
  <c r="AH62" i="3" s="1"/>
  <c r="AE62" i="3"/>
  <c r="S61" i="3"/>
  <c r="X62" i="3"/>
  <c r="M21" i="4" l="1"/>
  <c r="N21" i="4" s="1"/>
  <c r="O21" i="4" s="1"/>
  <c r="M43" i="4"/>
  <c r="N43" i="4" s="1"/>
  <c r="O43" i="4" s="1"/>
  <c r="M10" i="4"/>
  <c r="N10" i="4" s="1"/>
  <c r="O10" i="4" s="1"/>
  <c r="M65" i="4"/>
  <c r="N65" i="4" s="1"/>
  <c r="O65" i="4" s="1"/>
  <c r="M32" i="4"/>
  <c r="N32" i="4" s="1"/>
  <c r="O32" i="4" s="1"/>
  <c r="M54" i="4"/>
  <c r="N54" i="4" s="1"/>
  <c r="O54" i="4" s="1"/>
  <c r="C21" i="4"/>
  <c r="E21" i="4" s="1"/>
  <c r="AI62" i="3"/>
  <c r="AG62" i="3"/>
  <c r="S60" i="3"/>
  <c r="X61" i="3"/>
  <c r="Z62" i="3"/>
  <c r="M186" i="4"/>
  <c r="M98" i="4"/>
  <c r="M142" i="4"/>
  <c r="M153" i="4"/>
  <c r="M120" i="4"/>
  <c r="M131" i="4"/>
  <c r="M76" i="4"/>
  <c r="M219" i="4"/>
  <c r="M109" i="4"/>
  <c r="M87" i="4"/>
  <c r="M164" i="4"/>
  <c r="M197" i="4"/>
  <c r="M208" i="4"/>
  <c r="M175" i="4"/>
  <c r="R43" i="4" l="1"/>
  <c r="S43" i="4"/>
  <c r="R32" i="4"/>
  <c r="S32" i="4"/>
  <c r="S21" i="4"/>
  <c r="R21" i="4"/>
  <c r="M31" i="4"/>
  <c r="N31" i="4" s="1"/>
  <c r="O31" i="4" s="1"/>
  <c r="M53" i="4"/>
  <c r="N53" i="4" s="1"/>
  <c r="O53" i="4" s="1"/>
  <c r="M20" i="4"/>
  <c r="N20" i="4" s="1"/>
  <c r="O20" i="4" s="1"/>
  <c r="M42" i="4"/>
  <c r="N42" i="4" s="1"/>
  <c r="O42" i="4" s="1"/>
  <c r="M9" i="4"/>
  <c r="N9" i="4" s="1"/>
  <c r="O9" i="4" s="1"/>
  <c r="M64" i="4"/>
  <c r="N64" i="4" s="1"/>
  <c r="O64" i="4" s="1"/>
  <c r="T208" i="4"/>
  <c r="T120" i="4"/>
  <c r="T54" i="4"/>
  <c r="U54" i="4" s="1"/>
  <c r="T65" i="4"/>
  <c r="U65" i="4" s="1"/>
  <c r="T186" i="4"/>
  <c r="T76" i="4"/>
  <c r="T21" i="4"/>
  <c r="U21" i="4" s="1"/>
  <c r="T164" i="4"/>
  <c r="T98" i="4"/>
  <c r="T219" i="4"/>
  <c r="T197" i="4"/>
  <c r="T175" i="4"/>
  <c r="T153" i="4"/>
  <c r="T131" i="4"/>
  <c r="T109" i="4"/>
  <c r="T87" i="4"/>
  <c r="T10" i="4"/>
  <c r="U10" i="4" s="1"/>
  <c r="T43" i="4"/>
  <c r="U43" i="4" s="1"/>
  <c r="T32" i="4"/>
  <c r="U32" i="4" s="1"/>
  <c r="T142" i="4"/>
  <c r="S54" i="4"/>
  <c r="R54" i="4"/>
  <c r="S65" i="4"/>
  <c r="R65" i="4"/>
  <c r="R10" i="4"/>
  <c r="S10" i="4"/>
  <c r="Z208" i="4"/>
  <c r="AA208" i="4" s="1"/>
  <c r="N208" i="4"/>
  <c r="O208" i="4" s="1"/>
  <c r="N153" i="4"/>
  <c r="O153" i="4" s="1"/>
  <c r="Z153" i="4"/>
  <c r="AA153" i="4" s="1"/>
  <c r="H142" i="4"/>
  <c r="N164" i="4"/>
  <c r="O164" i="4" s="1"/>
  <c r="Z164" i="4"/>
  <c r="AA164" i="4" s="1"/>
  <c r="Z142" i="4"/>
  <c r="AA142" i="4" s="1"/>
  <c r="N142" i="4"/>
  <c r="O142" i="4" s="1"/>
  <c r="Z21" i="4"/>
  <c r="AA21" i="4" s="1"/>
  <c r="D142" i="4"/>
  <c r="Z43" i="4"/>
  <c r="AA43" i="4" s="1"/>
  <c r="F142" i="4"/>
  <c r="Z65" i="4"/>
  <c r="AA65" i="4" s="1"/>
  <c r="G142" i="4"/>
  <c r="Z54" i="4"/>
  <c r="AA54" i="4" s="1"/>
  <c r="N98" i="4"/>
  <c r="O98" i="4" s="1"/>
  <c r="Z98" i="4"/>
  <c r="AA98" i="4" s="1"/>
  <c r="N197" i="4"/>
  <c r="O197" i="4" s="1"/>
  <c r="Z197" i="4"/>
  <c r="AA197" i="4" s="1"/>
  <c r="C142" i="4"/>
  <c r="Z10" i="4"/>
  <c r="AA10" i="4" s="1"/>
  <c r="Z186" i="4"/>
  <c r="AA186" i="4" s="1"/>
  <c r="N186" i="4"/>
  <c r="O186" i="4" s="1"/>
  <c r="Z87" i="4"/>
  <c r="AA87" i="4" s="1"/>
  <c r="N87" i="4"/>
  <c r="O87" i="4" s="1"/>
  <c r="Z109" i="4"/>
  <c r="AA109" i="4" s="1"/>
  <c r="N109" i="4"/>
  <c r="O109" i="4" s="1"/>
  <c r="M207" i="4"/>
  <c r="M218" i="4"/>
  <c r="M152" i="4"/>
  <c r="M86" i="4"/>
  <c r="M97" i="4"/>
  <c r="M119" i="4"/>
  <c r="M163" i="4"/>
  <c r="M130" i="4"/>
  <c r="M174" i="4"/>
  <c r="M75" i="4"/>
  <c r="M108" i="4"/>
  <c r="M196" i="4"/>
  <c r="Z61" i="3"/>
  <c r="M185" i="4"/>
  <c r="M141" i="4"/>
  <c r="N219" i="4"/>
  <c r="O219" i="4" s="1"/>
  <c r="Z219" i="4"/>
  <c r="AA219" i="4" s="1"/>
  <c r="X60" i="3"/>
  <c r="S59" i="3"/>
  <c r="Z76" i="4"/>
  <c r="AA76" i="4" s="1"/>
  <c r="N76" i="4"/>
  <c r="O76" i="4" s="1"/>
  <c r="Z32" i="4"/>
  <c r="AA32" i="4" s="1"/>
  <c r="E142" i="4"/>
  <c r="N131" i="4"/>
  <c r="O131" i="4" s="1"/>
  <c r="Z131" i="4"/>
  <c r="AA131" i="4" s="1"/>
  <c r="Z175" i="4"/>
  <c r="AA175" i="4" s="1"/>
  <c r="N175" i="4"/>
  <c r="O175" i="4" s="1"/>
  <c r="N120" i="4"/>
  <c r="O120" i="4" s="1"/>
  <c r="Z120" i="4"/>
  <c r="AA120" i="4" s="1"/>
  <c r="S20" i="4" l="1"/>
  <c r="R20" i="4"/>
  <c r="M41" i="4"/>
  <c r="N41" i="4" s="1"/>
  <c r="O41" i="4" s="1"/>
  <c r="M8" i="4"/>
  <c r="N8" i="4" s="1"/>
  <c r="O8" i="4" s="1"/>
  <c r="M30" i="4"/>
  <c r="N30" i="4" s="1"/>
  <c r="O30" i="4" s="1"/>
  <c r="M52" i="4"/>
  <c r="N52" i="4" s="1"/>
  <c r="O52" i="4" s="1"/>
  <c r="M63" i="4"/>
  <c r="N63" i="4" s="1"/>
  <c r="O63" i="4" s="1"/>
  <c r="M19" i="4"/>
  <c r="N19" i="4" s="1"/>
  <c r="O19" i="4" s="1"/>
  <c r="R9" i="4"/>
  <c r="S9" i="4"/>
  <c r="S53" i="4"/>
  <c r="R53" i="4"/>
  <c r="S31" i="4"/>
  <c r="R31" i="4"/>
  <c r="R42" i="4"/>
  <c r="S42" i="4"/>
  <c r="S64" i="4"/>
  <c r="R64" i="4"/>
  <c r="R76" i="4"/>
  <c r="S76" i="4"/>
  <c r="N108" i="4"/>
  <c r="O108" i="4" s="1"/>
  <c r="Z108" i="4"/>
  <c r="AA108" i="4" s="1"/>
  <c r="Z64" i="4"/>
  <c r="AA64" i="4" s="1"/>
  <c r="X59" i="3"/>
  <c r="S58" i="3"/>
  <c r="N174" i="4"/>
  <c r="O174" i="4" s="1"/>
  <c r="Z174" i="4"/>
  <c r="AA174" i="4" s="1"/>
  <c r="Z207" i="4"/>
  <c r="AA207" i="4" s="1"/>
  <c r="N207" i="4"/>
  <c r="O207" i="4" s="1"/>
  <c r="M195" i="4"/>
  <c r="M140" i="4"/>
  <c r="M129" i="4"/>
  <c r="M184" i="4"/>
  <c r="M151" i="4"/>
  <c r="M206" i="4"/>
  <c r="M162" i="4"/>
  <c r="M107" i="4"/>
  <c r="M217" i="4"/>
  <c r="M118" i="4"/>
  <c r="M173" i="4"/>
  <c r="M96" i="4"/>
  <c r="M85" i="4"/>
  <c r="M74" i="4"/>
  <c r="Z60" i="3"/>
  <c r="N130" i="4"/>
  <c r="O130" i="4" s="1"/>
  <c r="Z130" i="4"/>
  <c r="AA130" i="4" s="1"/>
  <c r="S109" i="4"/>
  <c r="R109" i="4"/>
  <c r="S98" i="4"/>
  <c r="R98" i="4"/>
  <c r="S142" i="4"/>
  <c r="R142" i="4"/>
  <c r="Z163" i="4"/>
  <c r="AA163" i="4" s="1"/>
  <c r="H141" i="4"/>
  <c r="N163" i="4"/>
  <c r="O163" i="4" s="1"/>
  <c r="R219" i="4"/>
  <c r="S219" i="4"/>
  <c r="Z119" i="4"/>
  <c r="AA119" i="4" s="1"/>
  <c r="N119" i="4"/>
  <c r="O119" i="4" s="1"/>
  <c r="S87" i="4"/>
  <c r="R87" i="4"/>
  <c r="Z218" i="4"/>
  <c r="AA218" i="4" s="1"/>
  <c r="N218" i="4"/>
  <c r="O218" i="4" s="1"/>
  <c r="Z42" i="4"/>
  <c r="AA42" i="4" s="1"/>
  <c r="F141" i="4"/>
  <c r="Z31" i="4"/>
  <c r="AA31" i="4" s="1"/>
  <c r="E141" i="4"/>
  <c r="R164" i="4"/>
  <c r="S164" i="4"/>
  <c r="Z75" i="4"/>
  <c r="AA75" i="4" s="1"/>
  <c r="N75" i="4"/>
  <c r="O75" i="4" s="1"/>
  <c r="G141" i="4"/>
  <c r="Z53" i="4"/>
  <c r="AA53" i="4" s="1"/>
  <c r="C141" i="4"/>
  <c r="Z9" i="4"/>
  <c r="AA9" i="4" s="1"/>
  <c r="S186" i="4"/>
  <c r="R186" i="4"/>
  <c r="R197" i="4"/>
  <c r="S197" i="4"/>
  <c r="S120" i="4"/>
  <c r="R120" i="4"/>
  <c r="S131" i="4"/>
  <c r="R131" i="4"/>
  <c r="Z141" i="4"/>
  <c r="AA141" i="4" s="1"/>
  <c r="N141" i="4"/>
  <c r="O141" i="4" s="1"/>
  <c r="N97" i="4"/>
  <c r="O97" i="4" s="1"/>
  <c r="Z97" i="4"/>
  <c r="AA97" i="4" s="1"/>
  <c r="R175" i="4"/>
  <c r="S175" i="4"/>
  <c r="N185" i="4"/>
  <c r="O185" i="4" s="1"/>
  <c r="Z185" i="4"/>
  <c r="AA185" i="4" s="1"/>
  <c r="Z86" i="4"/>
  <c r="AA86" i="4" s="1"/>
  <c r="N86" i="4"/>
  <c r="O86" i="4" s="1"/>
  <c r="R153" i="4"/>
  <c r="S153" i="4"/>
  <c r="N152" i="4"/>
  <c r="O152" i="4" s="1"/>
  <c r="Z152" i="4"/>
  <c r="AA152" i="4" s="1"/>
  <c r="R208" i="4"/>
  <c r="S208" i="4"/>
  <c r="N196" i="4"/>
  <c r="O196" i="4" s="1"/>
  <c r="Z196" i="4"/>
  <c r="AA196" i="4" s="1"/>
  <c r="Z20" i="4"/>
  <c r="AA20" i="4" s="1"/>
  <c r="D141" i="4"/>
  <c r="M51" i="4" l="1"/>
  <c r="N51" i="4" s="1"/>
  <c r="O51" i="4" s="1"/>
  <c r="M40" i="4"/>
  <c r="N40" i="4" s="1"/>
  <c r="O40" i="4" s="1"/>
  <c r="M18" i="4"/>
  <c r="N18" i="4" s="1"/>
  <c r="O18" i="4" s="1"/>
  <c r="M7" i="4"/>
  <c r="N7" i="4" s="1"/>
  <c r="O7" i="4" s="1"/>
  <c r="M62" i="4"/>
  <c r="N62" i="4" s="1"/>
  <c r="O62" i="4" s="1"/>
  <c r="M29" i="4"/>
  <c r="N29" i="4" s="1"/>
  <c r="O29" i="4" s="1"/>
  <c r="R19" i="4"/>
  <c r="S19" i="4"/>
  <c r="S63" i="4"/>
  <c r="R63" i="4"/>
  <c r="S52" i="4"/>
  <c r="R52" i="4"/>
  <c r="S30" i="4"/>
  <c r="R30" i="4"/>
  <c r="S8" i="4"/>
  <c r="R8" i="4"/>
  <c r="S41" i="4"/>
  <c r="R41" i="4"/>
  <c r="S141" i="4"/>
  <c r="R141" i="4"/>
  <c r="N151" i="4"/>
  <c r="O151" i="4" s="1"/>
  <c r="Z151" i="4"/>
  <c r="AA151" i="4" s="1"/>
  <c r="S207" i="4"/>
  <c r="R207" i="4"/>
  <c r="S196" i="4"/>
  <c r="R196" i="4"/>
  <c r="R163" i="4"/>
  <c r="S163" i="4"/>
  <c r="N74" i="4"/>
  <c r="O74" i="4" s="1"/>
  <c r="Z74" i="4"/>
  <c r="AA74" i="4" s="1"/>
  <c r="C140" i="4"/>
  <c r="Z8" i="4"/>
  <c r="AA8" i="4" s="1"/>
  <c r="R185" i="4"/>
  <c r="S185" i="4"/>
  <c r="Z85" i="4"/>
  <c r="AA85" i="4" s="1"/>
  <c r="N85" i="4"/>
  <c r="O85" i="4" s="1"/>
  <c r="G140" i="4"/>
  <c r="Z52" i="4"/>
  <c r="AA52" i="4" s="1"/>
  <c r="S174" i="4"/>
  <c r="R174" i="4"/>
  <c r="Z96" i="4"/>
  <c r="AA96" i="4" s="1"/>
  <c r="N96" i="4"/>
  <c r="O96" i="4" s="1"/>
  <c r="Z184" i="4"/>
  <c r="AA184" i="4" s="1"/>
  <c r="N184" i="4"/>
  <c r="O184" i="4" s="1"/>
  <c r="X58" i="3"/>
  <c r="S57" i="3"/>
  <c r="X57" i="3" s="1"/>
  <c r="S130" i="4"/>
  <c r="R130" i="4"/>
  <c r="R75" i="4"/>
  <c r="S75" i="4"/>
  <c r="Z173" i="4"/>
  <c r="AA173" i="4" s="1"/>
  <c r="N173" i="4"/>
  <c r="O173" i="4" s="1"/>
  <c r="Z129" i="4"/>
  <c r="AA129" i="4" s="1"/>
  <c r="N129" i="4"/>
  <c r="O129" i="4" s="1"/>
  <c r="M205" i="4"/>
  <c r="M117" i="4"/>
  <c r="M183" i="4"/>
  <c r="M161" i="4"/>
  <c r="M73" i="4"/>
  <c r="M84" i="4"/>
  <c r="M106" i="4"/>
  <c r="M194" i="4"/>
  <c r="M139" i="4"/>
  <c r="M172" i="4"/>
  <c r="M150" i="4"/>
  <c r="M95" i="4"/>
  <c r="M216" i="4"/>
  <c r="M128" i="4"/>
  <c r="Z59" i="3"/>
  <c r="S86" i="4"/>
  <c r="R86" i="4"/>
  <c r="S218" i="4"/>
  <c r="R218" i="4"/>
  <c r="Z118" i="4"/>
  <c r="AA118" i="4" s="1"/>
  <c r="N118" i="4"/>
  <c r="O118" i="4" s="1"/>
  <c r="F140" i="4"/>
  <c r="Z41" i="4"/>
  <c r="AA41" i="4" s="1"/>
  <c r="N217" i="4"/>
  <c r="O217" i="4" s="1"/>
  <c r="Z217" i="4"/>
  <c r="AA217" i="4" s="1"/>
  <c r="Z140" i="4"/>
  <c r="AA140" i="4" s="1"/>
  <c r="N140" i="4"/>
  <c r="O140" i="4" s="1"/>
  <c r="Z107" i="4"/>
  <c r="AA107" i="4" s="1"/>
  <c r="N107" i="4"/>
  <c r="O107" i="4" s="1"/>
  <c r="Z19" i="4"/>
  <c r="AA19" i="4" s="1"/>
  <c r="D140" i="4"/>
  <c r="R152" i="4"/>
  <c r="S152" i="4"/>
  <c r="N162" i="4"/>
  <c r="O162" i="4" s="1"/>
  <c r="H140" i="4"/>
  <c r="Z162" i="4"/>
  <c r="AA162" i="4" s="1"/>
  <c r="Z195" i="4"/>
  <c r="AA195" i="4" s="1"/>
  <c r="N195" i="4"/>
  <c r="O195" i="4" s="1"/>
  <c r="R108" i="4"/>
  <c r="S108" i="4"/>
  <c r="R97" i="4"/>
  <c r="S97" i="4"/>
  <c r="R119" i="4"/>
  <c r="S119" i="4"/>
  <c r="E140" i="4"/>
  <c r="Z30" i="4"/>
  <c r="AA30" i="4" s="1"/>
  <c r="Z63" i="4"/>
  <c r="AA63" i="4" s="1"/>
  <c r="N206" i="4"/>
  <c r="O206" i="4" s="1"/>
  <c r="Z206" i="4"/>
  <c r="AA206" i="4" s="1"/>
  <c r="M6" i="4" l="1"/>
  <c r="N6" i="4" s="1"/>
  <c r="O6" i="4" s="1"/>
  <c r="M28" i="4"/>
  <c r="N28" i="4" s="1"/>
  <c r="O28" i="4" s="1"/>
  <c r="M50" i="4"/>
  <c r="N50" i="4" s="1"/>
  <c r="O50" i="4" s="1"/>
  <c r="M17" i="4"/>
  <c r="N17" i="4" s="1"/>
  <c r="O17" i="4" s="1"/>
  <c r="M39" i="4"/>
  <c r="N39" i="4" s="1"/>
  <c r="O39" i="4" s="1"/>
  <c r="M61" i="4"/>
  <c r="N61" i="4" s="1"/>
  <c r="O61" i="4" s="1"/>
  <c r="M49" i="4"/>
  <c r="M16" i="4"/>
  <c r="N16" i="4" s="1"/>
  <c r="O16" i="4" s="1"/>
  <c r="M5" i="4"/>
  <c r="N5" i="4" s="1"/>
  <c r="O5" i="4" s="1"/>
  <c r="M60" i="4"/>
  <c r="N60" i="4" s="1"/>
  <c r="O60" i="4" s="1"/>
  <c r="M27" i="4"/>
  <c r="N27" i="4" s="1"/>
  <c r="O27" i="4" s="1"/>
  <c r="M38" i="4"/>
  <c r="N38" i="4" s="1"/>
  <c r="O38" i="4" s="1"/>
  <c r="S29" i="4"/>
  <c r="R29" i="4"/>
  <c r="S62" i="4"/>
  <c r="R62" i="4"/>
  <c r="R7" i="4"/>
  <c r="S7" i="4"/>
  <c r="R18" i="4"/>
  <c r="S18" i="4"/>
  <c r="S40" i="4"/>
  <c r="R40" i="4"/>
  <c r="S51" i="4"/>
  <c r="R51" i="4"/>
  <c r="S69" i="3"/>
  <c r="Z216" i="4"/>
  <c r="AA216" i="4" s="1"/>
  <c r="N216" i="4"/>
  <c r="O216" i="4" s="1"/>
  <c r="D139" i="4"/>
  <c r="Z18" i="4"/>
  <c r="AA18" i="4" s="1"/>
  <c r="Z172" i="4"/>
  <c r="AA172" i="4" s="1"/>
  <c r="N172" i="4"/>
  <c r="O172" i="4" s="1"/>
  <c r="N117" i="4"/>
  <c r="O117" i="4" s="1"/>
  <c r="Z117" i="4"/>
  <c r="AA117" i="4" s="1"/>
  <c r="N150" i="4"/>
  <c r="O150" i="4" s="1"/>
  <c r="Z150" i="4"/>
  <c r="AA150" i="4" s="1"/>
  <c r="S140" i="4"/>
  <c r="R140" i="4"/>
  <c r="S118" i="4"/>
  <c r="R118" i="4"/>
  <c r="Z40" i="4"/>
  <c r="AA40" i="4" s="1"/>
  <c r="F139" i="4"/>
  <c r="C139" i="4"/>
  <c r="Z7" i="4"/>
  <c r="AA7" i="4" s="1"/>
  <c r="M181" i="4"/>
  <c r="M192" i="4"/>
  <c r="M93" i="4"/>
  <c r="M71" i="4"/>
  <c r="Z57" i="3"/>
  <c r="M203" i="4"/>
  <c r="M82" i="4"/>
  <c r="M137" i="4"/>
  <c r="M214" i="4"/>
  <c r="M148" i="4"/>
  <c r="M115" i="4"/>
  <c r="M159" i="4"/>
  <c r="M104" i="4"/>
  <c r="M126" i="4"/>
  <c r="M170" i="4"/>
  <c r="Z95" i="4"/>
  <c r="AA95" i="4" s="1"/>
  <c r="N95" i="4"/>
  <c r="O95" i="4" s="1"/>
  <c r="Z62" i="4"/>
  <c r="AA62" i="4" s="1"/>
  <c r="M127" i="4"/>
  <c r="M182" i="4"/>
  <c r="Z58" i="3"/>
  <c r="M105" i="4"/>
  <c r="M160" i="4"/>
  <c r="M193" i="4"/>
  <c r="M149" i="4"/>
  <c r="M83" i="4"/>
  <c r="M116" i="4"/>
  <c r="M138" i="4"/>
  <c r="M215" i="4"/>
  <c r="M171" i="4"/>
  <c r="M72" i="4"/>
  <c r="M94" i="4"/>
  <c r="M204" i="4"/>
  <c r="S162" i="4"/>
  <c r="R162" i="4"/>
  <c r="N139" i="4"/>
  <c r="O139" i="4" s="1"/>
  <c r="Z139" i="4"/>
  <c r="AA139" i="4" s="1"/>
  <c r="Z29" i="4"/>
  <c r="AA29" i="4" s="1"/>
  <c r="E139" i="4"/>
  <c r="S151" i="4"/>
  <c r="R151" i="4"/>
  <c r="Z161" i="4"/>
  <c r="AA161" i="4" s="1"/>
  <c r="N161" i="4"/>
  <c r="O161" i="4" s="1"/>
  <c r="H139" i="4"/>
  <c r="R206" i="4"/>
  <c r="S206" i="4"/>
  <c r="S217" i="4"/>
  <c r="R217" i="4"/>
  <c r="R129" i="4"/>
  <c r="S129" i="4"/>
  <c r="S184" i="4"/>
  <c r="R184" i="4"/>
  <c r="S74" i="4"/>
  <c r="R74" i="4"/>
  <c r="N106" i="4"/>
  <c r="O106" i="4" s="1"/>
  <c r="Z106" i="4"/>
  <c r="AA106" i="4" s="1"/>
  <c r="Z84" i="4"/>
  <c r="AA84" i="4" s="1"/>
  <c r="N84" i="4"/>
  <c r="O84" i="4" s="1"/>
  <c r="N205" i="4"/>
  <c r="O205" i="4" s="1"/>
  <c r="Z205" i="4"/>
  <c r="AA205" i="4" s="1"/>
  <c r="S195" i="4"/>
  <c r="R195" i="4"/>
  <c r="Z73" i="4"/>
  <c r="AA73" i="4" s="1"/>
  <c r="N73" i="4"/>
  <c r="O73" i="4" s="1"/>
  <c r="S85" i="4"/>
  <c r="R85" i="4"/>
  <c r="N183" i="4"/>
  <c r="O183" i="4" s="1"/>
  <c r="Z183" i="4"/>
  <c r="AA183" i="4" s="1"/>
  <c r="Z194" i="4"/>
  <c r="AA194" i="4" s="1"/>
  <c r="N194" i="4"/>
  <c r="O194" i="4" s="1"/>
  <c r="S107" i="4"/>
  <c r="R107" i="4"/>
  <c r="Z128" i="4"/>
  <c r="AA128" i="4" s="1"/>
  <c r="N128" i="4"/>
  <c r="O128" i="4" s="1"/>
  <c r="G139" i="4"/>
  <c r="Z51" i="4"/>
  <c r="AA51" i="4" s="1"/>
  <c r="S173" i="4"/>
  <c r="R173" i="4"/>
  <c r="R96" i="4"/>
  <c r="S96" i="4"/>
  <c r="N49" i="4" l="1"/>
  <c r="O49" i="4" s="1"/>
  <c r="S49" i="4" s="1"/>
  <c r="R38" i="4"/>
  <c r="S38" i="4"/>
  <c r="S27" i="4"/>
  <c r="R27" i="4"/>
  <c r="R5" i="4"/>
  <c r="S5" i="4"/>
  <c r="S16" i="4"/>
  <c r="R16" i="4"/>
  <c r="S61" i="4"/>
  <c r="R61" i="4"/>
  <c r="R39" i="4"/>
  <c r="S39" i="4"/>
  <c r="S60" i="4"/>
  <c r="R60" i="4"/>
  <c r="S17" i="4"/>
  <c r="R17" i="4"/>
  <c r="S50" i="4"/>
  <c r="R50" i="4"/>
  <c r="S28" i="4"/>
  <c r="R28" i="4"/>
  <c r="S6" i="4"/>
  <c r="R6" i="4"/>
  <c r="AB42" i="4"/>
  <c r="AB97" i="4"/>
  <c r="AB86" i="4"/>
  <c r="AB31" i="4"/>
  <c r="AB64" i="4"/>
  <c r="AB218" i="4"/>
  <c r="Z64" i="3"/>
  <c r="AA58" i="3" s="1"/>
  <c r="G49" i="3" s="1"/>
  <c r="AB174" i="4"/>
  <c r="Z61" i="4"/>
  <c r="AA61" i="4" s="1"/>
  <c r="N126" i="4"/>
  <c r="O126" i="4" s="1"/>
  <c r="U126" i="4" s="1"/>
  <c r="D49" i="4"/>
  <c r="AB128" i="4"/>
  <c r="Z126" i="4"/>
  <c r="Z203" i="4"/>
  <c r="N203" i="4"/>
  <c r="O203" i="4" s="1"/>
  <c r="U203" i="4" s="1"/>
  <c r="D56" i="4"/>
  <c r="AB205" i="4"/>
  <c r="R117" i="4"/>
  <c r="S117" i="4"/>
  <c r="S172" i="4"/>
  <c r="R172" i="4"/>
  <c r="Z215" i="4"/>
  <c r="AA215" i="4" s="1"/>
  <c r="N215" i="4"/>
  <c r="O215" i="4" s="1"/>
  <c r="N182" i="4"/>
  <c r="O182" i="4" s="1"/>
  <c r="Z182" i="4"/>
  <c r="AA182" i="4" s="1"/>
  <c r="H137" i="4"/>
  <c r="D52" i="4"/>
  <c r="N159" i="4"/>
  <c r="O159" i="4" s="1"/>
  <c r="U159" i="4" s="1"/>
  <c r="Z159" i="4"/>
  <c r="AB161" i="4"/>
  <c r="R106" i="4"/>
  <c r="S106" i="4"/>
  <c r="D138" i="4"/>
  <c r="Z17" i="4"/>
  <c r="AA17" i="4" s="1"/>
  <c r="D38" i="4"/>
  <c r="C137" i="4"/>
  <c r="Z5" i="4"/>
  <c r="AB7" i="4"/>
  <c r="AB20" i="4"/>
  <c r="Z138" i="4"/>
  <c r="AA138" i="4" s="1"/>
  <c r="N138" i="4"/>
  <c r="O138" i="4" s="1"/>
  <c r="AB141" i="4"/>
  <c r="Z127" i="4"/>
  <c r="AA127" i="4" s="1"/>
  <c r="N127" i="4"/>
  <c r="O127" i="4" s="1"/>
  <c r="AB130" i="4"/>
  <c r="Z115" i="4"/>
  <c r="D48" i="4"/>
  <c r="N115" i="4"/>
  <c r="O115" i="4" s="1"/>
  <c r="U115" i="4" s="1"/>
  <c r="AB117" i="4"/>
  <c r="D46" i="4"/>
  <c r="AB95" i="4"/>
  <c r="N93" i="4"/>
  <c r="O93" i="4" s="1"/>
  <c r="U93" i="4" s="1"/>
  <c r="Z93" i="4"/>
  <c r="Z28" i="4"/>
  <c r="AA28" i="4" s="1"/>
  <c r="E138" i="4"/>
  <c r="N116" i="4"/>
  <c r="O116" i="4" s="1"/>
  <c r="Z116" i="4"/>
  <c r="AA116" i="4" s="1"/>
  <c r="AB119" i="4"/>
  <c r="N148" i="4"/>
  <c r="O148" i="4" s="1"/>
  <c r="U148" i="4" s="1"/>
  <c r="Z148" i="4"/>
  <c r="D51" i="4"/>
  <c r="AB150" i="4"/>
  <c r="N192" i="4"/>
  <c r="O192" i="4" s="1"/>
  <c r="U192" i="4" s="1"/>
  <c r="AB194" i="4"/>
  <c r="D55" i="4"/>
  <c r="Z192" i="4"/>
  <c r="R194" i="4"/>
  <c r="S194" i="4"/>
  <c r="AB106" i="4"/>
  <c r="Z104" i="4"/>
  <c r="N104" i="4"/>
  <c r="O104" i="4" s="1"/>
  <c r="U104" i="4" s="1"/>
  <c r="D47" i="4"/>
  <c r="S205" i="4"/>
  <c r="R205" i="4"/>
  <c r="R161" i="4"/>
  <c r="S161" i="4"/>
  <c r="N83" i="4"/>
  <c r="O83" i="4" s="1"/>
  <c r="Z83" i="4"/>
  <c r="AA83" i="4" s="1"/>
  <c r="D137" i="4"/>
  <c r="AB18" i="4"/>
  <c r="D39" i="4"/>
  <c r="Z16" i="4"/>
  <c r="AB29" i="4"/>
  <c r="E137" i="4"/>
  <c r="D40" i="4"/>
  <c r="Z27" i="4"/>
  <c r="R216" i="4"/>
  <c r="S216" i="4"/>
  <c r="N149" i="4"/>
  <c r="O149" i="4" s="1"/>
  <c r="Z149" i="4"/>
  <c r="AA149" i="4" s="1"/>
  <c r="R95" i="4"/>
  <c r="S95" i="4"/>
  <c r="AB216" i="4"/>
  <c r="Z214" i="4"/>
  <c r="N214" i="4"/>
  <c r="O214" i="4" s="1"/>
  <c r="U214" i="4" s="1"/>
  <c r="D57" i="4"/>
  <c r="Z38" i="4"/>
  <c r="AB40" i="4"/>
  <c r="F137" i="4"/>
  <c r="D41" i="4"/>
  <c r="Z71" i="4"/>
  <c r="N71" i="4"/>
  <c r="O71" i="4" s="1"/>
  <c r="U71" i="4" s="1"/>
  <c r="D44" i="4"/>
  <c r="AB73" i="4"/>
  <c r="S84" i="4"/>
  <c r="R84" i="4"/>
  <c r="AB207" i="4"/>
  <c r="N204" i="4"/>
  <c r="O204" i="4" s="1"/>
  <c r="Z204" i="4"/>
  <c r="AA204" i="4" s="1"/>
  <c r="N193" i="4"/>
  <c r="O193" i="4" s="1"/>
  <c r="Z193" i="4"/>
  <c r="AA193" i="4" s="1"/>
  <c r="D43" i="4"/>
  <c r="Z60" i="4"/>
  <c r="AB62" i="4"/>
  <c r="Z181" i="4"/>
  <c r="AB183" i="4"/>
  <c r="N181" i="4"/>
  <c r="O181" i="4" s="1"/>
  <c r="U181" i="4" s="1"/>
  <c r="D54" i="4"/>
  <c r="N171" i="4"/>
  <c r="O171" i="4" s="1"/>
  <c r="Z171" i="4"/>
  <c r="AA171" i="4" s="1"/>
  <c r="S139" i="4"/>
  <c r="R139" i="4"/>
  <c r="S128" i="4"/>
  <c r="R128" i="4"/>
  <c r="R73" i="4"/>
  <c r="S73" i="4"/>
  <c r="Z94" i="4"/>
  <c r="AA94" i="4" s="1"/>
  <c r="N94" i="4"/>
  <c r="O94" i="4" s="1"/>
  <c r="Z160" i="4"/>
  <c r="AA160" i="4" s="1"/>
  <c r="H138" i="4"/>
  <c r="N160" i="4"/>
  <c r="O160" i="4" s="1"/>
  <c r="AB163" i="4"/>
  <c r="AB152" i="4"/>
  <c r="D50" i="4"/>
  <c r="N137" i="4"/>
  <c r="O137" i="4" s="1"/>
  <c r="U137" i="4" s="1"/>
  <c r="Z137" i="4"/>
  <c r="AB139" i="4"/>
  <c r="S183" i="4"/>
  <c r="R183" i="4"/>
  <c r="Z39" i="4"/>
  <c r="AA39" i="4" s="1"/>
  <c r="F138" i="4"/>
  <c r="Z50" i="4"/>
  <c r="AA50" i="4" s="1"/>
  <c r="G138" i="4"/>
  <c r="AB53" i="4"/>
  <c r="Z82" i="4"/>
  <c r="D45" i="4"/>
  <c r="N82" i="4"/>
  <c r="O82" i="4" s="1"/>
  <c r="U82" i="4" s="1"/>
  <c r="AB84" i="4"/>
  <c r="R150" i="4"/>
  <c r="S150" i="4"/>
  <c r="AB185" i="4"/>
  <c r="Z6" i="4"/>
  <c r="AA6" i="4" s="1"/>
  <c r="C138" i="4"/>
  <c r="AB9" i="4"/>
  <c r="AB108" i="4"/>
  <c r="N72" i="4"/>
  <c r="O72" i="4" s="1"/>
  <c r="Z72" i="4"/>
  <c r="AA72" i="4" s="1"/>
  <c r="AB75" i="4"/>
  <c r="N105" i="4"/>
  <c r="O105" i="4" s="1"/>
  <c r="Z105" i="4"/>
  <c r="AA105" i="4" s="1"/>
  <c r="D53" i="4"/>
  <c r="Z170" i="4"/>
  <c r="N170" i="4"/>
  <c r="O170" i="4" s="1"/>
  <c r="U170" i="4" s="1"/>
  <c r="AB172" i="4"/>
  <c r="G137" i="4"/>
  <c r="Z49" i="4"/>
  <c r="D42" i="4"/>
  <c r="AB51" i="4"/>
  <c r="AB196" i="4"/>
  <c r="R49" i="4" l="1"/>
  <c r="AB44" i="4"/>
  <c r="U149" i="4"/>
  <c r="U150" i="4" s="1"/>
  <c r="U151" i="4" s="1"/>
  <c r="U152" i="4" s="1"/>
  <c r="U153" i="4" s="1"/>
  <c r="U204" i="4"/>
  <c r="U205" i="4" s="1"/>
  <c r="U206" i="4" s="1"/>
  <c r="U207" i="4" s="1"/>
  <c r="U208" i="4" s="1"/>
  <c r="U171" i="4"/>
  <c r="U172" i="4" s="1"/>
  <c r="U173" i="4" s="1"/>
  <c r="U174" i="4" s="1"/>
  <c r="U175" i="4" s="1"/>
  <c r="U72" i="4"/>
  <c r="U73" i="4" s="1"/>
  <c r="U74" i="4" s="1"/>
  <c r="U75" i="4" s="1"/>
  <c r="U76" i="4" s="1"/>
  <c r="U116" i="4"/>
  <c r="U117" i="4" s="1"/>
  <c r="U118" i="4" s="1"/>
  <c r="U119" i="4" s="1"/>
  <c r="U120" i="4" s="1"/>
  <c r="U105" i="4"/>
  <c r="U106" i="4" s="1"/>
  <c r="U107" i="4" s="1"/>
  <c r="U108" i="4" s="1"/>
  <c r="U109" i="4" s="1"/>
  <c r="U94" i="4"/>
  <c r="U95" i="4" s="1"/>
  <c r="U96" i="4" s="1"/>
  <c r="U97" i="4" s="1"/>
  <c r="U98" i="4" s="1"/>
  <c r="U193" i="4"/>
  <c r="U194" i="4" s="1"/>
  <c r="U195" i="4" s="1"/>
  <c r="U196" i="4" s="1"/>
  <c r="U197" i="4" s="1"/>
  <c r="U127" i="4"/>
  <c r="U128" i="4" s="1"/>
  <c r="U129" i="4" s="1"/>
  <c r="U130" i="4" s="1"/>
  <c r="U131" i="4" s="1"/>
  <c r="U83" i="4"/>
  <c r="U84" i="4" s="1"/>
  <c r="U85" i="4" s="1"/>
  <c r="U86" i="4" s="1"/>
  <c r="U87" i="4" s="1"/>
  <c r="U160" i="4"/>
  <c r="U161" i="4" s="1"/>
  <c r="U162" i="4" s="1"/>
  <c r="U163" i="4" s="1"/>
  <c r="U164" i="4" s="1"/>
  <c r="U182" i="4"/>
  <c r="U183" i="4" s="1"/>
  <c r="U184" i="4" s="1"/>
  <c r="U185" i="4" s="1"/>
  <c r="U186" i="4" s="1"/>
  <c r="U138" i="4"/>
  <c r="U139" i="4" s="1"/>
  <c r="U140" i="4" s="1"/>
  <c r="U141" i="4" s="1"/>
  <c r="U142" i="4" s="1"/>
  <c r="U215" i="4"/>
  <c r="U216" i="4" s="1"/>
  <c r="U217" i="4" s="1"/>
  <c r="U218" i="4" s="1"/>
  <c r="U219" i="4" s="1"/>
  <c r="AB99" i="4"/>
  <c r="AB220" i="4"/>
  <c r="AB88" i="4"/>
  <c r="AA60" i="3"/>
  <c r="G51" i="3" s="1"/>
  <c r="AA62" i="3"/>
  <c r="G53" i="3" s="1"/>
  <c r="AB132" i="4"/>
  <c r="AA57" i="3"/>
  <c r="G48" i="3" s="1"/>
  <c r="AB33" i="4"/>
  <c r="AA61" i="3"/>
  <c r="G52" i="3" s="1"/>
  <c r="AA59" i="3"/>
  <c r="G50" i="3" s="1"/>
  <c r="AB66" i="4"/>
  <c r="AB176" i="4"/>
  <c r="AB11" i="4"/>
  <c r="AB198" i="4"/>
  <c r="AB121" i="4"/>
  <c r="AB154" i="4"/>
  <c r="AB55" i="4"/>
  <c r="AB22" i="4"/>
  <c r="AB165" i="4"/>
  <c r="R204" i="4"/>
  <c r="S204" i="4"/>
  <c r="Z44" i="4"/>
  <c r="AA38" i="4"/>
  <c r="AA44" i="4" s="1"/>
  <c r="AA104" i="4"/>
  <c r="AA110" i="4" s="1"/>
  <c r="Z110" i="4"/>
  <c r="AA159" i="4"/>
  <c r="AA165" i="4" s="1"/>
  <c r="Z165" i="4"/>
  <c r="AB209" i="4"/>
  <c r="AB110" i="4"/>
  <c r="Z121" i="4"/>
  <c r="AA115" i="4"/>
  <c r="AA121" i="4" s="1"/>
  <c r="S159" i="4"/>
  <c r="R159" i="4"/>
  <c r="R181" i="4"/>
  <c r="S181" i="4"/>
  <c r="R203" i="4"/>
  <c r="S203" i="4"/>
  <c r="R170" i="4"/>
  <c r="S170" i="4"/>
  <c r="AA82" i="4"/>
  <c r="AA88" i="4" s="1"/>
  <c r="Z88" i="4"/>
  <c r="Z143" i="4"/>
  <c r="AA137" i="4"/>
  <c r="AA143" i="4" s="1"/>
  <c r="R214" i="4"/>
  <c r="S214" i="4"/>
  <c r="R127" i="4"/>
  <c r="S127" i="4"/>
  <c r="D188" i="4"/>
  <c r="F188" i="4" s="1"/>
  <c r="D194" i="4"/>
  <c r="D193" i="4"/>
  <c r="F193" i="4" s="1"/>
  <c r="D192" i="4"/>
  <c r="F192" i="4" s="1"/>
  <c r="D191" i="4"/>
  <c r="F191" i="4" s="1"/>
  <c r="Z209" i="4"/>
  <c r="AA203" i="4"/>
  <c r="AA209" i="4" s="1"/>
  <c r="R82" i="4"/>
  <c r="S82" i="4"/>
  <c r="R137" i="4"/>
  <c r="S137" i="4"/>
  <c r="Z187" i="4"/>
  <c r="AA181" i="4"/>
  <c r="AA187" i="4" s="1"/>
  <c r="AA214" i="4"/>
  <c r="AA220" i="4" s="1"/>
  <c r="Z220" i="4"/>
  <c r="Z33" i="4"/>
  <c r="AA27" i="4"/>
  <c r="AA33" i="4" s="1"/>
  <c r="R83" i="4"/>
  <c r="S83" i="4"/>
  <c r="AA192" i="4"/>
  <c r="AA198" i="4" s="1"/>
  <c r="Z198" i="4"/>
  <c r="AA126" i="4"/>
  <c r="AA132" i="4" s="1"/>
  <c r="Z132" i="4"/>
  <c r="AB143" i="4"/>
  <c r="S182" i="4"/>
  <c r="R182" i="4"/>
  <c r="R116" i="4"/>
  <c r="S116" i="4"/>
  <c r="AA60" i="4"/>
  <c r="AA66" i="4" s="1"/>
  <c r="Z66" i="4"/>
  <c r="Z99" i="4"/>
  <c r="AA93" i="4"/>
  <c r="AA99" i="4" s="1"/>
  <c r="S138" i="4"/>
  <c r="R138" i="4"/>
  <c r="S215" i="4"/>
  <c r="R215" i="4"/>
  <c r="R71" i="4"/>
  <c r="S71" i="4"/>
  <c r="R192" i="4"/>
  <c r="S192" i="4"/>
  <c r="S93" i="4"/>
  <c r="R93" i="4"/>
  <c r="S126" i="4"/>
  <c r="R126" i="4"/>
  <c r="AA170" i="4"/>
  <c r="AA176" i="4" s="1"/>
  <c r="Z176" i="4"/>
  <c r="AB77" i="4"/>
  <c r="R160" i="4"/>
  <c r="S160" i="4"/>
  <c r="R171" i="4"/>
  <c r="S171" i="4"/>
  <c r="Z77" i="4"/>
  <c r="AA71" i="4"/>
  <c r="AA77" i="4" s="1"/>
  <c r="Z22" i="4"/>
  <c r="AA16" i="4"/>
  <c r="AA22" i="4" s="1"/>
  <c r="R105" i="4"/>
  <c r="S105" i="4"/>
  <c r="AB187" i="4"/>
  <c r="D189" i="4"/>
  <c r="F189" i="4" s="1"/>
  <c r="S149" i="4"/>
  <c r="R149" i="4"/>
  <c r="D190" i="4"/>
  <c r="F190" i="4" s="1"/>
  <c r="R72" i="4"/>
  <c r="S72" i="4"/>
  <c r="S193" i="4"/>
  <c r="R193" i="4"/>
  <c r="Z154" i="4"/>
  <c r="AA148" i="4"/>
  <c r="AA154" i="4" s="1"/>
  <c r="Z55" i="4"/>
  <c r="AA49" i="4"/>
  <c r="AA55" i="4" s="1"/>
  <c r="S94" i="4"/>
  <c r="R94" i="4"/>
  <c r="S104" i="4"/>
  <c r="R104" i="4"/>
  <c r="S148" i="4"/>
  <c r="R148" i="4"/>
  <c r="S115" i="4"/>
  <c r="R115" i="4"/>
  <c r="AA5" i="4"/>
  <c r="AA11" i="4" s="1"/>
  <c r="Z11" i="4"/>
  <c r="AC57" i="3" l="1"/>
  <c r="AD57" i="3" s="1"/>
  <c r="AK57" i="3" s="1"/>
  <c r="AB16" i="4"/>
  <c r="AB27" i="4"/>
  <c r="AB115" i="4"/>
  <c r="V115" i="4" s="1"/>
  <c r="C48" i="4" s="1"/>
  <c r="AB93" i="4"/>
  <c r="V93" i="4" s="1"/>
  <c r="C46" i="4" s="1"/>
  <c r="AB49" i="4"/>
  <c r="AB203" i="4"/>
  <c r="V203" i="4" s="1"/>
  <c r="C56" i="4" s="1"/>
  <c r="AB181" i="4"/>
  <c r="V181" i="4" s="1"/>
  <c r="C54" i="4" s="1"/>
  <c r="AB137" i="4"/>
  <c r="V137" i="4" s="1"/>
  <c r="C50" i="4" s="1"/>
  <c r="AB38" i="4"/>
  <c r="AB104" i="4"/>
  <c r="V104" i="4" s="1"/>
  <c r="C47" i="4" s="1"/>
  <c r="AB170" i="4"/>
  <c r="V170" i="4" s="1"/>
  <c r="C53" i="4" s="1"/>
  <c r="AB192" i="4"/>
  <c r="V192" i="4" s="1"/>
  <c r="C55" i="4" s="1"/>
  <c r="AB148" i="4"/>
  <c r="V148" i="4" s="1"/>
  <c r="C51" i="4" s="1"/>
  <c r="AB159" i="4"/>
  <c r="V159" i="4" s="1"/>
  <c r="C52" i="4" s="1"/>
  <c r="AB214" i="4"/>
  <c r="V214" i="4" s="1"/>
  <c r="C57" i="4" s="1"/>
  <c r="AB60" i="4"/>
  <c r="V60" i="4" s="1"/>
  <c r="AB126" i="4"/>
  <c r="V126" i="4" s="1"/>
  <c r="C49" i="4" s="1"/>
  <c r="AB82" i="4"/>
  <c r="V82" i="4" s="1"/>
  <c r="C45" i="4" s="1"/>
  <c r="AB5" i="4"/>
  <c r="AB71" i="4"/>
  <c r="V71" i="4" s="1"/>
  <c r="C44" i="4" s="1"/>
  <c r="V5" i="4" l="1"/>
  <c r="C38" i="4" s="1"/>
  <c r="E38" i="4" s="1"/>
  <c r="G38" i="4" s="1"/>
  <c r="V16" i="4"/>
  <c r="C39" i="4" s="1"/>
  <c r="V27" i="4"/>
  <c r="C40" i="4" s="1"/>
  <c r="V38" i="4"/>
  <c r="C41" i="4" s="1"/>
  <c r="V49" i="4"/>
  <c r="C42" i="4" s="1"/>
  <c r="C43" i="4"/>
  <c r="E47" i="4"/>
  <c r="E49" i="4"/>
  <c r="E46" i="4"/>
  <c r="AC58" i="3"/>
  <c r="E54" i="4"/>
  <c r="E55" i="4"/>
  <c r="E51" i="4"/>
  <c r="E56" i="4"/>
  <c r="E57" i="4"/>
  <c r="E52" i="4"/>
  <c r="E48" i="4"/>
  <c r="E53" i="4"/>
  <c r="E50" i="4"/>
  <c r="E45" i="4"/>
  <c r="AB57" i="3"/>
  <c r="AJ57" i="3"/>
  <c r="E39" i="4" l="1"/>
  <c r="E40" i="4"/>
  <c r="E41" i="4"/>
  <c r="G41" i="4" s="1"/>
  <c r="E43" i="4"/>
  <c r="E44" i="4"/>
  <c r="AD58" i="3"/>
  <c r="AC59" i="3"/>
  <c r="AC60" i="3" s="1"/>
  <c r="AJ58" i="3" l="1"/>
  <c r="AD59" i="3" s="1"/>
  <c r="AK58" i="3"/>
  <c r="AB58" i="3"/>
  <c r="AC61" i="3"/>
  <c r="AJ59" i="3" l="1"/>
  <c r="AD60" i="3" s="1"/>
  <c r="AK60" i="3" s="1"/>
  <c r="AK59" i="3"/>
  <c r="AB59" i="3"/>
  <c r="AC62" i="3"/>
  <c r="AB60" i="3" l="1"/>
  <c r="AJ60" i="3"/>
  <c r="AD61" i="3" s="1"/>
  <c r="AK61" i="3" s="1"/>
  <c r="H53" i="3"/>
  <c r="H48" i="3"/>
  <c r="H49" i="3"/>
  <c r="H52" i="3"/>
  <c r="H50" i="3"/>
  <c r="H51" i="3"/>
  <c r="H54" i="3"/>
  <c r="AB61" i="3" l="1"/>
  <c r="AJ61" i="3"/>
  <c r="AD62" i="3" s="1"/>
  <c r="AK62" i="3" s="1"/>
  <c r="I54" i="3"/>
  <c r="I49" i="3"/>
  <c r="I50" i="3"/>
  <c r="I48" i="3"/>
  <c r="I51" i="3"/>
  <c r="I52" i="3"/>
  <c r="I53" i="3"/>
  <c r="AJ62" i="3" l="1"/>
  <c r="AB62" i="3"/>
</calcChain>
</file>

<file path=xl/sharedStrings.xml><?xml version="1.0" encoding="utf-8"?>
<sst xmlns="http://schemas.openxmlformats.org/spreadsheetml/2006/main" count="1922" uniqueCount="502">
  <si>
    <t>No. of Storey</t>
  </si>
  <si>
    <t>Base</t>
  </si>
  <si>
    <t>Elevation (m)</t>
  </si>
  <si>
    <t>Storey Height (m)</t>
  </si>
  <si>
    <t>Model Configuration</t>
  </si>
  <si>
    <t>Storey</t>
  </si>
  <si>
    <t>Distribution of  Masses (tonnes)</t>
  </si>
  <si>
    <t>Section Properties</t>
  </si>
  <si>
    <t>Beam</t>
  </si>
  <si>
    <t>Width</t>
  </si>
  <si>
    <t>Top</t>
  </si>
  <si>
    <t>Bottom</t>
  </si>
  <si>
    <t>Long. Reinforcement</t>
  </si>
  <si>
    <t>Trans. Reinforcement</t>
  </si>
  <si>
    <t>Qty.</t>
  </si>
  <si>
    <t>Area</t>
  </si>
  <si>
    <t>Pos.</t>
  </si>
  <si>
    <t>Spacing (mm)</t>
  </si>
  <si>
    <t>Dimensions (mm)</t>
  </si>
  <si>
    <t>Dia. (mm)</t>
  </si>
  <si>
    <t>No. of Bay</t>
  </si>
  <si>
    <t>Length (m)</t>
  </si>
  <si>
    <t>Along H.</t>
  </si>
  <si>
    <t>Column 1</t>
  </si>
  <si>
    <t>Column 2</t>
  </si>
  <si>
    <t>Column 3</t>
  </si>
  <si>
    <t>Section</t>
  </si>
  <si>
    <t>Geometry &amp; Masses</t>
  </si>
  <si>
    <t>ID</t>
  </si>
  <si>
    <t>Concrete</t>
  </si>
  <si>
    <t>εcu</t>
  </si>
  <si>
    <t>Fc (Mpa)</t>
  </si>
  <si>
    <t>Rebar</t>
  </si>
  <si>
    <t>Fy (Mpa)</t>
  </si>
  <si>
    <t>εco</t>
  </si>
  <si>
    <t>εy</t>
  </si>
  <si>
    <t>εu</t>
  </si>
  <si>
    <t>Cover</t>
  </si>
  <si>
    <t>Column</t>
  </si>
  <si>
    <t>1-1</t>
  </si>
  <si>
    <t>1-2</t>
  </si>
  <si>
    <t>1-3</t>
  </si>
  <si>
    <t>1-4</t>
  </si>
  <si>
    <t>2-1</t>
  </si>
  <si>
    <t>2-2</t>
  </si>
  <si>
    <t>2-3</t>
  </si>
  <si>
    <t>2-4</t>
  </si>
  <si>
    <t>3-1</t>
  </si>
  <si>
    <t>3-2</t>
  </si>
  <si>
    <t>3-3</t>
  </si>
  <si>
    <t>3-4</t>
  </si>
  <si>
    <t>Mcol,i [kNm]</t>
  </si>
  <si>
    <t>Mcol,i-1  [kNm]</t>
  </si>
  <si>
    <t>Mcol,i  [kNm]</t>
  </si>
  <si>
    <t>Sum</t>
  </si>
  <si>
    <t>Bay</t>
  </si>
  <si>
    <t>Set</t>
  </si>
  <si>
    <t>Level</t>
  </si>
  <si>
    <t>Mechanism</t>
  </si>
  <si>
    <t>Node</t>
  </si>
  <si>
    <t>Element</t>
  </si>
  <si>
    <t>Length [m]</t>
  </si>
  <si>
    <t>Depth [m]</t>
  </si>
  <si>
    <t>θy,i [rad]</t>
  </si>
  <si>
    <t>Yield Drift and Flexural Capacities</t>
  </si>
  <si>
    <t>hcf [m]</t>
  </si>
  <si>
    <t>-</t>
  </si>
  <si>
    <t>Sway Mechanism at Storey i</t>
  </si>
  <si>
    <t>VR,i [kN]</t>
  </si>
  <si>
    <t>hs,i [m]</t>
  </si>
  <si>
    <t>θsys,i [rad]</t>
  </si>
  <si>
    <t>ky,i [kN/m]</t>
  </si>
  <si>
    <t>Elevation [m]</t>
  </si>
  <si>
    <t>θc [rad]</t>
  </si>
  <si>
    <t>Δi [m]</t>
  </si>
  <si>
    <t>Vi [kN]</t>
  </si>
  <si>
    <t>mi [tonnes]</t>
  </si>
  <si>
    <t>Δimi [mtonnes]</t>
  </si>
  <si>
    <t>SUM</t>
  </si>
  <si>
    <t>Vb [kN]</t>
  </si>
  <si>
    <t>Δi,comp [m]</t>
  </si>
  <si>
    <t>δi [m]</t>
  </si>
  <si>
    <t>Initial Computations (1st iteration)</t>
  </si>
  <si>
    <t>Capacity Information</t>
  </si>
  <si>
    <t>Base Shear</t>
  </si>
  <si>
    <t>Plotted</t>
  </si>
  <si>
    <t>Sway Mechanism</t>
  </si>
  <si>
    <t>Sum of the strengths</t>
  </si>
  <si>
    <t>Beam [kNm]</t>
  </si>
  <si>
    <t>Column [kNm]</t>
  </si>
  <si>
    <t>&gt; 0.85</t>
  </si>
  <si>
    <t>Checks !</t>
  </si>
  <si>
    <t>&lt; 1.00</t>
  </si>
  <si>
    <t>&gt; 1.00</t>
  </si>
  <si>
    <t>Sway P. Index, Si</t>
  </si>
  <si>
    <t>Sway Potential Index</t>
  </si>
  <si>
    <t>Sway-Demand Index</t>
  </si>
  <si>
    <t>Sway-D. Index, SDi</t>
  </si>
  <si>
    <t>Demand [kN]</t>
  </si>
  <si>
    <t>Storey Shear</t>
  </si>
  <si>
    <t>Resistance [kN]</t>
  </si>
  <si>
    <t>θi [rad]</t>
  </si>
  <si>
    <t>MOT,i [kNm]</t>
  </si>
  <si>
    <t>1st Point of the Pushover Curve</t>
  </si>
  <si>
    <t>Δimihi [m^2tonnes]</t>
  </si>
  <si>
    <t>Heff. [m]</t>
  </si>
  <si>
    <t>Effective Height</t>
  </si>
  <si>
    <t>2nd Point of the Pushover Curve</t>
  </si>
  <si>
    <t>3rd Point of the Pushover Curve</t>
  </si>
  <si>
    <t>4th Point of the Pushover Curve</t>
  </si>
  <si>
    <t>5th Point of the Pushover Curve</t>
  </si>
  <si>
    <t>6th Point of the Pushover Curve</t>
  </si>
  <si>
    <t>No</t>
  </si>
  <si>
    <t>Roof Disp. [m]</t>
  </si>
  <si>
    <t>LS1 Δi</t>
  </si>
  <si>
    <t xml:space="preserve">LS2 Δi </t>
  </si>
  <si>
    <t>LS3 Δi</t>
  </si>
  <si>
    <t xml:space="preserve">LS4 Δi </t>
  </si>
  <si>
    <t>LS5 Δi</t>
  </si>
  <si>
    <t>LS6 Δi</t>
  </si>
  <si>
    <t>Displaced Shapes</t>
  </si>
  <si>
    <t>v</t>
  </si>
  <si>
    <t>σv</t>
  </si>
  <si>
    <t>Ewh [MPa]</t>
  </si>
  <si>
    <t>Ewv [MPa]</t>
  </si>
  <si>
    <t>Gw [MPa]</t>
  </si>
  <si>
    <t>W [kN/m^3]</t>
  </si>
  <si>
    <t>fws [MPa]</t>
  </si>
  <si>
    <t>fwu [MPa]</t>
  </si>
  <si>
    <t>fwv [MPa]</t>
  </si>
  <si>
    <t>fwh [MPa]</t>
  </si>
  <si>
    <t>tw [mm]</t>
  </si>
  <si>
    <t>Mech. Props. of the Infills (Weak) (Hak et al., 2012)</t>
  </si>
  <si>
    <t>Mech. Props. of the Infills (Medium) (Hak et al., 2012)</t>
  </si>
  <si>
    <t>Mech. Props. of the Infills (Strong) (Hak et al., 2012)</t>
  </si>
  <si>
    <t>H (m)</t>
  </si>
  <si>
    <t>B (m)</t>
  </si>
  <si>
    <t>Infill Strut Geometry</t>
  </si>
  <si>
    <t>hc (m)</t>
  </si>
  <si>
    <t>hb (m)</t>
  </si>
  <si>
    <t>bc (m)</t>
  </si>
  <si>
    <t>lw (m)</t>
  </si>
  <si>
    <t>hw (m)</t>
  </si>
  <si>
    <t>dw (m)</t>
  </si>
  <si>
    <t>ϴ (rad.)</t>
  </si>
  <si>
    <t>K1</t>
  </si>
  <si>
    <t>K2</t>
  </si>
  <si>
    <t>&lt; 3.14</t>
  </si>
  <si>
    <t>&gt;3.14 &lt;7.85</t>
  </si>
  <si>
    <t>&gt;7.85</t>
  </si>
  <si>
    <t>λH</t>
  </si>
  <si>
    <t>K-Table (Bertoldi et al., 1993)</t>
  </si>
  <si>
    <t>Ewθ [MPa]</t>
  </si>
  <si>
    <t>λ</t>
  </si>
  <si>
    <t>bw [m]</t>
  </si>
  <si>
    <t>σw1</t>
  </si>
  <si>
    <t>σw2</t>
  </si>
  <si>
    <t>σw3</t>
  </si>
  <si>
    <t>σw4</t>
  </si>
  <si>
    <t>Fmax [kN]</t>
  </si>
  <si>
    <t>Fcr [kN]</t>
  </si>
  <si>
    <t>Fult [kN]</t>
  </si>
  <si>
    <t>Ic (m^4)</t>
  </si>
  <si>
    <t>Ec [MPa]</t>
  </si>
  <si>
    <t>Diagonal failure of the infill</t>
  </si>
  <si>
    <t>Corner crushing of the infill</t>
  </si>
  <si>
    <t>Shear Sliding in the mortar joints</t>
  </si>
  <si>
    <t>Compressive failure of the centre</t>
  </si>
  <si>
    <t>Mode of Failure</t>
  </si>
  <si>
    <t>Symbol</t>
  </si>
  <si>
    <t>List of Failure Types</t>
  </si>
  <si>
    <t>σw1 [MPa]</t>
  </si>
  <si>
    <t>σw2 [MPa]</t>
  </si>
  <si>
    <t>σw3 [MPa]</t>
  </si>
  <si>
    <t>σw4 [MPa]</t>
  </si>
  <si>
    <t>σmax [MPa]</t>
  </si>
  <si>
    <t>Shear Resistance, Yield Drift and Stiffness (Bare Frame)</t>
  </si>
  <si>
    <t>Infill Strut Capacities (Weak) (Bertoldi et al., 1993)</t>
  </si>
  <si>
    <t>ksys,i [kN/m]</t>
  </si>
  <si>
    <t>Diagonal failure / Column</t>
  </si>
  <si>
    <t>Diagonal failure / Mixed</t>
  </si>
  <si>
    <t>VRin,3 [kN]</t>
  </si>
  <si>
    <t>VRin,2 [kN]</t>
  </si>
  <si>
    <t>VRin,1 [kN]</t>
  </si>
  <si>
    <t>Vinf,i [kN]</t>
  </si>
  <si>
    <t>Vfr,i [kN]</t>
  </si>
  <si>
    <t>Vfr,i/VRfr,i</t>
  </si>
  <si>
    <t>Vinf,i/VRinf,i</t>
  </si>
  <si>
    <t>VRfr,i [kN]</t>
  </si>
  <si>
    <t>VRinf,i [kN]</t>
  </si>
  <si>
    <t>DS1</t>
  </si>
  <si>
    <t>DS2</t>
  </si>
  <si>
    <t>DS3</t>
  </si>
  <si>
    <t>DS4</t>
  </si>
  <si>
    <t>Force</t>
  </si>
  <si>
    <t>LS Ctrl.</t>
  </si>
  <si>
    <t>Change Limit States of the infill walls at each storey between 1, 2, 3, 4 to update infill contribution</t>
  </si>
  <si>
    <t>Infill Properties</t>
  </si>
  <si>
    <t>Horizontal Yield Drift and Flexural Capacities (Weak)</t>
  </si>
  <si>
    <t>My+ (kNm)</t>
  </si>
  <si>
    <t>My- (kNm)</t>
  </si>
  <si>
    <t>Mu+ (kNm)</t>
  </si>
  <si>
    <t>Mu- (kNm)</t>
  </si>
  <si>
    <t>Mc+ (kNm)</t>
  </si>
  <si>
    <t>Mc- (kNm)</t>
  </si>
  <si>
    <t>Yield Moments at the end of Column Sections</t>
  </si>
  <si>
    <t>Capping Moments at the end of Column Sections</t>
  </si>
  <si>
    <t>Ultimate Moments at the end of Column Sections</t>
  </si>
  <si>
    <t>Elevation</t>
  </si>
  <si>
    <t>Displaced Shapes (OpenSees)</t>
  </si>
  <si>
    <t>θfr,i [rad]</t>
  </si>
  <si>
    <t>MRθfr,i [kN]</t>
  </si>
  <si>
    <t>MRfr,i [kN]</t>
  </si>
  <si>
    <t>MRinf,i [kN]</t>
  </si>
  <si>
    <t>MRθinf,i [kN]</t>
  </si>
  <si>
    <t>θinf,i [rad]</t>
  </si>
  <si>
    <t>VRsys,i [kN]</t>
  </si>
  <si>
    <t>N.A.</t>
  </si>
  <si>
    <t>Str. Stiffness [kN/m]</t>
  </si>
  <si>
    <t>DBA</t>
  </si>
  <si>
    <t>Pushover Curve (DBA)</t>
  </si>
  <si>
    <t>Error (%)</t>
  </si>
  <si>
    <t>Kel* [kN/m]</t>
  </si>
  <si>
    <t>Kelc [kN/m]</t>
  </si>
  <si>
    <t>Stiffness</t>
  </si>
  <si>
    <t>Kin,3 [kN/m]</t>
  </si>
  <si>
    <t>Kin,2 [kN/m]</t>
  </si>
  <si>
    <t>Kin,1 [kN/m]</t>
  </si>
  <si>
    <t>span,i [m]</t>
  </si>
  <si>
    <t>Supporting Beam Tensile Stiffness</t>
  </si>
  <si>
    <t>Ksec* [kN/m]</t>
  </si>
  <si>
    <t>Stiffness Contribution Ratio</t>
  </si>
  <si>
    <t>Kelh.* [kN/m]</t>
  </si>
  <si>
    <t>Kdegh.* [kN/m]</t>
  </si>
  <si>
    <t>Kdeg* [kN/m]</t>
  </si>
  <si>
    <t>Combined Storey Stiffness and Resistances</t>
  </si>
  <si>
    <t>Infill Cont. (kN/m)</t>
  </si>
  <si>
    <t>Frame Cont. (kN/m)</t>
  </si>
  <si>
    <t>Proposed</t>
  </si>
  <si>
    <t>error (%)</t>
  </si>
  <si>
    <t>εDS1</t>
  </si>
  <si>
    <t>εDS2</t>
  </si>
  <si>
    <t>εDS3</t>
  </si>
  <si>
    <t>2nd iteration</t>
  </si>
  <si>
    <t>3rd iteration</t>
  </si>
  <si>
    <t>4th iteration</t>
  </si>
  <si>
    <t>5th iteration</t>
  </si>
  <si>
    <t>6th iteration</t>
  </si>
  <si>
    <t>Strut 1</t>
  </si>
  <si>
    <t>Strut 2</t>
  </si>
  <si>
    <t>Strut 3</t>
  </si>
  <si>
    <t>Column 2a</t>
  </si>
  <si>
    <t>Column 2b</t>
  </si>
  <si>
    <t>Column 3a</t>
  </si>
  <si>
    <t>Column 3b</t>
  </si>
  <si>
    <t>Axial Stiffness: Unit Horizontal Displacements (m)</t>
  </si>
  <si>
    <t>System Capacity Information</t>
  </si>
  <si>
    <t>θframe,i [rad]</t>
  </si>
  <si>
    <t>θinfill,i [rad]</t>
  </si>
  <si>
    <t>θD1inf,i [rad]</t>
  </si>
  <si>
    <t>Div. Vb by</t>
  </si>
  <si>
    <t>&lt;---Iterate</t>
  </si>
  <si>
    <t>Storey Disp. (m)</t>
  </si>
  <si>
    <t>Base Shear (kN)</t>
  </si>
  <si>
    <t>K2 (kN/m)</t>
  </si>
  <si>
    <t>K3 (kN/m)</t>
  </si>
  <si>
    <t>Kt. [kN/m]</t>
  </si>
  <si>
    <t>Kc. [kN/m]</t>
  </si>
  <si>
    <t>Const.</t>
  </si>
  <si>
    <t>Load Factor</t>
  </si>
  <si>
    <t>LF :</t>
  </si>
  <si>
    <t xml:space="preserve">LF: </t>
  </si>
  <si>
    <t>7th Point of the Pushover Curve</t>
  </si>
  <si>
    <t>8th Point of the Pushover Curve</t>
  </si>
  <si>
    <t>9th Point of the Pushover Curve</t>
  </si>
  <si>
    <t>10th Point of the Pushover Curve</t>
  </si>
  <si>
    <t>Column Moment Capacities (O'Reilly &amp; Sullivan, 2017)</t>
  </si>
  <si>
    <t>Beam Moment Capacities (O'Reilly &amp; Sullivan, 2017)</t>
  </si>
  <si>
    <t>Beam Deformation Capacities (O'Reilly &amp; Sullivan, 2017)</t>
  </si>
  <si>
    <t>Column Deformation Capacities (O'Reilly &amp; Sullivan, 2017)</t>
  </si>
  <si>
    <t>Muu+ (kNm)</t>
  </si>
  <si>
    <t>Muu- (kNm)</t>
  </si>
  <si>
    <t>B. Infill Control</t>
  </si>
  <si>
    <t>Notes:</t>
  </si>
  <si>
    <t>C. Frame Control</t>
  </si>
  <si>
    <t>A. Structural Response</t>
  </si>
  <si>
    <t>Axial-Horizontal Storey Stiffnesses</t>
  </si>
  <si>
    <t>Residual Moments at the end of Column Sections</t>
  </si>
  <si>
    <t>θc,i [rad]</t>
  </si>
  <si>
    <t>θu,i [rad]</t>
  </si>
  <si>
    <t>Normalized Shapes</t>
  </si>
  <si>
    <t>Mean Horz. Shear Resist. (Infill-Strut System)</t>
  </si>
  <si>
    <t>Mean Horizontal Stiffness (Infill-Strut System)</t>
  </si>
  <si>
    <t>Mean Damage State Drift Limit (Inf.-Str. Sys.)</t>
  </si>
  <si>
    <t>Mean Damage State Drift Limit</t>
  </si>
  <si>
    <t>Mean Horzizontal Shear Resistance</t>
  </si>
  <si>
    <t>Mean Flexural Stiffness</t>
  </si>
  <si>
    <t>Drift</t>
  </si>
  <si>
    <t>OpenSees</t>
  </si>
  <si>
    <t>ν (axial load ratio)</t>
  </si>
  <si>
    <t>Ductility</t>
  </si>
  <si>
    <t>Mean Damage State Ductility Limit</t>
  </si>
  <si>
    <t>Mean Damage State Ductility Limit (Inf.-Str. Sys.)</t>
  </si>
  <si>
    <t xml:space="preserve">θin,1 </t>
  </si>
  <si>
    <t xml:space="preserve">θin,2 </t>
  </si>
  <si>
    <t xml:space="preserve">θin,3 </t>
  </si>
  <si>
    <t>Linear</t>
  </si>
  <si>
    <t>Shear Frame</t>
  </si>
  <si>
    <t>Pick:</t>
  </si>
  <si>
    <t>Guessed Shape Control</t>
  </si>
  <si>
    <t>θD1fr,i [rad]</t>
  </si>
  <si>
    <t>Lp (m)</t>
  </si>
  <si>
    <t>VR,3 [kN]</t>
  </si>
  <si>
    <t>VR,2 [kN]</t>
  </si>
  <si>
    <t>VR,1 [kN]</t>
  </si>
  <si>
    <t xml:space="preserve">θ,3 </t>
  </si>
  <si>
    <t xml:space="preserve">θ,2 </t>
  </si>
  <si>
    <t xml:space="preserve">θ,1 </t>
  </si>
  <si>
    <t>θc [rad] :</t>
  </si>
  <si>
    <t>Custom</t>
  </si>
  <si>
    <t>Guess Control (1-2)</t>
  </si>
  <si>
    <t>Custom Shape (3)</t>
  </si>
  <si>
    <t>Kinit,i [kN/m]</t>
  </si>
  <si>
    <t>Ki [kN/m]</t>
  </si>
  <si>
    <t>DSi 1</t>
  </si>
  <si>
    <t>DSi 2</t>
  </si>
  <si>
    <t>DSf 1</t>
  </si>
  <si>
    <t>DSf 2</t>
  </si>
  <si>
    <t>DSi 3</t>
  </si>
  <si>
    <t>DSf 3</t>
  </si>
  <si>
    <t>DSi 4</t>
  </si>
  <si>
    <t>L.S. Point</t>
  </si>
  <si>
    <t>Storey 1</t>
  </si>
  <si>
    <t>Storey 2</t>
  </si>
  <si>
    <t>Storey 3</t>
  </si>
  <si>
    <t>Table of Behavior Hierarchy</t>
  </si>
  <si>
    <t>Keff. [kN/m]</t>
  </si>
  <si>
    <t>Teff. (sec.)</t>
  </si>
  <si>
    <t>meff. [tons]</t>
  </si>
  <si>
    <t>11th Point of the Pushover Curve</t>
  </si>
  <si>
    <t>12th Point of the Pushover Curve</t>
  </si>
  <si>
    <t>13th Point of the Pushover Curve</t>
  </si>
  <si>
    <t>14th Point of the Pushover Curve</t>
  </si>
  <si>
    <t>15th Point of the Pushover Curve</t>
  </si>
  <si>
    <t>16th Point of the Pushover Curve</t>
  </si>
  <si>
    <t>17th Point of the Pushover Curve</t>
  </si>
  <si>
    <t>18th Point of the Pushover Curve</t>
  </si>
  <si>
    <t>19th Point of the Pushover Curve</t>
  </si>
  <si>
    <t>20th Point of the Pushover Curve</t>
  </si>
  <si>
    <t>Vtrue [kN]</t>
  </si>
  <si>
    <t>Height</t>
  </si>
  <si>
    <t>Norm. Force</t>
  </si>
  <si>
    <t>Horizontal Force Pattern</t>
  </si>
  <si>
    <t>Force (kN)</t>
  </si>
  <si>
    <t>F/Vb</t>
  </si>
  <si>
    <t>μφu</t>
  </si>
  <si>
    <t>μφc</t>
  </si>
  <si>
    <t>φuu- (1/m)</t>
  </si>
  <si>
    <t>φuu+ (1/m)</t>
  </si>
  <si>
    <t>φu- (1/m)</t>
  </si>
  <si>
    <t>φu+ (1/m)</t>
  </si>
  <si>
    <t>φc- (1/m)</t>
  </si>
  <si>
    <t>φc+ (1/m)</t>
  </si>
  <si>
    <t>φy- (1/m)</t>
  </si>
  <si>
    <t>φy+ (1/m)</t>
  </si>
  <si>
    <t>Boundary Column Axial Stiffness</t>
  </si>
  <si>
    <t>Ktrueh.* [kN/m]</t>
  </si>
  <si>
    <t>Ktrue* [kN/m]</t>
  </si>
  <si>
    <t>Horizontal Force Matrix</t>
  </si>
  <si>
    <t>Structure</t>
  </si>
  <si>
    <t>Storey No.</t>
  </si>
  <si>
    <t>Bay No.</t>
  </si>
  <si>
    <t>Col. No.</t>
  </si>
  <si>
    <t>Span [m]</t>
  </si>
  <si>
    <t>2a</t>
  </si>
  <si>
    <t>2b</t>
  </si>
  <si>
    <t>3a</t>
  </si>
  <si>
    <t>3b</t>
  </si>
  <si>
    <t>Storey Shear Resistance and Stiffness (Weak Single Infill)</t>
  </si>
  <si>
    <t>WeakSingle</t>
  </si>
  <si>
    <t>Akan, 2019</t>
  </si>
  <si>
    <t>K,3 [kN/m]</t>
  </si>
  <si>
    <t>K,2 [kN/m]</t>
  </si>
  <si>
    <t>K,1 [kN/m]</t>
  </si>
  <si>
    <t>Mj,iθy,I [kNmrad]</t>
  </si>
  <si>
    <t>Mj,iθc,I [kNmrad]</t>
  </si>
  <si>
    <t>Mj,iθu,I [kNmrad]</t>
  </si>
  <si>
    <t>μ,3</t>
  </si>
  <si>
    <t>μ,2</t>
  </si>
  <si>
    <t>μ,1</t>
  </si>
  <si>
    <t>μin,3</t>
  </si>
  <si>
    <t>μin,2</t>
  </si>
  <si>
    <t>μin,1</t>
  </si>
  <si>
    <r>
      <t>Δ</t>
    </r>
    <r>
      <rPr>
        <b/>
        <sz val="8.8000000000000007"/>
        <color theme="1"/>
        <rFont val="Times New Roman"/>
        <family val="1"/>
      </rPr>
      <t>V</t>
    </r>
  </si>
  <si>
    <r>
      <rPr>
        <b/>
        <sz val="18"/>
        <color theme="1"/>
        <rFont val="Times New Roman"/>
        <family val="1"/>
      </rPr>
      <t>μ</t>
    </r>
    <r>
      <rPr>
        <b/>
        <sz val="11"/>
        <color theme="1"/>
        <rFont val="Times New Roman"/>
        <family val="1"/>
      </rPr>
      <t>fr,i</t>
    </r>
  </si>
  <si>
    <r>
      <rPr>
        <b/>
        <sz val="18"/>
        <color theme="1"/>
        <rFont val="Times New Roman"/>
        <family val="1"/>
      </rPr>
      <t>μ</t>
    </r>
    <r>
      <rPr>
        <b/>
        <sz val="11"/>
        <color theme="1"/>
        <rFont val="Times New Roman"/>
        <family val="1"/>
      </rPr>
      <t>inf,i</t>
    </r>
  </si>
  <si>
    <t>Col 1</t>
  </si>
  <si>
    <t>Col 2</t>
  </si>
  <si>
    <t>Col 3</t>
  </si>
  <si>
    <t>Col 4</t>
  </si>
  <si>
    <t>Col 5</t>
  </si>
  <si>
    <t>Col 6</t>
  </si>
  <si>
    <t>2-5</t>
  </si>
  <si>
    <t>2-6</t>
  </si>
  <si>
    <t>1-5</t>
  </si>
  <si>
    <t>1-6</t>
  </si>
  <si>
    <t>3-5</t>
  </si>
  <si>
    <t>3-6</t>
  </si>
  <si>
    <t>Column 6</t>
  </si>
  <si>
    <t>4a</t>
  </si>
  <si>
    <t>4b</t>
  </si>
  <si>
    <t>5a</t>
  </si>
  <si>
    <t>5b</t>
  </si>
  <si>
    <t>Column 4a</t>
  </si>
  <si>
    <t>Column 4b</t>
  </si>
  <si>
    <t>Strut 4</t>
  </si>
  <si>
    <t>Column 5a</t>
  </si>
  <si>
    <t>Column 5b</t>
  </si>
  <si>
    <t>Strut 5</t>
  </si>
  <si>
    <t>4-1</t>
  </si>
  <si>
    <t>4-2</t>
  </si>
  <si>
    <t>4-3</t>
  </si>
  <si>
    <t>4-4</t>
  </si>
  <si>
    <t>4-5</t>
  </si>
  <si>
    <t>4-6</t>
  </si>
  <si>
    <t>5-1</t>
  </si>
  <si>
    <t>5-2</t>
  </si>
  <si>
    <t>5-3</t>
  </si>
  <si>
    <t>5-4</t>
  </si>
  <si>
    <t>5-5</t>
  </si>
  <si>
    <t>5-6</t>
  </si>
  <si>
    <t>6-1</t>
  </si>
  <si>
    <t>6-2</t>
  </si>
  <si>
    <t>6-3</t>
  </si>
  <si>
    <t>6-4</t>
  </si>
  <si>
    <t>6-5</t>
  </si>
  <si>
    <t>6-6</t>
  </si>
  <si>
    <t>VR,4 [kN]</t>
  </si>
  <si>
    <t>VR,5 [kN]</t>
  </si>
  <si>
    <t>VR,6 [kN]</t>
  </si>
  <si>
    <t>K,4 [kN/m]</t>
  </si>
  <si>
    <t>K,5 [kN/m]</t>
  </si>
  <si>
    <t>K,6 [kN/m]</t>
  </si>
  <si>
    <t xml:space="preserve">θ,4 </t>
  </si>
  <si>
    <t xml:space="preserve">θ,5 </t>
  </si>
  <si>
    <t xml:space="preserve">θ,6 </t>
  </si>
  <si>
    <t>μ,4</t>
  </si>
  <si>
    <t>μ,5</t>
  </si>
  <si>
    <t>μ,6</t>
  </si>
  <si>
    <t>VRin,4 [kN]</t>
  </si>
  <si>
    <t>VRin,5 [kN]</t>
  </si>
  <si>
    <t>VRin,6 [kN]</t>
  </si>
  <si>
    <t>Kin,4 [kN/m]</t>
  </si>
  <si>
    <t>Kin,5 [kN/m]</t>
  </si>
  <si>
    <t>Kin,6 [kN/m]</t>
  </si>
  <si>
    <t xml:space="preserve">θin,4 </t>
  </si>
  <si>
    <t xml:space="preserve">θin,5 </t>
  </si>
  <si>
    <t>θin,6</t>
  </si>
  <si>
    <t>μin,4</t>
  </si>
  <si>
    <t>μin,5</t>
  </si>
  <si>
    <t>μin,6</t>
  </si>
  <si>
    <t>Storey 6</t>
  </si>
  <si>
    <t>Storey 5</t>
  </si>
  <si>
    <t>Storey 4</t>
  </si>
  <si>
    <t>Initial</t>
  </si>
  <si>
    <t>Frame 1</t>
  </si>
  <si>
    <t>Infill 1</t>
  </si>
  <si>
    <t>DS5</t>
  </si>
  <si>
    <t>DSf 4</t>
  </si>
  <si>
    <t>DSf 5</t>
  </si>
  <si>
    <t>Frame 2</t>
  </si>
  <si>
    <t>Infill 2</t>
  </si>
  <si>
    <t>Frame 3</t>
  </si>
  <si>
    <t>Infill 3</t>
  </si>
  <si>
    <t>Frame 4</t>
  </si>
  <si>
    <t>Infill 4</t>
  </si>
  <si>
    <t>Frame 5</t>
  </si>
  <si>
    <t>Infill 5</t>
  </si>
  <si>
    <t>Frame 6</t>
  </si>
  <si>
    <t>Infill 6</t>
  </si>
  <si>
    <t>VR [kN]</t>
  </si>
  <si>
    <t>θ</t>
  </si>
  <si>
    <t>K [kN/m]</t>
  </si>
  <si>
    <t>VRin [kN]</t>
  </si>
  <si>
    <t>θin</t>
  </si>
  <si>
    <t>Kin [kN/m]</t>
  </si>
  <si>
    <r>
      <rPr>
        <b/>
        <sz val="12"/>
        <color rgb="FFFF0000"/>
        <rFont val="Calibri"/>
        <family val="2"/>
      </rPr>
      <t>Δ</t>
    </r>
    <r>
      <rPr>
        <b/>
        <sz val="12"/>
        <color rgb="FFFF0000"/>
        <rFont val="Times New Roman"/>
        <family val="1"/>
      </rPr>
      <t>disp (mm)</t>
    </r>
  </si>
  <si>
    <t>step size</t>
  </si>
  <si>
    <t>Storey Stiffnesses (OpenSees)</t>
  </si>
  <si>
    <t>Load Coeff.</t>
  </si>
  <si>
    <t>Cumul. L. Coeff.</t>
  </si>
  <si>
    <t>K1 (kN/m)</t>
  </si>
  <si>
    <t>Structure Stiffness (kN/m)</t>
  </si>
  <si>
    <t>N.Stry</t>
  </si>
  <si>
    <t>ΔV,k-1</t>
  </si>
  <si>
    <t>LFf,i [kN]</t>
  </si>
  <si>
    <t>F,i [kN]</t>
  </si>
  <si>
    <t>LFv,i [kN]</t>
  </si>
  <si>
    <t>V,i [kN]</t>
  </si>
  <si>
    <t>Unloading?</t>
  </si>
  <si>
    <t>Toggle</t>
  </si>
  <si>
    <t>Unload.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</si>
</sst>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000"/>
    <numFmt numFmtId="166" formatCode="0.00000"/>
    <numFmt numFmtId="167" formatCode="0.000"/>
    <numFmt numFmtId="168" formatCode="0.0"/>
    <numFmt numFmtId="169" formatCode="0.0000000"/>
  </numFmts>
  <fonts count="45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12"/>
      <color theme="0"/>
      <name val="Times New Roman"/>
      <family val="1"/>
    </font>
    <font>
      <i/>
      <sz val="11"/>
      <color theme="1"/>
      <name val="Times New Roman"/>
      <family val="1"/>
    </font>
    <font>
      <b/>
      <sz val="12"/>
      <name val="Times New Roman"/>
      <family val="1"/>
    </font>
    <font>
      <b/>
      <i/>
      <sz val="11"/>
      <color theme="1"/>
      <name val="Times New Roman"/>
      <family val="1"/>
    </font>
    <font>
      <b/>
      <sz val="11"/>
      <name val="Times New Roman"/>
      <family val="1"/>
    </font>
    <font>
      <b/>
      <sz val="11"/>
      <color rgb="FFFF0000"/>
      <name val="Times New Roman"/>
      <family val="1"/>
    </font>
    <font>
      <sz val="11"/>
      <name val="Times New Roman"/>
      <family val="1"/>
    </font>
    <font>
      <b/>
      <sz val="11"/>
      <color theme="8" tint="-0.249977111117893"/>
      <name val="Times New Roman"/>
      <family val="1"/>
    </font>
    <font>
      <b/>
      <i/>
      <sz val="11"/>
      <color theme="8" tint="-0.249977111117893"/>
      <name val="Times New Roman"/>
      <family val="1"/>
    </font>
    <font>
      <sz val="11"/>
      <color theme="8" tint="-0.249977111117893"/>
      <name val="Times New Roman"/>
      <family val="1"/>
    </font>
    <font>
      <b/>
      <i/>
      <sz val="18"/>
      <color theme="1"/>
      <name val="Times New Roman"/>
      <family val="1"/>
    </font>
    <font>
      <b/>
      <i/>
      <sz val="12"/>
      <color rgb="FFFF0000"/>
      <name val="Times New Roman"/>
      <family val="1"/>
    </font>
    <font>
      <b/>
      <sz val="12"/>
      <color rgb="FFFF0000"/>
      <name val="Times New Roman"/>
      <family val="1"/>
    </font>
    <font>
      <sz val="11"/>
      <color rgb="FFFF0000"/>
      <name val="Times New Roman"/>
      <family val="1"/>
    </font>
    <font>
      <b/>
      <sz val="11"/>
      <color theme="4" tint="-0.249977111117893"/>
      <name val="Times New Roman"/>
      <family val="1"/>
    </font>
    <font>
      <b/>
      <sz val="8.8000000000000007"/>
      <color theme="1"/>
      <name val="Times New Roman"/>
      <family val="1"/>
    </font>
    <font>
      <sz val="11"/>
      <color rgb="FFC00000"/>
      <name val="Times New Roman"/>
      <family val="1"/>
    </font>
    <font>
      <sz val="11"/>
      <color theme="7" tint="-0.499984740745262"/>
      <name val="Times New Roman"/>
      <family val="1"/>
    </font>
    <font>
      <sz val="11"/>
      <color theme="4" tint="-0.499984740745262"/>
      <name val="Times New Roman"/>
      <family val="1"/>
    </font>
    <font>
      <b/>
      <sz val="18"/>
      <color theme="0"/>
      <name val="Times New Roman"/>
      <family val="1"/>
    </font>
    <font>
      <b/>
      <i/>
      <sz val="11"/>
      <color rgb="FFFF0000"/>
      <name val="Times New Roman"/>
      <family val="1"/>
    </font>
    <font>
      <b/>
      <sz val="18"/>
      <color theme="1"/>
      <name val="Times New Roman"/>
      <family val="1"/>
    </font>
    <font>
      <b/>
      <sz val="12"/>
      <color theme="0" tint="-0.14999847407452621"/>
      <name val="Times New Roman"/>
      <family val="1"/>
    </font>
    <font>
      <sz val="11"/>
      <color theme="0" tint="-0.14999847407452621"/>
      <name val="Times New Roman"/>
      <family val="1"/>
    </font>
    <font>
      <sz val="11"/>
      <color rgb="FF00B0F0"/>
      <name val="Times New Roman"/>
      <family val="1"/>
    </font>
    <font>
      <b/>
      <sz val="11"/>
      <color rgb="FF7030A0"/>
      <name val="Times New Roman"/>
      <family val="1"/>
    </font>
    <font>
      <sz val="11"/>
      <color rgb="FF7030A0"/>
      <name val="Times New Roman"/>
      <family val="1"/>
    </font>
    <font>
      <b/>
      <i/>
      <sz val="12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Times New Roman"/>
      <family val="1"/>
    </font>
    <font>
      <b/>
      <sz val="12"/>
      <color rgb="FFFF0000"/>
      <name val="Times New Roman"/>
      <family val="2"/>
    </font>
    <font>
      <b/>
      <sz val="12"/>
      <color rgb="FFFF0000"/>
      <name val="Calibri"/>
      <family val="2"/>
    </font>
    <font>
      <b/>
      <sz val="12"/>
      <color rgb="FF7030A0"/>
      <name val="Times New Roman"/>
      <family val="1"/>
    </font>
    <font>
      <sz val="12"/>
      <color theme="1"/>
      <name val="Times New Roman"/>
      <family val="1"/>
    </font>
    <font>
      <sz val="12"/>
      <color theme="5" tint="-0.249977111117893"/>
      <name val="Times New Roman"/>
      <family val="1"/>
    </font>
    <font>
      <sz val="12"/>
      <name val="Times New Roman"/>
      <family val="1"/>
    </font>
    <font>
      <sz val="11"/>
      <color rgb="FFFF3300"/>
      <name val="Times New Roman"/>
      <family val="1"/>
    </font>
    <font>
      <b/>
      <i/>
      <sz val="12"/>
      <color rgb="FF0070C0"/>
      <name val="Times New Roman"/>
      <family val="1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ck">
        <color indexed="64"/>
      </diagonal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ck">
        <color indexed="64"/>
      </diagonal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66">
    <xf numFmtId="0" fontId="0" fillId="0" borderId="0" xfId="0"/>
    <xf numFmtId="0" fontId="3" fillId="0" borderId="0" xfId="0" applyFont="1"/>
    <xf numFmtId="0" fontId="3" fillId="2" borderId="5" xfId="0" applyFont="1" applyFill="1" applyBorder="1"/>
    <xf numFmtId="0" fontId="3" fillId="2" borderId="10" xfId="0" applyFont="1" applyFill="1" applyBorder="1"/>
    <xf numFmtId="0" fontId="3" fillId="2" borderId="9" xfId="0" applyFont="1" applyFill="1" applyBorder="1"/>
    <xf numFmtId="0" fontId="3" fillId="2" borderId="13" xfId="0" applyFont="1" applyFill="1" applyBorder="1"/>
    <xf numFmtId="0" fontId="3" fillId="2" borderId="0" xfId="0" applyFont="1" applyFill="1" applyBorder="1"/>
    <xf numFmtId="0" fontId="3" fillId="2" borderId="12" xfId="0" applyFont="1" applyFill="1" applyBorder="1"/>
    <xf numFmtId="0" fontId="4" fillId="0" borderId="1" xfId="0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0" xfId="0" applyFont="1" applyBorder="1"/>
    <xf numFmtId="0" fontId="3" fillId="0" borderId="0" xfId="0" applyFont="1" applyBorder="1" applyAlignment="1"/>
    <xf numFmtId="0" fontId="4" fillId="3" borderId="3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3" fillId="0" borderId="29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0" fontId="3" fillId="4" borderId="0" xfId="0" applyFont="1" applyFill="1" applyBorder="1"/>
    <xf numFmtId="0" fontId="5" fillId="4" borderId="3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3" fillId="4" borderId="12" xfId="0" applyFont="1" applyFill="1" applyBorder="1"/>
    <xf numFmtId="0" fontId="3" fillId="2" borderId="11" xfId="0" applyFont="1" applyFill="1" applyBorder="1"/>
    <xf numFmtId="0" fontId="3" fillId="2" borderId="2" xfId="0" applyFont="1" applyFill="1" applyBorder="1"/>
    <xf numFmtId="0" fontId="3" fillId="2" borderId="15" xfId="0" applyFont="1" applyFill="1" applyBorder="1"/>
    <xf numFmtId="0" fontId="4" fillId="0" borderId="30" xfId="0" applyFont="1" applyBorder="1" applyAlignment="1">
      <alignment horizontal="center" vertical="center"/>
    </xf>
    <xf numFmtId="2" fontId="3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2" fontId="3" fillId="0" borderId="32" xfId="0" applyNumberFormat="1" applyFont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0" fontId="1" fillId="0" borderId="0" xfId="0" applyFont="1"/>
    <xf numFmtId="49" fontId="4" fillId="0" borderId="1" xfId="0" applyNumberFormat="1" applyFont="1" applyBorder="1" applyAlignment="1">
      <alignment horizontal="center" vertical="center"/>
    </xf>
    <xf numFmtId="49" fontId="4" fillId="0" borderId="8" xfId="0" applyNumberFormat="1" applyFont="1" applyBorder="1" applyAlignment="1">
      <alignment horizontal="center" vertical="center"/>
    </xf>
    <xf numFmtId="49" fontId="4" fillId="0" borderId="29" xfId="0" applyNumberFormat="1" applyFont="1" applyBorder="1" applyAlignment="1">
      <alignment horizontal="center" vertical="center"/>
    </xf>
    <xf numFmtId="2" fontId="3" fillId="0" borderId="40" xfId="0" applyNumberFormat="1" applyFont="1" applyBorder="1" applyAlignment="1">
      <alignment horizontal="center" vertical="center"/>
    </xf>
    <xf numFmtId="168" fontId="3" fillId="0" borderId="17" xfId="0" applyNumberFormat="1" applyFont="1" applyBorder="1" applyAlignment="1">
      <alignment horizontal="center" vertical="center"/>
    </xf>
    <xf numFmtId="168" fontId="3" fillId="0" borderId="23" xfId="0" applyNumberFormat="1" applyFont="1" applyBorder="1" applyAlignment="1">
      <alignment horizontal="center" vertical="center"/>
    </xf>
    <xf numFmtId="168" fontId="3" fillId="0" borderId="0" xfId="0" applyNumberFormat="1" applyFont="1" applyBorder="1" applyAlignment="1">
      <alignment horizontal="center" vertical="center"/>
    </xf>
    <xf numFmtId="168" fontId="3" fillId="0" borderId="17" xfId="0" applyNumberFormat="1" applyFont="1" applyBorder="1" applyAlignment="1">
      <alignment horizontal="center"/>
    </xf>
    <xf numFmtId="168" fontId="3" fillId="0" borderId="23" xfId="0" applyNumberFormat="1" applyFont="1" applyBorder="1" applyAlignment="1">
      <alignment horizontal="center"/>
    </xf>
    <xf numFmtId="168" fontId="3" fillId="0" borderId="12" xfId="0" applyNumberFormat="1" applyFont="1" applyBorder="1" applyAlignment="1">
      <alignment horizontal="center"/>
    </xf>
    <xf numFmtId="2" fontId="3" fillId="0" borderId="17" xfId="0" applyNumberFormat="1" applyFont="1" applyBorder="1" applyAlignment="1">
      <alignment horizontal="center" vertical="center"/>
    </xf>
    <xf numFmtId="2" fontId="7" fillId="0" borderId="16" xfId="0" applyNumberFormat="1" applyFont="1" applyBorder="1" applyAlignment="1">
      <alignment horizontal="center" vertical="center"/>
    </xf>
    <xf numFmtId="2" fontId="7" fillId="0" borderId="68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/>
    </xf>
    <xf numFmtId="164" fontId="3" fillId="0" borderId="20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 vertical="center"/>
    </xf>
    <xf numFmtId="164" fontId="3" fillId="0" borderId="61" xfId="0" applyNumberFormat="1" applyFont="1" applyBorder="1" applyAlignment="1">
      <alignment horizontal="center"/>
    </xf>
    <xf numFmtId="2" fontId="3" fillId="0" borderId="35" xfId="0" applyNumberFormat="1" applyFont="1" applyBorder="1" applyAlignment="1">
      <alignment horizontal="center" vertical="center"/>
    </xf>
    <xf numFmtId="2" fontId="7" fillId="0" borderId="44" xfId="0" applyNumberFormat="1" applyFont="1" applyBorder="1" applyAlignment="1">
      <alignment horizontal="center" vertical="center"/>
    </xf>
    <xf numFmtId="2" fontId="7" fillId="0" borderId="45" xfId="0" applyNumberFormat="1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center" vertical="center"/>
    </xf>
    <xf numFmtId="164" fontId="3" fillId="0" borderId="23" xfId="0" applyNumberFormat="1" applyFont="1" applyBorder="1" applyAlignment="1">
      <alignment horizontal="center"/>
    </xf>
    <xf numFmtId="164" fontId="3" fillId="0" borderId="0" xfId="0" applyNumberFormat="1" applyFont="1" applyBorder="1" applyAlignment="1">
      <alignment horizontal="center" vertical="center"/>
    </xf>
    <xf numFmtId="164" fontId="3" fillId="0" borderId="12" xfId="0" applyNumberFormat="1" applyFont="1" applyBorder="1" applyAlignment="1">
      <alignment horizontal="center"/>
    </xf>
    <xf numFmtId="2" fontId="3" fillId="0" borderId="45" xfId="0" applyNumberFormat="1" applyFont="1" applyBorder="1" applyAlignment="1">
      <alignment horizontal="center" vertical="center"/>
    </xf>
    <xf numFmtId="168" fontId="3" fillId="0" borderId="18" xfId="0" applyNumberFormat="1" applyFont="1" applyBorder="1" applyAlignment="1">
      <alignment horizontal="center" vertical="center"/>
    </xf>
    <xf numFmtId="168" fontId="3" fillId="0" borderId="24" xfId="0" applyNumberFormat="1" applyFont="1" applyBorder="1" applyAlignment="1">
      <alignment horizontal="center" vertical="center"/>
    </xf>
    <xf numFmtId="168" fontId="3" fillId="0" borderId="19" xfId="0" applyNumberFormat="1" applyFont="1" applyBorder="1" applyAlignment="1">
      <alignment horizontal="center" vertical="center"/>
    </xf>
    <xf numFmtId="168" fontId="3" fillId="0" borderId="18" xfId="0" applyNumberFormat="1" applyFont="1" applyBorder="1" applyAlignment="1">
      <alignment horizontal="center"/>
    </xf>
    <xf numFmtId="168" fontId="3" fillId="0" borderId="24" xfId="0" applyNumberFormat="1" applyFont="1" applyBorder="1" applyAlignment="1">
      <alignment horizontal="center"/>
    </xf>
    <xf numFmtId="168" fontId="3" fillId="0" borderId="58" xfId="0" applyNumberFormat="1" applyFont="1" applyBorder="1" applyAlignment="1">
      <alignment horizontal="center"/>
    </xf>
    <xf numFmtId="168" fontId="3" fillId="0" borderId="20" xfId="0" applyNumberFormat="1" applyFont="1" applyBorder="1" applyAlignment="1">
      <alignment horizontal="center" vertical="center"/>
    </xf>
    <xf numFmtId="168" fontId="3" fillId="0" borderId="22" xfId="0" applyNumberFormat="1" applyFont="1" applyBorder="1" applyAlignment="1">
      <alignment horizontal="center" vertical="center"/>
    </xf>
    <xf numFmtId="168" fontId="3" fillId="0" borderId="21" xfId="0" applyNumberFormat="1" applyFont="1" applyBorder="1" applyAlignment="1">
      <alignment horizontal="center" vertical="center"/>
    </xf>
    <xf numFmtId="168" fontId="3" fillId="0" borderId="20" xfId="0" applyNumberFormat="1" applyFont="1" applyBorder="1" applyAlignment="1">
      <alignment horizontal="center"/>
    </xf>
    <xf numFmtId="168" fontId="3" fillId="0" borderId="22" xfId="0" applyNumberFormat="1" applyFont="1" applyBorder="1" applyAlignment="1">
      <alignment horizontal="center"/>
    </xf>
    <xf numFmtId="168" fontId="3" fillId="0" borderId="61" xfId="0" applyNumberFormat="1" applyFont="1" applyBorder="1" applyAlignment="1">
      <alignment horizontal="center"/>
    </xf>
    <xf numFmtId="2" fontId="3" fillId="0" borderId="19" xfId="0" applyNumberFormat="1" applyFont="1" applyBorder="1" applyAlignment="1">
      <alignment horizontal="center" vertical="center"/>
    </xf>
    <xf numFmtId="164" fontId="3" fillId="0" borderId="19" xfId="0" applyNumberFormat="1" applyFont="1" applyBorder="1" applyAlignment="1">
      <alignment horizontal="center"/>
    </xf>
    <xf numFmtId="164" fontId="3" fillId="0" borderId="19" xfId="0" applyNumberFormat="1" applyFont="1" applyBorder="1" applyAlignment="1">
      <alignment horizontal="center" vertical="center"/>
    </xf>
    <xf numFmtId="164" fontId="3" fillId="0" borderId="58" xfId="0" applyNumberFormat="1" applyFont="1" applyBorder="1" applyAlignment="1">
      <alignment horizontal="center"/>
    </xf>
    <xf numFmtId="0" fontId="4" fillId="0" borderId="67" xfId="0" applyFont="1" applyBorder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3" fillId="0" borderId="12" xfId="0" applyNumberFormat="1" applyFont="1" applyBorder="1" applyAlignment="1">
      <alignment horizontal="center" vertical="center"/>
    </xf>
    <xf numFmtId="168" fontId="3" fillId="0" borderId="35" xfId="0" applyNumberFormat="1" applyFont="1" applyBorder="1" applyAlignment="1">
      <alignment horizontal="center" vertical="center"/>
    </xf>
    <xf numFmtId="168" fontId="3" fillId="0" borderId="36" xfId="0" applyNumberFormat="1" applyFont="1" applyBorder="1" applyAlignment="1">
      <alignment horizontal="center" vertical="center"/>
    </xf>
    <xf numFmtId="168" fontId="3" fillId="0" borderId="2" xfId="0" applyNumberFormat="1" applyFont="1" applyBorder="1" applyAlignment="1">
      <alignment horizontal="center" vertical="center"/>
    </xf>
    <xf numFmtId="168" fontId="3" fillId="0" borderId="35" xfId="0" applyNumberFormat="1" applyFont="1" applyBorder="1" applyAlignment="1">
      <alignment horizontal="center"/>
    </xf>
    <xf numFmtId="168" fontId="3" fillId="0" borderId="36" xfId="0" applyNumberFormat="1" applyFont="1" applyBorder="1" applyAlignment="1">
      <alignment horizontal="center"/>
    </xf>
    <xf numFmtId="168" fontId="3" fillId="0" borderId="15" xfId="0" applyNumberFormat="1" applyFont="1" applyBorder="1" applyAlignment="1">
      <alignment horizontal="center"/>
    </xf>
    <xf numFmtId="0" fontId="3" fillId="0" borderId="20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15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168" fontId="3" fillId="0" borderId="0" xfId="0" applyNumberFormat="1" applyFont="1" applyBorder="1" applyAlignment="1">
      <alignment horizontal="center"/>
    </xf>
    <xf numFmtId="0" fontId="3" fillId="0" borderId="17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/>
    </xf>
    <xf numFmtId="167" fontId="3" fillId="0" borderId="17" xfId="0" applyNumberFormat="1" applyFont="1" applyBorder="1" applyAlignment="1">
      <alignment horizontal="center" vertical="center"/>
    </xf>
    <xf numFmtId="167" fontId="3" fillId="0" borderId="23" xfId="0" applyNumberFormat="1" applyFont="1" applyBorder="1" applyAlignment="1">
      <alignment horizontal="center" vertical="center"/>
    </xf>
    <xf numFmtId="167" fontId="3" fillId="0" borderId="17" xfId="0" applyNumberFormat="1" applyFont="1" applyBorder="1" applyAlignment="1">
      <alignment horizontal="center"/>
    </xf>
    <xf numFmtId="167" fontId="3" fillId="0" borderId="23" xfId="0" applyNumberFormat="1" applyFont="1" applyBorder="1" applyAlignment="1">
      <alignment horizontal="center"/>
    </xf>
    <xf numFmtId="2" fontId="3" fillId="0" borderId="0" xfId="0" applyNumberFormat="1" applyFont="1" applyBorder="1" applyAlignment="1">
      <alignment horizontal="center"/>
    </xf>
    <xf numFmtId="0" fontId="4" fillId="0" borderId="0" xfId="0" applyFont="1" applyFill="1" applyBorder="1" applyAlignment="1">
      <alignment vertical="center"/>
    </xf>
    <xf numFmtId="167" fontId="3" fillId="0" borderId="18" xfId="0" applyNumberFormat="1" applyFont="1" applyBorder="1" applyAlignment="1">
      <alignment horizontal="center" vertical="center"/>
    </xf>
    <xf numFmtId="167" fontId="3" fillId="0" borderId="24" xfId="0" applyNumberFormat="1" applyFont="1" applyBorder="1" applyAlignment="1">
      <alignment horizontal="center" vertical="center"/>
    </xf>
    <xf numFmtId="167" fontId="3" fillId="0" borderId="18" xfId="0" applyNumberFormat="1" applyFont="1" applyBorder="1" applyAlignment="1">
      <alignment horizontal="center"/>
    </xf>
    <xf numFmtId="167" fontId="3" fillId="0" borderId="24" xfId="0" applyNumberFormat="1" applyFont="1" applyBorder="1" applyAlignment="1">
      <alignment horizontal="center"/>
    </xf>
    <xf numFmtId="2" fontId="3" fillId="0" borderId="2" xfId="0" applyNumberFormat="1" applyFont="1" applyBorder="1" applyAlignment="1">
      <alignment horizontal="center"/>
    </xf>
    <xf numFmtId="164" fontId="3" fillId="0" borderId="2" xfId="0" applyNumberFormat="1" applyFont="1" applyBorder="1" applyAlignment="1">
      <alignment horizontal="center"/>
    </xf>
    <xf numFmtId="164" fontId="3" fillId="0" borderId="15" xfId="0" applyNumberFormat="1" applyFont="1" applyBorder="1" applyAlignment="1">
      <alignment horizontal="center"/>
    </xf>
    <xf numFmtId="167" fontId="3" fillId="0" borderId="20" xfId="0" applyNumberFormat="1" applyFont="1" applyBorder="1" applyAlignment="1">
      <alignment horizontal="center" vertical="center"/>
    </xf>
    <xf numFmtId="167" fontId="3" fillId="0" borderId="22" xfId="0" applyNumberFormat="1" applyFont="1" applyBorder="1" applyAlignment="1">
      <alignment horizontal="center" vertical="center"/>
    </xf>
    <xf numFmtId="167" fontId="3" fillId="0" borderId="20" xfId="0" applyNumberFormat="1" applyFont="1" applyBorder="1" applyAlignment="1">
      <alignment horizontal="center"/>
    </xf>
    <xf numFmtId="167" fontId="3" fillId="0" borderId="22" xfId="0" applyNumberFormat="1" applyFont="1" applyBorder="1" applyAlignment="1">
      <alignment horizontal="center"/>
    </xf>
    <xf numFmtId="167" fontId="3" fillId="0" borderId="35" xfId="0" applyNumberFormat="1" applyFont="1" applyBorder="1" applyAlignment="1">
      <alignment horizontal="center" vertical="center"/>
    </xf>
    <xf numFmtId="167" fontId="3" fillId="0" borderId="36" xfId="0" applyNumberFormat="1" applyFont="1" applyBorder="1" applyAlignment="1">
      <alignment horizontal="center" vertical="center"/>
    </xf>
    <xf numFmtId="167" fontId="3" fillId="0" borderId="35" xfId="0" applyNumberFormat="1" applyFont="1" applyBorder="1" applyAlignment="1">
      <alignment horizontal="center"/>
    </xf>
    <xf numFmtId="167" fontId="3" fillId="0" borderId="36" xfId="0" applyNumberFormat="1" applyFont="1" applyBorder="1" applyAlignment="1">
      <alignment horizontal="center"/>
    </xf>
    <xf numFmtId="0" fontId="1" fillId="0" borderId="0" xfId="0" applyFont="1" applyFill="1" applyBorder="1" applyAlignment="1"/>
    <xf numFmtId="168" fontId="3" fillId="0" borderId="12" xfId="0" applyNumberFormat="1" applyFont="1" applyBorder="1" applyAlignment="1">
      <alignment horizontal="center" vertical="center"/>
    </xf>
    <xf numFmtId="49" fontId="4" fillId="0" borderId="0" xfId="0" applyNumberFormat="1" applyFont="1" applyFill="1" applyBorder="1" applyAlignment="1">
      <alignment horizontal="center" vertical="center"/>
    </xf>
    <xf numFmtId="168" fontId="3" fillId="0" borderId="61" xfId="0" applyNumberFormat="1" applyFont="1" applyBorder="1" applyAlignment="1">
      <alignment horizontal="center" vertical="center"/>
    </xf>
    <xf numFmtId="167" fontId="3" fillId="0" borderId="0" xfId="0" applyNumberFormat="1" applyFont="1" applyBorder="1" applyAlignment="1">
      <alignment horizontal="center" vertical="center"/>
    </xf>
    <xf numFmtId="167" fontId="3" fillId="0" borderId="0" xfId="0" applyNumberFormat="1" applyFont="1" applyBorder="1" applyAlignment="1">
      <alignment horizontal="center"/>
    </xf>
    <xf numFmtId="0" fontId="3" fillId="0" borderId="0" xfId="0" applyFont="1" applyFill="1" applyBorder="1"/>
    <xf numFmtId="167" fontId="3" fillId="0" borderId="21" xfId="0" applyNumberFormat="1" applyFont="1" applyBorder="1" applyAlignment="1">
      <alignment horizontal="center" vertical="center"/>
    </xf>
    <xf numFmtId="167" fontId="3" fillId="0" borderId="2" xfId="0" applyNumberFormat="1" applyFont="1" applyBorder="1" applyAlignment="1">
      <alignment horizontal="center" vertical="center"/>
    </xf>
    <xf numFmtId="0" fontId="4" fillId="0" borderId="24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4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 vertical="center"/>
    </xf>
    <xf numFmtId="0" fontId="4" fillId="16" borderId="14" xfId="0" applyFont="1" applyFill="1" applyBorder="1" applyAlignment="1">
      <alignment horizontal="center" vertical="center"/>
    </xf>
    <xf numFmtId="0" fontId="4" fillId="28" borderId="14" xfId="0" applyFont="1" applyFill="1" applyBorder="1" applyAlignment="1">
      <alignment horizontal="center" vertical="center"/>
    </xf>
    <xf numFmtId="0" fontId="4" fillId="17" borderId="40" xfId="0" applyFont="1" applyFill="1" applyBorder="1" applyAlignment="1">
      <alignment horizontal="center" vertical="center"/>
    </xf>
    <xf numFmtId="2" fontId="3" fillId="0" borderId="20" xfId="0" applyNumberFormat="1" applyFont="1" applyBorder="1" applyAlignment="1">
      <alignment horizontal="center" vertical="center"/>
    </xf>
    <xf numFmtId="2" fontId="3" fillId="0" borderId="22" xfId="0" applyNumberFormat="1" applyFont="1" applyBorder="1" applyAlignment="1">
      <alignment horizontal="center" vertical="center"/>
    </xf>
    <xf numFmtId="166" fontId="3" fillId="0" borderId="20" xfId="0" applyNumberFormat="1" applyFont="1" applyBorder="1" applyAlignment="1">
      <alignment horizontal="center" vertical="center"/>
    </xf>
    <xf numFmtId="167" fontId="3" fillId="0" borderId="1" xfId="0" applyNumberFormat="1" applyFont="1" applyBorder="1" applyAlignment="1">
      <alignment horizontal="center"/>
    </xf>
    <xf numFmtId="2" fontId="3" fillId="0" borderId="23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 wrapText="1"/>
    </xf>
    <xf numFmtId="2" fontId="3" fillId="0" borderId="38" xfId="0" applyNumberFormat="1" applyFont="1" applyBorder="1" applyAlignment="1">
      <alignment horizontal="center" vertical="center"/>
    </xf>
    <xf numFmtId="0" fontId="4" fillId="21" borderId="24" xfId="0" applyFont="1" applyFill="1" applyBorder="1" applyAlignment="1">
      <alignment horizontal="center" vertical="center"/>
    </xf>
    <xf numFmtId="11" fontId="3" fillId="0" borderId="0" xfId="0" applyNumberFormat="1" applyFont="1" applyBorder="1" applyAlignment="1">
      <alignment horizontal="center" vertical="center"/>
    </xf>
    <xf numFmtId="11" fontId="3" fillId="0" borderId="12" xfId="0" applyNumberFormat="1" applyFont="1" applyBorder="1" applyAlignment="1">
      <alignment horizontal="center" vertical="center"/>
    </xf>
    <xf numFmtId="166" fontId="3" fillId="0" borderId="17" xfId="0" applyNumberFormat="1" applyFont="1" applyBorder="1" applyAlignment="1">
      <alignment horizontal="center" vertical="center"/>
    </xf>
    <xf numFmtId="2" fontId="3" fillId="0" borderId="68" xfId="0" applyNumberFormat="1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2" fontId="9" fillId="0" borderId="22" xfId="0" applyNumberFormat="1" applyFont="1" applyBorder="1" applyAlignment="1">
      <alignment horizontal="center" vertical="center"/>
    </xf>
    <xf numFmtId="2" fontId="3" fillId="0" borderId="18" xfId="0" applyNumberFormat="1" applyFont="1" applyBorder="1" applyAlignment="1">
      <alignment horizontal="center" vertical="center"/>
    </xf>
    <xf numFmtId="2" fontId="3" fillId="0" borderId="24" xfId="0" applyNumberFormat="1" applyFont="1" applyBorder="1" applyAlignment="1">
      <alignment horizontal="center" vertical="center"/>
    </xf>
    <xf numFmtId="166" fontId="3" fillId="0" borderId="18" xfId="0" applyNumberFormat="1" applyFont="1" applyBorder="1" applyAlignment="1">
      <alignment horizontal="center" vertical="center"/>
    </xf>
    <xf numFmtId="167" fontId="3" fillId="0" borderId="19" xfId="0" applyNumberFormat="1" applyFont="1" applyBorder="1" applyAlignment="1">
      <alignment horizontal="center" vertical="center"/>
    </xf>
    <xf numFmtId="2" fontId="15" fillId="0" borderId="0" xfId="0" applyNumberFormat="1" applyFont="1" applyBorder="1" applyAlignment="1">
      <alignment horizontal="center" vertical="center"/>
    </xf>
    <xf numFmtId="2" fontId="3" fillId="0" borderId="22" xfId="0" applyNumberFormat="1" applyFont="1" applyBorder="1" applyAlignment="1">
      <alignment horizontal="center" vertical="center" wrapText="1"/>
    </xf>
    <xf numFmtId="11" fontId="3" fillId="0" borderId="19" xfId="0" applyNumberFormat="1" applyFont="1" applyBorder="1" applyAlignment="1">
      <alignment horizontal="center" vertical="center"/>
    </xf>
    <xf numFmtId="11" fontId="3" fillId="0" borderId="58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2" fontId="3" fillId="0" borderId="24" xfId="0" applyNumberFormat="1" applyFont="1" applyBorder="1" applyAlignment="1">
      <alignment horizontal="center" vertical="center" wrapText="1"/>
    </xf>
    <xf numFmtId="2" fontId="3" fillId="0" borderId="19" xfId="0" applyNumberFormat="1" applyFont="1" applyBorder="1" applyAlignment="1">
      <alignment horizontal="center"/>
    </xf>
    <xf numFmtId="11" fontId="3" fillId="0" borderId="21" xfId="0" applyNumberFormat="1" applyFont="1" applyBorder="1" applyAlignment="1">
      <alignment horizontal="center" vertical="center"/>
    </xf>
    <xf numFmtId="11" fontId="3" fillId="0" borderId="61" xfId="0" applyNumberFormat="1" applyFont="1" applyBorder="1" applyAlignment="1">
      <alignment horizontal="center" vertical="center"/>
    </xf>
    <xf numFmtId="2" fontId="3" fillId="0" borderId="0" xfId="0" applyNumberFormat="1" applyFont="1" applyAlignment="1">
      <alignment horizontal="center"/>
    </xf>
    <xf numFmtId="2" fontId="3" fillId="0" borderId="36" xfId="0" applyNumberFormat="1" applyFont="1" applyBorder="1" applyAlignment="1">
      <alignment horizontal="center" vertical="center"/>
    </xf>
    <xf numFmtId="166" fontId="3" fillId="0" borderId="35" xfId="0" applyNumberFormat="1" applyFont="1" applyBorder="1" applyAlignment="1">
      <alignment horizontal="center" vertical="center"/>
    </xf>
    <xf numFmtId="2" fontId="3" fillId="0" borderId="36" xfId="0" applyNumberFormat="1" applyFont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4" fillId="0" borderId="19" xfId="0" applyFont="1" applyBorder="1" applyAlignment="1">
      <alignment horizontal="center" vertical="center"/>
    </xf>
    <xf numFmtId="0" fontId="4" fillId="16" borderId="40" xfId="0" applyFont="1" applyFill="1" applyBorder="1" applyAlignment="1">
      <alignment horizontal="center" vertical="center" wrapText="1"/>
    </xf>
    <xf numFmtId="11" fontId="3" fillId="0" borderId="2" xfId="0" applyNumberFormat="1" applyFont="1" applyBorder="1" applyAlignment="1">
      <alignment horizontal="center" vertical="center"/>
    </xf>
    <xf numFmtId="11" fontId="3" fillId="0" borderId="15" xfId="0" applyNumberFormat="1" applyFont="1" applyBorder="1" applyAlignment="1">
      <alignment horizontal="center" vertical="center"/>
    </xf>
    <xf numFmtId="2" fontId="3" fillId="0" borderId="0" xfId="0" applyNumberFormat="1" applyFont="1"/>
    <xf numFmtId="167" fontId="3" fillId="0" borderId="0" xfId="0" applyNumberFormat="1" applyFont="1" applyAlignment="1">
      <alignment horizontal="center" vertical="center"/>
    </xf>
    <xf numFmtId="0" fontId="6" fillId="0" borderId="0" xfId="0" applyFont="1" applyFill="1" applyBorder="1" applyAlignment="1"/>
    <xf numFmtId="0" fontId="8" fillId="0" borderId="0" xfId="0" applyFont="1" applyFill="1" applyBorder="1" applyAlignment="1"/>
    <xf numFmtId="0" fontId="1" fillId="0" borderId="0" xfId="0" applyFont="1" applyFill="1" applyBorder="1" applyAlignment="1">
      <alignment vertical="center" wrapText="1"/>
    </xf>
    <xf numFmtId="0" fontId="4" fillId="0" borderId="0" xfId="0" applyFont="1" applyBorder="1"/>
    <xf numFmtId="0" fontId="1" fillId="2" borderId="0" xfId="0" applyFont="1" applyFill="1"/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1" fontId="4" fillId="0" borderId="67" xfId="0" applyNumberFormat="1" applyFont="1" applyBorder="1" applyAlignment="1">
      <alignment horizontal="center" vertical="center"/>
    </xf>
    <xf numFmtId="166" fontId="3" fillId="0" borderId="23" xfId="0" applyNumberFormat="1" applyFont="1" applyBorder="1" applyAlignment="1">
      <alignment horizontal="center" vertical="center"/>
    </xf>
    <xf numFmtId="167" fontId="3" fillId="2" borderId="0" xfId="0" applyNumberFormat="1" applyFont="1" applyFill="1" applyAlignment="1">
      <alignment horizontal="center"/>
    </xf>
    <xf numFmtId="164" fontId="3" fillId="2" borderId="0" xfId="0" applyNumberFormat="1" applyFont="1" applyFill="1" applyAlignment="1">
      <alignment horizontal="center"/>
    </xf>
    <xf numFmtId="2" fontId="3" fillId="0" borderId="23" xfId="0" applyNumberFormat="1" applyFont="1" applyBorder="1" applyAlignment="1">
      <alignment horizontal="center"/>
    </xf>
    <xf numFmtId="164" fontId="3" fillId="0" borderId="0" xfId="0" applyNumberFormat="1" applyFont="1" applyAlignment="1">
      <alignment horizontal="center"/>
    </xf>
    <xf numFmtId="2" fontId="3" fillId="0" borderId="12" xfId="0" applyNumberFormat="1" applyFont="1" applyBorder="1" applyAlignment="1">
      <alignment horizontal="center"/>
    </xf>
    <xf numFmtId="10" fontId="3" fillId="0" borderId="0" xfId="0" applyNumberFormat="1" applyFont="1" applyAlignment="1">
      <alignment horizontal="center" vertical="center"/>
    </xf>
    <xf numFmtId="1" fontId="4" fillId="0" borderId="67" xfId="0" applyNumberFormat="1" applyFont="1" applyBorder="1" applyAlignment="1">
      <alignment horizontal="center"/>
    </xf>
    <xf numFmtId="1" fontId="4" fillId="0" borderId="34" xfId="0" applyNumberFormat="1" applyFont="1" applyBorder="1" applyAlignment="1">
      <alignment horizontal="center"/>
    </xf>
    <xf numFmtId="166" fontId="3" fillId="0" borderId="36" xfId="0" applyNumberFormat="1" applyFont="1" applyBorder="1" applyAlignment="1">
      <alignment horizontal="center" vertical="center"/>
    </xf>
    <xf numFmtId="2" fontId="3" fillId="0" borderId="36" xfId="0" applyNumberFormat="1" applyFont="1" applyBorder="1" applyAlignment="1">
      <alignment horizontal="center"/>
    </xf>
    <xf numFmtId="2" fontId="3" fillId="0" borderId="15" xfId="0" applyNumberFormat="1" applyFont="1" applyBorder="1" applyAlignment="1">
      <alignment horizontal="center"/>
    </xf>
    <xf numFmtId="0" fontId="3" fillId="2" borderId="0" xfId="0" applyFont="1" applyFill="1"/>
    <xf numFmtId="0" fontId="11" fillId="0" borderId="14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9" fillId="0" borderId="0" xfId="0" applyFont="1" applyAlignment="1">
      <alignment horizontal="center" vertical="center"/>
    </xf>
    <xf numFmtId="2" fontId="19" fillId="0" borderId="0" xfId="0" applyNumberFormat="1" applyFont="1" applyAlignment="1">
      <alignment horizontal="center" vertical="center"/>
    </xf>
    <xf numFmtId="164" fontId="19" fillId="0" borderId="0" xfId="0" applyNumberFormat="1" applyFont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2" fontId="19" fillId="0" borderId="0" xfId="0" applyNumberFormat="1" applyFont="1" applyBorder="1" applyAlignment="1">
      <alignment horizontal="center" vertical="center"/>
    </xf>
    <xf numFmtId="164" fontId="19" fillId="0" borderId="0" xfId="0" applyNumberFormat="1" applyFont="1" applyBorder="1" applyAlignment="1">
      <alignment horizontal="center" vertical="center"/>
    </xf>
    <xf numFmtId="164" fontId="3" fillId="0" borderId="36" xfId="0" applyNumberFormat="1" applyFont="1" applyBorder="1" applyAlignment="1">
      <alignment horizontal="center" vertical="center"/>
    </xf>
    <xf numFmtId="0" fontId="4" fillId="2" borderId="0" xfId="0" applyFont="1" applyFill="1"/>
    <xf numFmtId="164" fontId="22" fillId="0" borderId="1" xfId="0" applyNumberFormat="1" applyFont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/>
    </xf>
    <xf numFmtId="2" fontId="12" fillId="0" borderId="1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/>
    </xf>
    <xf numFmtId="2" fontId="12" fillId="18" borderId="1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/>
    </xf>
    <xf numFmtId="10" fontId="3" fillId="2" borderId="0" xfId="0" applyNumberFormat="1" applyFont="1" applyFill="1" applyAlignment="1">
      <alignment horizontal="center"/>
    </xf>
    <xf numFmtId="167" fontId="3" fillId="0" borderId="1" xfId="0" applyNumberFormat="1" applyFont="1" applyBorder="1" applyAlignment="1">
      <alignment horizontal="center" vertical="center"/>
    </xf>
    <xf numFmtId="2" fontId="3" fillId="0" borderId="8" xfId="0" applyNumberFormat="1" applyFont="1" applyBorder="1" applyAlignment="1">
      <alignment horizontal="center"/>
    </xf>
    <xf numFmtId="2" fontId="3" fillId="18" borderId="1" xfId="0" applyNumberFormat="1" applyFont="1" applyFill="1" applyBorder="1" applyAlignment="1">
      <alignment horizontal="center"/>
    </xf>
    <xf numFmtId="2" fontId="3" fillId="18" borderId="29" xfId="0" applyNumberFormat="1" applyFont="1" applyFill="1" applyBorder="1" applyAlignment="1">
      <alignment horizontal="center"/>
    </xf>
    <xf numFmtId="2" fontId="23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4" fillId="2" borderId="0" xfId="0" applyFont="1" applyFill="1" applyBorder="1" applyAlignment="1">
      <alignment wrapText="1"/>
    </xf>
    <xf numFmtId="167" fontId="3" fillId="2" borderId="0" xfId="0" applyNumberFormat="1" applyFont="1" applyFill="1" applyBorder="1" applyAlignment="1">
      <alignment horizontal="center"/>
    </xf>
    <xf numFmtId="0" fontId="11" fillId="2" borderId="39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0" fontId="3" fillId="15" borderId="3" xfId="0" applyFont="1" applyFill="1" applyBorder="1" applyAlignment="1">
      <alignment horizontal="center" vertical="center"/>
    </xf>
    <xf numFmtId="0" fontId="3" fillId="2" borderId="40" xfId="0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  <xf numFmtId="0" fontId="3" fillId="2" borderId="32" xfId="0" applyFont="1" applyFill="1" applyBorder="1" applyAlignment="1">
      <alignment horizontal="center"/>
    </xf>
    <xf numFmtId="0" fontId="11" fillId="0" borderId="30" xfId="0" applyFont="1" applyBorder="1" applyAlignment="1">
      <alignment horizontal="center" vertical="center"/>
    </xf>
    <xf numFmtId="164" fontId="3" fillId="0" borderId="32" xfId="0" applyNumberFormat="1" applyFont="1" applyBorder="1" applyAlignment="1">
      <alignment horizontal="center"/>
    </xf>
    <xf numFmtId="2" fontId="3" fillId="2" borderId="0" xfId="0" applyNumberFormat="1" applyFont="1" applyFill="1" applyBorder="1" applyAlignment="1">
      <alignment horizontal="center"/>
    </xf>
    <xf numFmtId="2" fontId="3" fillId="2" borderId="23" xfId="0" applyNumberFormat="1" applyFont="1" applyFill="1" applyBorder="1" applyAlignment="1">
      <alignment horizontal="center" vertical="center" wrapText="1"/>
    </xf>
    <xf numFmtId="2" fontId="3" fillId="2" borderId="19" xfId="0" applyNumberFormat="1" applyFont="1" applyFill="1" applyBorder="1" applyAlignment="1">
      <alignment horizontal="center"/>
    </xf>
    <xf numFmtId="2" fontId="3" fillId="2" borderId="24" xfId="0" applyNumberFormat="1" applyFont="1" applyFill="1" applyBorder="1" applyAlignment="1">
      <alignment horizontal="center" vertical="center" wrapText="1"/>
    </xf>
    <xf numFmtId="0" fontId="25" fillId="2" borderId="0" xfId="0" applyFont="1" applyFill="1" applyAlignment="1">
      <alignment vertical="center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/>
    </xf>
    <xf numFmtId="2" fontId="3" fillId="2" borderId="0" xfId="0" applyNumberFormat="1" applyFont="1" applyFill="1" applyAlignment="1">
      <alignment horizontal="center" vertical="center"/>
    </xf>
    <xf numFmtId="164" fontId="3" fillId="2" borderId="0" xfId="0" applyNumberFormat="1" applyFont="1" applyFill="1" applyAlignment="1">
      <alignment horizontal="center" vertical="center"/>
    </xf>
    <xf numFmtId="0" fontId="4" fillId="2" borderId="0" xfId="0" applyFont="1" applyFill="1" applyAlignment="1">
      <alignment horizontal="center"/>
    </xf>
    <xf numFmtId="2" fontId="3" fillId="2" borderId="0" xfId="0" applyNumberFormat="1" applyFont="1" applyFill="1" applyAlignment="1">
      <alignment horizontal="center"/>
    </xf>
    <xf numFmtId="0" fontId="26" fillId="2" borderId="0" xfId="0" applyFont="1" applyFill="1"/>
    <xf numFmtId="0" fontId="4" fillId="0" borderId="0" xfId="0" applyFont="1"/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165" fontId="24" fillId="0" borderId="0" xfId="0" applyNumberFormat="1" applyFont="1" applyAlignment="1">
      <alignment horizontal="center" vertical="center"/>
    </xf>
    <xf numFmtId="164" fontId="22" fillId="0" borderId="0" xfId="0" applyNumberFormat="1" applyFont="1" applyAlignment="1">
      <alignment horizontal="center" vertical="center"/>
    </xf>
    <xf numFmtId="2" fontId="23" fillId="0" borderId="0" xfId="0" applyNumberFormat="1" applyFont="1" applyAlignment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0" fontId="26" fillId="0" borderId="0" xfId="0" applyFont="1" applyAlignment="1">
      <alignment horizontal="center"/>
    </xf>
    <xf numFmtId="2" fontId="7" fillId="0" borderId="0" xfId="0" applyNumberFormat="1" applyFont="1" applyAlignment="1">
      <alignment horizontal="center"/>
    </xf>
    <xf numFmtId="169" fontId="3" fillId="0" borderId="0" xfId="0" applyNumberFormat="1" applyFont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164" fontId="19" fillId="0" borderId="1" xfId="0" applyNumberFormat="1" applyFont="1" applyBorder="1" applyAlignment="1">
      <alignment horizontal="center" vertical="center"/>
    </xf>
    <xf numFmtId="164" fontId="12" fillId="0" borderId="1" xfId="0" applyNumberFormat="1" applyFont="1" applyBorder="1" applyAlignment="1">
      <alignment horizontal="center" vertical="center"/>
    </xf>
    <xf numFmtId="2" fontId="7" fillId="0" borderId="1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/>
    </xf>
    <xf numFmtId="164" fontId="3" fillId="0" borderId="17" xfId="0" applyNumberFormat="1" applyFont="1" applyBorder="1" applyAlignment="1">
      <alignment horizontal="center"/>
    </xf>
    <xf numFmtId="164" fontId="3" fillId="0" borderId="18" xfId="0" applyNumberFormat="1" applyFont="1" applyBorder="1" applyAlignment="1">
      <alignment horizontal="center"/>
    </xf>
    <xf numFmtId="0" fontId="1" fillId="0" borderId="0" xfId="0" applyFont="1" applyAlignment="1">
      <alignment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/>
    </xf>
    <xf numFmtId="2" fontId="3" fillId="18" borderId="0" xfId="0" applyNumberFormat="1" applyFont="1" applyFill="1" applyAlignment="1">
      <alignment horizontal="center" vertical="center"/>
    </xf>
    <xf numFmtId="164" fontId="3" fillId="0" borderId="23" xfId="0" applyNumberFormat="1" applyFont="1" applyBorder="1" applyAlignment="1">
      <alignment horizontal="center" vertical="center"/>
    </xf>
    <xf numFmtId="0" fontId="3" fillId="0" borderId="23" xfId="0" applyFont="1" applyBorder="1"/>
    <xf numFmtId="164" fontId="3" fillId="0" borderId="24" xfId="0" applyNumberFormat="1" applyFont="1" applyBorder="1" applyAlignment="1">
      <alignment horizontal="center" vertical="center"/>
    </xf>
    <xf numFmtId="0" fontId="3" fillId="0" borderId="19" xfId="0" applyFont="1" applyBorder="1"/>
    <xf numFmtId="0" fontId="3" fillId="0" borderId="24" xfId="0" applyFont="1" applyBorder="1"/>
    <xf numFmtId="0" fontId="29" fillId="0" borderId="0" xfId="0" applyFont="1"/>
    <xf numFmtId="0" fontId="30" fillId="0" borderId="0" xfId="0" applyFont="1"/>
    <xf numFmtId="164" fontId="3" fillId="0" borderId="0" xfId="0" applyNumberFormat="1" applyFont="1"/>
    <xf numFmtId="0" fontId="1" fillId="0" borderId="0" xfId="0" applyFont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2" fontId="31" fillId="0" borderId="1" xfId="0" applyNumberFormat="1" applyFont="1" applyBorder="1" applyAlignment="1">
      <alignment horizontal="center" vertical="center"/>
    </xf>
    <xf numFmtId="164" fontId="32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10" fillId="0" borderId="1" xfId="0" applyFont="1" applyBorder="1" applyAlignment="1">
      <alignment horizontal="center"/>
    </xf>
    <xf numFmtId="10" fontId="3" fillId="0" borderId="16" xfId="0" applyNumberFormat="1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167" fontId="3" fillId="0" borderId="19" xfId="0" applyNumberFormat="1" applyFont="1" applyBorder="1" applyAlignment="1">
      <alignment horizontal="center"/>
    </xf>
    <xf numFmtId="10" fontId="3" fillId="0" borderId="14" xfId="0" applyNumberFormat="1" applyFont="1" applyBorder="1" applyAlignment="1">
      <alignment horizontal="center"/>
    </xf>
    <xf numFmtId="0" fontId="1" fillId="18" borderId="1" xfId="0" applyFont="1" applyFill="1" applyBorder="1" applyAlignment="1">
      <alignment horizontal="center"/>
    </xf>
    <xf numFmtId="168" fontId="3" fillId="0" borderId="1" xfId="0" applyNumberFormat="1" applyFont="1" applyBorder="1" applyAlignment="1">
      <alignment horizontal="center"/>
    </xf>
    <xf numFmtId="2" fontId="3" fillId="10" borderId="1" xfId="0" applyNumberFormat="1" applyFont="1" applyFill="1" applyBorder="1" applyAlignment="1">
      <alignment horizontal="center"/>
    </xf>
    <xf numFmtId="2" fontId="3" fillId="13" borderId="1" xfId="0" applyNumberFormat="1" applyFont="1" applyFill="1" applyBorder="1" applyAlignment="1">
      <alignment horizontal="center"/>
    </xf>
    <xf numFmtId="10" fontId="3" fillId="17" borderId="16" xfId="0" applyNumberFormat="1" applyFont="1" applyFill="1" applyBorder="1" applyAlignment="1">
      <alignment horizontal="center"/>
    </xf>
    <xf numFmtId="10" fontId="3" fillId="17" borderId="14" xfId="0" applyNumberFormat="1" applyFont="1" applyFill="1" applyBorder="1" applyAlignment="1">
      <alignment horizontal="center"/>
    </xf>
    <xf numFmtId="0" fontId="3" fillId="2" borderId="23" xfId="0" applyFont="1" applyFill="1" applyBorder="1"/>
    <xf numFmtId="0" fontId="3" fillId="2" borderId="19" xfId="0" applyFont="1" applyFill="1" applyBorder="1"/>
    <xf numFmtId="0" fontId="3" fillId="2" borderId="24" xfId="0" applyFont="1" applyFill="1" applyBorder="1"/>
    <xf numFmtId="0" fontId="3" fillId="2" borderId="17" xfId="0" applyFont="1" applyFill="1" applyBorder="1"/>
    <xf numFmtId="0" fontId="3" fillId="0" borderId="16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/>
    <xf numFmtId="0" fontId="4" fillId="2" borderId="1" xfId="0" applyFont="1" applyFill="1" applyBorder="1" applyAlignment="1">
      <alignment horizontal="center"/>
    </xf>
    <xf numFmtId="2" fontId="3" fillId="0" borderId="14" xfId="0" applyNumberFormat="1" applyFont="1" applyBorder="1" applyAlignment="1">
      <alignment horizontal="center"/>
    </xf>
    <xf numFmtId="168" fontId="3" fillId="0" borderId="14" xfId="0" applyNumberFormat="1" applyFont="1" applyBorder="1" applyAlignment="1">
      <alignment horizontal="center"/>
    </xf>
    <xf numFmtId="2" fontId="3" fillId="10" borderId="14" xfId="0" applyNumberFormat="1" applyFont="1" applyFill="1" applyBorder="1" applyAlignment="1">
      <alignment horizontal="center"/>
    </xf>
    <xf numFmtId="2" fontId="3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28" borderId="14" xfId="0" applyFont="1" applyFill="1" applyBorder="1" applyAlignment="1">
      <alignment horizontal="center" vertical="center" wrapText="1"/>
    </xf>
    <xf numFmtId="0" fontId="4" fillId="16" borderId="14" xfId="0" applyFont="1" applyFill="1" applyBorder="1" applyAlignment="1">
      <alignment horizontal="center" vertical="center" wrapText="1"/>
    </xf>
    <xf numFmtId="0" fontId="4" fillId="17" borderId="14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3" fillId="0" borderId="35" xfId="0" applyFont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168" fontId="3" fillId="0" borderId="21" xfId="0" applyNumberFormat="1" applyFont="1" applyBorder="1" applyAlignment="1">
      <alignment horizontal="center"/>
    </xf>
    <xf numFmtId="168" fontId="3" fillId="0" borderId="19" xfId="0" applyNumberFormat="1" applyFont="1" applyBorder="1" applyAlignment="1">
      <alignment horizontal="center"/>
    </xf>
    <xf numFmtId="167" fontId="3" fillId="0" borderId="21" xfId="0" applyNumberFormat="1" applyFont="1" applyBorder="1" applyAlignment="1">
      <alignment horizontal="center"/>
    </xf>
    <xf numFmtId="164" fontId="3" fillId="0" borderId="20" xfId="0" applyNumberFormat="1" applyFont="1" applyBorder="1" applyAlignment="1">
      <alignment horizontal="center"/>
    </xf>
    <xf numFmtId="167" fontId="3" fillId="0" borderId="2" xfId="0" applyNumberFormat="1" applyFont="1" applyBorder="1" applyAlignment="1">
      <alignment horizontal="center"/>
    </xf>
    <xf numFmtId="168" fontId="3" fillId="0" borderId="2" xfId="0" applyNumberFormat="1" applyFont="1" applyBorder="1" applyAlignment="1">
      <alignment horizontal="center"/>
    </xf>
    <xf numFmtId="164" fontId="3" fillId="0" borderId="22" xfId="0" applyNumberFormat="1" applyFont="1" applyBorder="1" applyAlignment="1">
      <alignment horizontal="center" vertical="center"/>
    </xf>
    <xf numFmtId="0" fontId="4" fillId="0" borderId="39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1" fillId="0" borderId="0" xfId="0" applyFont="1" applyBorder="1"/>
    <xf numFmtId="0" fontId="13" fillId="0" borderId="0" xfId="0" applyFont="1" applyBorder="1" applyAlignment="1">
      <alignment horizontal="center" vertical="center"/>
    </xf>
    <xf numFmtId="2" fontId="14" fillId="0" borderId="0" xfId="0" applyNumberFormat="1" applyFont="1" applyBorder="1" applyAlignment="1">
      <alignment horizontal="center" vertical="center"/>
    </xf>
    <xf numFmtId="2" fontId="3" fillId="0" borderId="0" xfId="0" applyNumberFormat="1" applyFont="1" applyBorder="1"/>
    <xf numFmtId="165" fontId="3" fillId="0" borderId="0" xfId="0" applyNumberFormat="1" applyFont="1" applyBorder="1" applyAlignment="1">
      <alignment horizontal="center"/>
    </xf>
    <xf numFmtId="2" fontId="9" fillId="0" borderId="24" xfId="0" applyNumberFormat="1" applyFont="1" applyBorder="1" applyAlignment="1">
      <alignment horizontal="center" vertical="center"/>
    </xf>
    <xf numFmtId="2" fontId="9" fillId="0" borderId="36" xfId="0" applyNumberFormat="1" applyFont="1" applyBorder="1" applyAlignment="1">
      <alignment horizontal="center" vertical="center"/>
    </xf>
    <xf numFmtId="0" fontId="4" fillId="21" borderId="22" xfId="0" applyFont="1" applyFill="1" applyBorder="1" applyAlignment="1">
      <alignment horizontal="center" vertical="center"/>
    </xf>
    <xf numFmtId="0" fontId="4" fillId="16" borderId="23" xfId="0" applyFont="1" applyFill="1" applyBorder="1" applyAlignment="1">
      <alignment horizontal="center" vertical="center"/>
    </xf>
    <xf numFmtId="0" fontId="4" fillId="28" borderId="23" xfId="0" applyFont="1" applyFill="1" applyBorder="1" applyAlignment="1">
      <alignment horizontal="center" vertical="center"/>
    </xf>
    <xf numFmtId="0" fontId="4" fillId="29" borderId="23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4" fillId="22" borderId="22" xfId="0" applyFont="1" applyFill="1" applyBorder="1" applyAlignment="1">
      <alignment horizontal="center" vertical="center"/>
    </xf>
    <xf numFmtId="0" fontId="4" fillId="22" borderId="24" xfId="0" applyFont="1" applyFill="1" applyBorder="1" applyAlignment="1">
      <alignment horizontal="center" vertical="center"/>
    </xf>
    <xf numFmtId="0" fontId="4" fillId="22" borderId="23" xfId="0" applyFont="1" applyFill="1" applyBorder="1" applyAlignment="1">
      <alignment horizontal="center" vertical="center"/>
    </xf>
    <xf numFmtId="0" fontId="4" fillId="22" borderId="36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10" fontId="3" fillId="17" borderId="4" xfId="0" applyNumberFormat="1" applyFon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61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0" fontId="1" fillId="0" borderId="67" xfId="0" applyFont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24" xfId="0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58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/>
    </xf>
    <xf numFmtId="0" fontId="3" fillId="0" borderId="58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/>
    </xf>
    <xf numFmtId="0" fontId="3" fillId="0" borderId="10" xfId="0" applyFont="1" applyBorder="1" applyAlignment="1">
      <alignment horizontal="center" vertical="center"/>
    </xf>
    <xf numFmtId="167" fontId="3" fillId="0" borderId="53" xfId="0" applyNumberFormat="1" applyFont="1" applyBorder="1" applyAlignment="1">
      <alignment horizontal="center" vertical="center"/>
    </xf>
    <xf numFmtId="167" fontId="3" fillId="0" borderId="33" xfId="0" applyNumberFormat="1" applyFont="1" applyBorder="1" applyAlignment="1">
      <alignment horizontal="center" vertical="center"/>
    </xf>
    <xf numFmtId="167" fontId="3" fillId="0" borderId="10" xfId="0" applyNumberFormat="1" applyFont="1" applyBorder="1" applyAlignment="1">
      <alignment horizontal="center" vertical="center"/>
    </xf>
    <xf numFmtId="167" fontId="3" fillId="0" borderId="53" xfId="0" applyNumberFormat="1" applyFont="1" applyBorder="1" applyAlignment="1">
      <alignment horizontal="center"/>
    </xf>
    <xf numFmtId="167" fontId="3" fillId="0" borderId="33" xfId="0" applyNumberFormat="1" applyFont="1" applyBorder="1" applyAlignment="1">
      <alignment horizontal="center"/>
    </xf>
    <xf numFmtId="167" fontId="3" fillId="0" borderId="10" xfId="0" applyNumberFormat="1" applyFont="1" applyBorder="1" applyAlignment="1">
      <alignment horizontal="center"/>
    </xf>
    <xf numFmtId="164" fontId="3" fillId="0" borderId="53" xfId="0" applyNumberFormat="1" applyFont="1" applyBorder="1" applyAlignment="1">
      <alignment horizontal="center"/>
    </xf>
    <xf numFmtId="164" fontId="3" fillId="0" borderId="10" xfId="0" applyNumberFormat="1" applyFont="1" applyBorder="1" applyAlignment="1">
      <alignment horizontal="center"/>
    </xf>
    <xf numFmtId="164" fontId="3" fillId="0" borderId="9" xfId="0" applyNumberFormat="1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2" fontId="9" fillId="0" borderId="1" xfId="0" applyNumberFormat="1" applyFont="1" applyBorder="1" applyAlignment="1">
      <alignment horizontal="center" vertical="center"/>
    </xf>
    <xf numFmtId="2" fontId="9" fillId="0" borderId="29" xfId="0" applyNumberFormat="1" applyFont="1" applyBorder="1" applyAlignment="1">
      <alignment horizontal="center" vertical="center"/>
    </xf>
    <xf numFmtId="2" fontId="9" fillId="0" borderId="6" xfId="0" applyNumberFormat="1" applyFont="1" applyBorder="1" applyAlignment="1">
      <alignment horizontal="center" vertical="center"/>
    </xf>
    <xf numFmtId="0" fontId="4" fillId="0" borderId="60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2" fontId="9" fillId="0" borderId="23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4" fillId="0" borderId="59" xfId="0" applyFont="1" applyBorder="1" applyAlignment="1">
      <alignment horizontal="center"/>
    </xf>
    <xf numFmtId="0" fontId="3" fillId="0" borderId="4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20" fillId="18" borderId="68" xfId="0" applyFont="1" applyFill="1" applyBorder="1" applyAlignment="1">
      <alignment horizontal="center" vertical="center"/>
    </xf>
    <xf numFmtId="0" fontId="18" fillId="18" borderId="40" xfId="0" applyFont="1" applyFill="1" applyBorder="1" applyAlignment="1">
      <alignment horizontal="center" vertical="center" wrapText="1"/>
    </xf>
    <xf numFmtId="0" fontId="20" fillId="18" borderId="45" xfId="0" applyFont="1" applyFill="1" applyBorder="1" applyAlignment="1">
      <alignment horizontal="center" vertical="center"/>
    </xf>
    <xf numFmtId="164" fontId="22" fillId="0" borderId="12" xfId="0" applyNumberFormat="1" applyFont="1" applyBorder="1" applyAlignment="1">
      <alignment horizontal="center" vertical="center"/>
    </xf>
    <xf numFmtId="164" fontId="22" fillId="0" borderId="15" xfId="0" applyNumberFormat="1" applyFont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2" fontId="3" fillId="2" borderId="21" xfId="0" applyNumberFormat="1" applyFont="1" applyFill="1" applyBorder="1" applyAlignment="1">
      <alignment horizontal="center"/>
    </xf>
    <xf numFmtId="2" fontId="3" fillId="2" borderId="22" xfId="0" applyNumberFormat="1" applyFont="1" applyFill="1" applyBorder="1" applyAlignment="1">
      <alignment horizontal="center" vertical="center" wrapText="1"/>
    </xf>
    <xf numFmtId="0" fontId="4" fillId="0" borderId="22" xfId="0" applyFont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3" fillId="2" borderId="23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 vertical="center"/>
    </xf>
    <xf numFmtId="0" fontId="4" fillId="2" borderId="22" xfId="0" applyFont="1" applyFill="1" applyBorder="1" applyAlignment="1">
      <alignment horizontal="center" vertical="center"/>
    </xf>
    <xf numFmtId="1" fontId="3" fillId="2" borderId="4" xfId="0" applyNumberFormat="1" applyFont="1" applyFill="1" applyBorder="1" applyAlignment="1">
      <alignment horizontal="center" vertical="center"/>
    </xf>
    <xf numFmtId="1" fontId="3" fillId="2" borderId="16" xfId="0" applyNumberFormat="1" applyFont="1" applyFill="1" applyBorder="1" applyAlignment="1">
      <alignment horizontal="center" vertical="center"/>
    </xf>
    <xf numFmtId="1" fontId="3" fillId="2" borderId="14" xfId="0" applyNumberFormat="1" applyFont="1" applyFill="1" applyBorder="1" applyAlignment="1">
      <alignment horizontal="center" vertical="center"/>
    </xf>
    <xf numFmtId="0" fontId="11" fillId="2" borderId="18" xfId="0" applyFont="1" applyFill="1" applyBorder="1" applyAlignment="1">
      <alignment horizontal="left" vertical="center"/>
    </xf>
    <xf numFmtId="0" fontId="3" fillId="0" borderId="2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4" fillId="0" borderId="51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61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3" fillId="0" borderId="23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3" fillId="0" borderId="36" xfId="0" applyFont="1" applyBorder="1" applyAlignment="1">
      <alignment horizontal="center"/>
    </xf>
    <xf numFmtId="2" fontId="3" fillId="0" borderId="58" xfId="0" applyNumberFormat="1" applyFont="1" applyBorder="1" applyAlignment="1">
      <alignment horizontal="center"/>
    </xf>
    <xf numFmtId="2" fontId="3" fillId="0" borderId="61" xfId="0" applyNumberFormat="1" applyFont="1" applyBorder="1" applyAlignment="1">
      <alignment horizontal="center"/>
    </xf>
    <xf numFmtId="49" fontId="4" fillId="0" borderId="6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58" xfId="0" applyNumberFormat="1" applyFont="1" applyBorder="1" applyAlignment="1">
      <alignment horizontal="center" vertical="center"/>
    </xf>
    <xf numFmtId="2" fontId="3" fillId="0" borderId="61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0" fontId="4" fillId="16" borderId="52" xfId="0" applyFont="1" applyFill="1" applyBorder="1" applyAlignment="1">
      <alignment horizontal="center" vertical="center"/>
    </xf>
    <xf numFmtId="0" fontId="4" fillId="28" borderId="74" xfId="0" applyFont="1" applyFill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10" borderId="0" xfId="0" applyNumberFormat="1" applyFont="1" applyFill="1" applyBorder="1" applyAlignment="1">
      <alignment horizontal="center" vertical="center"/>
    </xf>
    <xf numFmtId="2" fontId="3" fillId="30" borderId="17" xfId="0" applyNumberFormat="1" applyFont="1" applyFill="1" applyBorder="1" applyAlignment="1">
      <alignment horizontal="center" vertical="center"/>
    </xf>
    <xf numFmtId="2" fontId="3" fillId="30" borderId="35" xfId="0" applyNumberFormat="1" applyFont="1" applyFill="1" applyBorder="1" applyAlignment="1">
      <alignment horizontal="center" vertical="center"/>
    </xf>
    <xf numFmtId="2" fontId="3" fillId="30" borderId="2" xfId="0" applyNumberFormat="1" applyFont="1" applyFill="1" applyBorder="1" applyAlignment="1">
      <alignment horizontal="center" vertical="center"/>
    </xf>
    <xf numFmtId="2" fontId="3" fillId="30" borderId="0" xfId="0" applyNumberFormat="1" applyFont="1" applyFill="1" applyBorder="1" applyAlignment="1">
      <alignment horizontal="center" vertical="center"/>
    </xf>
    <xf numFmtId="2" fontId="3" fillId="31" borderId="17" xfId="0" applyNumberFormat="1" applyFont="1" applyFill="1" applyBorder="1" applyAlignment="1">
      <alignment horizontal="center" vertical="center"/>
    </xf>
    <xf numFmtId="2" fontId="3" fillId="31" borderId="35" xfId="0" applyNumberFormat="1" applyFont="1" applyFill="1" applyBorder="1" applyAlignment="1">
      <alignment horizontal="center" vertical="center"/>
    </xf>
    <xf numFmtId="2" fontId="3" fillId="31" borderId="2" xfId="0" applyNumberFormat="1" applyFont="1" applyFill="1" applyBorder="1" applyAlignment="1">
      <alignment horizontal="center" vertical="center"/>
    </xf>
    <xf numFmtId="2" fontId="3" fillId="31" borderId="0" xfId="0" applyNumberFormat="1" applyFont="1" applyFill="1" applyBorder="1" applyAlignment="1">
      <alignment horizontal="center" vertical="center"/>
    </xf>
    <xf numFmtId="2" fontId="3" fillId="10" borderId="17" xfId="0" applyNumberFormat="1" applyFont="1" applyFill="1" applyBorder="1" applyAlignment="1">
      <alignment horizontal="center" vertical="center"/>
    </xf>
    <xf numFmtId="2" fontId="3" fillId="21" borderId="35" xfId="0" applyNumberFormat="1" applyFont="1" applyFill="1" applyBorder="1" applyAlignment="1">
      <alignment horizontal="center" vertical="center"/>
    </xf>
    <xf numFmtId="2" fontId="3" fillId="21" borderId="2" xfId="0" applyNumberFormat="1" applyFont="1" applyFill="1" applyBorder="1" applyAlignment="1">
      <alignment horizontal="center" vertical="center"/>
    </xf>
    <xf numFmtId="2" fontId="3" fillId="21" borderId="0" xfId="0" applyNumberFormat="1" applyFont="1" applyFill="1" applyBorder="1" applyAlignment="1">
      <alignment horizontal="center" vertical="center"/>
    </xf>
    <xf numFmtId="2" fontId="3" fillId="21" borderId="17" xfId="0" applyNumberFormat="1" applyFont="1" applyFill="1" applyBorder="1" applyAlignment="1">
      <alignment horizontal="center" vertical="center"/>
    </xf>
    <xf numFmtId="2" fontId="3" fillId="10" borderId="2" xfId="0" applyNumberFormat="1" applyFont="1" applyFill="1" applyBorder="1" applyAlignment="1">
      <alignment horizontal="center" vertical="center"/>
    </xf>
    <xf numFmtId="2" fontId="3" fillId="10" borderId="35" xfId="0" applyNumberFormat="1" applyFont="1" applyFill="1" applyBorder="1" applyAlignment="1">
      <alignment horizontal="center" vertical="center"/>
    </xf>
    <xf numFmtId="2" fontId="36" fillId="24" borderId="35" xfId="0" applyNumberFormat="1" applyFont="1" applyFill="1" applyBorder="1" applyAlignment="1">
      <alignment horizontal="center" vertical="center"/>
    </xf>
    <xf numFmtId="2" fontId="36" fillId="24" borderId="2" xfId="0" applyNumberFormat="1" applyFont="1" applyFill="1" applyBorder="1" applyAlignment="1">
      <alignment horizontal="center" vertical="center"/>
    </xf>
    <xf numFmtId="2" fontId="36" fillId="24" borderId="0" xfId="0" applyNumberFormat="1" applyFont="1" applyFill="1" applyBorder="1" applyAlignment="1">
      <alignment horizontal="center" vertical="center"/>
    </xf>
    <xf numFmtId="2" fontId="36" fillId="24" borderId="17" xfId="0" applyNumberFormat="1" applyFont="1" applyFill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1" fontId="3" fillId="0" borderId="0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64" fontId="3" fillId="10" borderId="20" xfId="0" applyNumberFormat="1" applyFont="1" applyFill="1" applyBorder="1" applyAlignment="1">
      <alignment horizontal="center" vertical="center"/>
    </xf>
    <xf numFmtId="2" fontId="3" fillId="10" borderId="21" xfId="0" applyNumberFormat="1" applyFont="1" applyFill="1" applyBorder="1" applyAlignment="1">
      <alignment horizontal="center" vertical="center"/>
    </xf>
    <xf numFmtId="164" fontId="3" fillId="10" borderId="22" xfId="0" applyNumberFormat="1" applyFont="1" applyFill="1" applyBorder="1" applyAlignment="1">
      <alignment horizontal="center" vertical="center"/>
    </xf>
    <xf numFmtId="164" fontId="3" fillId="10" borderId="17" xfId="0" applyNumberFormat="1" applyFont="1" applyFill="1" applyBorder="1" applyAlignment="1">
      <alignment horizontal="center" vertical="center"/>
    </xf>
    <xf numFmtId="164" fontId="3" fillId="10" borderId="23" xfId="0" applyNumberFormat="1" applyFont="1" applyFill="1" applyBorder="1" applyAlignment="1">
      <alignment horizontal="center" vertical="center"/>
    </xf>
    <xf numFmtId="164" fontId="3" fillId="30" borderId="20" xfId="0" applyNumberFormat="1" applyFont="1" applyFill="1" applyBorder="1" applyAlignment="1">
      <alignment horizontal="center" vertical="center"/>
    </xf>
    <xf numFmtId="2" fontId="3" fillId="30" borderId="21" xfId="0" applyNumberFormat="1" applyFont="1" applyFill="1" applyBorder="1" applyAlignment="1">
      <alignment horizontal="center" vertical="center"/>
    </xf>
    <xf numFmtId="164" fontId="3" fillId="30" borderId="22" xfId="0" applyNumberFormat="1" applyFont="1" applyFill="1" applyBorder="1" applyAlignment="1">
      <alignment horizontal="center" vertical="center"/>
    </xf>
    <xf numFmtId="164" fontId="3" fillId="30" borderId="17" xfId="0" applyNumberFormat="1" applyFont="1" applyFill="1" applyBorder="1" applyAlignment="1">
      <alignment horizontal="center" vertical="center"/>
    </xf>
    <xf numFmtId="164" fontId="3" fillId="30" borderId="23" xfId="0" applyNumberFormat="1" applyFont="1" applyFill="1" applyBorder="1" applyAlignment="1">
      <alignment horizontal="center" vertical="center"/>
    </xf>
    <xf numFmtId="2" fontId="3" fillId="30" borderId="19" xfId="0" applyNumberFormat="1" applyFont="1" applyFill="1" applyBorder="1" applyAlignment="1">
      <alignment horizontal="center" vertical="center"/>
    </xf>
    <xf numFmtId="164" fontId="3" fillId="30" borderId="24" xfId="0" applyNumberFormat="1" applyFont="1" applyFill="1" applyBorder="1" applyAlignment="1">
      <alignment horizontal="center" vertical="center"/>
    </xf>
    <xf numFmtId="164" fontId="3" fillId="30" borderId="36" xfId="0" applyNumberFormat="1" applyFont="1" applyFill="1" applyBorder="1" applyAlignment="1">
      <alignment horizontal="center" vertical="center"/>
    </xf>
    <xf numFmtId="164" fontId="3" fillId="10" borderId="21" xfId="0" applyNumberFormat="1" applyFont="1" applyFill="1" applyBorder="1" applyAlignment="1">
      <alignment horizontal="center" vertical="center"/>
    </xf>
    <xf numFmtId="164" fontId="3" fillId="10" borderId="61" xfId="0" applyNumberFormat="1" applyFont="1" applyFill="1" applyBorder="1" applyAlignment="1">
      <alignment horizontal="center" vertical="center"/>
    </xf>
    <xf numFmtId="164" fontId="3" fillId="10" borderId="0" xfId="0" applyNumberFormat="1" applyFont="1" applyFill="1" applyBorder="1" applyAlignment="1">
      <alignment horizontal="center" vertical="center"/>
    </xf>
    <xf numFmtId="164" fontId="3" fillId="10" borderId="12" xfId="0" applyNumberFormat="1" applyFont="1" applyFill="1" applyBorder="1" applyAlignment="1">
      <alignment horizontal="center" vertical="center"/>
    </xf>
    <xf numFmtId="164" fontId="3" fillId="30" borderId="0" xfId="0" applyNumberFormat="1" applyFont="1" applyFill="1" applyBorder="1" applyAlignment="1">
      <alignment horizontal="center" vertical="center"/>
    </xf>
    <xf numFmtId="164" fontId="3" fillId="31" borderId="0" xfId="0" applyNumberFormat="1" applyFont="1" applyFill="1" applyBorder="1" applyAlignment="1">
      <alignment horizontal="center" vertical="center"/>
    </xf>
    <xf numFmtId="164" fontId="3" fillId="31" borderId="12" xfId="0" applyNumberFormat="1" applyFont="1" applyFill="1" applyBorder="1" applyAlignment="1">
      <alignment horizontal="center" vertical="center"/>
    </xf>
    <xf numFmtId="164" fontId="3" fillId="31" borderId="21" xfId="0" applyNumberFormat="1" applyFont="1" applyFill="1" applyBorder="1" applyAlignment="1">
      <alignment horizontal="center" vertical="center"/>
    </xf>
    <xf numFmtId="2" fontId="3" fillId="31" borderId="21" xfId="0" applyNumberFormat="1" applyFont="1" applyFill="1" applyBorder="1" applyAlignment="1">
      <alignment horizontal="center" vertical="center"/>
    </xf>
    <xf numFmtId="164" fontId="3" fillId="31" borderId="19" xfId="0" applyNumberFormat="1" applyFont="1" applyFill="1" applyBorder="1" applyAlignment="1">
      <alignment horizontal="center" vertical="center"/>
    </xf>
    <xf numFmtId="2" fontId="3" fillId="31" borderId="19" xfId="0" applyNumberFormat="1" applyFont="1" applyFill="1" applyBorder="1" applyAlignment="1">
      <alignment horizontal="center" vertical="center"/>
    </xf>
    <xf numFmtId="164" fontId="3" fillId="31" borderId="2" xfId="0" applyNumberFormat="1" applyFont="1" applyFill="1" applyBorder="1" applyAlignment="1">
      <alignment horizontal="center" vertical="center"/>
    </xf>
    <xf numFmtId="2" fontId="3" fillId="21" borderId="21" xfId="0" applyNumberFormat="1" applyFont="1" applyFill="1" applyBorder="1" applyAlignment="1">
      <alignment horizontal="center" vertical="center"/>
    </xf>
    <xf numFmtId="164" fontId="3" fillId="21" borderId="61" xfId="0" applyNumberFormat="1" applyFont="1" applyFill="1" applyBorder="1" applyAlignment="1">
      <alignment horizontal="center" vertical="center"/>
    </xf>
    <xf numFmtId="164" fontId="3" fillId="21" borderId="12" xfId="0" applyNumberFormat="1" applyFont="1" applyFill="1" applyBorder="1" applyAlignment="1">
      <alignment horizontal="center" vertical="center"/>
    </xf>
    <xf numFmtId="2" fontId="3" fillId="21" borderId="19" xfId="0" applyNumberFormat="1" applyFont="1" applyFill="1" applyBorder="1" applyAlignment="1">
      <alignment horizontal="center" vertical="center"/>
    </xf>
    <xf numFmtId="164" fontId="3" fillId="21" borderId="58" xfId="0" applyNumberFormat="1" applyFont="1" applyFill="1" applyBorder="1" applyAlignment="1">
      <alignment horizontal="center" vertical="center"/>
    </xf>
    <xf numFmtId="164" fontId="3" fillId="21" borderId="15" xfId="0" applyNumberFormat="1" applyFont="1" applyFill="1" applyBorder="1" applyAlignment="1">
      <alignment horizontal="center" vertical="center"/>
    </xf>
    <xf numFmtId="164" fontId="3" fillId="30" borderId="18" xfId="0" applyNumberFormat="1" applyFont="1" applyFill="1" applyBorder="1" applyAlignment="1">
      <alignment horizontal="center" vertical="center"/>
    </xf>
    <xf numFmtId="164" fontId="3" fillId="21" borderId="20" xfId="0" applyNumberFormat="1" applyFont="1" applyFill="1" applyBorder="1" applyAlignment="1">
      <alignment horizontal="center" vertical="center"/>
    </xf>
    <xf numFmtId="164" fontId="3" fillId="21" borderId="17" xfId="0" applyNumberFormat="1" applyFont="1" applyFill="1" applyBorder="1" applyAlignment="1">
      <alignment horizontal="center" vertical="center"/>
    </xf>
    <xf numFmtId="164" fontId="3" fillId="21" borderId="18" xfId="0" applyNumberFormat="1" applyFont="1" applyFill="1" applyBorder="1" applyAlignment="1">
      <alignment horizontal="center" vertical="center"/>
    </xf>
    <xf numFmtId="164" fontId="3" fillId="30" borderId="35" xfId="0" applyNumberFormat="1" applyFont="1" applyFill="1" applyBorder="1" applyAlignment="1">
      <alignment horizontal="center" vertical="center"/>
    </xf>
    <xf numFmtId="164" fontId="3" fillId="21" borderId="35" xfId="0" applyNumberFormat="1" applyFont="1" applyFill="1" applyBorder="1" applyAlignment="1">
      <alignment horizontal="center" vertical="center"/>
    </xf>
    <xf numFmtId="1" fontId="3" fillId="0" borderId="23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1" fontId="3" fillId="0" borderId="12" xfId="0" applyNumberFormat="1" applyFont="1" applyBorder="1" applyAlignment="1">
      <alignment horizontal="center" vertical="center"/>
    </xf>
    <xf numFmtId="1" fontId="3" fillId="0" borderId="17" xfId="0" applyNumberFormat="1" applyFont="1" applyBorder="1" applyAlignment="1">
      <alignment horizontal="center" vertical="center"/>
    </xf>
    <xf numFmtId="1" fontId="3" fillId="0" borderId="18" xfId="0" applyNumberFormat="1" applyFont="1" applyBorder="1" applyAlignment="1">
      <alignment horizontal="center" vertical="center"/>
    </xf>
    <xf numFmtId="0" fontId="15" fillId="0" borderId="23" xfId="0" applyFont="1" applyBorder="1" applyAlignment="1">
      <alignment horizontal="center"/>
    </xf>
    <xf numFmtId="164" fontId="19" fillId="0" borderId="19" xfId="0" applyNumberFormat="1" applyFont="1" applyBorder="1" applyAlignment="1">
      <alignment horizontal="center" vertical="center"/>
    </xf>
    <xf numFmtId="0" fontId="15" fillId="0" borderId="12" xfId="0" applyFont="1" applyBorder="1" applyAlignment="1">
      <alignment horizontal="center"/>
    </xf>
    <xf numFmtId="0" fontId="15" fillId="0" borderId="16" xfId="0" applyFont="1" applyBorder="1" applyAlignment="1">
      <alignment horizontal="center"/>
    </xf>
    <xf numFmtId="0" fontId="19" fillId="0" borderId="16" xfId="0" applyFont="1" applyBorder="1" applyAlignment="1">
      <alignment horizontal="center" vertical="center"/>
    </xf>
    <xf numFmtId="164" fontId="3" fillId="0" borderId="16" xfId="0" applyNumberFormat="1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0" fontId="15" fillId="0" borderId="67" xfId="0" applyFont="1" applyBorder="1" applyAlignment="1">
      <alignment horizontal="center"/>
    </xf>
    <xf numFmtId="0" fontId="19" fillId="0" borderId="67" xfId="0" applyFont="1" applyBorder="1" applyAlignment="1">
      <alignment horizontal="center" vertical="center"/>
    </xf>
    <xf numFmtId="164" fontId="3" fillId="0" borderId="67" xfId="0" applyNumberFormat="1" applyFont="1" applyBorder="1" applyAlignment="1">
      <alignment horizontal="center" vertical="center"/>
    </xf>
    <xf numFmtId="0" fontId="19" fillId="0" borderId="39" xfId="0" applyFont="1" applyBorder="1" applyAlignment="1">
      <alignment horizontal="center" vertical="center"/>
    </xf>
    <xf numFmtId="164" fontId="7" fillId="2" borderId="1" xfId="0" applyNumberFormat="1" applyFon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4" xfId="0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37" fillId="2" borderId="1" xfId="0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9" fillId="2" borderId="1" xfId="0" applyFont="1" applyFill="1" applyBorder="1" applyAlignment="1">
      <alignment horizontal="center" vertical="center"/>
    </xf>
    <xf numFmtId="2" fontId="4" fillId="2" borderId="0" xfId="0" applyNumberFormat="1" applyFont="1" applyFill="1" applyAlignment="1">
      <alignment horizontal="center"/>
    </xf>
    <xf numFmtId="2" fontId="11" fillId="2" borderId="0" xfId="0" applyNumberFormat="1" applyFont="1" applyFill="1" applyAlignment="1">
      <alignment horizontal="center"/>
    </xf>
    <xf numFmtId="2" fontId="3" fillId="2" borderId="0" xfId="0" applyNumberFormat="1" applyFont="1" applyFill="1"/>
    <xf numFmtId="0" fontId="4" fillId="0" borderId="14" xfId="0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164" fontId="3" fillId="30" borderId="19" xfId="0" applyNumberFormat="1" applyFont="1" applyFill="1" applyBorder="1" applyAlignment="1">
      <alignment horizontal="center" vertical="center"/>
    </xf>
    <xf numFmtId="164" fontId="3" fillId="21" borderId="19" xfId="0" applyNumberFormat="1" applyFont="1" applyFill="1" applyBorder="1" applyAlignment="1">
      <alignment horizontal="center" vertical="center"/>
    </xf>
    <xf numFmtId="164" fontId="3" fillId="31" borderId="18" xfId="0" applyNumberFormat="1" applyFont="1" applyFill="1" applyBorder="1" applyAlignment="1">
      <alignment horizontal="center" vertical="center"/>
    </xf>
    <xf numFmtId="164" fontId="3" fillId="31" borderId="24" xfId="0" applyNumberFormat="1" applyFont="1" applyFill="1" applyBorder="1" applyAlignment="1">
      <alignment horizontal="center" vertical="center"/>
    </xf>
    <xf numFmtId="2" fontId="1" fillId="16" borderId="8" xfId="0" applyNumberFormat="1" applyFont="1" applyFill="1" applyBorder="1" applyAlignment="1">
      <alignment horizontal="center" vertical="center"/>
    </xf>
    <xf numFmtId="2" fontId="1" fillId="16" borderId="6" xfId="0" applyNumberFormat="1" applyFont="1" applyFill="1" applyBorder="1" applyAlignment="1">
      <alignment horizontal="center" vertical="center"/>
    </xf>
    <xf numFmtId="1" fontId="40" fillId="0" borderId="17" xfId="0" applyNumberFormat="1" applyFont="1" applyBorder="1" applyAlignment="1">
      <alignment horizontal="center" vertical="center"/>
    </xf>
    <xf numFmtId="2" fontId="40" fillId="0" borderId="23" xfId="0" applyNumberFormat="1" applyFont="1" applyBorder="1" applyAlignment="1">
      <alignment horizontal="center" vertical="center"/>
    </xf>
    <xf numFmtId="0" fontId="40" fillId="0" borderId="17" xfId="0" applyFont="1" applyBorder="1" applyAlignment="1">
      <alignment horizontal="center" vertical="center"/>
    </xf>
    <xf numFmtId="0" fontId="40" fillId="0" borderId="18" xfId="0" applyFont="1" applyBorder="1" applyAlignment="1">
      <alignment horizontal="center" vertical="center"/>
    </xf>
    <xf numFmtId="2" fontId="40" fillId="0" borderId="24" xfId="0" applyNumberFormat="1" applyFont="1" applyBorder="1" applyAlignment="1">
      <alignment horizontal="center" vertical="center"/>
    </xf>
    <xf numFmtId="0" fontId="4" fillId="2" borderId="0" xfId="0" applyFont="1" applyFill="1" applyBorder="1" applyAlignment="1">
      <alignment vertical="center"/>
    </xf>
    <xf numFmtId="0" fontId="4" fillId="2" borderId="0" xfId="0" applyFont="1" applyFill="1" applyBorder="1" applyAlignment="1">
      <alignment horizontal="center"/>
    </xf>
    <xf numFmtId="2" fontId="40" fillId="0" borderId="1" xfId="0" applyNumberFormat="1" applyFont="1" applyBorder="1" applyAlignment="1">
      <alignment horizontal="center" vertical="center"/>
    </xf>
    <xf numFmtId="2" fontId="41" fillId="0" borderId="1" xfId="0" applyNumberFormat="1" applyFont="1" applyBorder="1" applyAlignment="1">
      <alignment horizontal="center" vertical="center"/>
    </xf>
    <xf numFmtId="2" fontId="42" fillId="18" borderId="29" xfId="0" applyNumberFormat="1" applyFont="1" applyFill="1" applyBorder="1" applyAlignment="1">
      <alignment horizontal="center" vertical="center"/>
    </xf>
    <xf numFmtId="164" fontId="22" fillId="0" borderId="0" xfId="0" applyNumberFormat="1" applyFont="1" applyBorder="1" applyAlignment="1">
      <alignment horizontal="center" vertical="center"/>
    </xf>
    <xf numFmtId="2" fontId="40" fillId="0" borderId="0" xfId="0" applyNumberFormat="1" applyFont="1" applyBorder="1" applyAlignment="1">
      <alignment horizontal="center" vertical="center"/>
    </xf>
    <xf numFmtId="2" fontId="41" fillId="0" borderId="0" xfId="0" applyNumberFormat="1" applyFont="1" applyBorder="1" applyAlignment="1">
      <alignment horizontal="center" vertical="center"/>
    </xf>
    <xf numFmtId="2" fontId="12" fillId="0" borderId="0" xfId="0" applyNumberFormat="1" applyFont="1" applyBorder="1" applyAlignment="1">
      <alignment horizontal="center" vertical="center"/>
    </xf>
    <xf numFmtId="2" fontId="12" fillId="18" borderId="0" xfId="0" applyNumberFormat="1" applyFont="1" applyFill="1" applyBorder="1" applyAlignment="1">
      <alignment horizontal="center" vertical="center"/>
    </xf>
    <xf numFmtId="2" fontId="42" fillId="18" borderId="23" xfId="0" applyNumberFormat="1" applyFont="1" applyFill="1" applyBorder="1" applyAlignment="1">
      <alignment horizontal="center" vertical="center"/>
    </xf>
    <xf numFmtId="164" fontId="22" fillId="0" borderId="19" xfId="0" applyNumberFormat="1" applyFont="1" applyBorder="1" applyAlignment="1">
      <alignment horizontal="center" vertical="center"/>
    </xf>
    <xf numFmtId="2" fontId="40" fillId="0" borderId="19" xfId="0" applyNumberFormat="1" applyFont="1" applyBorder="1" applyAlignment="1">
      <alignment horizontal="center" vertical="center"/>
    </xf>
    <xf numFmtId="2" fontId="3" fillId="18" borderId="19" xfId="0" applyNumberFormat="1" applyFont="1" applyFill="1" applyBorder="1" applyAlignment="1">
      <alignment horizontal="center"/>
    </xf>
    <xf numFmtId="2" fontId="3" fillId="18" borderId="24" xfId="0" applyNumberFormat="1" applyFont="1" applyFill="1" applyBorder="1" applyAlignment="1">
      <alignment horizontal="center"/>
    </xf>
    <xf numFmtId="0" fontId="4" fillId="2" borderId="14" xfId="0" applyFont="1" applyFill="1" applyBorder="1" applyAlignment="1">
      <alignment horizontal="center"/>
    </xf>
    <xf numFmtId="164" fontId="7" fillId="2" borderId="14" xfId="0" applyNumberFormat="1" applyFont="1" applyFill="1" applyBorder="1" applyAlignment="1">
      <alignment horizontal="center"/>
    </xf>
    <xf numFmtId="164" fontId="22" fillId="10" borderId="0" xfId="0" applyNumberFormat="1" applyFont="1" applyFill="1" applyBorder="1" applyAlignment="1">
      <alignment horizontal="center" vertical="center"/>
    </xf>
    <xf numFmtId="0" fontId="26" fillId="2" borderId="0" xfId="0" applyFont="1" applyFill="1" applyBorder="1" applyAlignment="1">
      <alignment horizontal="center"/>
    </xf>
    <xf numFmtId="165" fontId="3" fillId="0" borderId="19" xfId="0" applyNumberFormat="1" applyFont="1" applyBorder="1" applyAlignment="1">
      <alignment horizontal="center" vertical="center"/>
    </xf>
    <xf numFmtId="164" fontId="22" fillId="10" borderId="19" xfId="0" applyNumberFormat="1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/>
    </xf>
    <xf numFmtId="164" fontId="7" fillId="2" borderId="24" xfId="0" applyNumberFormat="1" applyFont="1" applyFill="1" applyBorder="1" applyAlignment="1">
      <alignment horizontal="center"/>
    </xf>
    <xf numFmtId="164" fontId="15" fillId="0" borderId="22" xfId="0" applyNumberFormat="1" applyFont="1" applyBorder="1" applyAlignment="1">
      <alignment horizontal="center" vertical="center"/>
    </xf>
    <xf numFmtId="164" fontId="15" fillId="0" borderId="23" xfId="0" applyNumberFormat="1" applyFont="1" applyBorder="1" applyAlignment="1">
      <alignment horizontal="center" vertical="center"/>
    </xf>
    <xf numFmtId="164" fontId="15" fillId="0" borderId="24" xfId="0" applyNumberFormat="1" applyFont="1" applyBorder="1" applyAlignment="1">
      <alignment horizontal="center" vertical="center"/>
    </xf>
    <xf numFmtId="164" fontId="3" fillId="0" borderId="18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61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2" fontId="3" fillId="0" borderId="58" xfId="0" applyNumberFormat="1" applyFont="1" applyBorder="1" applyAlignment="1">
      <alignment horizontal="center" vertical="center"/>
    </xf>
    <xf numFmtId="0" fontId="3" fillId="0" borderId="67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4" fillId="17" borderId="14" xfId="0" applyFont="1" applyFill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164" fontId="15" fillId="0" borderId="0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164" fontId="3" fillId="0" borderId="14" xfId="0" applyNumberFormat="1" applyFont="1" applyBorder="1" applyAlignment="1">
      <alignment horizontal="center" vertical="center"/>
    </xf>
    <xf numFmtId="1" fontId="19" fillId="0" borderId="12" xfId="0" applyNumberFormat="1" applyFont="1" applyBorder="1" applyAlignment="1">
      <alignment horizontal="center" vertical="center"/>
    </xf>
    <xf numFmtId="1" fontId="19" fillId="0" borderId="23" xfId="0" applyNumberFormat="1" applyFont="1" applyBorder="1" applyAlignment="1">
      <alignment horizontal="center" vertical="center"/>
    </xf>
    <xf numFmtId="1" fontId="19" fillId="0" borderId="24" xfId="0" applyNumberFormat="1" applyFont="1" applyBorder="1" applyAlignment="1">
      <alignment horizontal="center" vertical="center"/>
    </xf>
    <xf numFmtId="1" fontId="19" fillId="0" borderId="58" xfId="0" applyNumberFormat="1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1" fontId="12" fillId="0" borderId="12" xfId="0" applyNumberFormat="1" applyFont="1" applyBorder="1" applyAlignment="1">
      <alignment horizontal="center" vertical="center"/>
    </xf>
    <xf numFmtId="164" fontId="12" fillId="0" borderId="0" xfId="0" applyNumberFormat="1" applyFont="1" applyBorder="1" applyAlignment="1">
      <alignment horizontal="center" vertical="center"/>
    </xf>
    <xf numFmtId="0" fontId="43" fillId="0" borderId="16" xfId="0" applyFont="1" applyBorder="1" applyAlignment="1">
      <alignment horizontal="center" vertical="center"/>
    </xf>
    <xf numFmtId="2" fontId="43" fillId="0" borderId="0" xfId="0" applyNumberFormat="1" applyFont="1" applyBorder="1" applyAlignment="1">
      <alignment horizontal="center" vertical="center"/>
    </xf>
    <xf numFmtId="164" fontId="43" fillId="0" borderId="0" xfId="0" applyNumberFormat="1" applyFont="1" applyBorder="1" applyAlignment="1">
      <alignment horizontal="center" vertical="center"/>
    </xf>
    <xf numFmtId="1" fontId="43" fillId="0" borderId="23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164" fontId="19" fillId="0" borderId="67" xfId="0" applyNumberFormat="1" applyFont="1" applyBorder="1" applyAlignment="1">
      <alignment horizontal="center" vertical="center"/>
    </xf>
    <xf numFmtId="0" fontId="12" fillId="0" borderId="67" xfId="0" applyFont="1" applyBorder="1" applyAlignment="1">
      <alignment horizontal="center" vertical="center"/>
    </xf>
    <xf numFmtId="1" fontId="12" fillId="0" borderId="23" xfId="0" applyNumberFormat="1" applyFont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1" fontId="40" fillId="10" borderId="16" xfId="0" applyNumberFormat="1" applyFont="1" applyFill="1" applyBorder="1" applyAlignment="1">
      <alignment horizontal="center" vertical="center"/>
    </xf>
    <xf numFmtId="1" fontId="40" fillId="10" borderId="14" xfId="0" applyNumberFormat="1" applyFont="1" applyFill="1" applyBorder="1" applyAlignment="1">
      <alignment horizontal="center" vertical="center"/>
    </xf>
    <xf numFmtId="2" fontId="3" fillId="0" borderId="8" xfId="0" applyNumberFormat="1" applyFont="1" applyBorder="1" applyAlignment="1">
      <alignment horizontal="center" vertical="center"/>
    </xf>
    <xf numFmtId="0" fontId="3" fillId="2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1" fontId="3" fillId="0" borderId="68" xfId="0" applyNumberFormat="1" applyFont="1" applyBorder="1" applyAlignment="1">
      <alignment horizontal="center" vertical="center"/>
    </xf>
    <xf numFmtId="1" fontId="3" fillId="0" borderId="45" xfId="0" applyNumberFormat="1" applyFont="1" applyBorder="1" applyAlignment="1">
      <alignment horizontal="center" vertical="center"/>
    </xf>
    <xf numFmtId="164" fontId="3" fillId="0" borderId="68" xfId="0" applyNumberFormat="1" applyFont="1" applyBorder="1" applyAlignment="1">
      <alignment horizontal="center" vertical="center"/>
    </xf>
    <xf numFmtId="164" fontId="3" fillId="0" borderId="45" xfId="0" applyNumberFormat="1" applyFont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" fontId="3" fillId="0" borderId="0" xfId="0" applyNumberFormat="1" applyFont="1" applyBorder="1" applyAlignment="1">
      <alignment horizontal="center"/>
    </xf>
    <xf numFmtId="1" fontId="3" fillId="0" borderId="68" xfId="0" applyNumberFormat="1" applyFont="1" applyBorder="1" applyAlignment="1">
      <alignment horizontal="center"/>
    </xf>
    <xf numFmtId="1" fontId="3" fillId="0" borderId="45" xfId="0" applyNumberFormat="1" applyFont="1" applyBorder="1" applyAlignment="1">
      <alignment horizontal="center"/>
    </xf>
    <xf numFmtId="1" fontId="3" fillId="0" borderId="2" xfId="0" applyNumberFormat="1" applyFont="1" applyBorder="1" applyAlignment="1">
      <alignment horizontal="center"/>
    </xf>
    <xf numFmtId="164" fontId="3" fillId="0" borderId="68" xfId="0" applyNumberFormat="1" applyFont="1" applyBorder="1" applyAlignment="1">
      <alignment horizontal="center"/>
    </xf>
    <xf numFmtId="164" fontId="3" fillId="0" borderId="45" xfId="0" applyNumberFormat="1" applyFont="1" applyBorder="1" applyAlignment="1">
      <alignment horizontal="center"/>
    </xf>
    <xf numFmtId="0" fontId="3" fillId="2" borderId="1" xfId="0" applyFont="1" applyFill="1" applyBorder="1"/>
    <xf numFmtId="2" fontId="44" fillId="0" borderId="75" xfId="0" applyNumberFormat="1" applyFont="1" applyBorder="1" applyAlignment="1">
      <alignment horizontal="center" vertical="center"/>
    </xf>
    <xf numFmtId="164" fontId="44" fillId="0" borderId="75" xfId="0" applyNumberFormat="1" applyFont="1" applyBorder="1" applyAlignment="1">
      <alignment horizontal="center" vertical="center"/>
    </xf>
    <xf numFmtId="2" fontId="19" fillId="0" borderId="19" xfId="0" applyNumberFormat="1" applyFont="1" applyBorder="1" applyAlignment="1">
      <alignment horizontal="center" vertical="center"/>
    </xf>
    <xf numFmtId="0" fontId="44" fillId="0" borderId="30" xfId="0" applyFont="1" applyBorder="1" applyAlignment="1">
      <alignment horizontal="center" vertical="center"/>
    </xf>
    <xf numFmtId="0" fontId="44" fillId="0" borderId="31" xfId="0" applyFont="1" applyBorder="1" applyAlignment="1">
      <alignment horizontal="center" vertical="center"/>
    </xf>
    <xf numFmtId="0" fontId="44" fillId="0" borderId="34" xfId="0" applyFont="1" applyBorder="1" applyAlignment="1">
      <alignment horizontal="center" vertical="center"/>
    </xf>
    <xf numFmtId="0" fontId="44" fillId="0" borderId="44" xfId="0" applyFont="1" applyBorder="1" applyAlignment="1">
      <alignment horizontal="center" vertical="center"/>
    </xf>
    <xf numFmtId="1" fontId="44" fillId="0" borderId="55" xfId="0" applyNumberFormat="1" applyFont="1" applyBorder="1" applyAlignment="1">
      <alignment horizontal="center" vertical="center"/>
    </xf>
    <xf numFmtId="1" fontId="44" fillId="0" borderId="76" xfId="0" applyNumberFormat="1" applyFont="1" applyBorder="1" applyAlignment="1">
      <alignment horizontal="center" vertical="center"/>
    </xf>
    <xf numFmtId="2" fontId="12" fillId="0" borderId="21" xfId="0" applyNumberFormat="1" applyFont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 textRotation="90"/>
    </xf>
    <xf numFmtId="0" fontId="3" fillId="3" borderId="4" xfId="0" applyFont="1" applyFill="1" applyBorder="1" applyAlignment="1">
      <alignment horizontal="center" vertical="center" textRotation="90"/>
    </xf>
    <xf numFmtId="0" fontId="4" fillId="2" borderId="69" xfId="0" applyFont="1" applyFill="1" applyBorder="1" applyAlignment="1">
      <alignment horizontal="center" vertical="center"/>
    </xf>
    <xf numFmtId="0" fontId="4" fillId="2" borderId="70" xfId="0" applyFont="1" applyFill="1" applyBorder="1" applyAlignment="1">
      <alignment horizontal="center" vertical="center"/>
    </xf>
    <xf numFmtId="0" fontId="2" fillId="27" borderId="5" xfId="0" applyFont="1" applyFill="1" applyBorder="1" applyAlignment="1">
      <alignment horizontal="center" vertical="center"/>
    </xf>
    <xf numFmtId="0" fontId="2" fillId="27" borderId="10" xfId="0" applyFont="1" applyFill="1" applyBorder="1" applyAlignment="1">
      <alignment horizontal="center" vertical="center"/>
    </xf>
    <xf numFmtId="0" fontId="2" fillId="27" borderId="9" xfId="0" applyFont="1" applyFill="1" applyBorder="1" applyAlignment="1">
      <alignment horizontal="center" vertical="center"/>
    </xf>
    <xf numFmtId="0" fontId="2" fillId="27" borderId="11" xfId="0" applyFont="1" applyFill="1" applyBorder="1" applyAlignment="1">
      <alignment horizontal="center" vertical="center"/>
    </xf>
    <xf numFmtId="0" fontId="2" fillId="27" borderId="2" xfId="0" applyFont="1" applyFill="1" applyBorder="1" applyAlignment="1">
      <alignment horizontal="center" vertical="center"/>
    </xf>
    <xf numFmtId="0" fontId="2" fillId="27" borderId="15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9" borderId="10" xfId="0" applyFont="1" applyFill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9" borderId="11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9" borderId="15" xfId="0" applyFont="1" applyFill="1" applyBorder="1" applyAlignment="1">
      <alignment horizontal="center" vertical="center"/>
    </xf>
    <xf numFmtId="0" fontId="6" fillId="25" borderId="28" xfId="0" applyFont="1" applyFill="1" applyBorder="1" applyAlignment="1">
      <alignment horizontal="center" vertical="center"/>
    </xf>
    <xf numFmtId="0" fontId="6" fillId="25" borderId="1" xfId="0" applyFont="1" applyFill="1" applyBorder="1" applyAlignment="1">
      <alignment horizontal="center" vertical="center"/>
    </xf>
    <xf numFmtId="0" fontId="6" fillId="25" borderId="29" xfId="0" applyFont="1" applyFill="1" applyBorder="1" applyAlignment="1">
      <alignment horizontal="center" vertical="center"/>
    </xf>
    <xf numFmtId="0" fontId="6" fillId="14" borderId="28" xfId="0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 vertical="center"/>
    </xf>
    <xf numFmtId="0" fontId="6" fillId="14" borderId="29" xfId="0" applyFont="1" applyFill="1" applyBorder="1" applyAlignment="1">
      <alignment horizontal="center" vertical="center"/>
    </xf>
    <xf numFmtId="0" fontId="1" fillId="8" borderId="25" xfId="0" applyFont="1" applyFill="1" applyBorder="1" applyAlignment="1">
      <alignment horizontal="center" vertical="center"/>
    </xf>
    <xf numFmtId="0" fontId="1" fillId="8" borderId="26" xfId="0" applyFont="1" applyFill="1" applyBorder="1" applyAlignment="1">
      <alignment horizontal="center" vertical="center"/>
    </xf>
    <xf numFmtId="0" fontId="1" fillId="8" borderId="27" xfId="0" applyFont="1" applyFill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40" xfId="0" applyFont="1" applyBorder="1" applyAlignment="1">
      <alignment horizontal="center" vertical="center" wrapText="1"/>
    </xf>
    <xf numFmtId="0" fontId="4" fillId="0" borderId="29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 wrapText="1"/>
    </xf>
    <xf numFmtId="0" fontId="4" fillId="0" borderId="28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/>
    </xf>
    <xf numFmtId="0" fontId="1" fillId="8" borderId="1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1" fillId="7" borderId="1" xfId="0" applyFont="1" applyFill="1" applyBorder="1" applyAlignment="1">
      <alignment horizontal="left" vertical="center"/>
    </xf>
    <xf numFmtId="0" fontId="4" fillId="0" borderId="8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left" vertical="center"/>
    </xf>
    <xf numFmtId="0" fontId="2" fillId="9" borderId="1" xfId="0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2" fillId="2" borderId="1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4" fillId="16" borderId="41" xfId="0" applyFont="1" applyFill="1" applyBorder="1" applyAlignment="1">
      <alignment horizontal="center" vertical="center"/>
    </xf>
    <xf numFmtId="0" fontId="4" fillId="16" borderId="42" xfId="0" applyFont="1" applyFill="1" applyBorder="1" applyAlignment="1">
      <alignment horizontal="center" vertical="center"/>
    </xf>
    <xf numFmtId="0" fontId="4" fillId="16" borderId="49" xfId="0" applyFont="1" applyFill="1" applyBorder="1" applyAlignment="1">
      <alignment horizontal="center" vertical="center"/>
    </xf>
    <xf numFmtId="0" fontId="4" fillId="16" borderId="43" xfId="0" applyFont="1" applyFill="1" applyBorder="1" applyAlignment="1">
      <alignment horizontal="center" vertical="center"/>
    </xf>
    <xf numFmtId="0" fontId="4" fillId="0" borderId="51" xfId="0" applyFont="1" applyBorder="1" applyAlignment="1">
      <alignment horizontal="center" vertical="center"/>
    </xf>
    <xf numFmtId="0" fontId="4" fillId="0" borderId="50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5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59" xfId="0" applyFont="1" applyBorder="1" applyAlignment="1">
      <alignment horizontal="center" vertical="center"/>
    </xf>
    <xf numFmtId="0" fontId="4" fillId="0" borderId="55" xfId="0" applyFont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10" borderId="9" xfId="0" applyFont="1" applyFill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 wrapText="1"/>
    </xf>
    <xf numFmtId="0" fontId="1" fillId="0" borderId="32" xfId="0" applyFont="1" applyBorder="1" applyAlignment="1">
      <alignment horizontal="center" vertical="center" wrapText="1"/>
    </xf>
    <xf numFmtId="0" fontId="4" fillId="28" borderId="41" xfId="0" applyFont="1" applyFill="1" applyBorder="1" applyAlignment="1">
      <alignment horizontal="center" vertical="center"/>
    </xf>
    <xf numFmtId="0" fontId="4" fillId="28" borderId="42" xfId="0" applyFont="1" applyFill="1" applyBorder="1" applyAlignment="1">
      <alignment horizontal="center" vertical="center"/>
    </xf>
    <xf numFmtId="0" fontId="4" fillId="28" borderId="49" xfId="0" applyFont="1" applyFill="1" applyBorder="1" applyAlignment="1">
      <alignment horizontal="center" vertical="center"/>
    </xf>
    <xf numFmtId="0" fontId="4" fillId="28" borderId="43" xfId="0" applyFont="1" applyFill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62" xfId="0" applyFont="1" applyBorder="1" applyAlignment="1">
      <alignment horizontal="center" vertical="center"/>
    </xf>
    <xf numFmtId="0" fontId="4" fillId="0" borderId="63" xfId="0" applyFont="1" applyBorder="1" applyAlignment="1">
      <alignment horizontal="center" vertical="center"/>
    </xf>
    <xf numFmtId="0" fontId="4" fillId="0" borderId="64" xfId="0" applyFont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4" fillId="23" borderId="41" xfId="0" applyFont="1" applyFill="1" applyBorder="1" applyAlignment="1">
      <alignment horizontal="center" vertical="center"/>
    </xf>
    <xf numFmtId="0" fontId="4" fillId="23" borderId="42" xfId="0" applyFont="1" applyFill="1" applyBorder="1" applyAlignment="1">
      <alignment horizontal="center" vertical="center"/>
    </xf>
    <xf numFmtId="0" fontId="4" fillId="23" borderId="49" xfId="0" applyFont="1" applyFill="1" applyBorder="1" applyAlignment="1">
      <alignment horizontal="center" vertical="center"/>
    </xf>
    <xf numFmtId="0" fontId="4" fillId="23" borderId="43" xfId="0" applyFont="1" applyFill="1" applyBorder="1" applyAlignment="1">
      <alignment horizontal="center" vertical="center"/>
    </xf>
    <xf numFmtId="0" fontId="4" fillId="17" borderId="41" xfId="0" applyFont="1" applyFill="1" applyBorder="1" applyAlignment="1">
      <alignment horizontal="center" vertical="center"/>
    </xf>
    <xf numFmtId="0" fontId="4" fillId="17" borderId="42" xfId="0" applyFont="1" applyFill="1" applyBorder="1" applyAlignment="1">
      <alignment horizontal="center" vertical="center"/>
    </xf>
    <xf numFmtId="0" fontId="4" fillId="17" borderId="49" xfId="0" applyFont="1" applyFill="1" applyBorder="1" applyAlignment="1">
      <alignment horizontal="center" vertical="center"/>
    </xf>
    <xf numFmtId="0" fontId="4" fillId="17" borderId="43" xfId="0" applyFont="1" applyFill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1" fillId="8" borderId="41" xfId="0" applyFont="1" applyFill="1" applyBorder="1" applyAlignment="1">
      <alignment horizontal="center" vertical="center" wrapText="1"/>
    </xf>
    <xf numFmtId="0" fontId="1" fillId="8" borderId="42" xfId="0" applyFont="1" applyFill="1" applyBorder="1" applyAlignment="1">
      <alignment horizontal="center" vertical="center" wrapText="1"/>
    </xf>
    <xf numFmtId="0" fontId="1" fillId="8" borderId="43" xfId="0" applyFont="1" applyFill="1" applyBorder="1" applyAlignment="1">
      <alignment horizontal="center" vertical="center" wrapText="1"/>
    </xf>
    <xf numFmtId="0" fontId="4" fillId="8" borderId="40" xfId="0" applyFont="1" applyFill="1" applyBorder="1" applyAlignment="1">
      <alignment horizontal="center" vertical="center"/>
    </xf>
    <xf numFmtId="0" fontId="4" fillId="8" borderId="29" xfId="0" applyFont="1" applyFill="1" applyBorder="1" applyAlignment="1">
      <alignment horizontal="center" vertical="center"/>
    </xf>
    <xf numFmtId="0" fontId="4" fillId="12" borderId="39" xfId="0" applyFont="1" applyFill="1" applyBorder="1" applyAlignment="1">
      <alignment horizontal="center" vertical="center" wrapText="1"/>
    </xf>
    <xf numFmtId="0" fontId="4" fillId="12" borderId="28" xfId="0" applyFont="1" applyFill="1" applyBorder="1" applyAlignment="1">
      <alignment horizontal="center" vertical="center" wrapText="1"/>
    </xf>
    <xf numFmtId="0" fontId="4" fillId="12" borderId="24" xfId="0" applyFont="1" applyFill="1" applyBorder="1" applyAlignment="1">
      <alignment horizontal="center" vertical="center" wrapText="1"/>
    </xf>
    <xf numFmtId="0" fontId="4" fillId="12" borderId="6" xfId="0" applyFont="1" applyFill="1" applyBorder="1" applyAlignment="1">
      <alignment horizontal="center" vertical="center" wrapText="1"/>
    </xf>
    <xf numFmtId="0" fontId="4" fillId="12" borderId="14" xfId="0" applyFont="1" applyFill="1" applyBorder="1" applyAlignment="1">
      <alignment horizontal="center" vertical="center"/>
    </xf>
    <xf numFmtId="0" fontId="4" fillId="12" borderId="1" xfId="0" applyFont="1" applyFill="1" applyBorder="1" applyAlignment="1">
      <alignment horizontal="center" vertical="center"/>
    </xf>
    <xf numFmtId="0" fontId="4" fillId="23" borderId="39" xfId="0" applyFont="1" applyFill="1" applyBorder="1" applyAlignment="1">
      <alignment horizontal="center" vertical="center" wrapText="1"/>
    </xf>
    <xf numFmtId="0" fontId="4" fillId="23" borderId="28" xfId="0" applyFont="1" applyFill="1" applyBorder="1" applyAlignment="1">
      <alignment horizontal="center" vertical="center" wrapText="1"/>
    </xf>
    <xf numFmtId="0" fontId="4" fillId="23" borderId="24" xfId="0" applyFont="1" applyFill="1" applyBorder="1" applyAlignment="1">
      <alignment horizontal="center" vertical="center" wrapText="1"/>
    </xf>
    <xf numFmtId="0" fontId="4" fillId="23" borderId="6" xfId="0" applyFont="1" applyFill="1" applyBorder="1" applyAlignment="1">
      <alignment horizontal="center" vertical="center" wrapText="1"/>
    </xf>
    <xf numFmtId="0" fontId="4" fillId="23" borderId="14" xfId="0" applyFont="1" applyFill="1" applyBorder="1" applyAlignment="1">
      <alignment horizontal="center" vertical="center"/>
    </xf>
    <xf numFmtId="0" fontId="4" fillId="23" borderId="1" xfId="0" applyFont="1" applyFill="1" applyBorder="1" applyAlignment="1">
      <alignment horizontal="center" vertical="center"/>
    </xf>
    <xf numFmtId="0" fontId="4" fillId="5" borderId="39" xfId="0" applyFont="1" applyFill="1" applyBorder="1" applyAlignment="1">
      <alignment horizontal="center" vertical="center" wrapText="1"/>
    </xf>
    <xf numFmtId="0" fontId="4" fillId="5" borderId="28" xfId="0" applyFont="1" applyFill="1" applyBorder="1" applyAlignment="1">
      <alignment horizontal="center" vertical="center" wrapText="1"/>
    </xf>
    <xf numFmtId="0" fontId="4" fillId="5" borderId="24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4" fillId="5" borderId="14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8" borderId="39" xfId="0" applyFont="1" applyFill="1" applyBorder="1" applyAlignment="1">
      <alignment horizontal="center" vertical="center" wrapText="1"/>
    </xf>
    <xf numFmtId="0" fontId="4" fillId="8" borderId="28" xfId="0" applyFont="1" applyFill="1" applyBorder="1" applyAlignment="1">
      <alignment horizontal="center" vertical="center" wrapText="1"/>
    </xf>
    <xf numFmtId="0" fontId="4" fillId="8" borderId="24" xfId="0" applyFont="1" applyFill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8" borderId="14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13" borderId="46" xfId="0" applyFont="1" applyFill="1" applyBorder="1" applyAlignment="1">
      <alignment horizontal="center" vertical="center"/>
    </xf>
    <xf numFmtId="0" fontId="4" fillId="13" borderId="47" xfId="0" applyFont="1" applyFill="1" applyBorder="1" applyAlignment="1">
      <alignment horizontal="center" vertical="center"/>
    </xf>
    <xf numFmtId="0" fontId="4" fillId="13" borderId="10" xfId="0" applyFont="1" applyFill="1" applyBorder="1" applyAlignment="1">
      <alignment horizontal="center" vertical="center"/>
    </xf>
    <xf numFmtId="0" fontId="4" fillId="13" borderId="9" xfId="0" applyFont="1" applyFill="1" applyBorder="1" applyAlignment="1">
      <alignment horizontal="center" vertical="center"/>
    </xf>
    <xf numFmtId="0" fontId="4" fillId="16" borderId="20" xfId="0" applyFont="1" applyFill="1" applyBorder="1" applyAlignment="1">
      <alignment horizontal="center" vertical="center" wrapText="1"/>
    </xf>
    <xf numFmtId="0" fontId="4" fillId="16" borderId="17" xfId="0" applyFont="1" applyFill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0" fontId="4" fillId="28" borderId="0" xfId="0" applyFont="1" applyFill="1" applyBorder="1" applyAlignment="1">
      <alignment horizontal="center" vertical="center" wrapText="1"/>
    </xf>
    <xf numFmtId="0" fontId="4" fillId="16" borderId="21" xfId="0" applyFont="1" applyFill="1" applyBorder="1" applyAlignment="1">
      <alignment horizontal="center" vertical="center" wrapText="1"/>
    </xf>
    <xf numFmtId="0" fontId="4" fillId="16" borderId="0" xfId="0" applyFont="1" applyFill="1" applyBorder="1" applyAlignment="1">
      <alignment horizontal="center" vertical="center" wrapText="1"/>
    </xf>
    <xf numFmtId="0" fontId="4" fillId="0" borderId="62" xfId="0" applyFont="1" applyBorder="1" applyAlignment="1">
      <alignment horizontal="center" vertical="center" wrapText="1"/>
    </xf>
    <xf numFmtId="0" fontId="4" fillId="0" borderId="63" xfId="0" applyFont="1" applyBorder="1" applyAlignment="1">
      <alignment horizontal="center" vertical="center" wrapText="1"/>
    </xf>
    <xf numFmtId="0" fontId="4" fillId="16" borderId="22" xfId="0" applyFont="1" applyFill="1" applyBorder="1" applyAlignment="1">
      <alignment horizontal="center" vertical="center" wrapText="1"/>
    </xf>
    <xf numFmtId="0" fontId="4" fillId="16" borderId="23" xfId="0" applyFont="1" applyFill="1" applyBorder="1" applyAlignment="1">
      <alignment horizontal="center" vertical="center" wrapText="1"/>
    </xf>
    <xf numFmtId="0" fontId="4" fillId="17" borderId="20" xfId="0" applyFont="1" applyFill="1" applyBorder="1" applyAlignment="1">
      <alignment horizontal="center" vertical="center" wrapText="1"/>
    </xf>
    <xf numFmtId="0" fontId="4" fillId="17" borderId="17" xfId="0" applyFont="1" applyFill="1" applyBorder="1" applyAlignment="1">
      <alignment horizontal="center" vertical="center" wrapText="1"/>
    </xf>
    <xf numFmtId="0" fontId="4" fillId="17" borderId="21" xfId="0" applyFont="1" applyFill="1" applyBorder="1" applyAlignment="1">
      <alignment horizontal="center" vertical="center" wrapText="1"/>
    </xf>
    <xf numFmtId="0" fontId="4" fillId="17" borderId="0" xfId="0" applyFont="1" applyFill="1" applyBorder="1" applyAlignment="1">
      <alignment horizontal="center" vertical="center" wrapText="1"/>
    </xf>
    <xf numFmtId="0" fontId="4" fillId="17" borderId="61" xfId="0" applyFont="1" applyFill="1" applyBorder="1" applyAlignment="1">
      <alignment horizontal="center" vertical="center" wrapText="1"/>
    </xf>
    <xf numFmtId="0" fontId="4" fillId="17" borderId="12" xfId="0" applyFont="1" applyFill="1" applyBorder="1" applyAlignment="1">
      <alignment horizontal="center" vertical="center" wrapText="1"/>
    </xf>
    <xf numFmtId="0" fontId="4" fillId="0" borderId="53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1" fillId="11" borderId="46" xfId="0" applyFont="1" applyFill="1" applyBorder="1" applyAlignment="1">
      <alignment horizontal="center"/>
    </xf>
    <xf numFmtId="0" fontId="1" fillId="11" borderId="47" xfId="0" applyFont="1" applyFill="1" applyBorder="1" applyAlignment="1">
      <alignment horizontal="center"/>
    </xf>
    <xf numFmtId="0" fontId="1" fillId="11" borderId="48" xfId="0" applyFont="1" applyFill="1" applyBorder="1" applyAlignment="1">
      <alignment horizontal="center"/>
    </xf>
    <xf numFmtId="0" fontId="4" fillId="0" borderId="26" xfId="0" applyFont="1" applyBorder="1" applyAlignment="1">
      <alignment horizontal="center" vertical="center" wrapText="1"/>
    </xf>
    <xf numFmtId="0" fontId="4" fillId="0" borderId="31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4" fillId="0" borderId="25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4" fillId="0" borderId="56" xfId="0" applyFont="1" applyBorder="1" applyAlignment="1">
      <alignment horizontal="center" vertical="center"/>
    </xf>
    <xf numFmtId="0" fontId="4" fillId="0" borderId="71" xfId="0" applyFont="1" applyBorder="1" applyAlignment="1">
      <alignment horizontal="center" vertical="center"/>
    </xf>
    <xf numFmtId="0" fontId="4" fillId="0" borderId="72" xfId="0" applyFont="1" applyBorder="1" applyAlignment="1">
      <alignment horizontal="center" vertical="center"/>
    </xf>
    <xf numFmtId="0" fontId="4" fillId="0" borderId="66" xfId="0" applyFont="1" applyBorder="1" applyAlignment="1">
      <alignment horizontal="center" vertical="center" wrapText="1"/>
    </xf>
    <xf numFmtId="0" fontId="4" fillId="0" borderId="54" xfId="0" applyFont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/>
    </xf>
    <xf numFmtId="0" fontId="1" fillId="11" borderId="10" xfId="0" applyFont="1" applyFill="1" applyBorder="1" applyAlignment="1">
      <alignment horizontal="center"/>
    </xf>
    <xf numFmtId="0" fontId="1" fillId="11" borderId="9" xfId="0" applyFont="1" applyFill="1" applyBorder="1" applyAlignment="1">
      <alignment horizontal="center"/>
    </xf>
    <xf numFmtId="0" fontId="4" fillId="5" borderId="40" xfId="0" applyFont="1" applyFill="1" applyBorder="1" applyAlignment="1">
      <alignment horizontal="center" vertical="center"/>
    </xf>
    <xf numFmtId="0" fontId="4" fillId="5" borderId="29" xfId="0" applyFont="1" applyFill="1" applyBorder="1" applyAlignment="1">
      <alignment horizontal="center" vertical="center"/>
    </xf>
    <xf numFmtId="0" fontId="1" fillId="12" borderId="41" xfId="0" applyFont="1" applyFill="1" applyBorder="1" applyAlignment="1">
      <alignment horizontal="center" vertical="center" wrapText="1"/>
    </xf>
    <xf numFmtId="0" fontId="1" fillId="12" borderId="42" xfId="0" applyFont="1" applyFill="1" applyBorder="1" applyAlignment="1">
      <alignment horizontal="center" vertical="center" wrapText="1"/>
    </xf>
    <xf numFmtId="0" fontId="1" fillId="12" borderId="43" xfId="0" applyFont="1" applyFill="1" applyBorder="1" applyAlignment="1">
      <alignment horizontal="center" vertical="center" wrapText="1"/>
    </xf>
    <xf numFmtId="0" fontId="1" fillId="23" borderId="41" xfId="0" applyFont="1" applyFill="1" applyBorder="1" applyAlignment="1">
      <alignment horizontal="center" vertical="center" wrapText="1"/>
    </xf>
    <xf numFmtId="0" fontId="1" fillId="23" borderId="42" xfId="0" applyFont="1" applyFill="1" applyBorder="1" applyAlignment="1">
      <alignment horizontal="center" vertical="center" wrapText="1"/>
    </xf>
    <xf numFmtId="0" fontId="1" fillId="23" borderId="43" xfId="0" applyFont="1" applyFill="1" applyBorder="1" applyAlignment="1">
      <alignment horizontal="center" vertical="center" wrapText="1"/>
    </xf>
    <xf numFmtId="0" fontId="1" fillId="5" borderId="41" xfId="0" applyFont="1" applyFill="1" applyBorder="1" applyAlignment="1">
      <alignment horizontal="center" vertical="center" wrapText="1"/>
    </xf>
    <xf numFmtId="0" fontId="1" fillId="5" borderId="42" xfId="0" applyFont="1" applyFill="1" applyBorder="1" applyAlignment="1">
      <alignment horizontal="center" vertical="center" wrapText="1"/>
    </xf>
    <xf numFmtId="0" fontId="1" fillId="5" borderId="43" xfId="0" applyFont="1" applyFill="1" applyBorder="1" applyAlignment="1">
      <alignment horizontal="center" vertical="center" wrapText="1"/>
    </xf>
    <xf numFmtId="0" fontId="4" fillId="23" borderId="18" xfId="0" applyFont="1" applyFill="1" applyBorder="1" applyAlignment="1">
      <alignment horizontal="center" vertical="center"/>
    </xf>
    <xf numFmtId="0" fontId="4" fillId="23" borderId="8" xfId="0" applyFont="1" applyFill="1" applyBorder="1" applyAlignment="1">
      <alignment horizontal="center" vertical="center"/>
    </xf>
    <xf numFmtId="0" fontId="4" fillId="12" borderId="18" xfId="0" applyFont="1" applyFill="1" applyBorder="1" applyAlignment="1">
      <alignment horizontal="center" vertical="center"/>
    </xf>
    <xf numFmtId="0" fontId="4" fillId="12" borderId="8" xfId="0" applyFont="1" applyFill="1" applyBorder="1" applyAlignment="1">
      <alignment horizontal="center" vertical="center"/>
    </xf>
    <xf numFmtId="0" fontId="4" fillId="5" borderId="18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12" borderId="40" xfId="0" applyFont="1" applyFill="1" applyBorder="1" applyAlignment="1">
      <alignment horizontal="center" vertical="center"/>
    </xf>
    <xf numFmtId="0" fontId="4" fillId="12" borderId="29" xfId="0" applyFont="1" applyFill="1" applyBorder="1" applyAlignment="1">
      <alignment horizontal="center" vertical="center"/>
    </xf>
    <xf numFmtId="0" fontId="4" fillId="23" borderId="40" xfId="0" applyFont="1" applyFill="1" applyBorder="1" applyAlignment="1">
      <alignment horizontal="center" vertical="center"/>
    </xf>
    <xf numFmtId="0" fontId="4" fillId="23" borderId="29" xfId="0" applyFont="1" applyFill="1" applyBorder="1" applyAlignment="1">
      <alignment horizontal="center" vertical="center"/>
    </xf>
    <xf numFmtId="0" fontId="1" fillId="8" borderId="25" xfId="0" applyFont="1" applyFill="1" applyBorder="1" applyAlignment="1">
      <alignment horizontal="center" vertical="center" wrapText="1"/>
    </xf>
    <xf numFmtId="0" fontId="1" fillId="8" borderId="26" xfId="0" applyFont="1" applyFill="1" applyBorder="1" applyAlignment="1">
      <alignment horizontal="center" vertical="center" wrapText="1"/>
    </xf>
    <xf numFmtId="0" fontId="1" fillId="8" borderId="27" xfId="0" applyFont="1" applyFill="1" applyBorder="1" applyAlignment="1">
      <alignment horizontal="center" vertical="center" wrapText="1"/>
    </xf>
    <xf numFmtId="0" fontId="3" fillId="0" borderId="37" xfId="0" applyFont="1" applyBorder="1" applyAlignment="1">
      <alignment horizontal="center" vertical="center"/>
    </xf>
    <xf numFmtId="0" fontId="3" fillId="0" borderId="67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4" fillId="0" borderId="60" xfId="0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2" fontId="3" fillId="0" borderId="61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58" xfId="0" applyNumberFormat="1" applyFont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1" fillId="5" borderId="46" xfId="0" applyFont="1" applyFill="1" applyBorder="1" applyAlignment="1">
      <alignment horizontal="center"/>
    </xf>
    <xf numFmtId="0" fontId="1" fillId="5" borderId="47" xfId="0" applyFont="1" applyFill="1" applyBorder="1" applyAlignment="1">
      <alignment horizontal="center"/>
    </xf>
    <xf numFmtId="0" fontId="1" fillId="5" borderId="48" xfId="0" applyFont="1" applyFill="1" applyBorder="1" applyAlignment="1">
      <alignment horizontal="center"/>
    </xf>
    <xf numFmtId="0" fontId="1" fillId="13" borderId="46" xfId="0" applyFont="1" applyFill="1" applyBorder="1" applyAlignment="1">
      <alignment horizontal="center"/>
    </xf>
    <xf numFmtId="0" fontId="1" fillId="13" borderId="47" xfId="0" applyFont="1" applyFill="1" applyBorder="1" applyAlignment="1">
      <alignment horizontal="center"/>
    </xf>
    <xf numFmtId="0" fontId="1" fillId="13" borderId="48" xfId="0" applyFont="1" applyFill="1" applyBorder="1" applyAlignment="1">
      <alignment horizontal="center"/>
    </xf>
    <xf numFmtId="0" fontId="3" fillId="0" borderId="1" xfId="0" applyFont="1" applyBorder="1" applyAlignment="1">
      <alignment horizontal="left"/>
    </xf>
    <xf numFmtId="0" fontId="4" fillId="3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" fillId="8" borderId="41" xfId="0" applyFont="1" applyFill="1" applyBorder="1" applyAlignment="1">
      <alignment horizontal="center"/>
    </xf>
    <xf numFmtId="0" fontId="1" fillId="8" borderId="42" xfId="0" applyFont="1" applyFill="1" applyBorder="1" applyAlignment="1">
      <alignment horizontal="center"/>
    </xf>
    <xf numFmtId="0" fontId="3" fillId="0" borderId="39" xfId="0" applyFont="1" applyBorder="1" applyAlignment="1">
      <alignment horizontal="center" vertical="center"/>
    </xf>
    <xf numFmtId="0" fontId="1" fillId="10" borderId="5" xfId="0" applyFont="1" applyFill="1" applyBorder="1" applyAlignment="1">
      <alignment horizontal="center"/>
    </xf>
    <xf numFmtId="0" fontId="1" fillId="10" borderId="10" xfId="0" applyFont="1" applyFill="1" applyBorder="1" applyAlignment="1">
      <alignment horizontal="center"/>
    </xf>
    <xf numFmtId="0" fontId="1" fillId="10" borderId="9" xfId="0" applyFont="1" applyFill="1" applyBorder="1" applyAlignment="1">
      <alignment horizontal="center"/>
    </xf>
    <xf numFmtId="0" fontId="1" fillId="10" borderId="46" xfId="0" applyFont="1" applyFill="1" applyBorder="1" applyAlignment="1">
      <alignment horizontal="center"/>
    </xf>
    <xf numFmtId="0" fontId="1" fillId="10" borderId="47" xfId="0" applyFont="1" applyFill="1" applyBorder="1" applyAlignment="1">
      <alignment horizontal="center"/>
    </xf>
    <xf numFmtId="0" fontId="1" fillId="10" borderId="48" xfId="0" applyFont="1" applyFill="1" applyBorder="1" applyAlignment="1">
      <alignment horizontal="center"/>
    </xf>
    <xf numFmtId="0" fontId="4" fillId="0" borderId="37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0" fontId="1" fillId="0" borderId="67" xfId="0" applyFont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" fillId="6" borderId="46" xfId="0" applyFont="1" applyFill="1" applyBorder="1" applyAlignment="1">
      <alignment horizontal="center" vertical="center"/>
    </xf>
    <xf numFmtId="0" fontId="1" fillId="6" borderId="47" xfId="0" applyFont="1" applyFill="1" applyBorder="1" applyAlignment="1">
      <alignment horizontal="center" vertical="center"/>
    </xf>
    <xf numFmtId="0" fontId="1" fillId="6" borderId="48" xfId="0" applyFont="1" applyFill="1" applyBorder="1" applyAlignment="1">
      <alignment horizontal="center" vertical="center"/>
    </xf>
    <xf numFmtId="0" fontId="8" fillId="12" borderId="46" xfId="0" applyFont="1" applyFill="1" applyBorder="1" applyAlignment="1">
      <alignment horizontal="center"/>
    </xf>
    <xf numFmtId="0" fontId="8" fillId="12" borderId="47" xfId="0" applyFont="1" applyFill="1" applyBorder="1" applyAlignment="1">
      <alignment horizontal="center"/>
    </xf>
    <xf numFmtId="0" fontId="8" fillId="12" borderId="48" xfId="0" applyFont="1" applyFill="1" applyBorder="1" applyAlignment="1">
      <alignment horizontal="center"/>
    </xf>
    <xf numFmtId="0" fontId="1" fillId="16" borderId="5" xfId="0" applyFont="1" applyFill="1" applyBorder="1" applyAlignment="1">
      <alignment horizontal="center"/>
    </xf>
    <xf numFmtId="0" fontId="1" fillId="16" borderId="10" xfId="0" applyFont="1" applyFill="1" applyBorder="1" applyAlignment="1">
      <alignment horizontal="center"/>
    </xf>
    <xf numFmtId="0" fontId="1" fillId="16" borderId="9" xfId="0" applyFont="1" applyFill="1" applyBorder="1" applyAlignment="1">
      <alignment horizont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9" fillId="18" borderId="0" xfId="0" applyFont="1" applyFill="1" applyBorder="1" applyAlignment="1">
      <alignment horizontal="center" vertical="center" wrapText="1"/>
    </xf>
    <xf numFmtId="0" fontId="19" fillId="18" borderId="2" xfId="0" applyFont="1" applyFill="1" applyBorder="1" applyAlignment="1">
      <alignment horizontal="center" vertical="center" wrapText="1"/>
    </xf>
    <xf numFmtId="0" fontId="1" fillId="19" borderId="41" xfId="0" applyFont="1" applyFill="1" applyBorder="1" applyAlignment="1">
      <alignment horizontal="center"/>
    </xf>
    <xf numFmtId="0" fontId="1" fillId="19" borderId="42" xfId="0" applyFont="1" applyFill="1" applyBorder="1" applyAlignment="1">
      <alignment horizontal="center"/>
    </xf>
    <xf numFmtId="0" fontId="1" fillId="19" borderId="43" xfId="0" applyFont="1" applyFill="1" applyBorder="1" applyAlignment="1">
      <alignment horizontal="center"/>
    </xf>
    <xf numFmtId="0" fontId="16" fillId="0" borderId="5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3" fillId="0" borderId="0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36" xfId="0" applyFont="1" applyBorder="1" applyAlignment="1">
      <alignment horizontal="left"/>
    </xf>
    <xf numFmtId="0" fontId="1" fillId="10" borderId="46" xfId="0" applyFont="1" applyFill="1" applyBorder="1" applyAlignment="1">
      <alignment horizontal="center" vertical="center"/>
    </xf>
    <xf numFmtId="0" fontId="1" fillId="10" borderId="47" xfId="0" applyFont="1" applyFill="1" applyBorder="1" applyAlignment="1">
      <alignment horizontal="center" vertical="center"/>
    </xf>
    <xf numFmtId="0" fontId="1" fillId="10" borderId="48" xfId="0" applyFont="1" applyFill="1" applyBorder="1" applyAlignment="1">
      <alignment horizontal="center" vertical="center"/>
    </xf>
    <xf numFmtId="0" fontId="3" fillId="0" borderId="17" xfId="0" applyFont="1" applyBorder="1" applyAlignment="1">
      <alignment horizontal="left"/>
    </xf>
    <xf numFmtId="0" fontId="1" fillId="8" borderId="46" xfId="0" applyFont="1" applyFill="1" applyBorder="1" applyAlignment="1">
      <alignment horizontal="center"/>
    </xf>
    <xf numFmtId="0" fontId="1" fillId="8" borderId="47" xfId="0" applyFont="1" applyFill="1" applyBorder="1" applyAlignment="1">
      <alignment horizontal="center"/>
    </xf>
    <xf numFmtId="0" fontId="1" fillId="8" borderId="48" xfId="0" applyFont="1" applyFill="1" applyBorder="1" applyAlignment="1">
      <alignment horizontal="center"/>
    </xf>
    <xf numFmtId="0" fontId="18" fillId="2" borderId="0" xfId="0" applyFont="1" applyFill="1" applyAlignment="1">
      <alignment horizontal="left" vertical="top"/>
    </xf>
    <xf numFmtId="0" fontId="3" fillId="2" borderId="0" xfId="0" applyFont="1" applyFill="1" applyAlignment="1">
      <alignment horizontal="left" vertical="top"/>
    </xf>
    <xf numFmtId="0" fontId="3" fillId="0" borderId="35" xfId="0" applyFont="1" applyBorder="1" applyAlignment="1">
      <alignment horizontal="left"/>
    </xf>
    <xf numFmtId="0" fontId="1" fillId="3" borderId="46" xfId="0" applyFont="1" applyFill="1" applyBorder="1" applyAlignment="1">
      <alignment horizontal="center"/>
    </xf>
    <xf numFmtId="0" fontId="1" fillId="3" borderId="47" xfId="0" applyFont="1" applyFill="1" applyBorder="1" applyAlignment="1">
      <alignment horizontal="center"/>
    </xf>
    <xf numFmtId="0" fontId="1" fillId="3" borderId="48" xfId="0" applyFont="1" applyFill="1" applyBorder="1" applyAlignment="1">
      <alignment horizontal="center"/>
    </xf>
    <xf numFmtId="0" fontId="4" fillId="18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16" borderId="46" xfId="0" applyFont="1" applyFill="1" applyBorder="1" applyAlignment="1">
      <alignment horizontal="center"/>
    </xf>
    <xf numFmtId="0" fontId="4" fillId="16" borderId="48" xfId="0" applyFont="1" applyFill="1" applyBorder="1" applyAlignment="1">
      <alignment horizontal="center"/>
    </xf>
    <xf numFmtId="0" fontId="4" fillId="6" borderId="46" xfId="0" applyFont="1" applyFill="1" applyBorder="1" applyAlignment="1">
      <alignment horizontal="center"/>
    </xf>
    <xf numFmtId="0" fontId="4" fillId="6" borderId="48" xfId="0" applyFont="1" applyFill="1" applyBorder="1" applyAlignment="1">
      <alignment horizontal="center"/>
    </xf>
    <xf numFmtId="0" fontId="4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4" fillId="14" borderId="46" xfId="0" applyFont="1" applyFill="1" applyBorder="1" applyAlignment="1">
      <alignment horizontal="center"/>
    </xf>
    <xf numFmtId="0" fontId="4" fillId="14" borderId="48" xfId="0" applyFont="1" applyFill="1" applyBorder="1" applyAlignment="1">
      <alignment horizontal="center"/>
    </xf>
    <xf numFmtId="0" fontId="4" fillId="0" borderId="6" xfId="0" applyFont="1" applyBorder="1" applyAlignment="1">
      <alignment horizontal="center" vertical="center" wrapText="1"/>
    </xf>
    <xf numFmtId="0" fontId="4" fillId="18" borderId="14" xfId="0" applyFont="1" applyFill="1" applyBorder="1" applyAlignment="1">
      <alignment horizontal="center" vertical="center"/>
    </xf>
    <xf numFmtId="0" fontId="3" fillId="0" borderId="39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center" vertical="center"/>
    </xf>
    <xf numFmtId="0" fontId="1" fillId="16" borderId="46" xfId="0" applyFont="1" applyFill="1" applyBorder="1" applyAlignment="1">
      <alignment horizontal="center"/>
    </xf>
    <xf numFmtId="0" fontId="1" fillId="16" borderId="48" xfId="0" applyFont="1" applyFill="1" applyBorder="1" applyAlignment="1">
      <alignment horizontal="center"/>
    </xf>
    <xf numFmtId="0" fontId="4" fillId="26" borderId="25" xfId="0" applyFont="1" applyFill="1" applyBorder="1" applyAlignment="1">
      <alignment horizontal="center"/>
    </xf>
    <xf numFmtId="0" fontId="4" fillId="26" borderId="27" xfId="0" applyFont="1" applyFill="1" applyBorder="1" applyAlignment="1">
      <alignment horizontal="center"/>
    </xf>
    <xf numFmtId="0" fontId="4" fillId="26" borderId="1" xfId="0" applyFont="1" applyFill="1" applyBorder="1" applyAlignment="1">
      <alignment horizontal="center"/>
    </xf>
    <xf numFmtId="0" fontId="3" fillId="2" borderId="3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/>
    </xf>
    <xf numFmtId="0" fontId="3" fillId="2" borderId="2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1" fillId="15" borderId="46" xfId="0" applyFont="1" applyFill="1" applyBorder="1" applyAlignment="1">
      <alignment horizontal="center" vertical="center"/>
    </xf>
    <xf numFmtId="0" fontId="11" fillId="15" borderId="47" xfId="0" applyFont="1" applyFill="1" applyBorder="1" applyAlignment="1">
      <alignment horizontal="center" vertical="center"/>
    </xf>
    <xf numFmtId="0" fontId="11" fillId="15" borderId="48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4" fillId="10" borderId="14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5" fillId="15" borderId="5" xfId="0" applyFont="1" applyFill="1" applyBorder="1" applyAlignment="1">
      <alignment horizontal="center" vertical="center"/>
    </xf>
    <xf numFmtId="0" fontId="5" fillId="15" borderId="10" xfId="0" applyFont="1" applyFill="1" applyBorder="1" applyAlignment="1">
      <alignment horizontal="center" vertical="center"/>
    </xf>
    <xf numFmtId="0" fontId="5" fillId="15" borderId="9" xfId="0" applyFont="1" applyFill="1" applyBorder="1" applyAlignment="1">
      <alignment horizontal="center" vertical="center"/>
    </xf>
    <xf numFmtId="0" fontId="5" fillId="15" borderId="13" xfId="0" applyFont="1" applyFill="1" applyBorder="1" applyAlignment="1">
      <alignment horizontal="center" vertical="center"/>
    </xf>
    <xf numFmtId="0" fontId="5" fillId="15" borderId="0" xfId="0" applyFont="1" applyFill="1" applyBorder="1" applyAlignment="1">
      <alignment horizontal="center" vertical="center"/>
    </xf>
    <xf numFmtId="0" fontId="5" fillId="15" borderId="12" xfId="0" applyFont="1" applyFill="1" applyBorder="1" applyAlignment="1">
      <alignment horizontal="center" vertical="center"/>
    </xf>
    <xf numFmtId="0" fontId="4" fillId="18" borderId="29" xfId="0" applyFont="1" applyFill="1" applyBorder="1" applyAlignment="1">
      <alignment horizontal="center" vertical="center"/>
    </xf>
    <xf numFmtId="0" fontId="4" fillId="14" borderId="47" xfId="0" applyFont="1" applyFill="1" applyBorder="1" applyAlignment="1">
      <alignment horizontal="center"/>
    </xf>
    <xf numFmtId="0" fontId="4" fillId="16" borderId="5" xfId="0" applyFont="1" applyFill="1" applyBorder="1" applyAlignment="1">
      <alignment horizontal="center"/>
    </xf>
    <xf numFmtId="0" fontId="4" fillId="16" borderId="10" xfId="0" applyFont="1" applyFill="1" applyBorder="1" applyAlignment="1">
      <alignment horizontal="center"/>
    </xf>
    <xf numFmtId="0" fontId="4" fillId="16" borderId="9" xfId="0" applyFont="1" applyFill="1" applyBorder="1" applyAlignment="1">
      <alignment horizontal="center"/>
    </xf>
    <xf numFmtId="0" fontId="4" fillId="6" borderId="47" xfId="0" applyFont="1" applyFill="1" applyBorder="1" applyAlignment="1">
      <alignment horizontal="center"/>
    </xf>
    <xf numFmtId="0" fontId="4" fillId="17" borderId="46" xfId="0" applyFont="1" applyFill="1" applyBorder="1" applyAlignment="1">
      <alignment horizontal="center"/>
    </xf>
    <xf numFmtId="0" fontId="4" fillId="17" borderId="47" xfId="0" applyFont="1" applyFill="1" applyBorder="1" applyAlignment="1">
      <alignment horizontal="center"/>
    </xf>
    <xf numFmtId="0" fontId="4" fillId="17" borderId="48" xfId="0" applyFont="1" applyFill="1" applyBorder="1" applyAlignment="1">
      <alignment horizontal="center"/>
    </xf>
    <xf numFmtId="0" fontId="4" fillId="18" borderId="46" xfId="0" applyFont="1" applyFill="1" applyBorder="1" applyAlignment="1">
      <alignment horizontal="center"/>
    </xf>
    <xf numFmtId="0" fontId="4" fillId="18" borderId="47" xfId="0" applyFont="1" applyFill="1" applyBorder="1" applyAlignment="1">
      <alignment horizontal="center"/>
    </xf>
    <xf numFmtId="0" fontId="4" fillId="18" borderId="48" xfId="0" applyFont="1" applyFill="1" applyBorder="1" applyAlignment="1">
      <alignment horizontal="center"/>
    </xf>
    <xf numFmtId="0" fontId="4" fillId="26" borderId="8" xfId="0" applyFont="1" applyFill="1" applyBorder="1" applyAlignment="1">
      <alignment horizontal="center" wrapText="1"/>
    </xf>
    <xf numFmtId="0" fontId="4" fillId="26" borderId="7" xfId="0" applyFont="1" applyFill="1" applyBorder="1" applyAlignment="1">
      <alignment horizontal="center" wrapText="1"/>
    </xf>
    <xf numFmtId="0" fontId="4" fillId="26" borderId="6" xfId="0" applyFont="1" applyFill="1" applyBorder="1" applyAlignment="1">
      <alignment horizontal="center" wrapText="1"/>
    </xf>
    <xf numFmtId="0" fontId="12" fillId="0" borderId="4" xfId="0" applyFont="1" applyBorder="1" applyAlignment="1">
      <alignment horizontal="center"/>
    </xf>
    <xf numFmtId="0" fontId="12" fillId="0" borderId="16" xfId="0" applyFont="1" applyBorder="1" applyAlignment="1">
      <alignment horizontal="center"/>
    </xf>
    <xf numFmtId="0" fontId="12" fillId="0" borderId="14" xfId="0" applyFont="1" applyBorder="1" applyAlignment="1">
      <alignment horizontal="center"/>
    </xf>
    <xf numFmtId="0" fontId="4" fillId="17" borderId="4" xfId="0" applyFont="1" applyFill="1" applyBorder="1" applyAlignment="1">
      <alignment horizontal="center" vertical="center"/>
    </xf>
    <xf numFmtId="0" fontId="4" fillId="17" borderId="16" xfId="0" applyFont="1" applyFill="1" applyBorder="1" applyAlignment="1">
      <alignment horizontal="center" vertical="center"/>
    </xf>
    <xf numFmtId="0" fontId="4" fillId="17" borderId="14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wrapText="1"/>
    </xf>
    <xf numFmtId="0" fontId="4" fillId="0" borderId="14" xfId="0" applyFont="1" applyBorder="1" applyAlignment="1">
      <alignment horizontal="center" wrapText="1"/>
    </xf>
    <xf numFmtId="0" fontId="4" fillId="10" borderId="4" xfId="0" applyFont="1" applyFill="1" applyBorder="1" applyAlignment="1">
      <alignment horizontal="center" wrapText="1"/>
    </xf>
    <xf numFmtId="0" fontId="4" fillId="10" borderId="14" xfId="0" applyFont="1" applyFill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33" fillId="8" borderId="8" xfId="0" applyFont="1" applyFill="1" applyBorder="1" applyAlignment="1">
      <alignment horizontal="center"/>
    </xf>
    <xf numFmtId="0" fontId="33" fillId="8" borderId="7" xfId="0" applyFont="1" applyFill="1" applyBorder="1" applyAlignment="1">
      <alignment horizontal="center"/>
    </xf>
    <xf numFmtId="0" fontId="33" fillId="8" borderId="6" xfId="0" applyFont="1" applyFill="1" applyBorder="1" applyAlignment="1">
      <alignment horizontal="center"/>
    </xf>
    <xf numFmtId="0" fontId="1" fillId="22" borderId="8" xfId="0" applyFont="1" applyFill="1" applyBorder="1" applyAlignment="1">
      <alignment horizontal="center"/>
    </xf>
    <xf numFmtId="0" fontId="1" fillId="22" borderId="7" xfId="0" applyFont="1" applyFill="1" applyBorder="1" applyAlignment="1">
      <alignment horizontal="center"/>
    </xf>
    <xf numFmtId="0" fontId="1" fillId="22" borderId="6" xfId="0" applyFont="1" applyFill="1" applyBorder="1" applyAlignment="1">
      <alignment horizontal="center"/>
    </xf>
    <xf numFmtId="0" fontId="4" fillId="9" borderId="17" xfId="0" applyFont="1" applyFill="1" applyBorder="1" applyAlignment="1">
      <alignment horizontal="center" vertical="center"/>
    </xf>
    <xf numFmtId="0" fontId="4" fillId="9" borderId="18" xfId="0" applyFont="1" applyFill="1" applyBorder="1" applyAlignment="1">
      <alignment horizontal="center" vertical="center"/>
    </xf>
    <xf numFmtId="2" fontId="4" fillId="16" borderId="23" xfId="0" applyNumberFormat="1" applyFont="1" applyFill="1" applyBorder="1" applyAlignment="1">
      <alignment horizontal="center" vertical="center"/>
    </xf>
    <xf numFmtId="2" fontId="4" fillId="16" borderId="24" xfId="0" applyNumberFormat="1" applyFont="1" applyFill="1" applyBorder="1" applyAlignment="1">
      <alignment horizontal="center" vertical="center"/>
    </xf>
    <xf numFmtId="0" fontId="28" fillId="24" borderId="1" xfId="0" applyFont="1" applyFill="1" applyBorder="1" applyAlignment="1">
      <alignment horizontal="center"/>
    </xf>
    <xf numFmtId="2" fontId="4" fillId="0" borderId="1" xfId="0" applyNumberFormat="1" applyFont="1" applyBorder="1" applyAlignment="1">
      <alignment horizontal="center" vertical="center" wrapText="1"/>
    </xf>
    <xf numFmtId="0" fontId="28" fillId="24" borderId="8" xfId="0" applyFont="1" applyFill="1" applyBorder="1" applyAlignment="1">
      <alignment horizontal="center"/>
    </xf>
    <xf numFmtId="0" fontId="28" fillId="24" borderId="7" xfId="0" applyFont="1" applyFill="1" applyBorder="1" applyAlignment="1">
      <alignment horizontal="center"/>
    </xf>
    <xf numFmtId="0" fontId="28" fillId="24" borderId="6" xfId="0" applyFont="1" applyFill="1" applyBorder="1" applyAlignment="1">
      <alignment horizontal="center"/>
    </xf>
    <xf numFmtId="0" fontId="1" fillId="23" borderId="1" xfId="0" applyFont="1" applyFill="1" applyBorder="1" applyAlignment="1">
      <alignment horizontal="center"/>
    </xf>
    <xf numFmtId="0" fontId="1" fillId="22" borderId="1" xfId="0" applyFont="1" applyFill="1" applyBorder="1" applyAlignment="1">
      <alignment horizontal="center"/>
    </xf>
    <xf numFmtId="0" fontId="1" fillId="20" borderId="1" xfId="0" applyFont="1" applyFill="1" applyBorder="1" applyAlignment="1">
      <alignment horizontal="center"/>
    </xf>
    <xf numFmtId="0" fontId="1" fillId="23" borderId="8" xfId="0" applyFont="1" applyFill="1" applyBorder="1" applyAlignment="1">
      <alignment horizontal="center"/>
    </xf>
    <xf numFmtId="0" fontId="1" fillId="23" borderId="7" xfId="0" applyFont="1" applyFill="1" applyBorder="1" applyAlignment="1">
      <alignment horizontal="center"/>
    </xf>
    <xf numFmtId="0" fontId="1" fillId="23" borderId="6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/>
    </xf>
    <xf numFmtId="0" fontId="1" fillId="19" borderId="1" xfId="0" applyFont="1" applyFill="1" applyBorder="1" applyAlignment="1">
      <alignment horizontal="center"/>
    </xf>
    <xf numFmtId="0" fontId="4" fillId="12" borderId="20" xfId="0" applyFont="1" applyFill="1" applyBorder="1" applyAlignment="1">
      <alignment horizontal="center" wrapText="1"/>
    </xf>
    <xf numFmtId="0" fontId="4" fillId="12" borderId="21" xfId="0" applyFont="1" applyFill="1" applyBorder="1" applyAlignment="1">
      <alignment horizontal="center" wrapText="1"/>
    </xf>
    <xf numFmtId="0" fontId="4" fillId="12" borderId="22" xfId="0" applyFont="1" applyFill="1" applyBorder="1" applyAlignment="1">
      <alignment horizontal="center" wrapText="1"/>
    </xf>
    <xf numFmtId="0" fontId="1" fillId="8" borderId="1" xfId="0" applyFont="1" applyFill="1" applyBorder="1" applyAlignment="1">
      <alignment horizontal="center" vertical="center" wrapText="1"/>
    </xf>
    <xf numFmtId="0" fontId="2" fillId="9" borderId="8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18" borderId="0" xfId="0" applyNumberFormat="1" applyFont="1" applyFill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1" fillId="16" borderId="8" xfId="0" applyFont="1" applyFill="1" applyBorder="1" applyAlignment="1">
      <alignment horizontal="center" vertical="center"/>
    </xf>
    <xf numFmtId="0" fontId="1" fillId="16" borderId="7" xfId="0" applyFont="1" applyFill="1" applyBorder="1" applyAlignment="1">
      <alignment horizontal="center" vertical="center"/>
    </xf>
    <xf numFmtId="0" fontId="1" fillId="16" borderId="6" xfId="0" applyFont="1" applyFill="1" applyBorder="1" applyAlignment="1">
      <alignment horizontal="center" vertical="center"/>
    </xf>
    <xf numFmtId="0" fontId="1" fillId="21" borderId="1" xfId="0" applyFont="1" applyFill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4" fillId="13" borderId="1" xfId="0" applyFont="1" applyFill="1" applyBorder="1" applyAlignment="1">
      <alignment horizontal="center" wrapText="1"/>
    </xf>
    <xf numFmtId="0" fontId="9" fillId="0" borderId="1" xfId="0" applyFont="1" applyBorder="1" applyAlignment="1">
      <alignment horizontal="center"/>
    </xf>
    <xf numFmtId="2" fontId="19" fillId="0" borderId="1" xfId="0" applyNumberFormat="1" applyFont="1" applyBorder="1" applyAlignment="1">
      <alignment horizontal="center" vertical="center"/>
    </xf>
  </cellXfs>
  <cellStyles count="1">
    <cellStyle name="Normal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1" tint="0.34998626667073579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3300"/>
      <color rgb="FFFF0000"/>
      <color rgb="FFFFFF66"/>
      <color rgb="FF00FF00"/>
      <color rgb="FFFF9966"/>
      <color rgb="FFFF6600"/>
      <color rgb="FFFF7C80"/>
      <color rgb="FFFF5050"/>
      <color rgb="FFFFCC66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Storey Response Curves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4"/>
          <c:tx>
            <c:strRef>
              <c:f>'System Capacities'!$F$57:$I$57</c:f>
              <c:strCache>
                <c:ptCount val="1"/>
                <c:pt idx="0">
                  <c:v>Storey 2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'System Capacities'!$H$59:$H$68</c:f>
              <c:numCache>
                <c:formatCode>0.0000</c:formatCode>
                <c:ptCount val="10"/>
                <c:pt idx="0" formatCode="0.00">
                  <c:v>0</c:v>
                </c:pt>
                <c:pt idx="1">
                  <c:v>1.7349058472302754E-3</c:v>
                </c:pt>
                <c:pt idx="2">
                  <c:v>4.6919461165917508E-3</c:v>
                </c:pt>
                <c:pt idx="3">
                  <c:v>6.4157970868129726E-3</c:v>
                </c:pt>
                <c:pt idx="4">
                  <c:v>1.2000259523458645E-2</c:v>
                </c:pt>
                <c:pt idx="5">
                  <c:v>1.3691993806931075E-2</c:v>
                </c:pt>
                <c:pt idx="6">
                  <c:v>1.4916116294006016E-2</c:v>
                </c:pt>
                <c:pt idx="7">
                  <c:v>2.088103685303748E-2</c:v>
                </c:pt>
                <c:pt idx="8">
                  <c:v>0.08</c:v>
                </c:pt>
                <c:pt idx="9">
                  <c:v>0.2</c:v>
                </c:pt>
              </c:numCache>
              <c:extLst xmlns:c15="http://schemas.microsoft.com/office/drawing/2012/chart"/>
            </c:numRef>
          </c:xVal>
          <c:yVal>
            <c:numRef>
              <c:f>'System Capacities'!$G$59:$G$68</c:f>
              <c:numCache>
                <c:formatCode>0.00</c:formatCode>
                <c:ptCount val="10"/>
                <c:pt idx="0">
                  <c:v>0</c:v>
                </c:pt>
                <c:pt idx="1">
                  <c:v>413.02510000388276</c:v>
                </c:pt>
                <c:pt idx="2">
                  <c:v>622.44534775876718</c:v>
                </c:pt>
                <c:pt idx="3">
                  <c:v>630.47567305364907</c:v>
                </c:pt>
                <c:pt idx="4">
                  <c:v>441.76706923263066</c:v>
                </c:pt>
                <c:pt idx="5">
                  <c:v>344.40438395195491</c:v>
                </c:pt>
                <c:pt idx="6">
                  <c:v>319.754075015284</c:v>
                </c:pt>
                <c:pt idx="7">
                  <c:v>199.63771728528837</c:v>
                </c:pt>
                <c:pt idx="8">
                  <c:v>199.63771728528837</c:v>
                </c:pt>
                <c:pt idx="9">
                  <c:v>199.63771728528837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7FD-4536-B6A1-CBE4BB73FD71}"/>
            </c:ext>
          </c:extLst>
        </c:ser>
        <c:ser>
          <c:idx val="8"/>
          <c:order val="8"/>
          <c:tx>
            <c:strRef>
              <c:f>'System Capacities'!$AO$74:$AQ$74</c:f>
              <c:strCache>
                <c:ptCount val="1"/>
                <c:pt idx="0">
                  <c:v>Frame 2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'System Capacities'!$AP$76:$AP$81</c:f>
              <c:numCache>
                <c:formatCode>0.0000</c:formatCode>
                <c:ptCount val="6"/>
                <c:pt idx="0">
                  <c:v>0</c:v>
                </c:pt>
                <c:pt idx="1">
                  <c:v>6.4157970868129726E-3</c:v>
                </c:pt>
                <c:pt idx="2">
                  <c:v>1.2000259523458645E-2</c:v>
                </c:pt>
                <c:pt idx="3">
                  <c:v>1.3691993806931075E-2</c:v>
                </c:pt>
                <c:pt idx="4">
                  <c:v>2.088103685303748E-2</c:v>
                </c:pt>
                <c:pt idx="5">
                  <c:v>0.2</c:v>
                </c:pt>
              </c:numCache>
              <c:extLst xmlns:c15="http://schemas.microsoft.com/office/drawing/2012/chart"/>
            </c:numRef>
          </c:xVal>
          <c:yVal>
            <c:numRef>
              <c:f>'System Capacities'!$AO$76:$AO$81</c:f>
              <c:numCache>
                <c:formatCode>0</c:formatCode>
                <c:ptCount val="6"/>
                <c:pt idx="0">
                  <c:v>0</c:v>
                </c:pt>
                <c:pt idx="1">
                  <c:v>269.93333333333334</c:v>
                </c:pt>
                <c:pt idx="2">
                  <c:v>290.16666666666669</c:v>
                </c:pt>
                <c:pt idx="3">
                  <c:v>256.09999999999997</c:v>
                </c:pt>
                <c:pt idx="4">
                  <c:v>111.33333333333336</c:v>
                </c:pt>
                <c:pt idx="5">
                  <c:v>111.33333333333336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7FD-4536-B6A1-CBE4BB73FD71}"/>
            </c:ext>
          </c:extLst>
        </c:ser>
        <c:ser>
          <c:idx val="9"/>
          <c:order val="9"/>
          <c:tx>
            <c:strRef>
              <c:f>'System Capacities'!$AR$74:$AT$74</c:f>
              <c:strCache>
                <c:ptCount val="1"/>
                <c:pt idx="0">
                  <c:v>Infill 2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'System Capacities'!$AS$76:$AS$80</c:f>
              <c:numCache>
                <c:formatCode>0.0000</c:formatCode>
                <c:ptCount val="5"/>
                <c:pt idx="0">
                  <c:v>0</c:v>
                </c:pt>
                <c:pt idx="1">
                  <c:v>1.7349058472302754E-3</c:v>
                </c:pt>
                <c:pt idx="2">
                  <c:v>4.6919461165917508E-3</c:v>
                </c:pt>
                <c:pt idx="3">
                  <c:v>1.4916116294006016E-2</c:v>
                </c:pt>
                <c:pt idx="4">
                  <c:v>0.08</c:v>
                </c:pt>
              </c:numCache>
              <c:extLst xmlns:c15="http://schemas.microsoft.com/office/drawing/2012/chart"/>
            </c:numRef>
          </c:xVal>
          <c:yVal>
            <c:numRef>
              <c:f>'System Capacities'!$AR$76:$AR$80</c:f>
              <c:numCache>
                <c:formatCode>0</c:formatCode>
                <c:ptCount val="5"/>
                <c:pt idx="0">
                  <c:v>0</c:v>
                </c:pt>
                <c:pt idx="1">
                  <c:v>340.03200000000004</c:v>
                </c:pt>
                <c:pt idx="2">
                  <c:v>425.04</c:v>
                </c:pt>
                <c:pt idx="3">
                  <c:v>42.504000000000005</c:v>
                </c:pt>
                <c:pt idx="4">
                  <c:v>42.504000000000005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7FD-4536-B6A1-CBE4BB73FD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1958256"/>
        <c:axId val="187530208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'System Capacities'!$B$44:$E$44</c15:sqref>
                        </c15:formulaRef>
                      </c:ext>
                    </c:extLst>
                    <c:strCache>
                      <c:ptCount val="1"/>
                      <c:pt idx="0">
                        <c:v>Storey 6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'System Capacities'!$D$46:$D$55</c15:sqref>
                        </c15:formulaRef>
                      </c:ext>
                    </c:extLst>
                    <c:numCache>
                      <c:formatCode>0.0000</c:formatCode>
                      <c:ptCount val="10"/>
                      <c:pt idx="0" formatCode="0.00">
                        <c:v>0</c:v>
                      </c:pt>
                      <c:pt idx="1">
                        <c:v>1.9976000809737945E-3</c:v>
                      </c:pt>
                      <c:pt idx="2">
                        <c:v>4.9627112664062554E-3</c:v>
                      </c:pt>
                      <c:pt idx="3">
                        <c:v>8.3125273614190701E-3</c:v>
                      </c:pt>
                      <c:pt idx="4">
                        <c:v>1.4836644199633393E-2</c:v>
                      </c:pt>
                      <c:pt idx="5">
                        <c:v>2.1371535666611437E-2</c:v>
                      </c:pt>
                      <c:pt idx="6">
                        <c:v>5.391216902151031E-2</c:v>
                      </c:pt>
                      <c:pt idx="7">
                        <c:v>0.08</c:v>
                      </c:pt>
                      <c:pt idx="8">
                        <c:v>0.16787867944711513</c:v>
                      </c:pt>
                      <c:pt idx="9">
                        <c:v>0.2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'System Capacities'!$C$46:$C$55</c15:sqref>
                        </c15:formulaRef>
                      </c:ext>
                    </c:extLst>
                    <c:numCache>
                      <c:formatCode>0.00</c:formatCode>
                      <c:ptCount val="10"/>
                      <c:pt idx="0">
                        <c:v>0</c:v>
                      </c:pt>
                      <c:pt idx="1">
                        <c:v>375.81834889301615</c:v>
                      </c:pt>
                      <c:pt idx="2">
                        <c:v>508.71496244555101</c:v>
                      </c:pt>
                      <c:pt idx="3">
                        <c:v>432.82864924816835</c:v>
                      </c:pt>
                      <c:pt idx="4">
                        <c:v>183.63043129444739</c:v>
                      </c:pt>
                      <c:pt idx="5">
                        <c:v>188.768</c:v>
                      </c:pt>
                      <c:pt idx="6">
                        <c:v>159.56800000000004</c:v>
                      </c:pt>
                      <c:pt idx="7">
                        <c:v>136.15835531780095</c:v>
                      </c:pt>
                      <c:pt idx="8">
                        <c:v>57.301333333333375</c:v>
                      </c:pt>
                      <c:pt idx="9">
                        <c:v>57.301333333333375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57FD-4536-B6A1-CBE4BB73FD71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Capacities'!$F$44:$I$44</c15:sqref>
                        </c15:formulaRef>
                      </c:ext>
                    </c:extLst>
                    <c:strCache>
                      <c:ptCount val="1"/>
                      <c:pt idx="0">
                        <c:v>Storey 5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Capacities'!$H$46:$H$55</c15:sqref>
                        </c15:formulaRef>
                      </c:ext>
                    </c:extLst>
                    <c:numCache>
                      <c:formatCode>0.0000</c:formatCode>
                      <c:ptCount val="10"/>
                      <c:pt idx="0" formatCode="0.00">
                        <c:v>0</c:v>
                      </c:pt>
                      <c:pt idx="1">
                        <c:v>1.9241439833606131E-3</c:v>
                      </c:pt>
                      <c:pt idx="2">
                        <c:v>4.8246967291489824E-3</c:v>
                      </c:pt>
                      <c:pt idx="3">
                        <c:v>9.5976000000000013E-3</c:v>
                      </c:pt>
                      <c:pt idx="4">
                        <c:v>1.47454609789312E-2</c:v>
                      </c:pt>
                      <c:pt idx="5">
                        <c:v>2.139820462856119E-2</c:v>
                      </c:pt>
                      <c:pt idx="6">
                        <c:v>4.0576731785095327E-2</c:v>
                      </c:pt>
                      <c:pt idx="7">
                        <c:v>0.08</c:v>
                      </c:pt>
                      <c:pt idx="8">
                        <c:v>0.10755503603329697</c:v>
                      </c:pt>
                      <c:pt idx="9">
                        <c:v>0.2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Capacities'!$G$46:$G$55</c15:sqref>
                        </c15:formulaRef>
                      </c:ext>
                    </c:extLst>
                    <c:numCache>
                      <c:formatCode>0.00</c:formatCode>
                      <c:ptCount val="10"/>
                      <c:pt idx="0">
                        <c:v>0</c:v>
                      </c:pt>
                      <c:pt idx="1">
                        <c:v>375.59785651736638</c:v>
                      </c:pt>
                      <c:pt idx="2">
                        <c:v>507.59603728332871</c:v>
                      </c:pt>
                      <c:pt idx="3">
                        <c:v>403.34947115447875</c:v>
                      </c:pt>
                      <c:pt idx="4">
                        <c:v>209.69623377172314</c:v>
                      </c:pt>
                      <c:pt idx="5">
                        <c:v>216.75266666666664</c:v>
                      </c:pt>
                      <c:pt idx="6">
                        <c:v>181.85266666666666</c:v>
                      </c:pt>
                      <c:pt idx="7">
                        <c:v>110.11243085656632</c:v>
                      </c:pt>
                      <c:pt idx="8">
                        <c:v>59.969333333333338</c:v>
                      </c:pt>
                      <c:pt idx="9">
                        <c:v>59.969333333333338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7FD-4536-B6A1-CBE4BB73FD71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Capacities'!$J$44:$M$44</c15:sqref>
                        </c15:formulaRef>
                      </c:ext>
                    </c:extLst>
                    <c:strCache>
                      <c:ptCount val="1"/>
                      <c:pt idx="0">
                        <c:v>Storey 4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Capacities'!$L$46:$L$55</c15:sqref>
                        </c15:formulaRef>
                      </c:ext>
                    </c:extLst>
                    <c:numCache>
                      <c:formatCode>0.0000</c:formatCode>
                      <c:ptCount val="10"/>
                      <c:pt idx="0" formatCode="0.00">
                        <c:v>0</c:v>
                      </c:pt>
                      <c:pt idx="1">
                        <c:v>1.8501735321027263E-3</c:v>
                      </c:pt>
                      <c:pt idx="2">
                        <c:v>4.6867187907318961E-3</c:v>
                      </c:pt>
                      <c:pt idx="3">
                        <c:v>8.8673064285714302E-3</c:v>
                      </c:pt>
                      <c:pt idx="4">
                        <c:v>1.4653834901851607E-2</c:v>
                      </c:pt>
                      <c:pt idx="5">
                        <c:v>1.9217860056130562E-2</c:v>
                      </c:pt>
                      <c:pt idx="6">
                        <c:v>3.3892235601287048E-2</c:v>
                      </c:pt>
                      <c:pt idx="7">
                        <c:v>0.08</c:v>
                      </c:pt>
                      <c:pt idx="8">
                        <c:v>8.5214202338049522E-2</c:v>
                      </c:pt>
                      <c:pt idx="9">
                        <c:v>0.2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Capacities'!$K$46:$K$55</c15:sqref>
                        </c15:formulaRef>
                      </c:ext>
                    </c:extLst>
                    <c:numCache>
                      <c:formatCode>0.00</c:formatCode>
                      <c:ptCount val="10"/>
                      <c:pt idx="0">
                        <c:v>0</c:v>
                      </c:pt>
                      <c:pt idx="1">
                        <c:v>380.25644120323722</c:v>
                      </c:pt>
                      <c:pt idx="2">
                        <c:v>518.90855680909203</c:v>
                      </c:pt>
                      <c:pt idx="3">
                        <c:v>442.18985024761321</c:v>
                      </c:pt>
                      <c:pt idx="4">
                        <c:v>227.6512421283135</c:v>
                      </c:pt>
                      <c:pt idx="5">
                        <c:v>233.60400000000001</c:v>
                      </c:pt>
                      <c:pt idx="6">
                        <c:v>195.33733333333336</c:v>
                      </c:pt>
                      <c:pt idx="7">
                        <c:v>75.101181167177728</c:v>
                      </c:pt>
                      <c:pt idx="8">
                        <c:v>61.504000000000019</c:v>
                      </c:pt>
                      <c:pt idx="9">
                        <c:v>61.504000000000019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7FD-4536-B6A1-CBE4BB73FD71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Capacities'!$B$57:$E$57</c15:sqref>
                        </c15:formulaRef>
                      </c:ext>
                    </c:extLst>
                    <c:strCache>
                      <c:ptCount val="1"/>
                      <c:pt idx="0">
                        <c:v>Storey 3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Capacities'!$D$59:$D$68</c15:sqref>
                        </c15:formulaRef>
                      </c:ext>
                    </c:extLst>
                    <c:numCache>
                      <c:formatCode>0.0000</c:formatCode>
                      <c:ptCount val="10"/>
                      <c:pt idx="0" formatCode="0.00">
                        <c:v>0</c:v>
                      </c:pt>
                      <c:pt idx="1">
                        <c:v>1.7909714066512246E-3</c:v>
                      </c:pt>
                      <c:pt idx="2">
                        <c:v>4.7620997498502553E-3</c:v>
                      </c:pt>
                      <c:pt idx="3">
                        <c:v>8.3556867009551838E-3</c:v>
                      </c:pt>
                      <c:pt idx="4">
                        <c:v>1.4925429106564659E-2</c:v>
                      </c:pt>
                      <c:pt idx="5">
                        <c:v>1.8690674056671252E-2</c:v>
                      </c:pt>
                      <c:pt idx="6">
                        <c:v>2.5915446502910899E-2</c:v>
                      </c:pt>
                      <c:pt idx="7">
                        <c:v>5.1215333956074915E-2</c:v>
                      </c:pt>
                      <c:pt idx="8">
                        <c:v>0.08</c:v>
                      </c:pt>
                      <c:pt idx="9">
                        <c:v>0.2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Capacities'!$C$59:$C$68</c15:sqref>
                        </c15:formulaRef>
                      </c:ext>
                    </c:extLst>
                    <c:numCache>
                      <c:formatCode>0.00</c:formatCode>
                      <c:ptCount val="10"/>
                      <c:pt idx="0">
                        <c:v>0</c:v>
                      </c:pt>
                      <c:pt idx="1">
                        <c:v>394.61766537386319</c:v>
                      </c:pt>
                      <c:pt idx="2">
                        <c:v>570.18044303383181</c:v>
                      </c:pt>
                      <c:pt idx="3">
                        <c:v>544.44819676185193</c:v>
                      </c:pt>
                      <c:pt idx="4">
                        <c:v>309.60880087157477</c:v>
                      </c:pt>
                      <c:pt idx="5">
                        <c:v>316.73733333333325</c:v>
                      </c:pt>
                      <c:pt idx="6">
                        <c:v>261.9373333333333</c:v>
                      </c:pt>
                      <c:pt idx="7">
                        <c:v>70.037333333333379</c:v>
                      </c:pt>
                      <c:pt idx="8">
                        <c:v>70.037333333333379</c:v>
                      </c:pt>
                      <c:pt idx="9">
                        <c:v>70.037333333333379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7FD-4536-B6A1-CBE4BB73FD71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Capacities'!$J$57:$M$57</c15:sqref>
                        </c15:formulaRef>
                      </c:ext>
                    </c:extLst>
                    <c:strCache>
                      <c:ptCount val="1"/>
                      <c:pt idx="0">
                        <c:v>Storey 1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Capacities'!$L$59:$L$68</c15:sqref>
                        </c15:formulaRef>
                      </c:ext>
                    </c:extLst>
                    <c:numCache>
                      <c:formatCode>0.0000</c:formatCode>
                      <c:ptCount val="10"/>
                      <c:pt idx="0">
                        <c:v>0</c:v>
                      </c:pt>
                      <c:pt idx="1">
                        <c:v>1.7665298310518072E-3</c:v>
                      </c:pt>
                      <c:pt idx="2">
                        <c:v>4.838847442015526E-3</c:v>
                      </c:pt>
                      <c:pt idx="3">
                        <c:v>4.8471720397440425E-3</c:v>
                      </c:pt>
                      <c:pt idx="4">
                        <c:v>1.3162720387918327E-2</c:v>
                      </c:pt>
                      <c:pt idx="5">
                        <c:v>1.466169265833132E-2</c:v>
                      </c:pt>
                      <c:pt idx="6">
                        <c:v>2.0491615374369852E-2</c:v>
                      </c:pt>
                      <c:pt idx="7">
                        <c:v>4.6889209353348053E-2</c:v>
                      </c:pt>
                      <c:pt idx="8">
                        <c:v>0.08</c:v>
                      </c:pt>
                      <c:pt idx="9">
                        <c:v>0.2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Capacities'!$K$59:$K$68</c15:sqref>
                        </c15:formulaRef>
                      </c:ext>
                    </c:extLst>
                    <c:numCache>
                      <c:formatCode>0.00</c:formatCode>
                      <c:ptCount val="10"/>
                      <c:pt idx="0">
                        <c:v>0</c:v>
                      </c:pt>
                      <c:pt idx="1">
                        <c:v>472.21891354209725</c:v>
                      </c:pt>
                      <c:pt idx="2">
                        <c:v>809.140141327376</c:v>
                      </c:pt>
                      <c:pt idx="3">
                        <c:v>809.52263345162191</c:v>
                      </c:pt>
                      <c:pt idx="4">
                        <c:v>528.4386318148438</c:v>
                      </c:pt>
                      <c:pt idx="5">
                        <c:v>533.60721737280869</c:v>
                      </c:pt>
                      <c:pt idx="6">
                        <c:v>466.44054690838919</c:v>
                      </c:pt>
                      <c:pt idx="7">
                        <c:v>162.31327418111641</c:v>
                      </c:pt>
                      <c:pt idx="8">
                        <c:v>162.31327418111641</c:v>
                      </c:pt>
                      <c:pt idx="9">
                        <c:v>162.31327418111641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7FD-4536-B6A1-CBE4BB73FD71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Capacities'!$AO$82:$AQ$82</c15:sqref>
                        </c15:formulaRef>
                      </c:ext>
                    </c:extLst>
                    <c:strCache>
                      <c:ptCount val="1"/>
                      <c:pt idx="0">
                        <c:v>Frame 1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Capacities'!$AP$84:$AP$89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0</c:v>
                      </c:pt>
                      <c:pt idx="1">
                        <c:v>4.8471720397440425E-3</c:v>
                      </c:pt>
                      <c:pt idx="2">
                        <c:v>1.3162720387918327E-2</c:v>
                      </c:pt>
                      <c:pt idx="3">
                        <c:v>2.0491615374369852E-2</c:v>
                      </c:pt>
                      <c:pt idx="4">
                        <c:v>4.6889209353348053E-2</c:v>
                      </c:pt>
                      <c:pt idx="5">
                        <c:v>0.2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Capacities'!$AO$84:$AO$89</c15:sqref>
                        </c15:formulaRef>
                      </c:ext>
                    </c:extLst>
                    <c:numCache>
                      <c:formatCode>0</c:formatCode>
                      <c:ptCount val="6"/>
                      <c:pt idx="0">
                        <c:v>0</c:v>
                      </c:pt>
                      <c:pt idx="1">
                        <c:v>403.27272727272725</c:v>
                      </c:pt>
                      <c:pt idx="2">
                        <c:v>431.94545454545454</c:v>
                      </c:pt>
                      <c:pt idx="3">
                        <c:v>347.50909090909096</c:v>
                      </c:pt>
                      <c:pt idx="4">
                        <c:v>43.381818181818176</c:v>
                      </c:pt>
                      <c:pt idx="5">
                        <c:v>43.381818181818176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7FD-4536-B6A1-CBE4BB73FD71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Capacities'!$AR$82:$AT$82</c15:sqref>
                        </c15:formulaRef>
                      </c:ext>
                    </c:extLst>
                    <c:strCache>
                      <c:ptCount val="1"/>
                      <c:pt idx="0">
                        <c:v>Infill 1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Capacities'!$AS$84:$AS$88</c15:sqref>
                        </c15:formulaRef>
                      </c:ext>
                    </c:extLst>
                    <c:numCache>
                      <c:formatCode>0.0000</c:formatCode>
                      <c:ptCount val="5"/>
                      <c:pt idx="0">
                        <c:v>0</c:v>
                      </c:pt>
                      <c:pt idx="1">
                        <c:v>1.7665298310518072E-3</c:v>
                      </c:pt>
                      <c:pt idx="2">
                        <c:v>4.838847442015526E-3</c:v>
                      </c:pt>
                      <c:pt idx="3">
                        <c:v>1.466169265833132E-2</c:v>
                      </c:pt>
                      <c:pt idx="4">
                        <c:v>0.08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Capacities'!$AR$84:$AR$88</c15:sqref>
                        </c15:formulaRef>
                      </c:ext>
                    </c:extLst>
                    <c:numCache>
                      <c:formatCode>0</c:formatCode>
                      <c:ptCount val="5"/>
                      <c:pt idx="0">
                        <c:v>0</c:v>
                      </c:pt>
                      <c:pt idx="1">
                        <c:v>325.24800000000005</c:v>
                      </c:pt>
                      <c:pt idx="2">
                        <c:v>406.56000000000012</c:v>
                      </c:pt>
                      <c:pt idx="3">
                        <c:v>40.656000000000006</c:v>
                      </c:pt>
                      <c:pt idx="4">
                        <c:v>40.656000000000006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7FD-4536-B6A1-CBE4BB73FD7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Capacities'!$AO$66:$AQ$66</c15:sqref>
                        </c15:formulaRef>
                      </c:ext>
                    </c:extLst>
                    <c:strCache>
                      <c:ptCount val="1"/>
                      <c:pt idx="0">
                        <c:v>Frame 3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Capacities'!$AP$68:$AP$73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0</c:v>
                      </c:pt>
                      <c:pt idx="1">
                        <c:v>8.3556867009551838E-3</c:v>
                      </c:pt>
                      <c:pt idx="2">
                        <c:v>1.8690674056671252E-2</c:v>
                      </c:pt>
                      <c:pt idx="3">
                        <c:v>2.5915446502910899E-2</c:v>
                      </c:pt>
                      <c:pt idx="4">
                        <c:v>5.1215333956074915E-2</c:v>
                      </c:pt>
                      <c:pt idx="5">
                        <c:v>0.2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Capacities'!$AO$68:$AO$73</c15:sqref>
                        </c15:formulaRef>
                      </c:ext>
                    </c:extLst>
                    <c:numCache>
                      <c:formatCode>0</c:formatCode>
                      <c:ptCount val="6"/>
                      <c:pt idx="0">
                        <c:v>0</c:v>
                      </c:pt>
                      <c:pt idx="1">
                        <c:v>254.66666666666663</c:v>
                      </c:pt>
                      <c:pt idx="2">
                        <c:v>274.23333333333329</c:v>
                      </c:pt>
                      <c:pt idx="3">
                        <c:v>219.43333333333331</c:v>
                      </c:pt>
                      <c:pt idx="4">
                        <c:v>27.533333333333331</c:v>
                      </c:pt>
                      <c:pt idx="5">
                        <c:v>27.533333333333331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57FD-4536-B6A1-CBE4BB73FD7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Capacities'!$AR$66:$AT$66</c15:sqref>
                        </c15:formulaRef>
                      </c:ext>
                    </c:extLst>
                    <c:strCache>
                      <c:ptCount val="1"/>
                      <c:pt idx="0">
                        <c:v>Infill 3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Capacities'!$AS$68:$AS$72</c15:sqref>
                        </c15:formulaRef>
                      </c:ext>
                    </c:extLst>
                    <c:numCache>
                      <c:formatCode>0.0000</c:formatCode>
                      <c:ptCount val="5"/>
                      <c:pt idx="0">
                        <c:v>0</c:v>
                      </c:pt>
                      <c:pt idx="1">
                        <c:v>1.7909714066512246E-3</c:v>
                      </c:pt>
                      <c:pt idx="2">
                        <c:v>4.7620997498502553E-3</c:v>
                      </c:pt>
                      <c:pt idx="3">
                        <c:v>1.4925429106564659E-2</c:v>
                      </c:pt>
                      <c:pt idx="4">
                        <c:v>0.08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Capacities'!$AR$68:$AR$72</c15:sqref>
                        </c15:formulaRef>
                      </c:ext>
                    </c:extLst>
                    <c:numCache>
                      <c:formatCode>0</c:formatCode>
                      <c:ptCount val="5"/>
                      <c:pt idx="0">
                        <c:v>0</c:v>
                      </c:pt>
                      <c:pt idx="1">
                        <c:v>340.03200000000004</c:v>
                      </c:pt>
                      <c:pt idx="2">
                        <c:v>425.04</c:v>
                      </c:pt>
                      <c:pt idx="3">
                        <c:v>42.504000000000005</c:v>
                      </c:pt>
                      <c:pt idx="4">
                        <c:v>42.504000000000005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57FD-4536-B6A1-CBE4BB73FD7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Capacities'!$AO$58:$AQ$58</c15:sqref>
                        </c15:formulaRef>
                      </c:ext>
                    </c:extLst>
                    <c:strCache>
                      <c:ptCount val="1"/>
                      <c:pt idx="0">
                        <c:v>Frame 4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Capacities'!$AP$60:$AP$65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0</c:v>
                      </c:pt>
                      <c:pt idx="1">
                        <c:v>8.8673064285714302E-3</c:v>
                      </c:pt>
                      <c:pt idx="2">
                        <c:v>1.9217860056130562E-2</c:v>
                      </c:pt>
                      <c:pt idx="3">
                        <c:v>3.3892235601287048E-2</c:v>
                      </c:pt>
                      <c:pt idx="4">
                        <c:v>8.5214202338049522E-2</c:v>
                      </c:pt>
                      <c:pt idx="5">
                        <c:v>0.2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Capacities'!$AO$60:$AO$65</c15:sqref>
                        </c15:formulaRef>
                      </c:ext>
                    </c:extLst>
                    <c:numCache>
                      <c:formatCode>0</c:formatCode>
                      <c:ptCount val="6"/>
                      <c:pt idx="0">
                        <c:v>0</c:v>
                      </c:pt>
                      <c:pt idx="1">
                        <c:v>177.6</c:v>
                      </c:pt>
                      <c:pt idx="2">
                        <c:v>191.1</c:v>
                      </c:pt>
                      <c:pt idx="3">
                        <c:v>152.83333333333334</c:v>
                      </c:pt>
                      <c:pt idx="4">
                        <c:v>19</c:v>
                      </c:pt>
                      <c:pt idx="5">
                        <c:v>19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7FD-4536-B6A1-CBE4BB73FD71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Capacities'!$AR$58:$AT$58</c15:sqref>
                        </c15:formulaRef>
                      </c:ext>
                    </c:extLst>
                    <c:strCache>
                      <c:ptCount val="1"/>
                      <c:pt idx="0">
                        <c:v>Infill 4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Capacities'!$AS$60:$AS$64</c15:sqref>
                        </c15:formulaRef>
                      </c:ext>
                    </c:extLst>
                    <c:numCache>
                      <c:formatCode>0.0000</c:formatCode>
                      <c:ptCount val="5"/>
                      <c:pt idx="0">
                        <c:v>0</c:v>
                      </c:pt>
                      <c:pt idx="1">
                        <c:v>1.8501735321027263E-3</c:v>
                      </c:pt>
                      <c:pt idx="2">
                        <c:v>4.6867187907318961E-3</c:v>
                      </c:pt>
                      <c:pt idx="3">
                        <c:v>1.4653834901851607E-2</c:v>
                      </c:pt>
                      <c:pt idx="4">
                        <c:v>0.08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Capacities'!$AR$60:$AR$64</c15:sqref>
                        </c15:formulaRef>
                      </c:ext>
                    </c:extLst>
                    <c:numCache>
                      <c:formatCode>0</c:formatCode>
                      <c:ptCount val="5"/>
                      <c:pt idx="0">
                        <c:v>0</c:v>
                      </c:pt>
                      <c:pt idx="1">
                        <c:v>343.20000000000005</c:v>
                      </c:pt>
                      <c:pt idx="2">
                        <c:v>425.04</c:v>
                      </c:pt>
                      <c:pt idx="3">
                        <c:v>42.504000000000005</c:v>
                      </c:pt>
                      <c:pt idx="4">
                        <c:v>42.504000000000005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7FD-4536-B6A1-CBE4BB73FD71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Capacities'!$AO$50:$AQ$50</c15:sqref>
                        </c15:formulaRef>
                      </c:ext>
                    </c:extLst>
                    <c:strCache>
                      <c:ptCount val="1"/>
                      <c:pt idx="0">
                        <c:v>Frame 5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Capacities'!$AP$52:$AP$57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0</c:v>
                      </c:pt>
                      <c:pt idx="1">
                        <c:v>9.5976000000000013E-3</c:v>
                      </c:pt>
                      <c:pt idx="2">
                        <c:v>2.139820462856119E-2</c:v>
                      </c:pt>
                      <c:pt idx="3">
                        <c:v>4.0576731785095327E-2</c:v>
                      </c:pt>
                      <c:pt idx="4">
                        <c:v>0.10755503603329697</c:v>
                      </c:pt>
                      <c:pt idx="5">
                        <c:v>0.2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Capacities'!$AO$52:$AO$57</c15:sqref>
                        </c15:formulaRef>
                      </c:ext>
                    </c:extLst>
                    <c:numCache>
                      <c:formatCode>0</c:formatCode>
                      <c:ptCount val="6"/>
                      <c:pt idx="0">
                        <c:v>0</c:v>
                      </c:pt>
                      <c:pt idx="1">
                        <c:v>161.60000000000002</c:v>
                      </c:pt>
                      <c:pt idx="2">
                        <c:v>174.11666666666665</c:v>
                      </c:pt>
                      <c:pt idx="3">
                        <c:v>139.21666666666667</c:v>
                      </c:pt>
                      <c:pt idx="4">
                        <c:v>17.333333333333332</c:v>
                      </c:pt>
                      <c:pt idx="5">
                        <c:v>17.333333333333332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7FD-4536-B6A1-CBE4BB73FD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Capacities'!$AR$50:$AT$50</c15:sqref>
                        </c15:formulaRef>
                      </c:ext>
                    </c:extLst>
                    <c:strCache>
                      <c:ptCount val="1"/>
                      <c:pt idx="0">
                        <c:v>Infill 5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Capacities'!$AS$52:$AS$56</c15:sqref>
                        </c15:formulaRef>
                      </c:ext>
                    </c:extLst>
                    <c:numCache>
                      <c:formatCode>0.0000</c:formatCode>
                      <c:ptCount val="5"/>
                      <c:pt idx="0">
                        <c:v>0</c:v>
                      </c:pt>
                      <c:pt idx="1">
                        <c:v>1.9241439833606131E-3</c:v>
                      </c:pt>
                      <c:pt idx="2">
                        <c:v>4.8246967291489824E-3</c:v>
                      </c:pt>
                      <c:pt idx="3">
                        <c:v>1.47454609789312E-2</c:v>
                      </c:pt>
                      <c:pt idx="4">
                        <c:v>0.08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Capacities'!$AR$52:$AR$56</c15:sqref>
                        </c15:formulaRef>
                      </c:ext>
                    </c:extLst>
                    <c:numCache>
                      <c:formatCode>0</c:formatCode>
                      <c:ptCount val="5"/>
                      <c:pt idx="0">
                        <c:v>0</c:v>
                      </c:pt>
                      <c:pt idx="1">
                        <c:v>343.20000000000005</c:v>
                      </c:pt>
                      <c:pt idx="2">
                        <c:v>426.36</c:v>
                      </c:pt>
                      <c:pt idx="3">
                        <c:v>42.636000000000003</c:v>
                      </c:pt>
                      <c:pt idx="4">
                        <c:v>42.636000000000003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7FD-4536-B6A1-CBE4BB73FD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Capacities'!$AO$42:$AQ$42</c15:sqref>
                        </c15:formulaRef>
                      </c:ext>
                    </c:extLst>
                    <c:strCache>
                      <c:ptCount val="1"/>
                      <c:pt idx="0">
                        <c:v>Frame 6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Capacities'!$AP$44:$AP$49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0</c:v>
                      </c:pt>
                      <c:pt idx="1">
                        <c:v>8.3125273614190701E-3</c:v>
                      </c:pt>
                      <c:pt idx="2">
                        <c:v>2.1371535666611437E-2</c:v>
                      </c:pt>
                      <c:pt idx="3">
                        <c:v>5.391216902151031E-2</c:v>
                      </c:pt>
                      <c:pt idx="4">
                        <c:v>0.16787867944711513</c:v>
                      </c:pt>
                      <c:pt idx="5">
                        <c:v>0.2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Capacities'!$AO$44:$AO$49</c15:sqref>
                        </c15:formulaRef>
                      </c:ext>
                    </c:extLst>
                    <c:numCache>
                      <c:formatCode>0</c:formatCode>
                      <c:ptCount val="6"/>
                      <c:pt idx="0">
                        <c:v>0</c:v>
                      </c:pt>
                      <c:pt idx="1">
                        <c:v>135.73333333333332</c:v>
                      </c:pt>
                      <c:pt idx="2">
                        <c:v>145.99999999999997</c:v>
                      </c:pt>
                      <c:pt idx="3">
                        <c:v>116.8</c:v>
                      </c:pt>
                      <c:pt idx="4">
                        <c:v>14.533333333333333</c:v>
                      </c:pt>
                      <c:pt idx="5">
                        <c:v>14.533333333333333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7FD-4536-B6A1-CBE4BB73FD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Capacities'!$AR$42:$AT$42</c15:sqref>
                        </c15:formulaRef>
                      </c:ext>
                    </c:extLst>
                    <c:strCache>
                      <c:ptCount val="1"/>
                      <c:pt idx="0">
                        <c:v>Infill 6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Capacities'!$AS$44:$AS$48</c15:sqref>
                        </c15:formulaRef>
                      </c:ext>
                    </c:extLst>
                    <c:numCache>
                      <c:formatCode>0.0000</c:formatCode>
                      <c:ptCount val="5"/>
                      <c:pt idx="0">
                        <c:v>0</c:v>
                      </c:pt>
                      <c:pt idx="1">
                        <c:v>1.9976000809737945E-3</c:v>
                      </c:pt>
                      <c:pt idx="2">
                        <c:v>4.9627112664062554E-3</c:v>
                      </c:pt>
                      <c:pt idx="3">
                        <c:v>1.4836644199633393E-2</c:v>
                      </c:pt>
                      <c:pt idx="4">
                        <c:v>0.08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'System Capacities'!$AR$44:$AR$48</c15:sqref>
                        </c15:formulaRef>
                      </c:ext>
                    </c:extLst>
                    <c:numCache>
                      <c:formatCode>0</c:formatCode>
                      <c:ptCount val="5"/>
                      <c:pt idx="0">
                        <c:v>0</c:v>
                      </c:pt>
                      <c:pt idx="1">
                        <c:v>325.24800000000005</c:v>
                      </c:pt>
                      <c:pt idx="2">
                        <c:v>427.68</c:v>
                      </c:pt>
                      <c:pt idx="3">
                        <c:v>42.768000000000001</c:v>
                      </c:pt>
                      <c:pt idx="4">
                        <c:v>42.768000000000001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7FD-4536-B6A1-CBE4BB73FD71}"/>
                  </c:ext>
                </c:extLst>
              </c15:ser>
            </c15:filteredScatterSeries>
          </c:ext>
        </c:extLst>
      </c:scatterChart>
      <c:valAx>
        <c:axId val="1521958256"/>
        <c:scaling>
          <c:orientation val="minMax"/>
          <c:max val="5.000000000000001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  <a:r>
                  <a:rPr lang="en-GB" baseline="0"/>
                  <a:t> Drift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;[Red]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5302080"/>
        <c:crosses val="autoZero"/>
        <c:crossBetween val="midCat"/>
      </c:valAx>
      <c:valAx>
        <c:axId val="187530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 Shear (kN)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1958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Displaced Shape (6th Iteration</a:t>
            </a:r>
            <a:r>
              <a:rPr lang="en-GB" b="1" i="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)</a:t>
            </a:r>
            <a:endParaRPr lang="en-GB" b="1" i="0">
              <a:solidFill>
                <a:schemeClr val="tx1">
                  <a:lumMod val="65000"/>
                  <a:lumOff val="3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3608013629965597E-2"/>
          <c:y val="9.1158174022679089E-2"/>
          <c:w val="0.84961250129759069"/>
          <c:h val="0.79970932679737927"/>
        </c:manualLayout>
      </c:layout>
      <c:scatterChart>
        <c:scatterStyle val="smoothMarker"/>
        <c:varyColors val="0"/>
        <c:ser>
          <c:idx val="2"/>
          <c:order val="2"/>
          <c:tx>
            <c:v>Guess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'Yield Mechanism'!$D$5:$D$11</c:f>
              <c:numCache>
                <c:formatCode>0.0000</c:formatCode>
                <c:ptCount val="7"/>
                <c:pt idx="0">
                  <c:v>5.5160561424730486E-4</c:v>
                </c:pt>
                <c:pt idx="1">
                  <c:v>5.12938457946225E-4</c:v>
                </c:pt>
                <c:pt idx="2">
                  <c:v>4.3870718022753091E-4</c:v>
                </c:pt>
                <c:pt idx="3">
                  <c:v>3.3817710389670428E-4</c:v>
                </c:pt>
                <c:pt idx="4">
                  <c:v>2.2281419912253221E-4</c:v>
                </c:pt>
                <c:pt idx="5">
                  <c:v>1.0288099750293083E-4</c:v>
                </c:pt>
                <c:pt idx="6">
                  <c:v>0</c:v>
                </c:pt>
              </c:numCache>
            </c:numRef>
          </c:xVal>
          <c:yVal>
            <c:numRef>
              <c:f>'Yield Mechanism'!$A$5:$A$11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4C-40DA-81BE-6B5F70EA42BF}"/>
            </c:ext>
          </c:extLst>
        </c:ser>
        <c:ser>
          <c:idx val="0"/>
          <c:order val="0"/>
          <c:tx>
            <c:v>Displaced Shape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'Yield Mechanism'!$X$57:$X$63</c:f>
              <c:numCache>
                <c:formatCode>0.0000</c:formatCode>
                <c:ptCount val="7"/>
                <c:pt idx="0">
                  <c:v>5.5160151453768761E-4</c:v>
                </c:pt>
                <c:pt idx="1">
                  <c:v>5.129345250204138E-4</c:v>
                </c:pt>
                <c:pt idx="2">
                  <c:v>4.3870334213667601E-4</c:v>
                </c:pt>
                <c:pt idx="3">
                  <c:v>3.3817327344649168E-4</c:v>
                </c:pt>
                <c:pt idx="4">
                  <c:v>2.2281127454538285E-4</c:v>
                </c:pt>
                <c:pt idx="5">
                  <c:v>1.0287567569342185E-4</c:v>
                </c:pt>
                <c:pt idx="6">
                  <c:v>0</c:v>
                </c:pt>
              </c:numCache>
            </c:numRef>
          </c:xVal>
          <c:yVal>
            <c:numRef>
              <c:f>'Yield Mechanism'!$A$5:$A$11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82-40A7-B5F3-6313AB659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Mechanism'!$D$8:$D$11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3.3817710389670428E-4</c:v>
                      </c:pt>
                      <c:pt idx="1">
                        <c:v>2.2281419912253221E-4</c:v>
                      </c:pt>
                      <c:pt idx="2">
                        <c:v>1.0288099750293083E-4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Mechanism'!$B$8:$B$11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8.75</c:v>
                      </c:pt>
                      <c:pt idx="1">
                        <c:v>5.75</c:v>
                      </c:pt>
                      <c:pt idx="2">
                        <c:v>2.75</c:v>
                      </c:pt>
                      <c:pt idx="3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0182-40A7-B5F3-6313AB659B9F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  <c:max val="0.150000000000000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  <c:majorUnit val="1.5000000000000003E-2"/>
      </c:valAx>
      <c:valAx>
        <c:axId val="623435184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381797521297046"/>
          <c:y val="0.49299970641692775"/>
          <c:w val="0.17606574345699852"/>
          <c:h val="0.132282831660986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Lateral Force Pattern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6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0-C72C-4CBA-8536-CC779A860663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'Yield Mechanism'!$H$48:$H$54</c:f>
              <c:numCache>
                <c:formatCode>0.00</c:formatCode>
                <c:ptCount val="7"/>
                <c:pt idx="0">
                  <c:v>0.24248678050954128</c:v>
                </c:pt>
                <c:pt idx="1">
                  <c:v>0.24051695612553448</c:v>
                </c:pt>
                <c:pt idx="2">
                  <c:v>0.20570967120728109</c:v>
                </c:pt>
                <c:pt idx="3">
                  <c:v>0.1585707383785897</c:v>
                </c:pt>
                <c:pt idx="4">
                  <c:v>0.10447705687577472</c:v>
                </c:pt>
                <c:pt idx="5">
                  <c:v>4.8238796903278675E-2</c:v>
                </c:pt>
                <c:pt idx="6">
                  <c:v>0</c:v>
                </c:pt>
              </c:numCache>
            </c:numRef>
          </c:xVal>
          <c:yVal>
            <c:numRef>
              <c:f>'Yield Mechanism'!$E$48:$E$54</c:f>
              <c:numCache>
                <c:formatCode>0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1-4965-87EA-04898414ED0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396472191"/>
        <c:axId val="398830079"/>
      </c:scatterChart>
      <c:valAx>
        <c:axId val="396472191"/>
        <c:scaling>
          <c:orientation val="minMax"/>
          <c:max val="0.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Lateral Force/Base</a:t>
                </a:r>
                <a:r>
                  <a:rPr lang="en-GB" baseline="0"/>
                  <a:t> Shear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30079"/>
        <c:crosses val="autoZero"/>
        <c:crossBetween val="midCat"/>
      </c:valAx>
      <c:valAx>
        <c:axId val="398830079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72191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Pushover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202398229633059"/>
          <c:y val="0.14696382056076399"/>
          <c:w val="0.816446708867274"/>
          <c:h val="0.68583157861238253"/>
        </c:manualLayout>
      </c:layout>
      <c:scatterChart>
        <c:scatterStyle val="lineMarker"/>
        <c:varyColors val="0"/>
        <c:ser>
          <c:idx val="1"/>
          <c:order val="0"/>
          <c:tx>
            <c:v>DBA</c:v>
          </c:tx>
          <c:xVal>
            <c:numRef>
              <c:f>'Post-yield Mechanism'!$D$37:$D$57</c:f>
              <c:numCache>
                <c:formatCode>0.0000</c:formatCode>
                <c:ptCount val="21"/>
                <c:pt idx="0">
                  <c:v>0</c:v>
                </c:pt>
                <c:pt idx="1">
                  <c:v>5.5160151453768761E-4</c:v>
                </c:pt>
                <c:pt idx="2">
                  <c:v>5.5160151453768761E-4</c:v>
                </c:pt>
                <c:pt idx="3">
                  <c:v>5.5160151453768761E-4</c:v>
                </c:pt>
                <c:pt idx="4">
                  <c:v>5.5160151453768761E-4</c:v>
                </c:pt>
                <c:pt idx="5">
                  <c:v>5.5160151453768761E-4</c:v>
                </c:pt>
                <c:pt idx="6">
                  <c:v>5.5160151453768761E-4</c:v>
                </c:pt>
                <c:pt idx="7">
                  <c:v>5.5160151453768761E-4</c:v>
                </c:pt>
                <c:pt idx="8">
                  <c:v>5.5160151453768761E-4</c:v>
                </c:pt>
                <c:pt idx="9">
                  <c:v>5.5160151453768761E-4</c:v>
                </c:pt>
                <c:pt idx="10">
                  <c:v>5.5160151453768761E-4</c:v>
                </c:pt>
                <c:pt idx="11">
                  <c:v>5.5160151453768761E-4</c:v>
                </c:pt>
                <c:pt idx="12">
                  <c:v>5.5160151453768761E-4</c:v>
                </c:pt>
                <c:pt idx="13">
                  <c:v>5.5160151453768761E-4</c:v>
                </c:pt>
                <c:pt idx="14">
                  <c:v>5.5160151453768761E-4</c:v>
                </c:pt>
                <c:pt idx="15">
                  <c:v>5.5160151453768761E-4</c:v>
                </c:pt>
                <c:pt idx="16">
                  <c:v>5.5160151453768761E-4</c:v>
                </c:pt>
                <c:pt idx="17">
                  <c:v>5.5160151453768761E-4</c:v>
                </c:pt>
                <c:pt idx="18">
                  <c:v>5.5160151453768761E-4</c:v>
                </c:pt>
                <c:pt idx="19">
                  <c:v>5.5160151453768761E-4</c:v>
                </c:pt>
                <c:pt idx="20">
                  <c:v>5.5160151453768761E-4</c:v>
                </c:pt>
              </c:numCache>
            </c:numRef>
          </c:xVal>
          <c:yVal>
            <c:numRef>
              <c:f>'Post-yield Mechanism'!$C$37:$C$57</c:f>
              <c:numCache>
                <c:formatCode>0.00</c:formatCode>
                <c:ptCount val="21"/>
                <c:pt idx="0" formatCode="0.0000">
                  <c:v>0</c:v>
                </c:pt>
                <c:pt idx="1">
                  <c:v>-10.000012796375236</c:v>
                </c:pt>
                <c:pt idx="2">
                  <c:v>-10.000012796375236</c:v>
                </c:pt>
                <c:pt idx="3">
                  <c:v>-10.000012796375236</c:v>
                </c:pt>
                <c:pt idx="4">
                  <c:v>-10.000012796375236</c:v>
                </c:pt>
                <c:pt idx="5">
                  <c:v>-10.000012796375236</c:v>
                </c:pt>
                <c:pt idx="6">
                  <c:v>-10.000012796375236</c:v>
                </c:pt>
                <c:pt idx="7">
                  <c:v>-10.000012796375236</c:v>
                </c:pt>
                <c:pt idx="8">
                  <c:v>-10.000012796375236</c:v>
                </c:pt>
                <c:pt idx="9">
                  <c:v>-10.000012796375236</c:v>
                </c:pt>
                <c:pt idx="10">
                  <c:v>-10.000012796375236</c:v>
                </c:pt>
                <c:pt idx="11">
                  <c:v>-10.000012796375236</c:v>
                </c:pt>
                <c:pt idx="12">
                  <c:v>-10.000012796375236</c:v>
                </c:pt>
                <c:pt idx="13">
                  <c:v>-10.000012796375236</c:v>
                </c:pt>
                <c:pt idx="14">
                  <c:v>-10.000012796375236</c:v>
                </c:pt>
                <c:pt idx="15">
                  <c:v>-10.000012796375236</c:v>
                </c:pt>
                <c:pt idx="16">
                  <c:v>-10.000012796375236</c:v>
                </c:pt>
                <c:pt idx="17">
                  <c:v>-10.000012796375236</c:v>
                </c:pt>
                <c:pt idx="18">
                  <c:v>-10.000012796375236</c:v>
                </c:pt>
                <c:pt idx="19">
                  <c:v>-10.000012796375236</c:v>
                </c:pt>
                <c:pt idx="20">
                  <c:v>-10.000012796375236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89C-4116-A45A-26B0D3723CEB}"/>
            </c:ext>
          </c:extLst>
        </c:ser>
        <c:ser>
          <c:idx val="0"/>
          <c:order val="1"/>
          <c:tx>
            <c:v>Galli_6st_5bay_WeakSingle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5699"/>
              <c:pt idx="0">
                <c:v>2.0689300000000001E-4</c:v>
              </c:pt>
              <c:pt idx="1">
                <c:v>2.4689299999999998E-4</c:v>
              </c:pt>
              <c:pt idx="2">
                <c:v>2.8689299999999998E-4</c:v>
              </c:pt>
              <c:pt idx="3">
                <c:v>3.2689299999999998E-4</c:v>
              </c:pt>
              <c:pt idx="4">
                <c:v>3.6689300000000003E-4</c:v>
              </c:pt>
              <c:pt idx="5">
                <c:v>4.0689300000000002E-4</c:v>
              </c:pt>
              <c:pt idx="6">
                <c:v>4.4689300000000002E-4</c:v>
              </c:pt>
              <c:pt idx="7">
                <c:v>4.8689300000000002E-4</c:v>
              </c:pt>
              <c:pt idx="8">
                <c:v>5.2689299999999996E-4</c:v>
              </c:pt>
              <c:pt idx="9">
                <c:v>5.6689299999999995E-4</c:v>
              </c:pt>
              <c:pt idx="10">
                <c:v>6.0689299999999995E-4</c:v>
              </c:pt>
              <c:pt idx="11">
                <c:v>6.4689299999999995E-4</c:v>
              </c:pt>
              <c:pt idx="12">
                <c:v>6.8689300000000005E-4</c:v>
              </c:pt>
              <c:pt idx="13">
                <c:v>7.2689300000000005E-4</c:v>
              </c:pt>
              <c:pt idx="14">
                <c:v>7.6689300000000005E-4</c:v>
              </c:pt>
              <c:pt idx="15">
                <c:v>8.0689300000000004E-4</c:v>
              </c:pt>
              <c:pt idx="16">
                <c:v>8.4689300000000004E-4</c:v>
              </c:pt>
              <c:pt idx="17">
                <c:v>8.8689300000000003E-4</c:v>
              </c:pt>
              <c:pt idx="18">
                <c:v>9.2689300000000003E-4</c:v>
              </c:pt>
              <c:pt idx="19">
                <c:v>9.6689300000000003E-4</c:v>
              </c:pt>
              <c:pt idx="20">
                <c:v>1.0068900000000001E-3</c:v>
              </c:pt>
              <c:pt idx="21">
                <c:v>1.04689E-3</c:v>
              </c:pt>
              <c:pt idx="22">
                <c:v>1.0868900000000001E-3</c:v>
              </c:pt>
              <c:pt idx="23">
                <c:v>1.12689E-3</c:v>
              </c:pt>
              <c:pt idx="24">
                <c:v>1.1668900000000001E-3</c:v>
              </c:pt>
              <c:pt idx="25">
                <c:v>1.20689E-3</c:v>
              </c:pt>
              <c:pt idx="26">
                <c:v>1.2468900000000001E-3</c:v>
              </c:pt>
              <c:pt idx="27">
                <c:v>1.28689E-3</c:v>
              </c:pt>
              <c:pt idx="28">
                <c:v>1.3268900000000001E-3</c:v>
              </c:pt>
              <c:pt idx="29">
                <c:v>1.3668899999999999E-3</c:v>
              </c:pt>
              <c:pt idx="30">
                <c:v>1.4068900000000001E-3</c:v>
              </c:pt>
              <c:pt idx="31">
                <c:v>1.4468899999999999E-3</c:v>
              </c:pt>
              <c:pt idx="32">
                <c:v>1.48689E-3</c:v>
              </c:pt>
              <c:pt idx="33">
                <c:v>1.5268899999999999E-3</c:v>
              </c:pt>
              <c:pt idx="34">
                <c:v>1.56689E-3</c:v>
              </c:pt>
              <c:pt idx="35">
                <c:v>1.6068899999999999E-3</c:v>
              </c:pt>
              <c:pt idx="36">
                <c:v>1.64689E-3</c:v>
              </c:pt>
              <c:pt idx="37">
                <c:v>1.6868899999999999E-3</c:v>
              </c:pt>
              <c:pt idx="38">
                <c:v>1.72689E-3</c:v>
              </c:pt>
              <c:pt idx="39">
                <c:v>1.7668899999999999E-3</c:v>
              </c:pt>
              <c:pt idx="40">
                <c:v>1.80689E-3</c:v>
              </c:pt>
              <c:pt idx="41">
                <c:v>1.8468899999999999E-3</c:v>
              </c:pt>
              <c:pt idx="42">
                <c:v>1.88689E-3</c:v>
              </c:pt>
              <c:pt idx="43">
                <c:v>1.9268899999999999E-3</c:v>
              </c:pt>
              <c:pt idx="44">
                <c:v>1.9668899999999998E-3</c:v>
              </c:pt>
              <c:pt idx="45">
                <c:v>2.0068899999999999E-3</c:v>
              </c:pt>
              <c:pt idx="46">
                <c:v>2.04689E-3</c:v>
              </c:pt>
              <c:pt idx="47">
                <c:v>2.0868900000000001E-3</c:v>
              </c:pt>
              <c:pt idx="48">
                <c:v>2.1268900000000002E-3</c:v>
              </c:pt>
              <c:pt idx="49">
                <c:v>2.1668899999999999E-3</c:v>
              </c:pt>
              <c:pt idx="50">
                <c:v>2.20689E-3</c:v>
              </c:pt>
              <c:pt idx="51">
                <c:v>2.2468900000000001E-3</c:v>
              </c:pt>
              <c:pt idx="52">
                <c:v>2.2868900000000002E-3</c:v>
              </c:pt>
              <c:pt idx="53">
                <c:v>2.3268899999999999E-3</c:v>
              </c:pt>
              <c:pt idx="54">
                <c:v>2.36689E-3</c:v>
              </c:pt>
              <c:pt idx="55">
                <c:v>2.4068900000000001E-3</c:v>
              </c:pt>
              <c:pt idx="56">
                <c:v>2.4468900000000002E-3</c:v>
              </c:pt>
              <c:pt idx="57">
                <c:v>2.4868899999999998E-3</c:v>
              </c:pt>
              <c:pt idx="58">
                <c:v>2.52689E-3</c:v>
              </c:pt>
              <c:pt idx="59">
                <c:v>2.5668900000000001E-3</c:v>
              </c:pt>
              <c:pt idx="60">
                <c:v>2.6068900000000002E-3</c:v>
              </c:pt>
              <c:pt idx="61">
                <c:v>2.6468899999999998E-3</c:v>
              </c:pt>
              <c:pt idx="62">
                <c:v>2.6868899999999999E-3</c:v>
              </c:pt>
              <c:pt idx="63">
                <c:v>2.72689E-3</c:v>
              </c:pt>
              <c:pt idx="64">
                <c:v>2.7668900000000001E-3</c:v>
              </c:pt>
              <c:pt idx="65">
                <c:v>2.8068899999999998E-3</c:v>
              </c:pt>
              <c:pt idx="66">
                <c:v>2.8468899999999999E-3</c:v>
              </c:pt>
              <c:pt idx="67">
                <c:v>2.88689E-3</c:v>
              </c:pt>
              <c:pt idx="68">
                <c:v>2.9268900000000001E-3</c:v>
              </c:pt>
              <c:pt idx="69">
                <c:v>2.9668899999999998E-3</c:v>
              </c:pt>
              <c:pt idx="70">
                <c:v>3.0068899999999999E-3</c:v>
              </c:pt>
              <c:pt idx="71">
                <c:v>3.04689E-3</c:v>
              </c:pt>
              <c:pt idx="72">
                <c:v>3.0868900000000001E-3</c:v>
              </c:pt>
              <c:pt idx="73">
                <c:v>3.1268899999999998E-3</c:v>
              </c:pt>
              <c:pt idx="74">
                <c:v>3.1668899999999999E-3</c:v>
              </c:pt>
              <c:pt idx="75">
                <c:v>3.20689E-3</c:v>
              </c:pt>
              <c:pt idx="76">
                <c:v>3.2468900000000001E-3</c:v>
              </c:pt>
              <c:pt idx="77">
                <c:v>3.2868900000000002E-3</c:v>
              </c:pt>
              <c:pt idx="78">
                <c:v>3.3268899999999999E-3</c:v>
              </c:pt>
              <c:pt idx="79">
                <c:v>3.36689E-3</c:v>
              </c:pt>
              <c:pt idx="80">
                <c:v>3.4068900000000001E-3</c:v>
              </c:pt>
              <c:pt idx="81">
                <c:v>3.4468900000000002E-3</c:v>
              </c:pt>
              <c:pt idx="82">
                <c:v>3.4868899999999999E-3</c:v>
              </c:pt>
              <c:pt idx="83">
                <c:v>3.52689E-3</c:v>
              </c:pt>
              <c:pt idx="84">
                <c:v>3.5668900000000001E-3</c:v>
              </c:pt>
              <c:pt idx="85">
                <c:v>3.6068900000000002E-3</c:v>
              </c:pt>
              <c:pt idx="86">
                <c:v>3.6468899999999999E-3</c:v>
              </c:pt>
              <c:pt idx="87">
                <c:v>3.68689E-3</c:v>
              </c:pt>
              <c:pt idx="88">
                <c:v>3.7268900000000001E-3</c:v>
              </c:pt>
              <c:pt idx="89">
                <c:v>3.7668900000000002E-3</c:v>
              </c:pt>
              <c:pt idx="90">
                <c:v>3.8068899999999998E-3</c:v>
              </c:pt>
              <c:pt idx="91">
                <c:v>3.8468899999999999E-3</c:v>
              </c:pt>
              <c:pt idx="92">
                <c:v>3.88689E-3</c:v>
              </c:pt>
              <c:pt idx="93">
                <c:v>3.9268899999999997E-3</c:v>
              </c:pt>
              <c:pt idx="94">
                <c:v>3.9668899999999998E-3</c:v>
              </c:pt>
              <c:pt idx="95">
                <c:v>4.0068899999999999E-3</c:v>
              </c:pt>
              <c:pt idx="96">
                <c:v>4.04689E-3</c:v>
              </c:pt>
              <c:pt idx="97">
                <c:v>4.0868900000000001E-3</c:v>
              </c:pt>
              <c:pt idx="98">
                <c:v>4.1268900000000002E-3</c:v>
              </c:pt>
              <c:pt idx="99">
                <c:v>4.1668900000000004E-3</c:v>
              </c:pt>
              <c:pt idx="100">
                <c:v>4.2068899999999996E-3</c:v>
              </c:pt>
              <c:pt idx="101">
                <c:v>4.2468899999999997E-3</c:v>
              </c:pt>
              <c:pt idx="102">
                <c:v>4.2868899999999998E-3</c:v>
              </c:pt>
              <c:pt idx="103">
                <c:v>4.3268899999999999E-3</c:v>
              </c:pt>
              <c:pt idx="104">
                <c:v>4.36689E-3</c:v>
              </c:pt>
              <c:pt idx="105">
                <c:v>4.4068900000000001E-3</c:v>
              </c:pt>
              <c:pt idx="106">
                <c:v>4.4468900000000002E-3</c:v>
              </c:pt>
              <c:pt idx="107">
                <c:v>4.4868900000000003E-3</c:v>
              </c:pt>
              <c:pt idx="108">
                <c:v>4.5268900000000004E-3</c:v>
              </c:pt>
              <c:pt idx="109">
                <c:v>4.5668899999999997E-3</c:v>
              </c:pt>
              <c:pt idx="110">
                <c:v>4.6068899999999998E-3</c:v>
              </c:pt>
              <c:pt idx="111">
                <c:v>4.6468899999999999E-3</c:v>
              </c:pt>
              <c:pt idx="112">
                <c:v>4.68689E-3</c:v>
              </c:pt>
              <c:pt idx="113">
                <c:v>4.7268900000000001E-3</c:v>
              </c:pt>
              <c:pt idx="114">
                <c:v>4.7668900000000002E-3</c:v>
              </c:pt>
              <c:pt idx="115">
                <c:v>4.8068900000000003E-3</c:v>
              </c:pt>
              <c:pt idx="116">
                <c:v>4.8468900000000004E-3</c:v>
              </c:pt>
              <c:pt idx="117">
                <c:v>4.8868899999999996E-3</c:v>
              </c:pt>
              <c:pt idx="118">
                <c:v>4.9268899999999997E-3</c:v>
              </c:pt>
              <c:pt idx="119">
                <c:v>4.9668899999999998E-3</c:v>
              </c:pt>
              <c:pt idx="120">
                <c:v>5.00689E-3</c:v>
              </c:pt>
              <c:pt idx="121">
                <c:v>5.0468900000000001E-3</c:v>
              </c:pt>
              <c:pt idx="122">
                <c:v>5.0868900000000002E-3</c:v>
              </c:pt>
              <c:pt idx="123">
                <c:v>5.1268900000000003E-3</c:v>
              </c:pt>
              <c:pt idx="124">
                <c:v>5.1668900000000004E-3</c:v>
              </c:pt>
              <c:pt idx="125">
                <c:v>5.2068899999999996E-3</c:v>
              </c:pt>
              <c:pt idx="126">
                <c:v>5.2468899999999997E-3</c:v>
              </c:pt>
              <c:pt idx="127">
                <c:v>5.2868899999999998E-3</c:v>
              </c:pt>
              <c:pt idx="128">
                <c:v>5.3268899999999999E-3</c:v>
              </c:pt>
              <c:pt idx="129">
                <c:v>5.36689E-3</c:v>
              </c:pt>
              <c:pt idx="130">
                <c:v>5.4068900000000001E-3</c:v>
              </c:pt>
              <c:pt idx="131">
                <c:v>5.4468900000000002E-3</c:v>
              </c:pt>
              <c:pt idx="132">
                <c:v>5.4868900000000003E-3</c:v>
              </c:pt>
              <c:pt idx="133">
                <c:v>5.5268899999999996E-3</c:v>
              </c:pt>
              <c:pt idx="134">
                <c:v>5.5668899999999997E-3</c:v>
              </c:pt>
              <c:pt idx="135">
                <c:v>5.6068899999999998E-3</c:v>
              </c:pt>
              <c:pt idx="136">
                <c:v>5.6468899999999999E-3</c:v>
              </c:pt>
              <c:pt idx="137">
                <c:v>5.68689E-3</c:v>
              </c:pt>
              <c:pt idx="138">
                <c:v>5.7268900000000001E-3</c:v>
              </c:pt>
              <c:pt idx="139">
                <c:v>5.7668900000000002E-3</c:v>
              </c:pt>
              <c:pt idx="140">
                <c:v>5.8068900000000003E-3</c:v>
              </c:pt>
              <c:pt idx="141">
                <c:v>5.8468900000000004E-3</c:v>
              </c:pt>
              <c:pt idx="142">
                <c:v>5.8868899999999997E-3</c:v>
              </c:pt>
              <c:pt idx="143">
                <c:v>5.9268899999999998E-3</c:v>
              </c:pt>
              <c:pt idx="144">
                <c:v>5.9668899999999999E-3</c:v>
              </c:pt>
              <c:pt idx="145">
                <c:v>6.00689E-3</c:v>
              </c:pt>
              <c:pt idx="146">
                <c:v>6.0468900000000001E-3</c:v>
              </c:pt>
              <c:pt idx="147">
                <c:v>6.0868900000000002E-3</c:v>
              </c:pt>
              <c:pt idx="148">
                <c:v>6.1268900000000003E-3</c:v>
              </c:pt>
              <c:pt idx="149">
                <c:v>6.1668900000000004E-3</c:v>
              </c:pt>
              <c:pt idx="150">
                <c:v>6.2068899999999996E-3</c:v>
              </c:pt>
              <c:pt idx="151">
                <c:v>6.2468899999999997E-3</c:v>
              </c:pt>
              <c:pt idx="152">
                <c:v>6.2868899999999998E-3</c:v>
              </c:pt>
              <c:pt idx="153">
                <c:v>6.3268899999999999E-3</c:v>
              </c:pt>
              <c:pt idx="154">
                <c:v>6.36689E-3</c:v>
              </c:pt>
              <c:pt idx="155">
                <c:v>6.4068900000000002E-3</c:v>
              </c:pt>
              <c:pt idx="156">
                <c:v>6.4468900000000003E-3</c:v>
              </c:pt>
              <c:pt idx="157">
                <c:v>6.4868900000000004E-3</c:v>
              </c:pt>
              <c:pt idx="158">
                <c:v>6.5268899999999996E-3</c:v>
              </c:pt>
              <c:pt idx="159">
                <c:v>6.5668899999999997E-3</c:v>
              </c:pt>
              <c:pt idx="160">
                <c:v>6.6068899999999998E-3</c:v>
              </c:pt>
              <c:pt idx="161">
                <c:v>6.6468899999999999E-3</c:v>
              </c:pt>
              <c:pt idx="162">
                <c:v>6.68689E-3</c:v>
              </c:pt>
              <c:pt idx="163">
                <c:v>6.7268900000000001E-3</c:v>
              </c:pt>
              <c:pt idx="164">
                <c:v>6.7668900000000002E-3</c:v>
              </c:pt>
              <c:pt idx="165">
                <c:v>6.8068900000000003E-3</c:v>
              </c:pt>
              <c:pt idx="166">
                <c:v>6.8468899999999996E-3</c:v>
              </c:pt>
              <c:pt idx="167">
                <c:v>6.8868899999999997E-3</c:v>
              </c:pt>
              <c:pt idx="168">
                <c:v>6.9268899999999998E-3</c:v>
              </c:pt>
              <c:pt idx="169">
                <c:v>6.9668899999999999E-3</c:v>
              </c:pt>
              <c:pt idx="170">
                <c:v>7.00689E-3</c:v>
              </c:pt>
              <c:pt idx="171">
                <c:v>7.0468900000000001E-3</c:v>
              </c:pt>
              <c:pt idx="172">
                <c:v>7.0868900000000002E-3</c:v>
              </c:pt>
              <c:pt idx="173">
                <c:v>7.1268900000000003E-3</c:v>
              </c:pt>
              <c:pt idx="174">
                <c:v>7.1668900000000004E-3</c:v>
              </c:pt>
              <c:pt idx="175">
                <c:v>7.2068899999999997E-3</c:v>
              </c:pt>
              <c:pt idx="176">
                <c:v>7.2468899999999998E-3</c:v>
              </c:pt>
              <c:pt idx="177">
                <c:v>7.2868899999999999E-3</c:v>
              </c:pt>
              <c:pt idx="178">
                <c:v>7.32689E-3</c:v>
              </c:pt>
              <c:pt idx="179">
                <c:v>7.3668900000000001E-3</c:v>
              </c:pt>
              <c:pt idx="180">
                <c:v>7.4068900000000002E-3</c:v>
              </c:pt>
              <c:pt idx="181">
                <c:v>7.4468900000000003E-3</c:v>
              </c:pt>
              <c:pt idx="182">
                <c:v>7.4868900000000004E-3</c:v>
              </c:pt>
              <c:pt idx="183">
                <c:v>7.5268899999999996E-3</c:v>
              </c:pt>
              <c:pt idx="184">
                <c:v>7.5668899999999997E-3</c:v>
              </c:pt>
              <c:pt idx="185">
                <c:v>7.6068899999999998E-3</c:v>
              </c:pt>
              <c:pt idx="186">
                <c:v>7.6468899999999999E-3</c:v>
              </c:pt>
              <c:pt idx="187">
                <c:v>7.68689E-3</c:v>
              </c:pt>
              <c:pt idx="188">
                <c:v>7.7268900000000001E-3</c:v>
              </c:pt>
              <c:pt idx="189">
                <c:v>7.7668900000000003E-3</c:v>
              </c:pt>
              <c:pt idx="190">
                <c:v>7.8068900000000004E-3</c:v>
              </c:pt>
              <c:pt idx="191">
                <c:v>7.8468900000000005E-3</c:v>
              </c:pt>
              <c:pt idx="192">
                <c:v>7.8868900000000006E-3</c:v>
              </c:pt>
              <c:pt idx="193">
                <c:v>7.9268900000000007E-3</c:v>
              </c:pt>
              <c:pt idx="194">
                <c:v>7.9668900000000008E-3</c:v>
              </c:pt>
              <c:pt idx="195">
                <c:v>8.0068899999999991E-3</c:v>
              </c:pt>
              <c:pt idx="196">
                <c:v>8.0468899999999993E-3</c:v>
              </c:pt>
              <c:pt idx="197">
                <c:v>8.0868899999999994E-3</c:v>
              </c:pt>
              <c:pt idx="198">
                <c:v>8.1268899999999995E-3</c:v>
              </c:pt>
              <c:pt idx="199">
                <c:v>8.1668899999999996E-3</c:v>
              </c:pt>
              <c:pt idx="200">
                <c:v>8.2068899999999997E-3</c:v>
              </c:pt>
              <c:pt idx="201">
                <c:v>8.2468899999999998E-3</c:v>
              </c:pt>
              <c:pt idx="202">
                <c:v>8.2868899999999999E-3</c:v>
              </c:pt>
              <c:pt idx="203">
                <c:v>8.32689E-3</c:v>
              </c:pt>
              <c:pt idx="204">
                <c:v>8.3668900000000001E-3</c:v>
              </c:pt>
              <c:pt idx="205">
                <c:v>8.4068900000000002E-3</c:v>
              </c:pt>
              <c:pt idx="206">
                <c:v>8.4468900000000003E-3</c:v>
              </c:pt>
              <c:pt idx="207">
                <c:v>8.4868900000000004E-3</c:v>
              </c:pt>
              <c:pt idx="208">
                <c:v>8.5268900000000005E-3</c:v>
              </c:pt>
              <c:pt idx="209">
                <c:v>8.5668900000000006E-3</c:v>
              </c:pt>
              <c:pt idx="210">
                <c:v>8.6068900000000007E-3</c:v>
              </c:pt>
              <c:pt idx="211">
                <c:v>8.6468900000000008E-3</c:v>
              </c:pt>
              <c:pt idx="212">
                <c:v>8.6868899999999992E-3</c:v>
              </c:pt>
              <c:pt idx="213">
                <c:v>8.7268899999999993E-3</c:v>
              </c:pt>
              <c:pt idx="214">
                <c:v>8.7668899999999994E-3</c:v>
              </c:pt>
              <c:pt idx="215">
                <c:v>8.8068899999999995E-3</c:v>
              </c:pt>
              <c:pt idx="216">
                <c:v>8.8468899999999996E-3</c:v>
              </c:pt>
              <c:pt idx="217">
                <c:v>8.8868899999999997E-3</c:v>
              </c:pt>
              <c:pt idx="218">
                <c:v>8.9268899999999998E-3</c:v>
              </c:pt>
              <c:pt idx="219">
                <c:v>8.9668899999999999E-3</c:v>
              </c:pt>
              <c:pt idx="220">
                <c:v>9.00689E-3</c:v>
              </c:pt>
              <c:pt idx="221">
                <c:v>9.0468900000000001E-3</c:v>
              </c:pt>
              <c:pt idx="222">
                <c:v>9.0868900000000002E-3</c:v>
              </c:pt>
              <c:pt idx="223">
                <c:v>9.1268900000000003E-3</c:v>
              </c:pt>
              <c:pt idx="224">
                <c:v>9.1668900000000005E-3</c:v>
              </c:pt>
              <c:pt idx="225">
                <c:v>9.2068900000000006E-3</c:v>
              </c:pt>
              <c:pt idx="226">
                <c:v>9.2468900000000007E-3</c:v>
              </c:pt>
              <c:pt idx="227">
                <c:v>9.2868900000000008E-3</c:v>
              </c:pt>
              <c:pt idx="228">
                <c:v>9.3268899999999991E-3</c:v>
              </c:pt>
              <c:pt idx="229">
                <c:v>9.3668899999999992E-3</c:v>
              </c:pt>
              <c:pt idx="230">
                <c:v>9.4068899999999993E-3</c:v>
              </c:pt>
              <c:pt idx="231">
                <c:v>9.4468899999999995E-3</c:v>
              </c:pt>
              <c:pt idx="232">
                <c:v>9.4868899999999996E-3</c:v>
              </c:pt>
              <c:pt idx="233">
                <c:v>9.5268899999999997E-3</c:v>
              </c:pt>
              <c:pt idx="234">
                <c:v>9.5668899999999998E-3</c:v>
              </c:pt>
              <c:pt idx="235">
                <c:v>9.6068899999999999E-3</c:v>
              </c:pt>
              <c:pt idx="236">
                <c:v>9.64689E-3</c:v>
              </c:pt>
              <c:pt idx="237">
                <c:v>9.6868900000000001E-3</c:v>
              </c:pt>
              <c:pt idx="238">
                <c:v>9.7268900000000002E-3</c:v>
              </c:pt>
              <c:pt idx="239">
                <c:v>9.7668900000000003E-3</c:v>
              </c:pt>
              <c:pt idx="240">
                <c:v>9.8068900000000004E-3</c:v>
              </c:pt>
              <c:pt idx="241">
                <c:v>9.8468900000000005E-3</c:v>
              </c:pt>
              <c:pt idx="242">
                <c:v>9.8868900000000006E-3</c:v>
              </c:pt>
              <c:pt idx="243">
                <c:v>9.9268900000000007E-3</c:v>
              </c:pt>
              <c:pt idx="244">
                <c:v>9.9668900000000008E-3</c:v>
              </c:pt>
              <c:pt idx="245">
                <c:v>1.0006900000000001E-2</c:v>
              </c:pt>
              <c:pt idx="246">
                <c:v>1.0046899999999999E-2</c:v>
              </c:pt>
              <c:pt idx="247">
                <c:v>1.0086899999999999E-2</c:v>
              </c:pt>
              <c:pt idx="248">
                <c:v>1.0126899999999999E-2</c:v>
              </c:pt>
              <c:pt idx="249">
                <c:v>1.01669E-2</c:v>
              </c:pt>
              <c:pt idx="250">
                <c:v>1.02069E-2</c:v>
              </c:pt>
              <c:pt idx="251">
                <c:v>1.02469E-2</c:v>
              </c:pt>
              <c:pt idx="252">
                <c:v>1.02869E-2</c:v>
              </c:pt>
              <c:pt idx="253">
                <c:v>1.03269E-2</c:v>
              </c:pt>
              <c:pt idx="254">
                <c:v>1.03669E-2</c:v>
              </c:pt>
              <c:pt idx="255">
                <c:v>1.04069E-2</c:v>
              </c:pt>
              <c:pt idx="256">
                <c:v>1.04469E-2</c:v>
              </c:pt>
              <c:pt idx="257">
                <c:v>1.04869E-2</c:v>
              </c:pt>
              <c:pt idx="258">
                <c:v>1.05269E-2</c:v>
              </c:pt>
              <c:pt idx="259">
                <c:v>1.0566900000000001E-2</c:v>
              </c:pt>
              <c:pt idx="260">
                <c:v>1.0606900000000001E-2</c:v>
              </c:pt>
              <c:pt idx="261">
                <c:v>1.0646900000000001E-2</c:v>
              </c:pt>
              <c:pt idx="262">
                <c:v>1.0686899999999999E-2</c:v>
              </c:pt>
              <c:pt idx="263">
                <c:v>1.0726899999999999E-2</c:v>
              </c:pt>
              <c:pt idx="264">
                <c:v>1.0766899999999999E-2</c:v>
              </c:pt>
              <c:pt idx="265">
                <c:v>1.0806899999999999E-2</c:v>
              </c:pt>
              <c:pt idx="266">
                <c:v>1.08469E-2</c:v>
              </c:pt>
              <c:pt idx="267">
                <c:v>1.08869E-2</c:v>
              </c:pt>
              <c:pt idx="268">
                <c:v>1.09269E-2</c:v>
              </c:pt>
              <c:pt idx="269">
                <c:v>1.09669E-2</c:v>
              </c:pt>
              <c:pt idx="270">
                <c:v>1.10069E-2</c:v>
              </c:pt>
              <c:pt idx="271">
                <c:v>1.10469E-2</c:v>
              </c:pt>
              <c:pt idx="272">
                <c:v>1.10869E-2</c:v>
              </c:pt>
              <c:pt idx="273">
                <c:v>1.11269E-2</c:v>
              </c:pt>
              <c:pt idx="274">
                <c:v>1.11669E-2</c:v>
              </c:pt>
              <c:pt idx="275">
                <c:v>1.1206900000000001E-2</c:v>
              </c:pt>
              <c:pt idx="276">
                <c:v>1.1246900000000001E-2</c:v>
              </c:pt>
              <c:pt idx="277">
                <c:v>1.1286900000000001E-2</c:v>
              </c:pt>
              <c:pt idx="278">
                <c:v>1.1326900000000001E-2</c:v>
              </c:pt>
              <c:pt idx="279">
                <c:v>1.1366899999999999E-2</c:v>
              </c:pt>
              <c:pt idx="280">
                <c:v>1.1406899999999999E-2</c:v>
              </c:pt>
              <c:pt idx="281">
                <c:v>1.1446899999999999E-2</c:v>
              </c:pt>
              <c:pt idx="282">
                <c:v>1.14869E-2</c:v>
              </c:pt>
              <c:pt idx="283">
                <c:v>1.15269E-2</c:v>
              </c:pt>
              <c:pt idx="284">
                <c:v>1.15669E-2</c:v>
              </c:pt>
              <c:pt idx="285">
                <c:v>1.16069E-2</c:v>
              </c:pt>
              <c:pt idx="286">
                <c:v>1.16469E-2</c:v>
              </c:pt>
              <c:pt idx="287">
                <c:v>1.16869E-2</c:v>
              </c:pt>
              <c:pt idx="288">
                <c:v>1.17269E-2</c:v>
              </c:pt>
              <c:pt idx="289">
                <c:v>1.17669E-2</c:v>
              </c:pt>
              <c:pt idx="290">
                <c:v>1.18069E-2</c:v>
              </c:pt>
              <c:pt idx="291">
                <c:v>1.18469E-2</c:v>
              </c:pt>
              <c:pt idx="292">
                <c:v>1.1886900000000001E-2</c:v>
              </c:pt>
              <c:pt idx="293">
                <c:v>1.1926900000000001E-2</c:v>
              </c:pt>
              <c:pt idx="294">
                <c:v>1.1966900000000001E-2</c:v>
              </c:pt>
              <c:pt idx="295">
                <c:v>1.2006899999999999E-2</c:v>
              </c:pt>
              <c:pt idx="296">
                <c:v>1.2046899999999999E-2</c:v>
              </c:pt>
              <c:pt idx="297">
                <c:v>1.2086899999999999E-2</c:v>
              </c:pt>
              <c:pt idx="298">
                <c:v>1.2126899999999999E-2</c:v>
              </c:pt>
              <c:pt idx="299">
                <c:v>1.21669E-2</c:v>
              </c:pt>
              <c:pt idx="300">
                <c:v>1.22069E-2</c:v>
              </c:pt>
              <c:pt idx="301">
                <c:v>1.22469E-2</c:v>
              </c:pt>
              <c:pt idx="302">
                <c:v>1.22869E-2</c:v>
              </c:pt>
              <c:pt idx="303">
                <c:v>1.23269E-2</c:v>
              </c:pt>
              <c:pt idx="304">
                <c:v>1.23669E-2</c:v>
              </c:pt>
              <c:pt idx="305">
                <c:v>1.24069E-2</c:v>
              </c:pt>
              <c:pt idx="306">
                <c:v>1.24469E-2</c:v>
              </c:pt>
              <c:pt idx="307">
                <c:v>1.24869E-2</c:v>
              </c:pt>
              <c:pt idx="308">
                <c:v>1.2526900000000001E-2</c:v>
              </c:pt>
              <c:pt idx="309">
                <c:v>1.2566900000000001E-2</c:v>
              </c:pt>
              <c:pt idx="310">
                <c:v>1.2606900000000001E-2</c:v>
              </c:pt>
              <c:pt idx="311">
                <c:v>1.2646900000000001E-2</c:v>
              </c:pt>
              <c:pt idx="312">
                <c:v>1.2686899999999999E-2</c:v>
              </c:pt>
              <c:pt idx="313">
                <c:v>1.2726899999999999E-2</c:v>
              </c:pt>
              <c:pt idx="314">
                <c:v>1.2766899999999999E-2</c:v>
              </c:pt>
              <c:pt idx="315">
                <c:v>1.28069E-2</c:v>
              </c:pt>
              <c:pt idx="316">
                <c:v>1.28469E-2</c:v>
              </c:pt>
              <c:pt idx="317">
                <c:v>1.28869E-2</c:v>
              </c:pt>
              <c:pt idx="318">
                <c:v>1.29269E-2</c:v>
              </c:pt>
              <c:pt idx="319">
                <c:v>1.29669E-2</c:v>
              </c:pt>
              <c:pt idx="320">
                <c:v>1.30069E-2</c:v>
              </c:pt>
              <c:pt idx="321">
                <c:v>1.30469E-2</c:v>
              </c:pt>
              <c:pt idx="322">
                <c:v>1.30869E-2</c:v>
              </c:pt>
              <c:pt idx="323">
                <c:v>1.31269E-2</c:v>
              </c:pt>
              <c:pt idx="324">
                <c:v>1.31669E-2</c:v>
              </c:pt>
              <c:pt idx="325">
                <c:v>1.3206900000000001E-2</c:v>
              </c:pt>
              <c:pt idx="326">
                <c:v>1.3246900000000001E-2</c:v>
              </c:pt>
              <c:pt idx="327">
                <c:v>1.3286900000000001E-2</c:v>
              </c:pt>
              <c:pt idx="328">
                <c:v>1.3326899999999999E-2</c:v>
              </c:pt>
              <c:pt idx="329">
                <c:v>1.3366899999999999E-2</c:v>
              </c:pt>
              <c:pt idx="330">
                <c:v>1.3406899999999999E-2</c:v>
              </c:pt>
              <c:pt idx="331">
                <c:v>1.3446899999999999E-2</c:v>
              </c:pt>
              <c:pt idx="332">
                <c:v>1.34869E-2</c:v>
              </c:pt>
              <c:pt idx="333">
                <c:v>1.35269E-2</c:v>
              </c:pt>
              <c:pt idx="334">
                <c:v>1.35669E-2</c:v>
              </c:pt>
              <c:pt idx="335">
                <c:v>1.36069E-2</c:v>
              </c:pt>
              <c:pt idx="336">
                <c:v>1.36469E-2</c:v>
              </c:pt>
              <c:pt idx="337">
                <c:v>1.36869E-2</c:v>
              </c:pt>
              <c:pt idx="338">
                <c:v>1.37269E-2</c:v>
              </c:pt>
              <c:pt idx="339">
                <c:v>1.37669E-2</c:v>
              </c:pt>
              <c:pt idx="340">
                <c:v>1.38069E-2</c:v>
              </c:pt>
              <c:pt idx="341">
                <c:v>1.3846900000000001E-2</c:v>
              </c:pt>
              <c:pt idx="342">
                <c:v>1.3886900000000001E-2</c:v>
              </c:pt>
              <c:pt idx="343">
                <c:v>1.3926900000000001E-2</c:v>
              </c:pt>
              <c:pt idx="344">
                <c:v>1.3966900000000001E-2</c:v>
              </c:pt>
              <c:pt idx="345">
                <c:v>1.4006899999999999E-2</c:v>
              </c:pt>
              <c:pt idx="346">
                <c:v>1.4046899999999999E-2</c:v>
              </c:pt>
              <c:pt idx="347">
                <c:v>1.4086899999999999E-2</c:v>
              </c:pt>
              <c:pt idx="348">
                <c:v>1.41269E-2</c:v>
              </c:pt>
              <c:pt idx="349">
                <c:v>1.41669E-2</c:v>
              </c:pt>
              <c:pt idx="350">
                <c:v>1.42069E-2</c:v>
              </c:pt>
              <c:pt idx="351">
                <c:v>1.42469E-2</c:v>
              </c:pt>
              <c:pt idx="352">
                <c:v>1.42869E-2</c:v>
              </c:pt>
              <c:pt idx="353">
                <c:v>1.43269E-2</c:v>
              </c:pt>
              <c:pt idx="354">
                <c:v>1.43669E-2</c:v>
              </c:pt>
              <c:pt idx="355">
                <c:v>1.44069E-2</c:v>
              </c:pt>
              <c:pt idx="356">
                <c:v>1.44469E-2</c:v>
              </c:pt>
              <c:pt idx="357">
                <c:v>1.44869E-2</c:v>
              </c:pt>
              <c:pt idx="358">
                <c:v>1.4526900000000001E-2</c:v>
              </c:pt>
              <c:pt idx="359">
                <c:v>1.4566900000000001E-2</c:v>
              </c:pt>
              <c:pt idx="360">
                <c:v>1.4606900000000001E-2</c:v>
              </c:pt>
              <c:pt idx="361">
                <c:v>1.4646899999999999E-2</c:v>
              </c:pt>
              <c:pt idx="362">
                <c:v>1.4686899999999999E-2</c:v>
              </c:pt>
              <c:pt idx="363">
                <c:v>1.4726899999999999E-2</c:v>
              </c:pt>
              <c:pt idx="364">
                <c:v>1.4766899999999999E-2</c:v>
              </c:pt>
              <c:pt idx="365">
                <c:v>1.48069E-2</c:v>
              </c:pt>
              <c:pt idx="366">
                <c:v>1.48469E-2</c:v>
              </c:pt>
              <c:pt idx="367">
                <c:v>1.48869E-2</c:v>
              </c:pt>
              <c:pt idx="368">
                <c:v>1.49269E-2</c:v>
              </c:pt>
              <c:pt idx="369">
                <c:v>1.49669E-2</c:v>
              </c:pt>
              <c:pt idx="370">
                <c:v>1.50069E-2</c:v>
              </c:pt>
              <c:pt idx="371">
                <c:v>1.50469E-2</c:v>
              </c:pt>
              <c:pt idx="372">
                <c:v>1.50869E-2</c:v>
              </c:pt>
              <c:pt idx="373">
                <c:v>1.51269E-2</c:v>
              </c:pt>
              <c:pt idx="374">
                <c:v>1.5166900000000001E-2</c:v>
              </c:pt>
              <c:pt idx="375">
                <c:v>1.5206900000000001E-2</c:v>
              </c:pt>
              <c:pt idx="376">
                <c:v>1.5246900000000001E-2</c:v>
              </c:pt>
              <c:pt idx="377">
                <c:v>1.5286900000000001E-2</c:v>
              </c:pt>
              <c:pt idx="378">
                <c:v>1.5326899999999999E-2</c:v>
              </c:pt>
              <c:pt idx="379">
                <c:v>1.5366899999999999E-2</c:v>
              </c:pt>
              <c:pt idx="380">
                <c:v>1.5406899999999999E-2</c:v>
              </c:pt>
              <c:pt idx="381">
                <c:v>1.54469E-2</c:v>
              </c:pt>
              <c:pt idx="382">
                <c:v>1.54869E-2</c:v>
              </c:pt>
              <c:pt idx="383">
                <c:v>1.55269E-2</c:v>
              </c:pt>
              <c:pt idx="384">
                <c:v>1.55669E-2</c:v>
              </c:pt>
              <c:pt idx="385">
                <c:v>1.56069E-2</c:v>
              </c:pt>
              <c:pt idx="386">
                <c:v>1.5646899999999998E-2</c:v>
              </c:pt>
              <c:pt idx="387">
                <c:v>1.56869E-2</c:v>
              </c:pt>
              <c:pt idx="388">
                <c:v>1.5726899999999999E-2</c:v>
              </c:pt>
              <c:pt idx="389">
                <c:v>1.57669E-2</c:v>
              </c:pt>
              <c:pt idx="390">
                <c:v>1.5806899999999999E-2</c:v>
              </c:pt>
              <c:pt idx="391">
                <c:v>1.5846900000000001E-2</c:v>
              </c:pt>
              <c:pt idx="392">
                <c:v>1.5886899999999999E-2</c:v>
              </c:pt>
              <c:pt idx="393">
                <c:v>1.5926900000000001E-2</c:v>
              </c:pt>
              <c:pt idx="394">
                <c:v>1.5966899999999999E-2</c:v>
              </c:pt>
              <c:pt idx="395">
                <c:v>1.6006900000000001E-2</c:v>
              </c:pt>
              <c:pt idx="396">
                <c:v>1.6046899999999999E-2</c:v>
              </c:pt>
              <c:pt idx="397">
                <c:v>1.6086900000000001E-2</c:v>
              </c:pt>
              <c:pt idx="398">
                <c:v>1.61269E-2</c:v>
              </c:pt>
              <c:pt idx="399">
                <c:v>1.6166900000000001E-2</c:v>
              </c:pt>
              <c:pt idx="400">
                <c:v>1.62069E-2</c:v>
              </c:pt>
              <c:pt idx="401">
                <c:v>1.6246900000000002E-2</c:v>
              </c:pt>
              <c:pt idx="402">
                <c:v>1.62869E-2</c:v>
              </c:pt>
              <c:pt idx="403">
                <c:v>1.6326899999999998E-2</c:v>
              </c:pt>
              <c:pt idx="404">
                <c:v>1.63669E-2</c:v>
              </c:pt>
              <c:pt idx="405">
                <c:v>1.6406899999999999E-2</c:v>
              </c:pt>
              <c:pt idx="406">
                <c:v>1.64469E-2</c:v>
              </c:pt>
              <c:pt idx="407">
                <c:v>1.6486899999999999E-2</c:v>
              </c:pt>
              <c:pt idx="408">
                <c:v>1.6526900000000001E-2</c:v>
              </c:pt>
              <c:pt idx="409">
                <c:v>1.6566899999999999E-2</c:v>
              </c:pt>
              <c:pt idx="410">
                <c:v>1.6606900000000001E-2</c:v>
              </c:pt>
              <c:pt idx="411">
                <c:v>1.6646899999999999E-2</c:v>
              </c:pt>
              <c:pt idx="412">
                <c:v>1.6686900000000001E-2</c:v>
              </c:pt>
              <c:pt idx="413">
                <c:v>1.6726899999999999E-2</c:v>
              </c:pt>
              <c:pt idx="414">
                <c:v>1.6766900000000001E-2</c:v>
              </c:pt>
              <c:pt idx="415">
                <c:v>1.68069E-2</c:v>
              </c:pt>
              <c:pt idx="416">
                <c:v>1.6846900000000001E-2</c:v>
              </c:pt>
              <c:pt idx="417">
                <c:v>1.68869E-2</c:v>
              </c:pt>
              <c:pt idx="418">
                <c:v>1.6926900000000002E-2</c:v>
              </c:pt>
              <c:pt idx="419">
                <c:v>1.69669E-2</c:v>
              </c:pt>
              <c:pt idx="420">
                <c:v>1.7006899999999998E-2</c:v>
              </c:pt>
              <c:pt idx="421">
                <c:v>1.70469E-2</c:v>
              </c:pt>
              <c:pt idx="422">
                <c:v>1.7086899999999999E-2</c:v>
              </c:pt>
              <c:pt idx="423">
                <c:v>1.71269E-2</c:v>
              </c:pt>
              <c:pt idx="424">
                <c:v>1.7166899999999999E-2</c:v>
              </c:pt>
              <c:pt idx="425">
                <c:v>1.7206900000000001E-2</c:v>
              </c:pt>
              <c:pt idx="426">
                <c:v>1.7246899999999999E-2</c:v>
              </c:pt>
              <c:pt idx="427">
                <c:v>1.7286900000000001E-2</c:v>
              </c:pt>
              <c:pt idx="428">
                <c:v>1.7326899999999999E-2</c:v>
              </c:pt>
              <c:pt idx="429">
                <c:v>1.7366900000000001E-2</c:v>
              </c:pt>
              <c:pt idx="430">
                <c:v>1.7406899999999999E-2</c:v>
              </c:pt>
              <c:pt idx="431">
                <c:v>1.7446900000000001E-2</c:v>
              </c:pt>
              <c:pt idx="432">
                <c:v>1.74869E-2</c:v>
              </c:pt>
              <c:pt idx="433">
                <c:v>1.7526900000000002E-2</c:v>
              </c:pt>
              <c:pt idx="434">
                <c:v>1.75669E-2</c:v>
              </c:pt>
              <c:pt idx="435">
                <c:v>1.7606900000000002E-2</c:v>
              </c:pt>
              <c:pt idx="436">
                <c:v>1.76469E-2</c:v>
              </c:pt>
              <c:pt idx="437">
                <c:v>1.7686899999999998E-2</c:v>
              </c:pt>
              <c:pt idx="438">
                <c:v>1.77269E-2</c:v>
              </c:pt>
              <c:pt idx="439">
                <c:v>1.7766899999999999E-2</c:v>
              </c:pt>
              <c:pt idx="440">
                <c:v>1.7806900000000001E-2</c:v>
              </c:pt>
              <c:pt idx="441">
                <c:v>1.7846899999999999E-2</c:v>
              </c:pt>
              <c:pt idx="442">
                <c:v>1.7886900000000001E-2</c:v>
              </c:pt>
              <c:pt idx="443">
                <c:v>1.7926899999999999E-2</c:v>
              </c:pt>
              <c:pt idx="444">
                <c:v>1.7966900000000001E-2</c:v>
              </c:pt>
              <c:pt idx="445">
                <c:v>1.8006899999999999E-2</c:v>
              </c:pt>
              <c:pt idx="446">
                <c:v>1.8046900000000001E-2</c:v>
              </c:pt>
              <c:pt idx="447">
                <c:v>1.80869E-2</c:v>
              </c:pt>
              <c:pt idx="448">
                <c:v>1.8126900000000001E-2</c:v>
              </c:pt>
              <c:pt idx="449">
                <c:v>1.81669E-2</c:v>
              </c:pt>
              <c:pt idx="450">
                <c:v>1.8206900000000002E-2</c:v>
              </c:pt>
              <c:pt idx="451">
                <c:v>1.82469E-2</c:v>
              </c:pt>
              <c:pt idx="452">
                <c:v>1.8286899999999998E-2</c:v>
              </c:pt>
              <c:pt idx="453">
                <c:v>1.83269E-2</c:v>
              </c:pt>
              <c:pt idx="454">
                <c:v>1.8366899999999999E-2</c:v>
              </c:pt>
              <c:pt idx="455">
                <c:v>1.84069E-2</c:v>
              </c:pt>
              <c:pt idx="456">
                <c:v>1.8446899999999999E-2</c:v>
              </c:pt>
              <c:pt idx="457">
                <c:v>1.8486900000000001E-2</c:v>
              </c:pt>
              <c:pt idx="458">
                <c:v>1.8526899999999999E-2</c:v>
              </c:pt>
              <c:pt idx="459">
                <c:v>1.8566900000000001E-2</c:v>
              </c:pt>
              <c:pt idx="460">
                <c:v>1.8606899999999999E-2</c:v>
              </c:pt>
              <c:pt idx="461">
                <c:v>1.8646900000000001E-2</c:v>
              </c:pt>
              <c:pt idx="462">
                <c:v>1.8686899999999999E-2</c:v>
              </c:pt>
              <c:pt idx="463">
                <c:v>1.8726900000000001E-2</c:v>
              </c:pt>
              <c:pt idx="464">
                <c:v>1.87669E-2</c:v>
              </c:pt>
              <c:pt idx="465">
                <c:v>1.8806900000000001E-2</c:v>
              </c:pt>
              <c:pt idx="466">
                <c:v>1.88469E-2</c:v>
              </c:pt>
              <c:pt idx="467">
                <c:v>1.8886900000000002E-2</c:v>
              </c:pt>
              <c:pt idx="468">
                <c:v>1.89269E-2</c:v>
              </c:pt>
              <c:pt idx="469">
                <c:v>1.8966899999999998E-2</c:v>
              </c:pt>
              <c:pt idx="470">
                <c:v>1.90069E-2</c:v>
              </c:pt>
              <c:pt idx="471">
                <c:v>1.9046899999999999E-2</c:v>
              </c:pt>
              <c:pt idx="472">
                <c:v>1.90869E-2</c:v>
              </c:pt>
              <c:pt idx="473">
                <c:v>1.9126899999999999E-2</c:v>
              </c:pt>
              <c:pt idx="474">
                <c:v>1.9166900000000001E-2</c:v>
              </c:pt>
              <c:pt idx="475">
                <c:v>1.9206899999999999E-2</c:v>
              </c:pt>
              <c:pt idx="476">
                <c:v>1.9246900000000001E-2</c:v>
              </c:pt>
              <c:pt idx="477">
                <c:v>1.9286899999999999E-2</c:v>
              </c:pt>
              <c:pt idx="478">
                <c:v>1.9326900000000001E-2</c:v>
              </c:pt>
              <c:pt idx="479">
                <c:v>1.9366899999999999E-2</c:v>
              </c:pt>
              <c:pt idx="480">
                <c:v>1.9406900000000001E-2</c:v>
              </c:pt>
              <c:pt idx="481">
                <c:v>1.94469E-2</c:v>
              </c:pt>
              <c:pt idx="482">
                <c:v>1.9486900000000001E-2</c:v>
              </c:pt>
              <c:pt idx="483">
                <c:v>1.95269E-2</c:v>
              </c:pt>
              <c:pt idx="484">
                <c:v>1.9566900000000002E-2</c:v>
              </c:pt>
              <c:pt idx="485">
                <c:v>1.96069E-2</c:v>
              </c:pt>
              <c:pt idx="486">
                <c:v>1.9646899999999998E-2</c:v>
              </c:pt>
              <c:pt idx="487">
                <c:v>1.96869E-2</c:v>
              </c:pt>
              <c:pt idx="488">
                <c:v>1.9726899999999999E-2</c:v>
              </c:pt>
              <c:pt idx="489">
                <c:v>1.97669E-2</c:v>
              </c:pt>
              <c:pt idx="490">
                <c:v>1.9806899999999999E-2</c:v>
              </c:pt>
              <c:pt idx="491">
                <c:v>1.9846900000000001E-2</c:v>
              </c:pt>
              <c:pt idx="492">
                <c:v>1.9886899999999999E-2</c:v>
              </c:pt>
              <c:pt idx="493">
                <c:v>1.9926900000000001E-2</c:v>
              </c:pt>
              <c:pt idx="494">
                <c:v>1.9966899999999999E-2</c:v>
              </c:pt>
              <c:pt idx="495">
                <c:v>2.0006900000000001E-2</c:v>
              </c:pt>
              <c:pt idx="496">
                <c:v>2.0046899999999999E-2</c:v>
              </c:pt>
              <c:pt idx="497">
                <c:v>2.0086900000000001E-2</c:v>
              </c:pt>
              <c:pt idx="498">
                <c:v>2.01269E-2</c:v>
              </c:pt>
              <c:pt idx="499">
                <c:v>2.0166900000000001E-2</c:v>
              </c:pt>
              <c:pt idx="500">
                <c:v>2.02069E-2</c:v>
              </c:pt>
              <c:pt idx="501">
                <c:v>2.0246900000000002E-2</c:v>
              </c:pt>
              <c:pt idx="502">
                <c:v>2.02869E-2</c:v>
              </c:pt>
              <c:pt idx="503">
                <c:v>2.0326899999999998E-2</c:v>
              </c:pt>
              <c:pt idx="504">
                <c:v>2.03669E-2</c:v>
              </c:pt>
              <c:pt idx="505">
                <c:v>2.0406899999999999E-2</c:v>
              </c:pt>
              <c:pt idx="506">
                <c:v>2.04469E-2</c:v>
              </c:pt>
              <c:pt idx="507">
                <c:v>2.0486899999999999E-2</c:v>
              </c:pt>
              <c:pt idx="508">
                <c:v>2.0526900000000001E-2</c:v>
              </c:pt>
              <c:pt idx="509">
                <c:v>2.0566899999999999E-2</c:v>
              </c:pt>
              <c:pt idx="510">
                <c:v>2.0606900000000001E-2</c:v>
              </c:pt>
              <c:pt idx="511">
                <c:v>2.0646899999999999E-2</c:v>
              </c:pt>
              <c:pt idx="512">
                <c:v>2.0686900000000001E-2</c:v>
              </c:pt>
              <c:pt idx="513">
                <c:v>2.0726899999999999E-2</c:v>
              </c:pt>
              <c:pt idx="514">
                <c:v>2.0766900000000001E-2</c:v>
              </c:pt>
              <c:pt idx="515">
                <c:v>2.08069E-2</c:v>
              </c:pt>
              <c:pt idx="516">
                <c:v>2.0846900000000002E-2</c:v>
              </c:pt>
              <c:pt idx="517">
                <c:v>2.08869E-2</c:v>
              </c:pt>
              <c:pt idx="518">
                <c:v>2.0926899999999998E-2</c:v>
              </c:pt>
              <c:pt idx="519">
                <c:v>2.09669E-2</c:v>
              </c:pt>
              <c:pt idx="520">
                <c:v>2.1006899999999998E-2</c:v>
              </c:pt>
              <c:pt idx="521">
                <c:v>2.10469E-2</c:v>
              </c:pt>
              <c:pt idx="522">
                <c:v>2.1086899999999999E-2</c:v>
              </c:pt>
              <c:pt idx="523">
                <c:v>2.1126900000000001E-2</c:v>
              </c:pt>
              <c:pt idx="524">
                <c:v>2.1166899999999999E-2</c:v>
              </c:pt>
              <c:pt idx="525">
                <c:v>2.1206900000000001E-2</c:v>
              </c:pt>
              <c:pt idx="526">
                <c:v>2.1246899999999999E-2</c:v>
              </c:pt>
              <c:pt idx="527">
                <c:v>2.1286900000000001E-2</c:v>
              </c:pt>
              <c:pt idx="528">
                <c:v>2.1326899999999999E-2</c:v>
              </c:pt>
              <c:pt idx="529">
                <c:v>2.1366900000000001E-2</c:v>
              </c:pt>
              <c:pt idx="530">
                <c:v>2.14069E-2</c:v>
              </c:pt>
              <c:pt idx="531">
                <c:v>2.1446900000000001E-2</c:v>
              </c:pt>
              <c:pt idx="532">
                <c:v>2.14869E-2</c:v>
              </c:pt>
              <c:pt idx="533">
                <c:v>2.1526900000000002E-2</c:v>
              </c:pt>
              <c:pt idx="534">
                <c:v>2.15669E-2</c:v>
              </c:pt>
              <c:pt idx="535">
                <c:v>2.1606899999999998E-2</c:v>
              </c:pt>
              <c:pt idx="536">
                <c:v>2.16469E-2</c:v>
              </c:pt>
              <c:pt idx="537">
                <c:v>2.1686899999999999E-2</c:v>
              </c:pt>
              <c:pt idx="538">
                <c:v>2.17269E-2</c:v>
              </c:pt>
              <c:pt idx="539">
                <c:v>2.1766899999999999E-2</c:v>
              </c:pt>
              <c:pt idx="540">
                <c:v>2.1806900000000001E-2</c:v>
              </c:pt>
              <c:pt idx="541">
                <c:v>2.1846899999999999E-2</c:v>
              </c:pt>
              <c:pt idx="542">
                <c:v>2.1886900000000001E-2</c:v>
              </c:pt>
              <c:pt idx="543">
                <c:v>2.1926899999999999E-2</c:v>
              </c:pt>
              <c:pt idx="544">
                <c:v>2.1966900000000001E-2</c:v>
              </c:pt>
              <c:pt idx="545">
                <c:v>2.2006899999999999E-2</c:v>
              </c:pt>
              <c:pt idx="546">
                <c:v>2.2046900000000001E-2</c:v>
              </c:pt>
              <c:pt idx="547">
                <c:v>2.20869E-2</c:v>
              </c:pt>
              <c:pt idx="548">
                <c:v>2.2126900000000001E-2</c:v>
              </c:pt>
              <c:pt idx="549">
                <c:v>2.21669E-2</c:v>
              </c:pt>
              <c:pt idx="550">
                <c:v>2.2206900000000002E-2</c:v>
              </c:pt>
              <c:pt idx="551">
                <c:v>2.22469E-2</c:v>
              </c:pt>
              <c:pt idx="552">
                <c:v>2.2286899999999998E-2</c:v>
              </c:pt>
              <c:pt idx="553">
                <c:v>2.23269E-2</c:v>
              </c:pt>
              <c:pt idx="554">
                <c:v>2.2366899999999999E-2</c:v>
              </c:pt>
              <c:pt idx="555">
                <c:v>2.24069E-2</c:v>
              </c:pt>
              <c:pt idx="556">
                <c:v>2.2446899999999999E-2</c:v>
              </c:pt>
              <c:pt idx="557">
                <c:v>2.2486900000000001E-2</c:v>
              </c:pt>
              <c:pt idx="558">
                <c:v>2.2526899999999999E-2</c:v>
              </c:pt>
              <c:pt idx="559">
                <c:v>2.2566900000000001E-2</c:v>
              </c:pt>
              <c:pt idx="560">
                <c:v>2.2606899999999999E-2</c:v>
              </c:pt>
              <c:pt idx="561">
                <c:v>2.2646900000000001E-2</c:v>
              </c:pt>
              <c:pt idx="562">
                <c:v>2.2686899999999999E-2</c:v>
              </c:pt>
              <c:pt idx="563">
                <c:v>2.2726900000000001E-2</c:v>
              </c:pt>
              <c:pt idx="564">
                <c:v>2.27669E-2</c:v>
              </c:pt>
              <c:pt idx="565">
                <c:v>2.2806900000000001E-2</c:v>
              </c:pt>
              <c:pt idx="566">
                <c:v>2.28469E-2</c:v>
              </c:pt>
              <c:pt idx="567">
                <c:v>2.2886900000000002E-2</c:v>
              </c:pt>
              <c:pt idx="568">
                <c:v>2.29269E-2</c:v>
              </c:pt>
              <c:pt idx="569">
                <c:v>2.2966899999999998E-2</c:v>
              </c:pt>
              <c:pt idx="570">
                <c:v>2.30069E-2</c:v>
              </c:pt>
              <c:pt idx="571">
                <c:v>2.3046899999999999E-2</c:v>
              </c:pt>
              <c:pt idx="572">
                <c:v>2.30869E-2</c:v>
              </c:pt>
              <c:pt idx="573">
                <c:v>2.3126899999999999E-2</c:v>
              </c:pt>
              <c:pt idx="574">
                <c:v>2.3166900000000001E-2</c:v>
              </c:pt>
              <c:pt idx="575">
                <c:v>2.3206899999999999E-2</c:v>
              </c:pt>
              <c:pt idx="576">
                <c:v>2.3246900000000001E-2</c:v>
              </c:pt>
              <c:pt idx="577">
                <c:v>2.3286899999999999E-2</c:v>
              </c:pt>
              <c:pt idx="578">
                <c:v>2.3326900000000001E-2</c:v>
              </c:pt>
              <c:pt idx="579">
                <c:v>2.3366899999999999E-2</c:v>
              </c:pt>
              <c:pt idx="580">
                <c:v>2.3406900000000001E-2</c:v>
              </c:pt>
              <c:pt idx="581">
                <c:v>2.34469E-2</c:v>
              </c:pt>
              <c:pt idx="582">
                <c:v>2.3486900000000002E-2</c:v>
              </c:pt>
              <c:pt idx="583">
                <c:v>2.35269E-2</c:v>
              </c:pt>
              <c:pt idx="584">
                <c:v>2.3566899999999998E-2</c:v>
              </c:pt>
              <c:pt idx="585">
                <c:v>2.36069E-2</c:v>
              </c:pt>
              <c:pt idx="586">
                <c:v>2.3646899999999998E-2</c:v>
              </c:pt>
              <c:pt idx="587">
                <c:v>2.36869E-2</c:v>
              </c:pt>
              <c:pt idx="588">
                <c:v>2.3726899999999999E-2</c:v>
              </c:pt>
              <c:pt idx="589">
                <c:v>2.3766900000000001E-2</c:v>
              </c:pt>
              <c:pt idx="590">
                <c:v>2.3806899999999999E-2</c:v>
              </c:pt>
              <c:pt idx="591">
                <c:v>2.3846900000000001E-2</c:v>
              </c:pt>
              <c:pt idx="592">
                <c:v>2.3886899999999999E-2</c:v>
              </c:pt>
              <c:pt idx="593">
                <c:v>2.3926900000000001E-2</c:v>
              </c:pt>
              <c:pt idx="594">
                <c:v>2.3966899999999999E-2</c:v>
              </c:pt>
              <c:pt idx="595">
                <c:v>2.4006900000000001E-2</c:v>
              </c:pt>
              <c:pt idx="596">
                <c:v>2.40469E-2</c:v>
              </c:pt>
              <c:pt idx="597">
                <c:v>2.4086900000000001E-2</c:v>
              </c:pt>
              <c:pt idx="598">
                <c:v>2.41269E-2</c:v>
              </c:pt>
              <c:pt idx="599">
                <c:v>2.4166900000000002E-2</c:v>
              </c:pt>
              <c:pt idx="600">
                <c:v>2.42069E-2</c:v>
              </c:pt>
              <c:pt idx="601">
                <c:v>2.4246899999999998E-2</c:v>
              </c:pt>
              <c:pt idx="602">
                <c:v>2.42869E-2</c:v>
              </c:pt>
              <c:pt idx="603">
                <c:v>2.4326899999999999E-2</c:v>
              </c:pt>
              <c:pt idx="604">
                <c:v>2.43669E-2</c:v>
              </c:pt>
              <c:pt idx="605">
                <c:v>2.4406899999999999E-2</c:v>
              </c:pt>
              <c:pt idx="606">
                <c:v>2.4446900000000001E-2</c:v>
              </c:pt>
              <c:pt idx="607">
                <c:v>2.4486899999999999E-2</c:v>
              </c:pt>
              <c:pt idx="608">
                <c:v>2.4526900000000001E-2</c:v>
              </c:pt>
              <c:pt idx="609">
                <c:v>2.4566899999999999E-2</c:v>
              </c:pt>
              <c:pt idx="610">
                <c:v>2.4606900000000001E-2</c:v>
              </c:pt>
              <c:pt idx="611">
                <c:v>2.4646899999999999E-2</c:v>
              </c:pt>
              <c:pt idx="612">
                <c:v>2.4686900000000001E-2</c:v>
              </c:pt>
              <c:pt idx="613">
                <c:v>2.47269E-2</c:v>
              </c:pt>
              <c:pt idx="614">
                <c:v>2.4766900000000001E-2</c:v>
              </c:pt>
              <c:pt idx="615">
                <c:v>2.48069E-2</c:v>
              </c:pt>
              <c:pt idx="616">
                <c:v>2.4846900000000002E-2</c:v>
              </c:pt>
              <c:pt idx="617">
                <c:v>2.48869E-2</c:v>
              </c:pt>
              <c:pt idx="618">
                <c:v>2.4926899999999998E-2</c:v>
              </c:pt>
              <c:pt idx="619">
                <c:v>2.49669E-2</c:v>
              </c:pt>
              <c:pt idx="620">
                <c:v>2.5006899999999999E-2</c:v>
              </c:pt>
              <c:pt idx="621">
                <c:v>2.50469E-2</c:v>
              </c:pt>
              <c:pt idx="622">
                <c:v>2.5086899999999999E-2</c:v>
              </c:pt>
              <c:pt idx="623">
                <c:v>2.5126900000000001E-2</c:v>
              </c:pt>
              <c:pt idx="624">
                <c:v>2.5166899999999999E-2</c:v>
              </c:pt>
              <c:pt idx="625">
                <c:v>2.5206900000000001E-2</c:v>
              </c:pt>
              <c:pt idx="626">
                <c:v>2.5246899999999999E-2</c:v>
              </c:pt>
              <c:pt idx="627">
                <c:v>2.5286900000000001E-2</c:v>
              </c:pt>
              <c:pt idx="628">
                <c:v>2.5326899999999999E-2</c:v>
              </c:pt>
              <c:pt idx="629">
                <c:v>2.5366900000000001E-2</c:v>
              </c:pt>
              <c:pt idx="630">
                <c:v>2.54069E-2</c:v>
              </c:pt>
              <c:pt idx="631">
                <c:v>2.5446900000000001E-2</c:v>
              </c:pt>
              <c:pt idx="632">
                <c:v>2.54869E-2</c:v>
              </c:pt>
              <c:pt idx="633">
                <c:v>2.5526900000000002E-2</c:v>
              </c:pt>
              <c:pt idx="634">
                <c:v>2.55669E-2</c:v>
              </c:pt>
              <c:pt idx="635">
                <c:v>2.5606899999999998E-2</c:v>
              </c:pt>
              <c:pt idx="636">
                <c:v>2.56469E-2</c:v>
              </c:pt>
              <c:pt idx="637">
                <c:v>2.5686899999999999E-2</c:v>
              </c:pt>
              <c:pt idx="638">
                <c:v>2.57269E-2</c:v>
              </c:pt>
              <c:pt idx="639">
                <c:v>2.5766899999999999E-2</c:v>
              </c:pt>
              <c:pt idx="640">
                <c:v>2.5806900000000001E-2</c:v>
              </c:pt>
              <c:pt idx="641">
                <c:v>2.5846899999999999E-2</c:v>
              </c:pt>
              <c:pt idx="642">
                <c:v>2.5886900000000001E-2</c:v>
              </c:pt>
              <c:pt idx="643">
                <c:v>2.5926899999999999E-2</c:v>
              </c:pt>
              <c:pt idx="644">
                <c:v>2.5966900000000001E-2</c:v>
              </c:pt>
              <c:pt idx="645">
                <c:v>2.6006899999999999E-2</c:v>
              </c:pt>
              <c:pt idx="646">
                <c:v>2.6046900000000001E-2</c:v>
              </c:pt>
              <c:pt idx="647">
                <c:v>2.60869E-2</c:v>
              </c:pt>
              <c:pt idx="648">
                <c:v>2.6126900000000002E-2</c:v>
              </c:pt>
              <c:pt idx="649">
                <c:v>2.61669E-2</c:v>
              </c:pt>
              <c:pt idx="650">
                <c:v>2.6206900000000002E-2</c:v>
              </c:pt>
              <c:pt idx="651">
                <c:v>2.62469E-2</c:v>
              </c:pt>
              <c:pt idx="652">
                <c:v>2.6286899999999998E-2</c:v>
              </c:pt>
              <c:pt idx="653">
                <c:v>2.63269E-2</c:v>
              </c:pt>
              <c:pt idx="654">
                <c:v>2.6366899999999999E-2</c:v>
              </c:pt>
              <c:pt idx="655">
                <c:v>2.6406900000000001E-2</c:v>
              </c:pt>
              <c:pt idx="656">
                <c:v>2.6446899999999999E-2</c:v>
              </c:pt>
              <c:pt idx="657">
                <c:v>2.6486900000000001E-2</c:v>
              </c:pt>
              <c:pt idx="658">
                <c:v>2.6526899999999999E-2</c:v>
              </c:pt>
              <c:pt idx="659">
                <c:v>2.6566900000000001E-2</c:v>
              </c:pt>
              <c:pt idx="660">
                <c:v>2.6606899999999999E-2</c:v>
              </c:pt>
              <c:pt idx="661">
                <c:v>2.6646900000000001E-2</c:v>
              </c:pt>
              <c:pt idx="662">
                <c:v>2.66869E-2</c:v>
              </c:pt>
              <c:pt idx="663">
                <c:v>2.6726900000000001E-2</c:v>
              </c:pt>
              <c:pt idx="664">
                <c:v>2.67669E-2</c:v>
              </c:pt>
              <c:pt idx="665">
                <c:v>2.6806900000000002E-2</c:v>
              </c:pt>
              <c:pt idx="666">
                <c:v>2.68469E-2</c:v>
              </c:pt>
              <c:pt idx="667">
                <c:v>2.6886899999999998E-2</c:v>
              </c:pt>
              <c:pt idx="668">
                <c:v>2.69269E-2</c:v>
              </c:pt>
              <c:pt idx="669">
                <c:v>2.6966899999999999E-2</c:v>
              </c:pt>
              <c:pt idx="670">
                <c:v>2.70069E-2</c:v>
              </c:pt>
              <c:pt idx="671">
                <c:v>2.7046899999999999E-2</c:v>
              </c:pt>
              <c:pt idx="672">
                <c:v>2.7086900000000001E-2</c:v>
              </c:pt>
              <c:pt idx="673">
                <c:v>2.7126899999999999E-2</c:v>
              </c:pt>
              <c:pt idx="674">
                <c:v>2.7166900000000001E-2</c:v>
              </c:pt>
              <c:pt idx="675">
                <c:v>2.7206899999999999E-2</c:v>
              </c:pt>
              <c:pt idx="676">
                <c:v>2.7246900000000001E-2</c:v>
              </c:pt>
              <c:pt idx="677">
                <c:v>2.7286899999999999E-2</c:v>
              </c:pt>
              <c:pt idx="678">
                <c:v>2.7326900000000001E-2</c:v>
              </c:pt>
              <c:pt idx="679">
                <c:v>2.73669E-2</c:v>
              </c:pt>
              <c:pt idx="680">
                <c:v>2.7406900000000001E-2</c:v>
              </c:pt>
              <c:pt idx="681">
                <c:v>2.74469E-2</c:v>
              </c:pt>
              <c:pt idx="682">
                <c:v>2.7486900000000002E-2</c:v>
              </c:pt>
              <c:pt idx="683">
                <c:v>2.75269E-2</c:v>
              </c:pt>
              <c:pt idx="684">
                <c:v>2.7566899999999998E-2</c:v>
              </c:pt>
              <c:pt idx="685">
                <c:v>2.76069E-2</c:v>
              </c:pt>
              <c:pt idx="686">
                <c:v>2.7646899999999999E-2</c:v>
              </c:pt>
              <c:pt idx="687">
                <c:v>2.76869E-2</c:v>
              </c:pt>
              <c:pt idx="688">
                <c:v>2.7726899999999999E-2</c:v>
              </c:pt>
              <c:pt idx="689">
                <c:v>2.7766900000000001E-2</c:v>
              </c:pt>
              <c:pt idx="690">
                <c:v>2.7806899999999999E-2</c:v>
              </c:pt>
              <c:pt idx="691">
                <c:v>2.7846900000000001E-2</c:v>
              </c:pt>
              <c:pt idx="692">
                <c:v>2.7886899999999999E-2</c:v>
              </c:pt>
              <c:pt idx="693">
                <c:v>2.7926900000000001E-2</c:v>
              </c:pt>
              <c:pt idx="694">
                <c:v>2.7966899999999999E-2</c:v>
              </c:pt>
              <c:pt idx="695">
                <c:v>2.8006900000000001E-2</c:v>
              </c:pt>
              <c:pt idx="696">
                <c:v>2.80469E-2</c:v>
              </c:pt>
              <c:pt idx="697">
                <c:v>2.8086900000000001E-2</c:v>
              </c:pt>
              <c:pt idx="698">
                <c:v>2.81269E-2</c:v>
              </c:pt>
              <c:pt idx="699">
                <c:v>2.8166900000000002E-2</c:v>
              </c:pt>
              <c:pt idx="700">
                <c:v>2.82069E-2</c:v>
              </c:pt>
              <c:pt idx="701">
                <c:v>2.8246899999999998E-2</c:v>
              </c:pt>
              <c:pt idx="702">
                <c:v>2.82869E-2</c:v>
              </c:pt>
              <c:pt idx="703">
                <c:v>2.8326899999999999E-2</c:v>
              </c:pt>
              <c:pt idx="704">
                <c:v>2.83669E-2</c:v>
              </c:pt>
              <c:pt idx="705">
                <c:v>2.8406899999999999E-2</c:v>
              </c:pt>
              <c:pt idx="706">
                <c:v>2.8446900000000001E-2</c:v>
              </c:pt>
              <c:pt idx="707">
                <c:v>2.8486899999999999E-2</c:v>
              </c:pt>
              <c:pt idx="708">
                <c:v>2.8526900000000001E-2</c:v>
              </c:pt>
              <c:pt idx="709">
                <c:v>2.8566899999999999E-2</c:v>
              </c:pt>
              <c:pt idx="710">
                <c:v>2.8606900000000001E-2</c:v>
              </c:pt>
              <c:pt idx="711">
                <c:v>2.8646899999999999E-2</c:v>
              </c:pt>
              <c:pt idx="712">
                <c:v>2.8686900000000001E-2</c:v>
              </c:pt>
              <c:pt idx="713">
                <c:v>2.87269E-2</c:v>
              </c:pt>
              <c:pt idx="714">
                <c:v>2.8766900000000001E-2</c:v>
              </c:pt>
              <c:pt idx="715">
                <c:v>2.88069E-2</c:v>
              </c:pt>
              <c:pt idx="716">
                <c:v>2.8846900000000002E-2</c:v>
              </c:pt>
              <c:pt idx="717">
                <c:v>2.88869E-2</c:v>
              </c:pt>
              <c:pt idx="718">
                <c:v>2.8926899999999998E-2</c:v>
              </c:pt>
              <c:pt idx="719">
                <c:v>2.89669E-2</c:v>
              </c:pt>
              <c:pt idx="720">
                <c:v>2.9006899999999999E-2</c:v>
              </c:pt>
              <c:pt idx="721">
                <c:v>2.90469E-2</c:v>
              </c:pt>
              <c:pt idx="722">
                <c:v>2.9086899999999999E-2</c:v>
              </c:pt>
              <c:pt idx="723">
                <c:v>2.9126900000000001E-2</c:v>
              </c:pt>
              <c:pt idx="724">
                <c:v>2.9166899999999999E-2</c:v>
              </c:pt>
              <c:pt idx="725">
                <c:v>2.9206900000000001E-2</c:v>
              </c:pt>
              <c:pt idx="726">
                <c:v>2.9246899999999999E-2</c:v>
              </c:pt>
              <c:pt idx="727">
                <c:v>2.9286900000000001E-2</c:v>
              </c:pt>
              <c:pt idx="728">
                <c:v>2.9326899999999999E-2</c:v>
              </c:pt>
              <c:pt idx="729">
                <c:v>2.9366900000000001E-2</c:v>
              </c:pt>
              <c:pt idx="730">
                <c:v>2.94069E-2</c:v>
              </c:pt>
              <c:pt idx="731">
                <c:v>2.9446900000000002E-2</c:v>
              </c:pt>
              <c:pt idx="732">
                <c:v>2.94869E-2</c:v>
              </c:pt>
              <c:pt idx="733">
                <c:v>2.9526899999999998E-2</c:v>
              </c:pt>
              <c:pt idx="734">
                <c:v>2.95669E-2</c:v>
              </c:pt>
              <c:pt idx="735">
                <c:v>2.9606899999999998E-2</c:v>
              </c:pt>
              <c:pt idx="736">
                <c:v>2.96469E-2</c:v>
              </c:pt>
              <c:pt idx="737">
                <c:v>2.9686899999999999E-2</c:v>
              </c:pt>
              <c:pt idx="738">
                <c:v>2.9726900000000001E-2</c:v>
              </c:pt>
              <c:pt idx="739">
                <c:v>2.9766899999999999E-2</c:v>
              </c:pt>
              <c:pt idx="740">
                <c:v>2.9806900000000001E-2</c:v>
              </c:pt>
              <c:pt idx="741">
                <c:v>2.9846899999999999E-2</c:v>
              </c:pt>
              <c:pt idx="742">
                <c:v>2.9886900000000001E-2</c:v>
              </c:pt>
              <c:pt idx="743">
                <c:v>2.9926899999999999E-2</c:v>
              </c:pt>
              <c:pt idx="744">
                <c:v>2.9966900000000001E-2</c:v>
              </c:pt>
              <c:pt idx="745">
                <c:v>3.00069E-2</c:v>
              </c:pt>
              <c:pt idx="746">
                <c:v>3.0046900000000001E-2</c:v>
              </c:pt>
              <c:pt idx="747">
                <c:v>3.00869E-2</c:v>
              </c:pt>
              <c:pt idx="748">
                <c:v>3.0126900000000002E-2</c:v>
              </c:pt>
              <c:pt idx="749">
                <c:v>3.01669E-2</c:v>
              </c:pt>
              <c:pt idx="750">
                <c:v>3.0206899999999998E-2</c:v>
              </c:pt>
              <c:pt idx="751">
                <c:v>3.02469E-2</c:v>
              </c:pt>
              <c:pt idx="752">
                <c:v>3.0286899999999999E-2</c:v>
              </c:pt>
              <c:pt idx="753">
                <c:v>3.03269E-2</c:v>
              </c:pt>
              <c:pt idx="754">
                <c:v>3.0366899999999999E-2</c:v>
              </c:pt>
              <c:pt idx="755">
                <c:v>3.0406900000000001E-2</c:v>
              </c:pt>
              <c:pt idx="756">
                <c:v>3.0446899999999999E-2</c:v>
              </c:pt>
              <c:pt idx="757">
                <c:v>3.0486900000000001E-2</c:v>
              </c:pt>
              <c:pt idx="758">
                <c:v>3.0526899999999999E-2</c:v>
              </c:pt>
              <c:pt idx="759">
                <c:v>3.0566900000000001E-2</c:v>
              </c:pt>
              <c:pt idx="760">
                <c:v>3.0606899999999999E-2</c:v>
              </c:pt>
              <c:pt idx="761">
                <c:v>3.0646900000000001E-2</c:v>
              </c:pt>
              <c:pt idx="762">
                <c:v>3.06869E-2</c:v>
              </c:pt>
              <c:pt idx="763">
                <c:v>3.0726900000000001E-2</c:v>
              </c:pt>
              <c:pt idx="764">
                <c:v>3.07669E-2</c:v>
              </c:pt>
              <c:pt idx="765">
                <c:v>3.0806900000000002E-2</c:v>
              </c:pt>
              <c:pt idx="766">
                <c:v>3.08469E-2</c:v>
              </c:pt>
              <c:pt idx="767">
                <c:v>3.0886899999999998E-2</c:v>
              </c:pt>
              <c:pt idx="768">
                <c:v>3.09269E-2</c:v>
              </c:pt>
              <c:pt idx="769">
                <c:v>3.0966899999999999E-2</c:v>
              </c:pt>
              <c:pt idx="770">
                <c:v>3.10069E-2</c:v>
              </c:pt>
              <c:pt idx="771">
                <c:v>3.1046899999999999E-2</c:v>
              </c:pt>
              <c:pt idx="772">
                <c:v>3.1086900000000001E-2</c:v>
              </c:pt>
              <c:pt idx="773">
                <c:v>3.1126899999999999E-2</c:v>
              </c:pt>
              <c:pt idx="774">
                <c:v>3.1166900000000001E-2</c:v>
              </c:pt>
              <c:pt idx="775">
                <c:v>3.1206899999999999E-2</c:v>
              </c:pt>
              <c:pt idx="776">
                <c:v>3.1246900000000001E-2</c:v>
              </c:pt>
              <c:pt idx="777">
                <c:v>3.1286899999999999E-2</c:v>
              </c:pt>
              <c:pt idx="778">
                <c:v>3.1326899999999998E-2</c:v>
              </c:pt>
              <c:pt idx="779">
                <c:v>3.1366900000000003E-2</c:v>
              </c:pt>
              <c:pt idx="780">
                <c:v>3.1406900000000001E-2</c:v>
              </c:pt>
              <c:pt idx="781">
                <c:v>3.14469E-2</c:v>
              </c:pt>
              <c:pt idx="782">
                <c:v>3.1486899999999998E-2</c:v>
              </c:pt>
              <c:pt idx="783">
                <c:v>3.1526899999999997E-2</c:v>
              </c:pt>
              <c:pt idx="784">
                <c:v>3.1566900000000002E-2</c:v>
              </c:pt>
              <c:pt idx="785">
                <c:v>3.16069E-2</c:v>
              </c:pt>
              <c:pt idx="786">
                <c:v>3.1646899999999999E-2</c:v>
              </c:pt>
              <c:pt idx="787">
                <c:v>3.1686899999999997E-2</c:v>
              </c:pt>
              <c:pt idx="788">
                <c:v>3.1726900000000002E-2</c:v>
              </c:pt>
              <c:pt idx="789">
                <c:v>3.1766900000000001E-2</c:v>
              </c:pt>
              <c:pt idx="790">
                <c:v>3.1806899999999999E-2</c:v>
              </c:pt>
              <c:pt idx="791">
                <c:v>3.1846899999999997E-2</c:v>
              </c:pt>
              <c:pt idx="792">
                <c:v>3.1886900000000003E-2</c:v>
              </c:pt>
              <c:pt idx="793">
                <c:v>3.1926900000000001E-2</c:v>
              </c:pt>
              <c:pt idx="794">
                <c:v>3.1966899999999999E-2</c:v>
              </c:pt>
              <c:pt idx="795">
                <c:v>3.2006899999999998E-2</c:v>
              </c:pt>
              <c:pt idx="796">
                <c:v>3.2046900000000003E-2</c:v>
              </c:pt>
              <c:pt idx="797">
                <c:v>3.2086900000000002E-2</c:v>
              </c:pt>
              <c:pt idx="798">
                <c:v>3.21269E-2</c:v>
              </c:pt>
              <c:pt idx="799">
                <c:v>3.2166899999999998E-2</c:v>
              </c:pt>
              <c:pt idx="800">
                <c:v>3.2206899999999997E-2</c:v>
              </c:pt>
              <c:pt idx="801">
                <c:v>3.2246900000000002E-2</c:v>
              </c:pt>
              <c:pt idx="802">
                <c:v>3.22869E-2</c:v>
              </c:pt>
              <c:pt idx="803">
                <c:v>3.2326899999999999E-2</c:v>
              </c:pt>
              <c:pt idx="804">
                <c:v>3.2366899999999997E-2</c:v>
              </c:pt>
              <c:pt idx="805">
                <c:v>3.2406900000000002E-2</c:v>
              </c:pt>
              <c:pt idx="806">
                <c:v>3.2446900000000001E-2</c:v>
              </c:pt>
              <c:pt idx="807">
                <c:v>3.2486899999999999E-2</c:v>
              </c:pt>
              <c:pt idx="808">
                <c:v>3.2526899999999997E-2</c:v>
              </c:pt>
              <c:pt idx="809">
                <c:v>3.2566900000000003E-2</c:v>
              </c:pt>
              <c:pt idx="810">
                <c:v>3.2606900000000001E-2</c:v>
              </c:pt>
              <c:pt idx="811">
                <c:v>3.26469E-2</c:v>
              </c:pt>
              <c:pt idx="812">
                <c:v>3.2686899999999998E-2</c:v>
              </c:pt>
              <c:pt idx="813">
                <c:v>3.2726900000000003E-2</c:v>
              </c:pt>
              <c:pt idx="814">
                <c:v>3.2766900000000002E-2</c:v>
              </c:pt>
              <c:pt idx="815">
                <c:v>3.28069E-2</c:v>
              </c:pt>
              <c:pt idx="816">
                <c:v>3.2846899999999998E-2</c:v>
              </c:pt>
              <c:pt idx="817">
                <c:v>3.2886899999999997E-2</c:v>
              </c:pt>
              <c:pt idx="818">
                <c:v>3.2926900000000002E-2</c:v>
              </c:pt>
              <c:pt idx="819">
                <c:v>3.29669E-2</c:v>
              </c:pt>
              <c:pt idx="820">
                <c:v>3.3006899999999999E-2</c:v>
              </c:pt>
              <c:pt idx="821">
                <c:v>3.3046899999999997E-2</c:v>
              </c:pt>
              <c:pt idx="822">
                <c:v>3.3086900000000002E-2</c:v>
              </c:pt>
              <c:pt idx="823">
                <c:v>3.3126900000000001E-2</c:v>
              </c:pt>
              <c:pt idx="824">
                <c:v>3.3166899999999999E-2</c:v>
              </c:pt>
              <c:pt idx="825">
                <c:v>3.3206899999999998E-2</c:v>
              </c:pt>
              <c:pt idx="826">
                <c:v>3.3246900000000003E-2</c:v>
              </c:pt>
              <c:pt idx="827">
                <c:v>3.3286900000000001E-2</c:v>
              </c:pt>
              <c:pt idx="828">
                <c:v>3.33269E-2</c:v>
              </c:pt>
              <c:pt idx="829">
                <c:v>3.3366899999999998E-2</c:v>
              </c:pt>
              <c:pt idx="830">
                <c:v>3.3406900000000003E-2</c:v>
              </c:pt>
              <c:pt idx="831">
                <c:v>3.3446900000000002E-2</c:v>
              </c:pt>
              <c:pt idx="832">
                <c:v>3.34869E-2</c:v>
              </c:pt>
              <c:pt idx="833">
                <c:v>3.3526899999999998E-2</c:v>
              </c:pt>
              <c:pt idx="834">
                <c:v>3.3566899999999997E-2</c:v>
              </c:pt>
              <c:pt idx="835">
                <c:v>3.3606900000000002E-2</c:v>
              </c:pt>
              <c:pt idx="836">
                <c:v>3.36469E-2</c:v>
              </c:pt>
              <c:pt idx="837">
                <c:v>3.3686899999999999E-2</c:v>
              </c:pt>
              <c:pt idx="838">
                <c:v>3.3726899999999997E-2</c:v>
              </c:pt>
              <c:pt idx="839">
                <c:v>3.3766900000000002E-2</c:v>
              </c:pt>
              <c:pt idx="840">
                <c:v>3.3806900000000001E-2</c:v>
              </c:pt>
              <c:pt idx="841">
                <c:v>3.3846899999999999E-2</c:v>
              </c:pt>
              <c:pt idx="842">
                <c:v>3.3886899999999998E-2</c:v>
              </c:pt>
              <c:pt idx="843">
                <c:v>3.3926900000000003E-2</c:v>
              </c:pt>
              <c:pt idx="844">
                <c:v>3.3966900000000001E-2</c:v>
              </c:pt>
              <c:pt idx="845">
                <c:v>3.40069E-2</c:v>
              </c:pt>
              <c:pt idx="846">
                <c:v>3.4046899999999998E-2</c:v>
              </c:pt>
              <c:pt idx="847">
                <c:v>3.4086900000000003E-2</c:v>
              </c:pt>
              <c:pt idx="848">
                <c:v>3.4126900000000002E-2</c:v>
              </c:pt>
              <c:pt idx="849">
                <c:v>3.41669E-2</c:v>
              </c:pt>
              <c:pt idx="850">
                <c:v>3.4206899999999998E-2</c:v>
              </c:pt>
              <c:pt idx="851">
                <c:v>3.4246899999999997E-2</c:v>
              </c:pt>
              <c:pt idx="852">
                <c:v>3.4286900000000002E-2</c:v>
              </c:pt>
              <c:pt idx="853">
                <c:v>3.43269E-2</c:v>
              </c:pt>
              <c:pt idx="854">
                <c:v>3.4366899999999999E-2</c:v>
              </c:pt>
              <c:pt idx="855">
                <c:v>3.4406899999999997E-2</c:v>
              </c:pt>
              <c:pt idx="856">
                <c:v>3.4446900000000003E-2</c:v>
              </c:pt>
              <c:pt idx="857">
                <c:v>3.4486900000000001E-2</c:v>
              </c:pt>
              <c:pt idx="858">
                <c:v>3.4526899999999999E-2</c:v>
              </c:pt>
              <c:pt idx="859">
                <c:v>3.4566899999999998E-2</c:v>
              </c:pt>
              <c:pt idx="860">
                <c:v>3.4606900000000003E-2</c:v>
              </c:pt>
              <c:pt idx="861">
                <c:v>3.4646900000000001E-2</c:v>
              </c:pt>
              <c:pt idx="862">
                <c:v>3.46869E-2</c:v>
              </c:pt>
              <c:pt idx="863">
                <c:v>3.4726899999999998E-2</c:v>
              </c:pt>
              <c:pt idx="864">
                <c:v>3.4766900000000003E-2</c:v>
              </c:pt>
              <c:pt idx="865">
                <c:v>3.4806900000000002E-2</c:v>
              </c:pt>
              <c:pt idx="866">
                <c:v>3.48469E-2</c:v>
              </c:pt>
              <c:pt idx="867">
                <c:v>3.4886899999999998E-2</c:v>
              </c:pt>
              <c:pt idx="868">
                <c:v>3.4926899999999997E-2</c:v>
              </c:pt>
              <c:pt idx="869">
                <c:v>3.4966900000000002E-2</c:v>
              </c:pt>
              <c:pt idx="870">
                <c:v>3.5006900000000001E-2</c:v>
              </c:pt>
              <c:pt idx="871">
                <c:v>3.5046899999999999E-2</c:v>
              </c:pt>
              <c:pt idx="872">
                <c:v>3.5086899999999997E-2</c:v>
              </c:pt>
              <c:pt idx="873">
                <c:v>3.5126900000000003E-2</c:v>
              </c:pt>
              <c:pt idx="874">
                <c:v>3.5166900000000001E-2</c:v>
              </c:pt>
              <c:pt idx="875">
                <c:v>3.5206899999999999E-2</c:v>
              </c:pt>
              <c:pt idx="876">
                <c:v>3.5246899999999998E-2</c:v>
              </c:pt>
              <c:pt idx="877">
                <c:v>3.5286900000000003E-2</c:v>
              </c:pt>
              <c:pt idx="878">
                <c:v>3.5326900000000001E-2</c:v>
              </c:pt>
              <c:pt idx="879">
                <c:v>3.53669E-2</c:v>
              </c:pt>
              <c:pt idx="880">
                <c:v>3.5406899999999998E-2</c:v>
              </c:pt>
              <c:pt idx="881">
                <c:v>3.5446900000000003E-2</c:v>
              </c:pt>
              <c:pt idx="882">
                <c:v>3.5486900000000002E-2</c:v>
              </c:pt>
              <c:pt idx="883">
                <c:v>3.55269E-2</c:v>
              </c:pt>
              <c:pt idx="884">
                <c:v>3.5566899999999999E-2</c:v>
              </c:pt>
              <c:pt idx="885">
                <c:v>3.5606899999999997E-2</c:v>
              </c:pt>
              <c:pt idx="886">
                <c:v>3.5646900000000002E-2</c:v>
              </c:pt>
              <c:pt idx="887">
                <c:v>3.5686900000000001E-2</c:v>
              </c:pt>
              <c:pt idx="888">
                <c:v>3.5726899999999999E-2</c:v>
              </c:pt>
              <c:pt idx="889">
                <c:v>3.5766899999999997E-2</c:v>
              </c:pt>
              <c:pt idx="890">
                <c:v>3.5806900000000003E-2</c:v>
              </c:pt>
              <c:pt idx="891">
                <c:v>3.5846900000000001E-2</c:v>
              </c:pt>
              <c:pt idx="892">
                <c:v>3.5886899999999999E-2</c:v>
              </c:pt>
              <c:pt idx="893">
                <c:v>3.5926899999999998E-2</c:v>
              </c:pt>
              <c:pt idx="894">
                <c:v>3.5966900000000003E-2</c:v>
              </c:pt>
              <c:pt idx="895">
                <c:v>3.6006900000000001E-2</c:v>
              </c:pt>
              <c:pt idx="896">
                <c:v>3.60469E-2</c:v>
              </c:pt>
              <c:pt idx="897">
                <c:v>3.6086899999999998E-2</c:v>
              </c:pt>
              <c:pt idx="898">
                <c:v>3.6126900000000003E-2</c:v>
              </c:pt>
              <c:pt idx="899">
                <c:v>3.6166900000000002E-2</c:v>
              </c:pt>
              <c:pt idx="900">
                <c:v>3.62069E-2</c:v>
              </c:pt>
              <c:pt idx="901">
                <c:v>3.6246899999999999E-2</c:v>
              </c:pt>
              <c:pt idx="902">
                <c:v>3.6286899999999997E-2</c:v>
              </c:pt>
              <c:pt idx="903">
                <c:v>3.6326900000000002E-2</c:v>
              </c:pt>
              <c:pt idx="904">
                <c:v>3.6366900000000001E-2</c:v>
              </c:pt>
              <c:pt idx="905">
                <c:v>3.6406899999999999E-2</c:v>
              </c:pt>
              <c:pt idx="906">
                <c:v>3.6446899999999997E-2</c:v>
              </c:pt>
              <c:pt idx="907">
                <c:v>3.6486900000000003E-2</c:v>
              </c:pt>
              <c:pt idx="908">
                <c:v>3.6526900000000001E-2</c:v>
              </c:pt>
              <c:pt idx="909">
                <c:v>3.6566899999999999E-2</c:v>
              </c:pt>
              <c:pt idx="910">
                <c:v>3.6606899999999998E-2</c:v>
              </c:pt>
              <c:pt idx="911">
                <c:v>3.6646900000000003E-2</c:v>
              </c:pt>
              <c:pt idx="912">
                <c:v>3.6686900000000001E-2</c:v>
              </c:pt>
              <c:pt idx="913">
                <c:v>3.67269E-2</c:v>
              </c:pt>
              <c:pt idx="914">
                <c:v>3.6766899999999998E-2</c:v>
              </c:pt>
              <c:pt idx="915">
                <c:v>3.6806899999999997E-2</c:v>
              </c:pt>
              <c:pt idx="916">
                <c:v>3.6846900000000002E-2</c:v>
              </c:pt>
              <c:pt idx="917">
                <c:v>3.68869E-2</c:v>
              </c:pt>
              <c:pt idx="918">
                <c:v>3.6926899999999999E-2</c:v>
              </c:pt>
              <c:pt idx="919">
                <c:v>3.6966899999999997E-2</c:v>
              </c:pt>
              <c:pt idx="920">
                <c:v>3.7006900000000002E-2</c:v>
              </c:pt>
              <c:pt idx="921">
                <c:v>3.7046900000000001E-2</c:v>
              </c:pt>
              <c:pt idx="922">
                <c:v>3.7086899999999999E-2</c:v>
              </c:pt>
              <c:pt idx="923">
                <c:v>3.7126899999999997E-2</c:v>
              </c:pt>
              <c:pt idx="924">
                <c:v>3.7166900000000003E-2</c:v>
              </c:pt>
              <c:pt idx="925">
                <c:v>3.7206900000000001E-2</c:v>
              </c:pt>
              <c:pt idx="926">
                <c:v>3.7246899999999999E-2</c:v>
              </c:pt>
              <c:pt idx="927">
                <c:v>3.7286899999999998E-2</c:v>
              </c:pt>
              <c:pt idx="928">
                <c:v>3.7326900000000003E-2</c:v>
              </c:pt>
              <c:pt idx="929">
                <c:v>3.7366900000000002E-2</c:v>
              </c:pt>
              <c:pt idx="930">
                <c:v>3.74069E-2</c:v>
              </c:pt>
              <c:pt idx="931">
                <c:v>3.7446899999999998E-2</c:v>
              </c:pt>
              <c:pt idx="932">
                <c:v>3.7486899999999997E-2</c:v>
              </c:pt>
              <c:pt idx="933">
                <c:v>3.7526900000000002E-2</c:v>
              </c:pt>
              <c:pt idx="934">
                <c:v>3.75669E-2</c:v>
              </c:pt>
              <c:pt idx="935">
                <c:v>3.7606899999999999E-2</c:v>
              </c:pt>
              <c:pt idx="936">
                <c:v>3.7646899999999997E-2</c:v>
              </c:pt>
              <c:pt idx="937">
                <c:v>3.7686900000000002E-2</c:v>
              </c:pt>
              <c:pt idx="938">
                <c:v>3.7726900000000001E-2</c:v>
              </c:pt>
              <c:pt idx="939">
                <c:v>3.7766899999999999E-2</c:v>
              </c:pt>
              <c:pt idx="940">
                <c:v>3.7806899999999997E-2</c:v>
              </c:pt>
              <c:pt idx="941">
                <c:v>3.7846900000000003E-2</c:v>
              </c:pt>
              <c:pt idx="942">
                <c:v>3.7886900000000001E-2</c:v>
              </c:pt>
              <c:pt idx="943">
                <c:v>3.79269E-2</c:v>
              </c:pt>
              <c:pt idx="944">
                <c:v>3.7966899999999998E-2</c:v>
              </c:pt>
              <c:pt idx="945">
                <c:v>3.8006900000000003E-2</c:v>
              </c:pt>
              <c:pt idx="946">
                <c:v>3.8046900000000002E-2</c:v>
              </c:pt>
              <c:pt idx="947">
                <c:v>3.80869E-2</c:v>
              </c:pt>
              <c:pt idx="948">
                <c:v>3.8126899999999998E-2</c:v>
              </c:pt>
              <c:pt idx="949">
                <c:v>3.8166899999999997E-2</c:v>
              </c:pt>
              <c:pt idx="950">
                <c:v>3.8206900000000002E-2</c:v>
              </c:pt>
              <c:pt idx="951">
                <c:v>3.82469E-2</c:v>
              </c:pt>
              <c:pt idx="952">
                <c:v>3.8286899999999999E-2</c:v>
              </c:pt>
              <c:pt idx="953">
                <c:v>3.8326899999999997E-2</c:v>
              </c:pt>
              <c:pt idx="954">
                <c:v>3.8366900000000002E-2</c:v>
              </c:pt>
              <c:pt idx="955">
                <c:v>3.8406900000000001E-2</c:v>
              </c:pt>
              <c:pt idx="956">
                <c:v>3.8446899999999999E-2</c:v>
              </c:pt>
              <c:pt idx="957">
                <c:v>3.8486899999999998E-2</c:v>
              </c:pt>
              <c:pt idx="958">
                <c:v>3.8526900000000003E-2</c:v>
              </c:pt>
              <c:pt idx="959">
                <c:v>3.8566900000000001E-2</c:v>
              </c:pt>
              <c:pt idx="960">
                <c:v>3.86069E-2</c:v>
              </c:pt>
              <c:pt idx="961">
                <c:v>3.8646899999999998E-2</c:v>
              </c:pt>
              <c:pt idx="962">
                <c:v>3.8686900000000003E-2</c:v>
              </c:pt>
              <c:pt idx="963">
                <c:v>3.8726900000000002E-2</c:v>
              </c:pt>
              <c:pt idx="964">
                <c:v>3.87669E-2</c:v>
              </c:pt>
              <c:pt idx="965">
                <c:v>3.8806899999999998E-2</c:v>
              </c:pt>
              <c:pt idx="966">
                <c:v>3.8846899999999997E-2</c:v>
              </c:pt>
              <c:pt idx="967">
                <c:v>3.8886900000000002E-2</c:v>
              </c:pt>
              <c:pt idx="968">
                <c:v>3.89269E-2</c:v>
              </c:pt>
              <c:pt idx="969">
                <c:v>3.8966899999999999E-2</c:v>
              </c:pt>
              <c:pt idx="970">
                <c:v>3.9006899999999997E-2</c:v>
              </c:pt>
              <c:pt idx="971">
                <c:v>3.9046900000000002E-2</c:v>
              </c:pt>
              <c:pt idx="972">
                <c:v>3.9086900000000001E-2</c:v>
              </c:pt>
              <c:pt idx="973">
                <c:v>3.9126899999999999E-2</c:v>
              </c:pt>
              <c:pt idx="974">
                <c:v>3.9166899999999998E-2</c:v>
              </c:pt>
              <c:pt idx="975">
                <c:v>3.9206900000000003E-2</c:v>
              </c:pt>
              <c:pt idx="976">
                <c:v>3.9246900000000001E-2</c:v>
              </c:pt>
              <c:pt idx="977">
                <c:v>3.92869E-2</c:v>
              </c:pt>
              <c:pt idx="978">
                <c:v>3.9326899999999998E-2</c:v>
              </c:pt>
              <c:pt idx="979">
                <c:v>3.9366900000000003E-2</c:v>
              </c:pt>
              <c:pt idx="980">
                <c:v>3.9406900000000002E-2</c:v>
              </c:pt>
              <c:pt idx="981">
                <c:v>3.94469E-2</c:v>
              </c:pt>
              <c:pt idx="982">
                <c:v>3.9486899999999998E-2</c:v>
              </c:pt>
              <c:pt idx="983">
                <c:v>3.9526899999999997E-2</c:v>
              </c:pt>
              <c:pt idx="984">
                <c:v>3.9566900000000002E-2</c:v>
              </c:pt>
              <c:pt idx="985">
                <c:v>3.96069E-2</c:v>
              </c:pt>
              <c:pt idx="986">
                <c:v>3.9646899999999999E-2</c:v>
              </c:pt>
              <c:pt idx="987">
                <c:v>3.9686899999999997E-2</c:v>
              </c:pt>
              <c:pt idx="988">
                <c:v>3.9726900000000002E-2</c:v>
              </c:pt>
              <c:pt idx="989">
                <c:v>3.9766900000000001E-2</c:v>
              </c:pt>
              <c:pt idx="990">
                <c:v>3.9806899999999999E-2</c:v>
              </c:pt>
              <c:pt idx="991">
                <c:v>3.9846899999999998E-2</c:v>
              </c:pt>
              <c:pt idx="992">
                <c:v>3.9886900000000003E-2</c:v>
              </c:pt>
              <c:pt idx="993">
                <c:v>3.9926900000000001E-2</c:v>
              </c:pt>
              <c:pt idx="994">
                <c:v>3.99669E-2</c:v>
              </c:pt>
              <c:pt idx="995">
                <c:v>4.0006899999999998E-2</c:v>
              </c:pt>
              <c:pt idx="996">
                <c:v>4.0046900000000003E-2</c:v>
              </c:pt>
              <c:pt idx="997">
                <c:v>4.0086900000000002E-2</c:v>
              </c:pt>
              <c:pt idx="998">
                <c:v>4.01269E-2</c:v>
              </c:pt>
              <c:pt idx="999">
                <c:v>4.0166899999999998E-2</c:v>
              </c:pt>
              <c:pt idx="1000">
                <c:v>4.0206899999999997E-2</c:v>
              </c:pt>
              <c:pt idx="1001">
                <c:v>4.0246900000000002E-2</c:v>
              </c:pt>
              <c:pt idx="1002">
                <c:v>4.02869E-2</c:v>
              </c:pt>
              <c:pt idx="1003">
                <c:v>4.0326899999999999E-2</c:v>
              </c:pt>
              <c:pt idx="1004">
                <c:v>4.0366899999999997E-2</c:v>
              </c:pt>
              <c:pt idx="1005">
                <c:v>4.0406900000000003E-2</c:v>
              </c:pt>
              <c:pt idx="1006">
                <c:v>4.0446900000000001E-2</c:v>
              </c:pt>
              <c:pt idx="1007">
                <c:v>4.0486899999999999E-2</c:v>
              </c:pt>
              <c:pt idx="1008">
                <c:v>4.0526899999999998E-2</c:v>
              </c:pt>
              <c:pt idx="1009">
                <c:v>4.0566900000000003E-2</c:v>
              </c:pt>
              <c:pt idx="1010">
                <c:v>4.0606900000000001E-2</c:v>
              </c:pt>
              <c:pt idx="1011">
                <c:v>4.06469E-2</c:v>
              </c:pt>
              <c:pt idx="1012">
                <c:v>4.0686899999999998E-2</c:v>
              </c:pt>
              <c:pt idx="1013">
                <c:v>4.0726900000000003E-2</c:v>
              </c:pt>
              <c:pt idx="1014">
                <c:v>4.0766900000000002E-2</c:v>
              </c:pt>
              <c:pt idx="1015">
                <c:v>4.08069E-2</c:v>
              </c:pt>
              <c:pt idx="1016">
                <c:v>4.0846899999999998E-2</c:v>
              </c:pt>
              <c:pt idx="1017">
                <c:v>4.0886899999999997E-2</c:v>
              </c:pt>
              <c:pt idx="1018">
                <c:v>4.0926900000000002E-2</c:v>
              </c:pt>
              <c:pt idx="1019">
                <c:v>4.0966900000000001E-2</c:v>
              </c:pt>
              <c:pt idx="1020">
                <c:v>4.1006899999999999E-2</c:v>
              </c:pt>
              <c:pt idx="1021">
                <c:v>4.1046899999999997E-2</c:v>
              </c:pt>
              <c:pt idx="1022">
                <c:v>4.1086900000000003E-2</c:v>
              </c:pt>
              <c:pt idx="1023">
                <c:v>4.1126900000000001E-2</c:v>
              </c:pt>
              <c:pt idx="1024">
                <c:v>4.1166899999999999E-2</c:v>
              </c:pt>
              <c:pt idx="1025">
                <c:v>4.1206899999999998E-2</c:v>
              </c:pt>
              <c:pt idx="1026">
                <c:v>4.1246900000000003E-2</c:v>
              </c:pt>
              <c:pt idx="1027">
                <c:v>4.1286900000000001E-2</c:v>
              </c:pt>
              <c:pt idx="1028">
                <c:v>4.13269E-2</c:v>
              </c:pt>
              <c:pt idx="1029">
                <c:v>4.1366899999999998E-2</c:v>
              </c:pt>
              <c:pt idx="1030">
                <c:v>4.1406900000000003E-2</c:v>
              </c:pt>
              <c:pt idx="1031">
                <c:v>4.1446900000000002E-2</c:v>
              </c:pt>
              <c:pt idx="1032">
                <c:v>4.14869E-2</c:v>
              </c:pt>
              <c:pt idx="1033">
                <c:v>4.1526899999999999E-2</c:v>
              </c:pt>
              <c:pt idx="1034">
                <c:v>4.1566899999999997E-2</c:v>
              </c:pt>
              <c:pt idx="1035">
                <c:v>4.1606900000000002E-2</c:v>
              </c:pt>
              <c:pt idx="1036">
                <c:v>4.1646900000000001E-2</c:v>
              </c:pt>
              <c:pt idx="1037">
                <c:v>4.1686899999999999E-2</c:v>
              </c:pt>
              <c:pt idx="1038">
                <c:v>4.1726899999999997E-2</c:v>
              </c:pt>
              <c:pt idx="1039">
                <c:v>4.1766900000000003E-2</c:v>
              </c:pt>
              <c:pt idx="1040">
                <c:v>4.1806900000000001E-2</c:v>
              </c:pt>
              <c:pt idx="1041">
                <c:v>4.1846899999999999E-2</c:v>
              </c:pt>
              <c:pt idx="1042">
                <c:v>4.1886899999999998E-2</c:v>
              </c:pt>
              <c:pt idx="1043">
                <c:v>4.1926900000000003E-2</c:v>
              </c:pt>
              <c:pt idx="1044">
                <c:v>4.1966900000000001E-2</c:v>
              </c:pt>
              <c:pt idx="1045">
                <c:v>4.20069E-2</c:v>
              </c:pt>
              <c:pt idx="1046">
                <c:v>4.2046899999999998E-2</c:v>
              </c:pt>
              <c:pt idx="1047">
                <c:v>4.2086899999999997E-2</c:v>
              </c:pt>
              <c:pt idx="1048">
                <c:v>4.2126900000000002E-2</c:v>
              </c:pt>
              <c:pt idx="1049">
                <c:v>4.21669E-2</c:v>
              </c:pt>
              <c:pt idx="1050">
                <c:v>4.2206899999999999E-2</c:v>
              </c:pt>
              <c:pt idx="1051">
                <c:v>4.2246899999999997E-2</c:v>
              </c:pt>
              <c:pt idx="1052">
                <c:v>4.2286900000000002E-2</c:v>
              </c:pt>
              <c:pt idx="1053">
                <c:v>4.2326900000000001E-2</c:v>
              </c:pt>
              <c:pt idx="1054">
                <c:v>4.2366899999999999E-2</c:v>
              </c:pt>
              <c:pt idx="1055">
                <c:v>4.2406899999999997E-2</c:v>
              </c:pt>
              <c:pt idx="1056">
                <c:v>4.2446900000000003E-2</c:v>
              </c:pt>
              <c:pt idx="1057">
                <c:v>4.2486900000000001E-2</c:v>
              </c:pt>
              <c:pt idx="1058">
                <c:v>4.2526899999999999E-2</c:v>
              </c:pt>
              <c:pt idx="1059">
                <c:v>4.2566899999999998E-2</c:v>
              </c:pt>
              <c:pt idx="1060">
                <c:v>4.2606900000000003E-2</c:v>
              </c:pt>
              <c:pt idx="1061">
                <c:v>4.2646900000000001E-2</c:v>
              </c:pt>
              <c:pt idx="1062">
                <c:v>4.26869E-2</c:v>
              </c:pt>
              <c:pt idx="1063">
                <c:v>4.2726899999999998E-2</c:v>
              </c:pt>
              <c:pt idx="1064">
                <c:v>4.2766899999999997E-2</c:v>
              </c:pt>
              <c:pt idx="1065">
                <c:v>4.2806900000000002E-2</c:v>
              </c:pt>
              <c:pt idx="1066">
                <c:v>4.28469E-2</c:v>
              </c:pt>
              <c:pt idx="1067">
                <c:v>4.2886899999999999E-2</c:v>
              </c:pt>
              <c:pt idx="1068">
                <c:v>4.2926899999999997E-2</c:v>
              </c:pt>
              <c:pt idx="1069">
                <c:v>4.2966900000000002E-2</c:v>
              </c:pt>
              <c:pt idx="1070">
                <c:v>4.3006900000000001E-2</c:v>
              </c:pt>
              <c:pt idx="1071">
                <c:v>4.3046899999999999E-2</c:v>
              </c:pt>
              <c:pt idx="1072">
                <c:v>4.3086899999999997E-2</c:v>
              </c:pt>
              <c:pt idx="1073">
                <c:v>4.3126900000000003E-2</c:v>
              </c:pt>
              <c:pt idx="1074">
                <c:v>4.3166900000000001E-2</c:v>
              </c:pt>
              <c:pt idx="1075">
                <c:v>4.3206899999999999E-2</c:v>
              </c:pt>
              <c:pt idx="1076">
                <c:v>4.3246899999999998E-2</c:v>
              </c:pt>
              <c:pt idx="1077">
                <c:v>4.3286900000000003E-2</c:v>
              </c:pt>
              <c:pt idx="1078">
                <c:v>4.3326900000000002E-2</c:v>
              </c:pt>
              <c:pt idx="1079">
                <c:v>4.33669E-2</c:v>
              </c:pt>
              <c:pt idx="1080">
                <c:v>4.3406899999999998E-2</c:v>
              </c:pt>
              <c:pt idx="1081">
                <c:v>4.3446899999999997E-2</c:v>
              </c:pt>
              <c:pt idx="1082">
                <c:v>4.3486900000000002E-2</c:v>
              </c:pt>
              <c:pt idx="1083">
                <c:v>4.35269E-2</c:v>
              </c:pt>
              <c:pt idx="1084">
                <c:v>4.3566899999999999E-2</c:v>
              </c:pt>
              <c:pt idx="1085">
                <c:v>4.3606899999999997E-2</c:v>
              </c:pt>
              <c:pt idx="1086">
                <c:v>4.3646900000000002E-2</c:v>
              </c:pt>
              <c:pt idx="1087">
                <c:v>4.3686900000000001E-2</c:v>
              </c:pt>
              <c:pt idx="1088">
                <c:v>4.3726899999999999E-2</c:v>
              </c:pt>
              <c:pt idx="1089">
                <c:v>4.3766899999999997E-2</c:v>
              </c:pt>
              <c:pt idx="1090">
                <c:v>4.3806900000000003E-2</c:v>
              </c:pt>
              <c:pt idx="1091">
                <c:v>4.3846900000000001E-2</c:v>
              </c:pt>
              <c:pt idx="1092">
                <c:v>4.38869E-2</c:v>
              </c:pt>
              <c:pt idx="1093">
                <c:v>4.3926899999999998E-2</c:v>
              </c:pt>
              <c:pt idx="1094">
                <c:v>4.3966900000000003E-2</c:v>
              </c:pt>
              <c:pt idx="1095">
                <c:v>4.4006900000000002E-2</c:v>
              </c:pt>
              <c:pt idx="1096">
                <c:v>4.40469E-2</c:v>
              </c:pt>
              <c:pt idx="1097">
                <c:v>4.4086899999999998E-2</c:v>
              </c:pt>
              <c:pt idx="1098">
                <c:v>4.4126899999999997E-2</c:v>
              </c:pt>
              <c:pt idx="1099">
                <c:v>4.4166900000000002E-2</c:v>
              </c:pt>
              <c:pt idx="1100">
                <c:v>4.42069E-2</c:v>
              </c:pt>
              <c:pt idx="1101">
                <c:v>4.4246899999999999E-2</c:v>
              </c:pt>
              <c:pt idx="1102">
                <c:v>4.4286899999999997E-2</c:v>
              </c:pt>
              <c:pt idx="1103">
                <c:v>4.4326900000000002E-2</c:v>
              </c:pt>
              <c:pt idx="1104">
                <c:v>4.4366900000000001E-2</c:v>
              </c:pt>
              <c:pt idx="1105">
                <c:v>4.4406899999999999E-2</c:v>
              </c:pt>
              <c:pt idx="1106">
                <c:v>4.4446899999999998E-2</c:v>
              </c:pt>
              <c:pt idx="1107">
                <c:v>4.4486900000000003E-2</c:v>
              </c:pt>
              <c:pt idx="1108">
                <c:v>4.4526900000000001E-2</c:v>
              </c:pt>
              <c:pt idx="1109">
                <c:v>4.45669E-2</c:v>
              </c:pt>
              <c:pt idx="1110">
                <c:v>4.4606899999999998E-2</c:v>
              </c:pt>
              <c:pt idx="1111">
                <c:v>4.4646900000000003E-2</c:v>
              </c:pt>
              <c:pt idx="1112">
                <c:v>4.4686900000000002E-2</c:v>
              </c:pt>
              <c:pt idx="1113">
                <c:v>4.47269E-2</c:v>
              </c:pt>
              <c:pt idx="1114">
                <c:v>4.4766899999999998E-2</c:v>
              </c:pt>
              <c:pt idx="1115">
                <c:v>4.4806899999999997E-2</c:v>
              </c:pt>
              <c:pt idx="1116">
                <c:v>4.4846900000000002E-2</c:v>
              </c:pt>
              <c:pt idx="1117">
                <c:v>4.48869E-2</c:v>
              </c:pt>
              <c:pt idx="1118">
                <c:v>4.4926899999999999E-2</c:v>
              </c:pt>
              <c:pt idx="1119">
                <c:v>4.4966899999999997E-2</c:v>
              </c:pt>
              <c:pt idx="1120">
                <c:v>4.5006900000000002E-2</c:v>
              </c:pt>
              <c:pt idx="1121">
                <c:v>4.5046900000000001E-2</c:v>
              </c:pt>
              <c:pt idx="1122">
                <c:v>4.5086899999999999E-2</c:v>
              </c:pt>
              <c:pt idx="1123">
                <c:v>4.5126899999999998E-2</c:v>
              </c:pt>
              <c:pt idx="1124">
                <c:v>4.5166900000000003E-2</c:v>
              </c:pt>
              <c:pt idx="1125">
                <c:v>4.5206900000000001E-2</c:v>
              </c:pt>
              <c:pt idx="1126">
                <c:v>4.52469E-2</c:v>
              </c:pt>
              <c:pt idx="1127">
                <c:v>4.5286899999999998E-2</c:v>
              </c:pt>
              <c:pt idx="1128">
                <c:v>4.5326900000000003E-2</c:v>
              </c:pt>
              <c:pt idx="1129">
                <c:v>4.5366900000000002E-2</c:v>
              </c:pt>
              <c:pt idx="1130">
                <c:v>4.54069E-2</c:v>
              </c:pt>
              <c:pt idx="1131">
                <c:v>4.5446899999999998E-2</c:v>
              </c:pt>
              <c:pt idx="1132">
                <c:v>4.5486899999999997E-2</c:v>
              </c:pt>
              <c:pt idx="1133">
                <c:v>4.5526900000000002E-2</c:v>
              </c:pt>
              <c:pt idx="1134">
                <c:v>4.55669E-2</c:v>
              </c:pt>
              <c:pt idx="1135">
                <c:v>4.5606899999999999E-2</c:v>
              </c:pt>
              <c:pt idx="1136">
                <c:v>4.5646899999999997E-2</c:v>
              </c:pt>
              <c:pt idx="1137">
                <c:v>4.5686900000000003E-2</c:v>
              </c:pt>
              <c:pt idx="1138">
                <c:v>4.5726900000000001E-2</c:v>
              </c:pt>
              <c:pt idx="1139">
                <c:v>4.5766899999999999E-2</c:v>
              </c:pt>
              <c:pt idx="1140">
                <c:v>4.5806899999999998E-2</c:v>
              </c:pt>
              <c:pt idx="1141">
                <c:v>4.5846900000000003E-2</c:v>
              </c:pt>
              <c:pt idx="1142">
                <c:v>4.5886900000000001E-2</c:v>
              </c:pt>
              <c:pt idx="1143">
                <c:v>4.59269E-2</c:v>
              </c:pt>
              <c:pt idx="1144">
                <c:v>4.5966899999999998E-2</c:v>
              </c:pt>
              <c:pt idx="1145">
                <c:v>4.6006900000000003E-2</c:v>
              </c:pt>
              <c:pt idx="1146">
                <c:v>4.6046900000000002E-2</c:v>
              </c:pt>
              <c:pt idx="1147">
                <c:v>4.60869E-2</c:v>
              </c:pt>
              <c:pt idx="1148">
                <c:v>4.6126899999999998E-2</c:v>
              </c:pt>
              <c:pt idx="1149">
                <c:v>4.6166899999999997E-2</c:v>
              </c:pt>
              <c:pt idx="1150">
                <c:v>4.6206900000000002E-2</c:v>
              </c:pt>
              <c:pt idx="1151">
                <c:v>4.6246900000000001E-2</c:v>
              </c:pt>
              <c:pt idx="1152">
                <c:v>4.6286899999999999E-2</c:v>
              </c:pt>
              <c:pt idx="1153">
                <c:v>4.6326899999999997E-2</c:v>
              </c:pt>
              <c:pt idx="1154">
                <c:v>4.6366900000000003E-2</c:v>
              </c:pt>
              <c:pt idx="1155">
                <c:v>4.6406900000000001E-2</c:v>
              </c:pt>
              <c:pt idx="1156">
                <c:v>4.6446899999999999E-2</c:v>
              </c:pt>
              <c:pt idx="1157">
                <c:v>4.6486899999999998E-2</c:v>
              </c:pt>
              <c:pt idx="1158">
                <c:v>4.6526900000000003E-2</c:v>
              </c:pt>
              <c:pt idx="1159">
                <c:v>4.6566900000000001E-2</c:v>
              </c:pt>
              <c:pt idx="1160">
                <c:v>4.66069E-2</c:v>
              </c:pt>
              <c:pt idx="1161">
                <c:v>4.6646899999999998E-2</c:v>
              </c:pt>
              <c:pt idx="1162">
                <c:v>4.6686900000000003E-2</c:v>
              </c:pt>
              <c:pt idx="1163">
                <c:v>4.6726900000000002E-2</c:v>
              </c:pt>
              <c:pt idx="1164">
                <c:v>4.67669E-2</c:v>
              </c:pt>
              <c:pt idx="1165">
                <c:v>4.6806899999999999E-2</c:v>
              </c:pt>
              <c:pt idx="1166">
                <c:v>4.6846899999999997E-2</c:v>
              </c:pt>
              <c:pt idx="1167">
                <c:v>4.6886900000000002E-2</c:v>
              </c:pt>
              <c:pt idx="1168">
                <c:v>4.6926900000000001E-2</c:v>
              </c:pt>
              <c:pt idx="1169">
                <c:v>4.6966899999999999E-2</c:v>
              </c:pt>
              <c:pt idx="1170">
                <c:v>4.7006899999999997E-2</c:v>
              </c:pt>
              <c:pt idx="1171">
                <c:v>4.7046900000000003E-2</c:v>
              </c:pt>
              <c:pt idx="1172">
                <c:v>4.7086900000000001E-2</c:v>
              </c:pt>
              <c:pt idx="1173">
                <c:v>4.7126899999999999E-2</c:v>
              </c:pt>
              <c:pt idx="1174">
                <c:v>4.7166899999999998E-2</c:v>
              </c:pt>
              <c:pt idx="1175">
                <c:v>4.7206900000000003E-2</c:v>
              </c:pt>
              <c:pt idx="1176">
                <c:v>4.7246900000000001E-2</c:v>
              </c:pt>
              <c:pt idx="1177">
                <c:v>4.72869E-2</c:v>
              </c:pt>
              <c:pt idx="1178">
                <c:v>4.7326899999999998E-2</c:v>
              </c:pt>
              <c:pt idx="1179">
                <c:v>4.7366900000000003E-2</c:v>
              </c:pt>
              <c:pt idx="1180">
                <c:v>4.7406900000000002E-2</c:v>
              </c:pt>
              <c:pt idx="1181">
                <c:v>4.74469E-2</c:v>
              </c:pt>
              <c:pt idx="1182">
                <c:v>4.7486899999999999E-2</c:v>
              </c:pt>
              <c:pt idx="1183">
                <c:v>4.7526899999999997E-2</c:v>
              </c:pt>
              <c:pt idx="1184">
                <c:v>4.7566900000000002E-2</c:v>
              </c:pt>
              <c:pt idx="1185">
                <c:v>4.7606900000000001E-2</c:v>
              </c:pt>
              <c:pt idx="1186">
                <c:v>4.7646899999999999E-2</c:v>
              </c:pt>
              <c:pt idx="1187">
                <c:v>4.7686899999999997E-2</c:v>
              </c:pt>
              <c:pt idx="1188">
                <c:v>4.7726900000000003E-2</c:v>
              </c:pt>
              <c:pt idx="1189">
                <c:v>4.7766900000000001E-2</c:v>
              </c:pt>
              <c:pt idx="1190">
                <c:v>4.7806899999999999E-2</c:v>
              </c:pt>
              <c:pt idx="1191">
                <c:v>4.7846899999999998E-2</c:v>
              </c:pt>
              <c:pt idx="1192">
                <c:v>4.7886900000000003E-2</c:v>
              </c:pt>
              <c:pt idx="1193">
                <c:v>4.7926900000000001E-2</c:v>
              </c:pt>
              <c:pt idx="1194">
                <c:v>4.79669E-2</c:v>
              </c:pt>
              <c:pt idx="1195">
                <c:v>4.8006899999999998E-2</c:v>
              </c:pt>
              <c:pt idx="1196">
                <c:v>4.8046899999999997E-2</c:v>
              </c:pt>
              <c:pt idx="1197">
                <c:v>4.8086900000000002E-2</c:v>
              </c:pt>
              <c:pt idx="1198">
                <c:v>4.81269E-2</c:v>
              </c:pt>
              <c:pt idx="1199">
                <c:v>4.8166899999999999E-2</c:v>
              </c:pt>
              <c:pt idx="1200">
                <c:v>4.8206899999999997E-2</c:v>
              </c:pt>
              <c:pt idx="1201">
                <c:v>4.8246900000000002E-2</c:v>
              </c:pt>
              <c:pt idx="1202">
                <c:v>4.8286900000000001E-2</c:v>
              </c:pt>
              <c:pt idx="1203">
                <c:v>4.8326899999999999E-2</c:v>
              </c:pt>
              <c:pt idx="1204">
                <c:v>4.8366899999999997E-2</c:v>
              </c:pt>
              <c:pt idx="1205">
                <c:v>4.8406900000000003E-2</c:v>
              </c:pt>
              <c:pt idx="1206">
                <c:v>4.8446900000000001E-2</c:v>
              </c:pt>
              <c:pt idx="1207">
                <c:v>4.8486899999999999E-2</c:v>
              </c:pt>
              <c:pt idx="1208">
                <c:v>4.8526899999999998E-2</c:v>
              </c:pt>
              <c:pt idx="1209">
                <c:v>4.8566900000000003E-2</c:v>
              </c:pt>
              <c:pt idx="1210">
                <c:v>4.8606900000000001E-2</c:v>
              </c:pt>
              <c:pt idx="1211">
                <c:v>4.86469E-2</c:v>
              </c:pt>
              <c:pt idx="1212">
                <c:v>4.8686899999999998E-2</c:v>
              </c:pt>
              <c:pt idx="1213">
                <c:v>4.8726899999999997E-2</c:v>
              </c:pt>
              <c:pt idx="1214">
                <c:v>4.8766900000000002E-2</c:v>
              </c:pt>
              <c:pt idx="1215">
                <c:v>4.88069E-2</c:v>
              </c:pt>
              <c:pt idx="1216">
                <c:v>4.8846899999999999E-2</c:v>
              </c:pt>
              <c:pt idx="1217">
                <c:v>4.8886899999999997E-2</c:v>
              </c:pt>
              <c:pt idx="1218">
                <c:v>4.8926900000000002E-2</c:v>
              </c:pt>
              <c:pt idx="1219">
                <c:v>4.8966900000000001E-2</c:v>
              </c:pt>
              <c:pt idx="1220">
                <c:v>4.9006899999999999E-2</c:v>
              </c:pt>
              <c:pt idx="1221">
                <c:v>4.9046899999999997E-2</c:v>
              </c:pt>
              <c:pt idx="1222">
                <c:v>4.9086900000000003E-2</c:v>
              </c:pt>
              <c:pt idx="1223">
                <c:v>4.9126900000000001E-2</c:v>
              </c:pt>
              <c:pt idx="1224">
                <c:v>4.9166899999999999E-2</c:v>
              </c:pt>
              <c:pt idx="1225">
                <c:v>4.9206899999999998E-2</c:v>
              </c:pt>
              <c:pt idx="1226">
                <c:v>4.9246900000000003E-2</c:v>
              </c:pt>
              <c:pt idx="1227">
                <c:v>4.9286900000000002E-2</c:v>
              </c:pt>
              <c:pt idx="1228">
                <c:v>4.93269E-2</c:v>
              </c:pt>
              <c:pt idx="1229">
                <c:v>4.9366899999999998E-2</c:v>
              </c:pt>
              <c:pt idx="1230">
                <c:v>4.9406899999999997E-2</c:v>
              </c:pt>
              <c:pt idx="1231">
                <c:v>4.9446900000000002E-2</c:v>
              </c:pt>
              <c:pt idx="1232">
                <c:v>4.94869E-2</c:v>
              </c:pt>
              <c:pt idx="1233">
                <c:v>4.9526899999999999E-2</c:v>
              </c:pt>
              <c:pt idx="1234">
                <c:v>4.9566899999999997E-2</c:v>
              </c:pt>
              <c:pt idx="1235">
                <c:v>4.9606900000000002E-2</c:v>
              </c:pt>
              <c:pt idx="1236">
                <c:v>4.9646900000000001E-2</c:v>
              </c:pt>
              <c:pt idx="1237">
                <c:v>4.9686899999999999E-2</c:v>
              </c:pt>
              <c:pt idx="1238">
                <c:v>4.9726899999999997E-2</c:v>
              </c:pt>
              <c:pt idx="1239">
                <c:v>4.9766900000000003E-2</c:v>
              </c:pt>
              <c:pt idx="1240">
                <c:v>4.9806900000000001E-2</c:v>
              </c:pt>
              <c:pt idx="1241">
                <c:v>4.98469E-2</c:v>
              </c:pt>
              <c:pt idx="1242">
                <c:v>4.9886899999999998E-2</c:v>
              </c:pt>
              <c:pt idx="1243">
                <c:v>4.9926900000000003E-2</c:v>
              </c:pt>
              <c:pt idx="1244">
                <c:v>4.9966900000000002E-2</c:v>
              </c:pt>
              <c:pt idx="1245">
                <c:v>5.00069E-2</c:v>
              </c:pt>
              <c:pt idx="1246">
                <c:v>5.0046899999999998E-2</c:v>
              </c:pt>
              <c:pt idx="1247">
                <c:v>5.0086899999999997E-2</c:v>
              </c:pt>
              <c:pt idx="1248">
                <c:v>5.0126900000000002E-2</c:v>
              </c:pt>
              <c:pt idx="1249">
                <c:v>5.01669E-2</c:v>
              </c:pt>
              <c:pt idx="1250">
                <c:v>5.0206899999999999E-2</c:v>
              </c:pt>
              <c:pt idx="1251">
                <c:v>5.0246899999999997E-2</c:v>
              </c:pt>
              <c:pt idx="1252">
                <c:v>5.0286900000000002E-2</c:v>
              </c:pt>
              <c:pt idx="1253">
                <c:v>5.0326900000000001E-2</c:v>
              </c:pt>
              <c:pt idx="1254">
                <c:v>5.0366899999999999E-2</c:v>
              </c:pt>
              <c:pt idx="1255">
                <c:v>5.0406899999999998E-2</c:v>
              </c:pt>
              <c:pt idx="1256">
                <c:v>5.0446900000000003E-2</c:v>
              </c:pt>
              <c:pt idx="1257">
                <c:v>5.0486900000000001E-2</c:v>
              </c:pt>
              <c:pt idx="1258">
                <c:v>5.05269E-2</c:v>
              </c:pt>
              <c:pt idx="1259">
                <c:v>5.0566899999999998E-2</c:v>
              </c:pt>
              <c:pt idx="1260">
                <c:v>5.0606900000000003E-2</c:v>
              </c:pt>
              <c:pt idx="1261">
                <c:v>5.0646900000000002E-2</c:v>
              </c:pt>
              <c:pt idx="1262">
                <c:v>5.06869E-2</c:v>
              </c:pt>
              <c:pt idx="1263">
                <c:v>5.0726899999999998E-2</c:v>
              </c:pt>
              <c:pt idx="1264">
                <c:v>5.0766899999999997E-2</c:v>
              </c:pt>
              <c:pt idx="1265">
                <c:v>5.0806900000000002E-2</c:v>
              </c:pt>
              <c:pt idx="1266">
                <c:v>5.08469E-2</c:v>
              </c:pt>
              <c:pt idx="1267">
                <c:v>5.0886899999999999E-2</c:v>
              </c:pt>
              <c:pt idx="1268">
                <c:v>5.0926899999999997E-2</c:v>
              </c:pt>
              <c:pt idx="1269">
                <c:v>5.0966900000000002E-2</c:v>
              </c:pt>
              <c:pt idx="1270">
                <c:v>5.1006900000000001E-2</c:v>
              </c:pt>
              <c:pt idx="1271">
                <c:v>5.1046899999999999E-2</c:v>
              </c:pt>
              <c:pt idx="1272">
                <c:v>5.1086899999999998E-2</c:v>
              </c:pt>
              <c:pt idx="1273">
                <c:v>5.1126900000000003E-2</c:v>
              </c:pt>
              <c:pt idx="1274">
                <c:v>5.1166900000000001E-2</c:v>
              </c:pt>
              <c:pt idx="1275">
                <c:v>5.12069E-2</c:v>
              </c:pt>
              <c:pt idx="1276">
                <c:v>5.1246899999999998E-2</c:v>
              </c:pt>
              <c:pt idx="1277">
                <c:v>5.1286900000000003E-2</c:v>
              </c:pt>
              <c:pt idx="1278">
                <c:v>5.1326900000000002E-2</c:v>
              </c:pt>
              <c:pt idx="1279">
                <c:v>5.13669E-2</c:v>
              </c:pt>
              <c:pt idx="1280">
                <c:v>5.1406899999999998E-2</c:v>
              </c:pt>
              <c:pt idx="1281">
                <c:v>5.1446899999999997E-2</c:v>
              </c:pt>
              <c:pt idx="1282">
                <c:v>5.1486900000000002E-2</c:v>
              </c:pt>
              <c:pt idx="1283">
                <c:v>5.15269E-2</c:v>
              </c:pt>
              <c:pt idx="1284">
                <c:v>5.1566899999999999E-2</c:v>
              </c:pt>
              <c:pt idx="1285">
                <c:v>5.1606899999999997E-2</c:v>
              </c:pt>
              <c:pt idx="1286">
                <c:v>5.1646900000000003E-2</c:v>
              </c:pt>
              <c:pt idx="1287">
                <c:v>5.1686900000000001E-2</c:v>
              </c:pt>
              <c:pt idx="1288">
                <c:v>5.1726899999999999E-2</c:v>
              </c:pt>
              <c:pt idx="1289">
                <c:v>5.1766899999999998E-2</c:v>
              </c:pt>
              <c:pt idx="1290">
                <c:v>5.1806900000000003E-2</c:v>
              </c:pt>
              <c:pt idx="1291">
                <c:v>5.1846900000000001E-2</c:v>
              </c:pt>
              <c:pt idx="1292">
                <c:v>5.18869E-2</c:v>
              </c:pt>
              <c:pt idx="1293">
                <c:v>5.1926899999999998E-2</c:v>
              </c:pt>
              <c:pt idx="1294">
                <c:v>5.1966900000000003E-2</c:v>
              </c:pt>
              <c:pt idx="1295">
                <c:v>5.2006900000000002E-2</c:v>
              </c:pt>
              <c:pt idx="1296">
                <c:v>5.20469E-2</c:v>
              </c:pt>
              <c:pt idx="1297">
                <c:v>5.2086899999999998E-2</c:v>
              </c:pt>
              <c:pt idx="1298">
                <c:v>5.2126899999999997E-2</c:v>
              </c:pt>
              <c:pt idx="1299">
                <c:v>5.2166900000000002E-2</c:v>
              </c:pt>
              <c:pt idx="1300">
                <c:v>5.2206900000000001E-2</c:v>
              </c:pt>
              <c:pt idx="1301">
                <c:v>5.2246899999999999E-2</c:v>
              </c:pt>
              <c:pt idx="1302">
                <c:v>5.2286899999999997E-2</c:v>
              </c:pt>
              <c:pt idx="1303">
                <c:v>5.2326900000000003E-2</c:v>
              </c:pt>
              <c:pt idx="1304">
                <c:v>5.2366900000000001E-2</c:v>
              </c:pt>
              <c:pt idx="1305">
                <c:v>5.2406899999999999E-2</c:v>
              </c:pt>
              <c:pt idx="1306">
                <c:v>5.2446899999999998E-2</c:v>
              </c:pt>
              <c:pt idx="1307">
                <c:v>5.2486900000000003E-2</c:v>
              </c:pt>
              <c:pt idx="1308">
                <c:v>5.2526900000000001E-2</c:v>
              </c:pt>
              <c:pt idx="1309">
                <c:v>5.25669E-2</c:v>
              </c:pt>
              <c:pt idx="1310">
                <c:v>5.2606899999999998E-2</c:v>
              </c:pt>
              <c:pt idx="1311">
                <c:v>5.2646900000000003E-2</c:v>
              </c:pt>
              <c:pt idx="1312">
                <c:v>5.2686900000000002E-2</c:v>
              </c:pt>
              <c:pt idx="1313">
                <c:v>5.27269E-2</c:v>
              </c:pt>
              <c:pt idx="1314">
                <c:v>5.2766899999999999E-2</c:v>
              </c:pt>
              <c:pt idx="1315">
                <c:v>5.2806899999999997E-2</c:v>
              </c:pt>
              <c:pt idx="1316">
                <c:v>5.2846900000000002E-2</c:v>
              </c:pt>
              <c:pt idx="1317">
                <c:v>5.2886900000000001E-2</c:v>
              </c:pt>
              <c:pt idx="1318">
                <c:v>5.2926899999999999E-2</c:v>
              </c:pt>
              <c:pt idx="1319">
                <c:v>5.2966899999999997E-2</c:v>
              </c:pt>
              <c:pt idx="1320">
                <c:v>5.3006900000000003E-2</c:v>
              </c:pt>
              <c:pt idx="1321">
                <c:v>5.3046900000000001E-2</c:v>
              </c:pt>
              <c:pt idx="1322">
                <c:v>5.3086899999999999E-2</c:v>
              </c:pt>
              <c:pt idx="1323">
                <c:v>5.3126899999999998E-2</c:v>
              </c:pt>
              <c:pt idx="1324">
                <c:v>5.3166900000000003E-2</c:v>
              </c:pt>
              <c:pt idx="1325">
                <c:v>5.3206900000000001E-2</c:v>
              </c:pt>
              <c:pt idx="1326">
                <c:v>5.32469E-2</c:v>
              </c:pt>
              <c:pt idx="1327">
                <c:v>5.3286899999999998E-2</c:v>
              </c:pt>
              <c:pt idx="1328">
                <c:v>5.3326900000000003E-2</c:v>
              </c:pt>
              <c:pt idx="1329">
                <c:v>5.3366900000000002E-2</c:v>
              </c:pt>
              <c:pt idx="1330">
                <c:v>5.34069E-2</c:v>
              </c:pt>
              <c:pt idx="1331">
                <c:v>5.3446899999999999E-2</c:v>
              </c:pt>
              <c:pt idx="1332">
                <c:v>5.3486899999999997E-2</c:v>
              </c:pt>
              <c:pt idx="1333">
                <c:v>5.3526900000000002E-2</c:v>
              </c:pt>
              <c:pt idx="1334">
                <c:v>5.3566900000000001E-2</c:v>
              </c:pt>
              <c:pt idx="1335">
                <c:v>5.3606899999999999E-2</c:v>
              </c:pt>
              <c:pt idx="1336">
                <c:v>5.3646899999999997E-2</c:v>
              </c:pt>
              <c:pt idx="1337">
                <c:v>5.3686900000000003E-2</c:v>
              </c:pt>
              <c:pt idx="1338">
                <c:v>5.3726900000000001E-2</c:v>
              </c:pt>
              <c:pt idx="1339">
                <c:v>5.3766899999999999E-2</c:v>
              </c:pt>
              <c:pt idx="1340">
                <c:v>5.3806899999999998E-2</c:v>
              </c:pt>
              <c:pt idx="1341">
                <c:v>5.3846900000000003E-2</c:v>
              </c:pt>
              <c:pt idx="1342">
                <c:v>5.3886900000000001E-2</c:v>
              </c:pt>
              <c:pt idx="1343">
                <c:v>5.39269E-2</c:v>
              </c:pt>
              <c:pt idx="1344">
                <c:v>5.3966899999999998E-2</c:v>
              </c:pt>
              <c:pt idx="1345">
                <c:v>5.4006899999999997E-2</c:v>
              </c:pt>
              <c:pt idx="1346">
                <c:v>5.4046900000000002E-2</c:v>
              </c:pt>
              <c:pt idx="1347">
                <c:v>5.40869E-2</c:v>
              </c:pt>
              <c:pt idx="1348">
                <c:v>5.4126899999999999E-2</c:v>
              </c:pt>
              <c:pt idx="1349">
                <c:v>5.4166899999999997E-2</c:v>
              </c:pt>
              <c:pt idx="1350">
                <c:v>5.4206900000000002E-2</c:v>
              </c:pt>
              <c:pt idx="1351">
                <c:v>5.4246900000000001E-2</c:v>
              </c:pt>
              <c:pt idx="1352">
                <c:v>5.4286899999999999E-2</c:v>
              </c:pt>
              <c:pt idx="1353">
                <c:v>5.4326899999999997E-2</c:v>
              </c:pt>
              <c:pt idx="1354">
                <c:v>5.4366900000000003E-2</c:v>
              </c:pt>
              <c:pt idx="1355">
                <c:v>5.4406900000000001E-2</c:v>
              </c:pt>
              <c:pt idx="1356">
                <c:v>5.4446899999999999E-2</c:v>
              </c:pt>
              <c:pt idx="1357">
                <c:v>5.4486899999999998E-2</c:v>
              </c:pt>
              <c:pt idx="1358">
                <c:v>5.4526900000000003E-2</c:v>
              </c:pt>
              <c:pt idx="1359">
                <c:v>5.4566900000000002E-2</c:v>
              </c:pt>
              <c:pt idx="1360">
                <c:v>5.46069E-2</c:v>
              </c:pt>
              <c:pt idx="1361">
                <c:v>5.4646899999999998E-2</c:v>
              </c:pt>
              <c:pt idx="1362">
                <c:v>5.4686899999999997E-2</c:v>
              </c:pt>
              <c:pt idx="1363">
                <c:v>5.4726900000000002E-2</c:v>
              </c:pt>
              <c:pt idx="1364">
                <c:v>5.47669E-2</c:v>
              </c:pt>
              <c:pt idx="1365">
                <c:v>5.4806899999999999E-2</c:v>
              </c:pt>
              <c:pt idx="1366">
                <c:v>5.4846899999999997E-2</c:v>
              </c:pt>
              <c:pt idx="1367">
                <c:v>5.4886900000000002E-2</c:v>
              </c:pt>
              <c:pt idx="1368">
                <c:v>5.4926900000000001E-2</c:v>
              </c:pt>
              <c:pt idx="1369">
                <c:v>5.4966899999999999E-2</c:v>
              </c:pt>
              <c:pt idx="1370">
                <c:v>5.5006899999999997E-2</c:v>
              </c:pt>
              <c:pt idx="1371">
                <c:v>5.5046900000000003E-2</c:v>
              </c:pt>
              <c:pt idx="1372">
                <c:v>5.5086900000000001E-2</c:v>
              </c:pt>
              <c:pt idx="1373">
                <c:v>5.51269E-2</c:v>
              </c:pt>
              <c:pt idx="1374">
                <c:v>5.5166899999999998E-2</c:v>
              </c:pt>
              <c:pt idx="1375">
                <c:v>5.5206900000000003E-2</c:v>
              </c:pt>
              <c:pt idx="1376">
                <c:v>5.5246900000000002E-2</c:v>
              </c:pt>
              <c:pt idx="1377">
                <c:v>5.52869E-2</c:v>
              </c:pt>
              <c:pt idx="1378">
                <c:v>5.5326899999999998E-2</c:v>
              </c:pt>
              <c:pt idx="1379">
                <c:v>5.5366899999999997E-2</c:v>
              </c:pt>
              <c:pt idx="1380">
                <c:v>5.5406900000000002E-2</c:v>
              </c:pt>
              <c:pt idx="1381">
                <c:v>5.54469E-2</c:v>
              </c:pt>
              <c:pt idx="1382">
                <c:v>5.5486899999999999E-2</c:v>
              </c:pt>
              <c:pt idx="1383">
                <c:v>5.5526899999999997E-2</c:v>
              </c:pt>
              <c:pt idx="1384">
                <c:v>5.5566900000000002E-2</c:v>
              </c:pt>
              <c:pt idx="1385">
                <c:v>5.5606900000000001E-2</c:v>
              </c:pt>
              <c:pt idx="1386">
                <c:v>5.5646899999999999E-2</c:v>
              </c:pt>
              <c:pt idx="1387">
                <c:v>5.5686899999999998E-2</c:v>
              </c:pt>
              <c:pt idx="1388">
                <c:v>5.5726900000000003E-2</c:v>
              </c:pt>
              <c:pt idx="1389">
                <c:v>5.5766900000000001E-2</c:v>
              </c:pt>
              <c:pt idx="1390">
                <c:v>5.58069E-2</c:v>
              </c:pt>
              <c:pt idx="1391">
                <c:v>5.5846899999999998E-2</c:v>
              </c:pt>
              <c:pt idx="1392">
                <c:v>5.5886900000000003E-2</c:v>
              </c:pt>
              <c:pt idx="1393">
                <c:v>5.5926900000000002E-2</c:v>
              </c:pt>
              <c:pt idx="1394">
                <c:v>5.59669E-2</c:v>
              </c:pt>
              <c:pt idx="1395">
                <c:v>5.6006899999999998E-2</c:v>
              </c:pt>
              <c:pt idx="1396">
                <c:v>5.6046899999999997E-2</c:v>
              </c:pt>
              <c:pt idx="1397">
                <c:v>5.6086900000000002E-2</c:v>
              </c:pt>
              <c:pt idx="1398">
                <c:v>5.61269E-2</c:v>
              </c:pt>
              <c:pt idx="1399">
                <c:v>5.6166899999999999E-2</c:v>
              </c:pt>
              <c:pt idx="1400">
                <c:v>5.6206899999999997E-2</c:v>
              </c:pt>
              <c:pt idx="1401">
                <c:v>5.6246900000000002E-2</c:v>
              </c:pt>
              <c:pt idx="1402">
                <c:v>5.6286900000000001E-2</c:v>
              </c:pt>
              <c:pt idx="1403">
                <c:v>5.6326899999999999E-2</c:v>
              </c:pt>
              <c:pt idx="1404">
                <c:v>5.6366899999999998E-2</c:v>
              </c:pt>
              <c:pt idx="1405">
                <c:v>5.6406900000000003E-2</c:v>
              </c:pt>
              <c:pt idx="1406">
                <c:v>5.6446900000000001E-2</c:v>
              </c:pt>
              <c:pt idx="1407">
                <c:v>5.64869E-2</c:v>
              </c:pt>
              <c:pt idx="1408">
                <c:v>5.6526899999999998E-2</c:v>
              </c:pt>
              <c:pt idx="1409">
                <c:v>5.6566900000000003E-2</c:v>
              </c:pt>
              <c:pt idx="1410">
                <c:v>5.6606900000000002E-2</c:v>
              </c:pt>
              <c:pt idx="1411">
                <c:v>5.66469E-2</c:v>
              </c:pt>
              <c:pt idx="1412">
                <c:v>5.6686899999999998E-2</c:v>
              </c:pt>
              <c:pt idx="1413">
                <c:v>5.6726899999999997E-2</c:v>
              </c:pt>
              <c:pt idx="1414">
                <c:v>5.6766900000000002E-2</c:v>
              </c:pt>
              <c:pt idx="1415">
                <c:v>5.68069E-2</c:v>
              </c:pt>
              <c:pt idx="1416">
                <c:v>5.6846899999999999E-2</c:v>
              </c:pt>
              <c:pt idx="1417">
                <c:v>5.6886899999999997E-2</c:v>
              </c:pt>
              <c:pt idx="1418">
                <c:v>5.6926900000000002E-2</c:v>
              </c:pt>
              <c:pt idx="1419">
                <c:v>5.6966900000000001E-2</c:v>
              </c:pt>
              <c:pt idx="1420">
                <c:v>5.7006899999999999E-2</c:v>
              </c:pt>
              <c:pt idx="1421">
                <c:v>5.7046899999999998E-2</c:v>
              </c:pt>
              <c:pt idx="1422">
                <c:v>5.7086900000000003E-2</c:v>
              </c:pt>
              <c:pt idx="1423">
                <c:v>5.7126900000000001E-2</c:v>
              </c:pt>
              <c:pt idx="1424">
                <c:v>5.71669E-2</c:v>
              </c:pt>
              <c:pt idx="1425">
                <c:v>5.7206899999999998E-2</c:v>
              </c:pt>
              <c:pt idx="1426">
                <c:v>5.7246900000000003E-2</c:v>
              </c:pt>
              <c:pt idx="1427">
                <c:v>5.7286900000000002E-2</c:v>
              </c:pt>
              <c:pt idx="1428">
                <c:v>5.73269E-2</c:v>
              </c:pt>
              <c:pt idx="1429">
                <c:v>5.7366899999999998E-2</c:v>
              </c:pt>
              <c:pt idx="1430">
                <c:v>5.7406899999999997E-2</c:v>
              </c:pt>
              <c:pt idx="1431">
                <c:v>5.7446900000000002E-2</c:v>
              </c:pt>
              <c:pt idx="1432">
                <c:v>5.74869E-2</c:v>
              </c:pt>
              <c:pt idx="1433">
                <c:v>5.7526899999999999E-2</c:v>
              </c:pt>
              <c:pt idx="1434">
                <c:v>5.7566899999999997E-2</c:v>
              </c:pt>
              <c:pt idx="1435">
                <c:v>5.7606900000000003E-2</c:v>
              </c:pt>
              <c:pt idx="1436">
                <c:v>5.7646900000000001E-2</c:v>
              </c:pt>
              <c:pt idx="1437">
                <c:v>5.7686899999999999E-2</c:v>
              </c:pt>
              <c:pt idx="1438">
                <c:v>5.7726899999999998E-2</c:v>
              </c:pt>
              <c:pt idx="1439">
                <c:v>5.7766900000000003E-2</c:v>
              </c:pt>
              <c:pt idx="1440">
                <c:v>5.7806900000000001E-2</c:v>
              </c:pt>
              <c:pt idx="1441">
                <c:v>5.78469E-2</c:v>
              </c:pt>
              <c:pt idx="1442">
                <c:v>5.7886899999999998E-2</c:v>
              </c:pt>
              <c:pt idx="1443">
                <c:v>5.7926900000000003E-2</c:v>
              </c:pt>
              <c:pt idx="1444">
                <c:v>5.7966900000000002E-2</c:v>
              </c:pt>
              <c:pt idx="1445">
                <c:v>5.80069E-2</c:v>
              </c:pt>
              <c:pt idx="1446">
                <c:v>5.8046899999999998E-2</c:v>
              </c:pt>
              <c:pt idx="1447">
                <c:v>5.8086899999999997E-2</c:v>
              </c:pt>
              <c:pt idx="1448">
                <c:v>5.8126900000000002E-2</c:v>
              </c:pt>
              <c:pt idx="1449">
                <c:v>5.8166900000000001E-2</c:v>
              </c:pt>
              <c:pt idx="1450">
                <c:v>5.8206899999999999E-2</c:v>
              </c:pt>
              <c:pt idx="1451">
                <c:v>5.8246899999999997E-2</c:v>
              </c:pt>
              <c:pt idx="1452">
                <c:v>5.8286900000000003E-2</c:v>
              </c:pt>
              <c:pt idx="1453">
                <c:v>5.8326900000000001E-2</c:v>
              </c:pt>
              <c:pt idx="1454">
                <c:v>5.8366899999999999E-2</c:v>
              </c:pt>
              <c:pt idx="1455">
                <c:v>5.8406899999999998E-2</c:v>
              </c:pt>
              <c:pt idx="1456">
                <c:v>5.8446900000000003E-2</c:v>
              </c:pt>
              <c:pt idx="1457">
                <c:v>5.8486900000000001E-2</c:v>
              </c:pt>
              <c:pt idx="1458">
                <c:v>5.85269E-2</c:v>
              </c:pt>
              <c:pt idx="1459">
                <c:v>5.8566899999999998E-2</c:v>
              </c:pt>
              <c:pt idx="1460">
                <c:v>5.8606900000000003E-2</c:v>
              </c:pt>
              <c:pt idx="1461">
                <c:v>5.8646900000000002E-2</c:v>
              </c:pt>
              <c:pt idx="1462">
                <c:v>5.86869E-2</c:v>
              </c:pt>
              <c:pt idx="1463">
                <c:v>5.8726899999999999E-2</c:v>
              </c:pt>
              <c:pt idx="1464">
                <c:v>5.8766899999999997E-2</c:v>
              </c:pt>
              <c:pt idx="1465">
                <c:v>5.8806900000000002E-2</c:v>
              </c:pt>
              <c:pt idx="1466">
                <c:v>5.8846900000000001E-2</c:v>
              </c:pt>
              <c:pt idx="1467">
                <c:v>5.8886899999999999E-2</c:v>
              </c:pt>
              <c:pt idx="1468">
                <c:v>5.8926899999999997E-2</c:v>
              </c:pt>
              <c:pt idx="1469">
                <c:v>5.8966900000000003E-2</c:v>
              </c:pt>
              <c:pt idx="1470">
                <c:v>5.9006900000000001E-2</c:v>
              </c:pt>
              <c:pt idx="1471">
                <c:v>5.9046899999999999E-2</c:v>
              </c:pt>
              <c:pt idx="1472">
                <c:v>5.9086899999999998E-2</c:v>
              </c:pt>
              <c:pt idx="1473">
                <c:v>5.9126900000000003E-2</c:v>
              </c:pt>
              <c:pt idx="1474">
                <c:v>5.9166900000000001E-2</c:v>
              </c:pt>
              <c:pt idx="1475">
                <c:v>5.92069E-2</c:v>
              </c:pt>
              <c:pt idx="1476">
                <c:v>5.9246899999999998E-2</c:v>
              </c:pt>
              <c:pt idx="1477">
                <c:v>5.9286899999999997E-2</c:v>
              </c:pt>
              <c:pt idx="1478">
                <c:v>5.9326900000000002E-2</c:v>
              </c:pt>
              <c:pt idx="1479">
                <c:v>5.93669E-2</c:v>
              </c:pt>
              <c:pt idx="1480">
                <c:v>5.9406899999999999E-2</c:v>
              </c:pt>
              <c:pt idx="1481">
                <c:v>5.9446899999999997E-2</c:v>
              </c:pt>
              <c:pt idx="1482">
                <c:v>5.9486900000000002E-2</c:v>
              </c:pt>
              <c:pt idx="1483">
                <c:v>5.9526900000000001E-2</c:v>
              </c:pt>
              <c:pt idx="1484">
                <c:v>5.9566899999999999E-2</c:v>
              </c:pt>
              <c:pt idx="1485">
                <c:v>5.9606899999999997E-2</c:v>
              </c:pt>
              <c:pt idx="1486">
                <c:v>5.9646900000000003E-2</c:v>
              </c:pt>
              <c:pt idx="1487">
                <c:v>5.9686900000000001E-2</c:v>
              </c:pt>
              <c:pt idx="1488">
                <c:v>5.9726899999999999E-2</c:v>
              </c:pt>
              <c:pt idx="1489">
                <c:v>5.9766899999999998E-2</c:v>
              </c:pt>
              <c:pt idx="1490">
                <c:v>5.9806900000000003E-2</c:v>
              </c:pt>
              <c:pt idx="1491">
                <c:v>5.9846900000000001E-2</c:v>
              </c:pt>
              <c:pt idx="1492">
                <c:v>5.98869E-2</c:v>
              </c:pt>
              <c:pt idx="1493">
                <c:v>5.9926899999999998E-2</c:v>
              </c:pt>
              <c:pt idx="1494">
                <c:v>5.9966899999999997E-2</c:v>
              </c:pt>
              <c:pt idx="1495">
                <c:v>6.0006900000000002E-2</c:v>
              </c:pt>
              <c:pt idx="1496">
                <c:v>6.00469E-2</c:v>
              </c:pt>
              <c:pt idx="1497">
                <c:v>6.0086899999999999E-2</c:v>
              </c:pt>
              <c:pt idx="1498">
                <c:v>6.0126899999999997E-2</c:v>
              </c:pt>
              <c:pt idx="1499">
                <c:v>6.0166900000000002E-2</c:v>
              </c:pt>
              <c:pt idx="1500">
                <c:v>6.0206900000000001E-2</c:v>
              </c:pt>
              <c:pt idx="1501">
                <c:v>6.0246899999999999E-2</c:v>
              </c:pt>
              <c:pt idx="1502">
                <c:v>6.0286899999999997E-2</c:v>
              </c:pt>
              <c:pt idx="1503">
                <c:v>6.0326900000000003E-2</c:v>
              </c:pt>
              <c:pt idx="1504">
                <c:v>6.0366900000000001E-2</c:v>
              </c:pt>
              <c:pt idx="1505">
                <c:v>6.0406899999999999E-2</c:v>
              </c:pt>
              <c:pt idx="1506">
                <c:v>6.0446899999999998E-2</c:v>
              </c:pt>
              <c:pt idx="1507">
                <c:v>6.0486900000000003E-2</c:v>
              </c:pt>
              <c:pt idx="1508">
                <c:v>6.0526900000000002E-2</c:v>
              </c:pt>
              <c:pt idx="1509">
                <c:v>6.05669E-2</c:v>
              </c:pt>
              <c:pt idx="1510">
                <c:v>6.0606899999999998E-2</c:v>
              </c:pt>
              <c:pt idx="1511">
                <c:v>6.0646899999999997E-2</c:v>
              </c:pt>
              <c:pt idx="1512">
                <c:v>6.0686900000000002E-2</c:v>
              </c:pt>
              <c:pt idx="1513">
                <c:v>6.07269E-2</c:v>
              </c:pt>
              <c:pt idx="1514">
                <c:v>6.0766899999999999E-2</c:v>
              </c:pt>
              <c:pt idx="1515">
                <c:v>6.0806899999999997E-2</c:v>
              </c:pt>
              <c:pt idx="1516">
                <c:v>6.0846900000000002E-2</c:v>
              </c:pt>
              <c:pt idx="1517">
                <c:v>6.0886900000000001E-2</c:v>
              </c:pt>
              <c:pt idx="1518">
                <c:v>6.0926899999999999E-2</c:v>
              </c:pt>
              <c:pt idx="1519">
                <c:v>6.0966899999999997E-2</c:v>
              </c:pt>
              <c:pt idx="1520">
                <c:v>6.1006900000000003E-2</c:v>
              </c:pt>
              <c:pt idx="1521">
                <c:v>6.1046900000000001E-2</c:v>
              </c:pt>
              <c:pt idx="1522">
                <c:v>6.10869E-2</c:v>
              </c:pt>
              <c:pt idx="1523">
                <c:v>6.1126899999999998E-2</c:v>
              </c:pt>
              <c:pt idx="1524">
                <c:v>6.1166900000000003E-2</c:v>
              </c:pt>
              <c:pt idx="1525">
                <c:v>6.1206900000000002E-2</c:v>
              </c:pt>
              <c:pt idx="1526">
                <c:v>6.12469E-2</c:v>
              </c:pt>
              <c:pt idx="1527">
                <c:v>6.1286899999999998E-2</c:v>
              </c:pt>
              <c:pt idx="1528">
                <c:v>6.1326899999999997E-2</c:v>
              </c:pt>
              <c:pt idx="1529">
                <c:v>6.1366900000000002E-2</c:v>
              </c:pt>
              <c:pt idx="1530">
                <c:v>6.14069E-2</c:v>
              </c:pt>
              <c:pt idx="1531">
                <c:v>6.1446899999999999E-2</c:v>
              </c:pt>
              <c:pt idx="1532">
                <c:v>6.1486899999999997E-2</c:v>
              </c:pt>
              <c:pt idx="1533">
                <c:v>6.1526900000000002E-2</c:v>
              </c:pt>
              <c:pt idx="1534">
                <c:v>6.1566900000000001E-2</c:v>
              </c:pt>
              <c:pt idx="1535">
                <c:v>6.1606899999999999E-2</c:v>
              </c:pt>
              <c:pt idx="1536">
                <c:v>6.1646899999999998E-2</c:v>
              </c:pt>
              <c:pt idx="1537">
                <c:v>6.1686900000000003E-2</c:v>
              </c:pt>
              <c:pt idx="1538">
                <c:v>6.1726900000000001E-2</c:v>
              </c:pt>
              <c:pt idx="1539">
                <c:v>6.17669E-2</c:v>
              </c:pt>
              <c:pt idx="1540">
                <c:v>6.1806899999999998E-2</c:v>
              </c:pt>
              <c:pt idx="1541">
                <c:v>6.1846900000000003E-2</c:v>
              </c:pt>
              <c:pt idx="1542">
                <c:v>6.1886900000000002E-2</c:v>
              </c:pt>
              <c:pt idx="1543">
                <c:v>6.19269E-2</c:v>
              </c:pt>
              <c:pt idx="1544">
                <c:v>6.1966899999999998E-2</c:v>
              </c:pt>
              <c:pt idx="1545">
                <c:v>6.2006899999999997E-2</c:v>
              </c:pt>
              <c:pt idx="1546">
                <c:v>6.2046900000000002E-2</c:v>
              </c:pt>
              <c:pt idx="1547">
                <c:v>6.20869E-2</c:v>
              </c:pt>
              <c:pt idx="1548">
                <c:v>6.2126899999999999E-2</c:v>
              </c:pt>
              <c:pt idx="1549">
                <c:v>6.2166899999999997E-2</c:v>
              </c:pt>
              <c:pt idx="1550">
                <c:v>6.2206900000000002E-2</c:v>
              </c:pt>
              <c:pt idx="1551">
                <c:v>6.2246900000000001E-2</c:v>
              </c:pt>
              <c:pt idx="1552">
                <c:v>6.2286899999999999E-2</c:v>
              </c:pt>
              <c:pt idx="1553">
                <c:v>6.2326899999999998E-2</c:v>
              </c:pt>
              <c:pt idx="1554">
                <c:v>6.2366900000000003E-2</c:v>
              </c:pt>
              <c:pt idx="1555">
                <c:v>6.2406900000000001E-2</c:v>
              </c:pt>
              <c:pt idx="1556">
                <c:v>6.24469E-2</c:v>
              </c:pt>
              <c:pt idx="1557">
                <c:v>6.2486899999999998E-2</c:v>
              </c:pt>
              <c:pt idx="1558">
                <c:v>6.2526899999999996E-2</c:v>
              </c:pt>
              <c:pt idx="1559">
                <c:v>6.2566899999999995E-2</c:v>
              </c:pt>
              <c:pt idx="1560">
                <c:v>6.2606899999999993E-2</c:v>
              </c:pt>
              <c:pt idx="1561">
                <c:v>6.2646900000000005E-2</c:v>
              </c:pt>
              <c:pt idx="1562">
                <c:v>6.2686900000000004E-2</c:v>
              </c:pt>
              <c:pt idx="1563">
                <c:v>6.2726900000000002E-2</c:v>
              </c:pt>
              <c:pt idx="1564">
                <c:v>6.27669E-2</c:v>
              </c:pt>
              <c:pt idx="1565">
                <c:v>6.2806899999999999E-2</c:v>
              </c:pt>
              <c:pt idx="1566">
                <c:v>6.2846899999999997E-2</c:v>
              </c:pt>
              <c:pt idx="1567">
                <c:v>6.2886899999999996E-2</c:v>
              </c:pt>
              <c:pt idx="1568">
                <c:v>6.2926899999999994E-2</c:v>
              </c:pt>
              <c:pt idx="1569">
                <c:v>6.2966900000000006E-2</c:v>
              </c:pt>
              <c:pt idx="1570">
                <c:v>6.3006900000000005E-2</c:v>
              </c:pt>
              <c:pt idx="1571">
                <c:v>6.3046900000000003E-2</c:v>
              </c:pt>
              <c:pt idx="1572">
                <c:v>6.3086900000000001E-2</c:v>
              </c:pt>
              <c:pt idx="1573">
                <c:v>6.31269E-2</c:v>
              </c:pt>
              <c:pt idx="1574">
                <c:v>6.3166899999999998E-2</c:v>
              </c:pt>
              <c:pt idx="1575">
                <c:v>6.3206899999999996E-2</c:v>
              </c:pt>
              <c:pt idx="1576">
                <c:v>6.3246899999999995E-2</c:v>
              </c:pt>
              <c:pt idx="1577">
                <c:v>6.3286899999999993E-2</c:v>
              </c:pt>
              <c:pt idx="1578">
                <c:v>6.3326900000000005E-2</c:v>
              </c:pt>
              <c:pt idx="1579">
                <c:v>6.3366900000000004E-2</c:v>
              </c:pt>
              <c:pt idx="1580">
                <c:v>6.3406900000000002E-2</c:v>
              </c:pt>
              <c:pt idx="1581">
                <c:v>6.3446900000000001E-2</c:v>
              </c:pt>
              <c:pt idx="1582">
                <c:v>6.3486899999999999E-2</c:v>
              </c:pt>
              <c:pt idx="1583">
                <c:v>6.3526899999999997E-2</c:v>
              </c:pt>
              <c:pt idx="1584">
                <c:v>6.3566899999999996E-2</c:v>
              </c:pt>
              <c:pt idx="1585">
                <c:v>6.3606899999999994E-2</c:v>
              </c:pt>
              <c:pt idx="1586">
                <c:v>6.3646900000000006E-2</c:v>
              </c:pt>
              <c:pt idx="1587">
                <c:v>6.3686900000000005E-2</c:v>
              </c:pt>
              <c:pt idx="1588">
                <c:v>6.3726900000000003E-2</c:v>
              </c:pt>
              <c:pt idx="1589">
                <c:v>6.3766900000000001E-2</c:v>
              </c:pt>
              <c:pt idx="1590">
                <c:v>6.38069E-2</c:v>
              </c:pt>
              <c:pt idx="1591">
                <c:v>6.3846899999999998E-2</c:v>
              </c:pt>
              <c:pt idx="1592">
                <c:v>6.3886899999999996E-2</c:v>
              </c:pt>
              <c:pt idx="1593">
                <c:v>6.3926899999999995E-2</c:v>
              </c:pt>
              <c:pt idx="1594">
                <c:v>6.3966899999999993E-2</c:v>
              </c:pt>
              <c:pt idx="1595">
                <c:v>6.4006900000000005E-2</c:v>
              </c:pt>
              <c:pt idx="1596">
                <c:v>6.4046900000000004E-2</c:v>
              </c:pt>
              <c:pt idx="1597">
                <c:v>6.4086900000000002E-2</c:v>
              </c:pt>
              <c:pt idx="1598">
                <c:v>6.4126900000000001E-2</c:v>
              </c:pt>
              <c:pt idx="1599">
                <c:v>6.4166899999999999E-2</c:v>
              </c:pt>
              <c:pt idx="1600">
                <c:v>6.4206899999999997E-2</c:v>
              </c:pt>
              <c:pt idx="1601">
                <c:v>6.4246899999999996E-2</c:v>
              </c:pt>
              <c:pt idx="1602">
                <c:v>6.4286899999999994E-2</c:v>
              </c:pt>
              <c:pt idx="1603">
                <c:v>6.4326900000000006E-2</c:v>
              </c:pt>
              <c:pt idx="1604">
                <c:v>6.4366900000000005E-2</c:v>
              </c:pt>
              <c:pt idx="1605">
                <c:v>6.4406900000000003E-2</c:v>
              </c:pt>
              <c:pt idx="1606">
                <c:v>6.4446900000000001E-2</c:v>
              </c:pt>
              <c:pt idx="1607">
                <c:v>6.44869E-2</c:v>
              </c:pt>
              <c:pt idx="1608">
                <c:v>6.4526899999999998E-2</c:v>
              </c:pt>
              <c:pt idx="1609">
                <c:v>6.4566899999999997E-2</c:v>
              </c:pt>
              <c:pt idx="1610">
                <c:v>6.4606899999999995E-2</c:v>
              </c:pt>
              <c:pt idx="1611">
                <c:v>6.4646899999999993E-2</c:v>
              </c:pt>
              <c:pt idx="1612">
                <c:v>6.4686900000000006E-2</c:v>
              </c:pt>
              <c:pt idx="1613">
                <c:v>6.4726900000000004E-2</c:v>
              </c:pt>
              <c:pt idx="1614">
                <c:v>6.4766900000000002E-2</c:v>
              </c:pt>
              <c:pt idx="1615">
                <c:v>6.4806900000000001E-2</c:v>
              </c:pt>
              <c:pt idx="1616">
                <c:v>6.4846899999999999E-2</c:v>
              </c:pt>
              <c:pt idx="1617">
                <c:v>6.4886899999999997E-2</c:v>
              </c:pt>
              <c:pt idx="1618">
                <c:v>6.4926899999999996E-2</c:v>
              </c:pt>
              <c:pt idx="1619">
                <c:v>6.4966899999999994E-2</c:v>
              </c:pt>
              <c:pt idx="1620">
                <c:v>6.5006900000000006E-2</c:v>
              </c:pt>
              <c:pt idx="1621">
                <c:v>6.5046900000000005E-2</c:v>
              </c:pt>
              <c:pt idx="1622">
                <c:v>6.5086900000000003E-2</c:v>
              </c:pt>
              <c:pt idx="1623">
                <c:v>6.5126900000000001E-2</c:v>
              </c:pt>
              <c:pt idx="1624">
                <c:v>6.51669E-2</c:v>
              </c:pt>
              <c:pt idx="1625">
                <c:v>6.5206899999999998E-2</c:v>
              </c:pt>
              <c:pt idx="1626">
                <c:v>6.5246899999999997E-2</c:v>
              </c:pt>
              <c:pt idx="1627">
                <c:v>6.5286899999999995E-2</c:v>
              </c:pt>
              <c:pt idx="1628">
                <c:v>6.5326899999999993E-2</c:v>
              </c:pt>
              <c:pt idx="1629">
                <c:v>6.5366900000000006E-2</c:v>
              </c:pt>
              <c:pt idx="1630">
                <c:v>6.5406900000000004E-2</c:v>
              </c:pt>
              <c:pt idx="1631">
                <c:v>6.5446900000000002E-2</c:v>
              </c:pt>
              <c:pt idx="1632">
                <c:v>6.5486900000000001E-2</c:v>
              </c:pt>
              <c:pt idx="1633">
                <c:v>6.5526899999999999E-2</c:v>
              </c:pt>
              <c:pt idx="1634">
                <c:v>6.5566899999999997E-2</c:v>
              </c:pt>
              <c:pt idx="1635">
                <c:v>6.5606899999999996E-2</c:v>
              </c:pt>
              <c:pt idx="1636">
                <c:v>6.5646899999999994E-2</c:v>
              </c:pt>
              <c:pt idx="1637">
                <c:v>6.5686900000000006E-2</c:v>
              </c:pt>
              <c:pt idx="1638">
                <c:v>6.5726900000000005E-2</c:v>
              </c:pt>
              <c:pt idx="1639">
                <c:v>6.5766900000000003E-2</c:v>
              </c:pt>
              <c:pt idx="1640">
                <c:v>6.5806900000000002E-2</c:v>
              </c:pt>
              <c:pt idx="1641">
                <c:v>6.58469E-2</c:v>
              </c:pt>
              <c:pt idx="1642">
                <c:v>6.5886899999999998E-2</c:v>
              </c:pt>
              <c:pt idx="1643">
                <c:v>6.5926899999999997E-2</c:v>
              </c:pt>
              <c:pt idx="1644">
                <c:v>6.5966899999999995E-2</c:v>
              </c:pt>
              <c:pt idx="1645">
                <c:v>6.6006899999999993E-2</c:v>
              </c:pt>
              <c:pt idx="1646">
                <c:v>6.6046900000000006E-2</c:v>
              </c:pt>
              <c:pt idx="1647">
                <c:v>6.6086900000000004E-2</c:v>
              </c:pt>
              <c:pt idx="1648">
                <c:v>6.6126900000000002E-2</c:v>
              </c:pt>
              <c:pt idx="1649">
                <c:v>6.6166900000000001E-2</c:v>
              </c:pt>
              <c:pt idx="1650">
                <c:v>6.6206899999999999E-2</c:v>
              </c:pt>
              <c:pt idx="1651">
                <c:v>6.6246899999999997E-2</c:v>
              </c:pt>
              <c:pt idx="1652">
                <c:v>6.6286899999999996E-2</c:v>
              </c:pt>
              <c:pt idx="1653">
                <c:v>6.6326899999999994E-2</c:v>
              </c:pt>
              <c:pt idx="1654">
                <c:v>6.6366900000000006E-2</c:v>
              </c:pt>
              <c:pt idx="1655">
                <c:v>6.6406900000000005E-2</c:v>
              </c:pt>
              <c:pt idx="1656">
                <c:v>6.6446900000000003E-2</c:v>
              </c:pt>
              <c:pt idx="1657">
                <c:v>6.6486900000000002E-2</c:v>
              </c:pt>
              <c:pt idx="1658">
                <c:v>6.65269E-2</c:v>
              </c:pt>
              <c:pt idx="1659">
                <c:v>6.6566899999999998E-2</c:v>
              </c:pt>
              <c:pt idx="1660">
                <c:v>6.6606899999999997E-2</c:v>
              </c:pt>
              <c:pt idx="1661">
                <c:v>6.6646899999999995E-2</c:v>
              </c:pt>
              <c:pt idx="1662">
                <c:v>6.6686899999999993E-2</c:v>
              </c:pt>
              <c:pt idx="1663">
                <c:v>6.6726900000000006E-2</c:v>
              </c:pt>
              <c:pt idx="1664">
                <c:v>6.6766900000000004E-2</c:v>
              </c:pt>
              <c:pt idx="1665">
                <c:v>6.6806900000000002E-2</c:v>
              </c:pt>
              <c:pt idx="1666">
                <c:v>6.6846900000000001E-2</c:v>
              </c:pt>
              <c:pt idx="1667">
                <c:v>6.6886899999999999E-2</c:v>
              </c:pt>
              <c:pt idx="1668">
                <c:v>6.6926899999999998E-2</c:v>
              </c:pt>
              <c:pt idx="1669">
                <c:v>6.6966899999999996E-2</c:v>
              </c:pt>
              <c:pt idx="1670">
                <c:v>6.7006899999999994E-2</c:v>
              </c:pt>
              <c:pt idx="1671">
                <c:v>6.7046900000000006E-2</c:v>
              </c:pt>
              <c:pt idx="1672">
                <c:v>6.7086900000000005E-2</c:v>
              </c:pt>
              <c:pt idx="1673">
                <c:v>6.7126900000000003E-2</c:v>
              </c:pt>
              <c:pt idx="1674">
                <c:v>6.7166900000000002E-2</c:v>
              </c:pt>
              <c:pt idx="1675">
                <c:v>6.72069E-2</c:v>
              </c:pt>
              <c:pt idx="1676">
                <c:v>6.7246899999999998E-2</c:v>
              </c:pt>
              <c:pt idx="1677">
                <c:v>6.7286899999999997E-2</c:v>
              </c:pt>
              <c:pt idx="1678">
                <c:v>6.7326899999999995E-2</c:v>
              </c:pt>
              <c:pt idx="1679">
                <c:v>6.7366899999999993E-2</c:v>
              </c:pt>
              <c:pt idx="1680">
                <c:v>6.7406900000000006E-2</c:v>
              </c:pt>
              <c:pt idx="1681">
                <c:v>6.7446900000000004E-2</c:v>
              </c:pt>
              <c:pt idx="1682">
                <c:v>6.7486900000000002E-2</c:v>
              </c:pt>
              <c:pt idx="1683">
                <c:v>6.7526900000000001E-2</c:v>
              </c:pt>
              <c:pt idx="1684">
                <c:v>6.7566899999999999E-2</c:v>
              </c:pt>
              <c:pt idx="1685">
                <c:v>6.7606899999999998E-2</c:v>
              </c:pt>
              <c:pt idx="1686">
                <c:v>6.7646899999999996E-2</c:v>
              </c:pt>
              <c:pt idx="1687">
                <c:v>6.7686899999999994E-2</c:v>
              </c:pt>
              <c:pt idx="1688">
                <c:v>6.7726900000000007E-2</c:v>
              </c:pt>
              <c:pt idx="1689">
                <c:v>6.7766900000000005E-2</c:v>
              </c:pt>
              <c:pt idx="1690">
                <c:v>6.7806900000000003E-2</c:v>
              </c:pt>
              <c:pt idx="1691">
                <c:v>6.7846900000000002E-2</c:v>
              </c:pt>
              <c:pt idx="1692">
                <c:v>6.78869E-2</c:v>
              </c:pt>
              <c:pt idx="1693">
                <c:v>6.7926899999999998E-2</c:v>
              </c:pt>
              <c:pt idx="1694">
                <c:v>6.7966899999999997E-2</c:v>
              </c:pt>
              <c:pt idx="1695">
                <c:v>6.8006899999999995E-2</c:v>
              </c:pt>
              <c:pt idx="1696">
                <c:v>6.8046899999999994E-2</c:v>
              </c:pt>
              <c:pt idx="1697">
                <c:v>6.8086900000000006E-2</c:v>
              </c:pt>
              <c:pt idx="1698">
                <c:v>6.8126900000000004E-2</c:v>
              </c:pt>
              <c:pt idx="1699">
                <c:v>6.8166900000000002E-2</c:v>
              </c:pt>
              <c:pt idx="1700">
                <c:v>6.8206900000000001E-2</c:v>
              </c:pt>
              <c:pt idx="1701">
                <c:v>6.8246899999999999E-2</c:v>
              </c:pt>
              <c:pt idx="1702">
                <c:v>6.8286899999999998E-2</c:v>
              </c:pt>
              <c:pt idx="1703">
                <c:v>6.8326899999999996E-2</c:v>
              </c:pt>
              <c:pt idx="1704">
                <c:v>6.8366899999999994E-2</c:v>
              </c:pt>
              <c:pt idx="1705">
                <c:v>6.8406900000000007E-2</c:v>
              </c:pt>
              <c:pt idx="1706">
                <c:v>6.8446900000000005E-2</c:v>
              </c:pt>
              <c:pt idx="1707">
                <c:v>6.8486900000000003E-2</c:v>
              </c:pt>
              <c:pt idx="1708">
                <c:v>6.8526900000000002E-2</c:v>
              </c:pt>
              <c:pt idx="1709">
                <c:v>6.85669E-2</c:v>
              </c:pt>
              <c:pt idx="1710">
                <c:v>6.8606899999999998E-2</c:v>
              </c:pt>
              <c:pt idx="1711">
                <c:v>6.8646899999999997E-2</c:v>
              </c:pt>
              <c:pt idx="1712">
                <c:v>6.8686899999999995E-2</c:v>
              </c:pt>
              <c:pt idx="1713">
                <c:v>6.8726899999999994E-2</c:v>
              </c:pt>
              <c:pt idx="1714">
                <c:v>6.8766900000000006E-2</c:v>
              </c:pt>
              <c:pt idx="1715">
                <c:v>6.8806900000000004E-2</c:v>
              </c:pt>
              <c:pt idx="1716">
                <c:v>6.8846900000000003E-2</c:v>
              </c:pt>
              <c:pt idx="1717">
                <c:v>6.8886900000000001E-2</c:v>
              </c:pt>
              <c:pt idx="1718">
                <c:v>6.8926899999999999E-2</c:v>
              </c:pt>
              <c:pt idx="1719">
                <c:v>6.8966899999999998E-2</c:v>
              </c:pt>
              <c:pt idx="1720">
                <c:v>6.9006899999999996E-2</c:v>
              </c:pt>
              <c:pt idx="1721">
                <c:v>6.9046899999999994E-2</c:v>
              </c:pt>
              <c:pt idx="1722">
                <c:v>6.9086900000000007E-2</c:v>
              </c:pt>
              <c:pt idx="1723">
                <c:v>6.9126900000000005E-2</c:v>
              </c:pt>
              <c:pt idx="1724">
                <c:v>6.9166900000000003E-2</c:v>
              </c:pt>
              <c:pt idx="1725">
                <c:v>6.9206900000000002E-2</c:v>
              </c:pt>
              <c:pt idx="1726">
                <c:v>6.92469E-2</c:v>
              </c:pt>
              <c:pt idx="1727">
                <c:v>6.9286899999999998E-2</c:v>
              </c:pt>
              <c:pt idx="1728">
                <c:v>6.9326899999999997E-2</c:v>
              </c:pt>
              <c:pt idx="1729">
                <c:v>6.9366899999999995E-2</c:v>
              </c:pt>
              <c:pt idx="1730">
                <c:v>6.9406899999999994E-2</c:v>
              </c:pt>
              <c:pt idx="1731">
                <c:v>6.9446900000000006E-2</c:v>
              </c:pt>
              <c:pt idx="1732">
                <c:v>6.9486900000000004E-2</c:v>
              </c:pt>
              <c:pt idx="1733">
                <c:v>6.9526900000000003E-2</c:v>
              </c:pt>
              <c:pt idx="1734">
                <c:v>6.9566900000000001E-2</c:v>
              </c:pt>
              <c:pt idx="1735">
                <c:v>6.9606899999999999E-2</c:v>
              </c:pt>
              <c:pt idx="1736">
                <c:v>6.9646899999999998E-2</c:v>
              </c:pt>
              <c:pt idx="1737">
                <c:v>6.9686899999999996E-2</c:v>
              </c:pt>
              <c:pt idx="1738">
                <c:v>6.9726899999999994E-2</c:v>
              </c:pt>
              <c:pt idx="1739">
                <c:v>6.9766900000000007E-2</c:v>
              </c:pt>
              <c:pt idx="1740">
                <c:v>6.9806900000000005E-2</c:v>
              </c:pt>
              <c:pt idx="1741">
                <c:v>6.9846900000000003E-2</c:v>
              </c:pt>
              <c:pt idx="1742">
                <c:v>6.9886900000000002E-2</c:v>
              </c:pt>
              <c:pt idx="1743">
                <c:v>6.99269E-2</c:v>
              </c:pt>
              <c:pt idx="1744">
                <c:v>6.9966899999999999E-2</c:v>
              </c:pt>
              <c:pt idx="1745">
                <c:v>7.0006899999999997E-2</c:v>
              </c:pt>
              <c:pt idx="1746">
                <c:v>7.0046899999999995E-2</c:v>
              </c:pt>
              <c:pt idx="1747">
                <c:v>7.0086899999999994E-2</c:v>
              </c:pt>
              <c:pt idx="1748">
                <c:v>7.0126900000000006E-2</c:v>
              </c:pt>
              <c:pt idx="1749">
                <c:v>7.0166900000000004E-2</c:v>
              </c:pt>
              <c:pt idx="1750">
                <c:v>7.0206900000000003E-2</c:v>
              </c:pt>
              <c:pt idx="1751">
                <c:v>7.0246900000000001E-2</c:v>
              </c:pt>
              <c:pt idx="1752">
                <c:v>7.0286899999999999E-2</c:v>
              </c:pt>
              <c:pt idx="1753">
                <c:v>7.0326899999999998E-2</c:v>
              </c:pt>
              <c:pt idx="1754">
                <c:v>7.0366899999999996E-2</c:v>
              </c:pt>
              <c:pt idx="1755">
                <c:v>7.0406899999999994E-2</c:v>
              </c:pt>
              <c:pt idx="1756">
                <c:v>7.0446900000000007E-2</c:v>
              </c:pt>
              <c:pt idx="1757">
                <c:v>7.0486900000000005E-2</c:v>
              </c:pt>
              <c:pt idx="1758">
                <c:v>7.0526900000000003E-2</c:v>
              </c:pt>
              <c:pt idx="1759">
                <c:v>7.0566900000000002E-2</c:v>
              </c:pt>
              <c:pt idx="1760">
                <c:v>7.06069E-2</c:v>
              </c:pt>
              <c:pt idx="1761">
                <c:v>7.0646899999999999E-2</c:v>
              </c:pt>
              <c:pt idx="1762">
                <c:v>7.0686899999999997E-2</c:v>
              </c:pt>
              <c:pt idx="1763">
                <c:v>7.0726899999999995E-2</c:v>
              </c:pt>
              <c:pt idx="1764">
                <c:v>7.0766899999999994E-2</c:v>
              </c:pt>
              <c:pt idx="1765">
                <c:v>7.0806900000000006E-2</c:v>
              </c:pt>
              <c:pt idx="1766">
                <c:v>7.0846900000000004E-2</c:v>
              </c:pt>
              <c:pt idx="1767">
                <c:v>7.0886900000000003E-2</c:v>
              </c:pt>
              <c:pt idx="1768">
                <c:v>7.0926900000000001E-2</c:v>
              </c:pt>
              <c:pt idx="1769">
                <c:v>7.0966899999999999E-2</c:v>
              </c:pt>
              <c:pt idx="1770">
                <c:v>7.1006899999999998E-2</c:v>
              </c:pt>
              <c:pt idx="1771">
                <c:v>7.1046899999999996E-2</c:v>
              </c:pt>
              <c:pt idx="1772">
                <c:v>7.1086899999999995E-2</c:v>
              </c:pt>
              <c:pt idx="1773">
                <c:v>7.1126900000000007E-2</c:v>
              </c:pt>
              <c:pt idx="1774">
                <c:v>7.1166900000000005E-2</c:v>
              </c:pt>
              <c:pt idx="1775">
                <c:v>7.1206900000000004E-2</c:v>
              </c:pt>
              <c:pt idx="1776">
                <c:v>7.1246900000000002E-2</c:v>
              </c:pt>
              <c:pt idx="1777">
                <c:v>7.12869E-2</c:v>
              </c:pt>
              <c:pt idx="1778">
                <c:v>7.1326899999999999E-2</c:v>
              </c:pt>
              <c:pt idx="1779">
                <c:v>7.1366899999999997E-2</c:v>
              </c:pt>
              <c:pt idx="1780">
                <c:v>7.1406899999999995E-2</c:v>
              </c:pt>
              <c:pt idx="1781">
                <c:v>7.1446899999999994E-2</c:v>
              </c:pt>
              <c:pt idx="1782">
                <c:v>7.1486900000000006E-2</c:v>
              </c:pt>
              <c:pt idx="1783">
                <c:v>7.1526900000000004E-2</c:v>
              </c:pt>
              <c:pt idx="1784">
                <c:v>7.1566900000000003E-2</c:v>
              </c:pt>
              <c:pt idx="1785">
                <c:v>7.1606900000000001E-2</c:v>
              </c:pt>
              <c:pt idx="1786">
                <c:v>7.1646899999999999E-2</c:v>
              </c:pt>
              <c:pt idx="1787">
                <c:v>7.1686899999999998E-2</c:v>
              </c:pt>
              <c:pt idx="1788">
                <c:v>7.1726899999999996E-2</c:v>
              </c:pt>
              <c:pt idx="1789">
                <c:v>7.1766899999999995E-2</c:v>
              </c:pt>
              <c:pt idx="1790">
                <c:v>7.1806900000000007E-2</c:v>
              </c:pt>
              <c:pt idx="1791">
                <c:v>7.1846900000000005E-2</c:v>
              </c:pt>
              <c:pt idx="1792">
                <c:v>7.1886900000000004E-2</c:v>
              </c:pt>
              <c:pt idx="1793">
                <c:v>7.1926900000000002E-2</c:v>
              </c:pt>
              <c:pt idx="1794">
                <c:v>7.19669E-2</c:v>
              </c:pt>
              <c:pt idx="1795">
                <c:v>7.2006899999999999E-2</c:v>
              </c:pt>
              <c:pt idx="1796">
                <c:v>7.2046899999999997E-2</c:v>
              </c:pt>
              <c:pt idx="1797">
                <c:v>7.2086899999999995E-2</c:v>
              </c:pt>
              <c:pt idx="1798">
                <c:v>7.2126899999999994E-2</c:v>
              </c:pt>
              <c:pt idx="1799">
                <c:v>7.2166900000000006E-2</c:v>
              </c:pt>
              <c:pt idx="1800">
                <c:v>7.2206900000000004E-2</c:v>
              </c:pt>
              <c:pt idx="1801">
                <c:v>7.2246900000000003E-2</c:v>
              </c:pt>
              <c:pt idx="1802">
                <c:v>7.2286900000000001E-2</c:v>
              </c:pt>
              <c:pt idx="1803">
                <c:v>7.23269E-2</c:v>
              </c:pt>
              <c:pt idx="1804">
                <c:v>7.2366899999999998E-2</c:v>
              </c:pt>
              <c:pt idx="1805">
                <c:v>7.2406899999999996E-2</c:v>
              </c:pt>
              <c:pt idx="1806">
                <c:v>7.2446899999999995E-2</c:v>
              </c:pt>
              <c:pt idx="1807">
                <c:v>7.2486900000000007E-2</c:v>
              </c:pt>
              <c:pt idx="1808">
                <c:v>7.2526900000000005E-2</c:v>
              </c:pt>
              <c:pt idx="1809">
                <c:v>7.2566900000000004E-2</c:v>
              </c:pt>
              <c:pt idx="1810">
                <c:v>7.2606900000000002E-2</c:v>
              </c:pt>
              <c:pt idx="1811">
                <c:v>7.26469E-2</c:v>
              </c:pt>
              <c:pt idx="1812">
                <c:v>7.2686899999999999E-2</c:v>
              </c:pt>
              <c:pt idx="1813">
                <c:v>7.2726899999999997E-2</c:v>
              </c:pt>
              <c:pt idx="1814">
                <c:v>7.2766899999999995E-2</c:v>
              </c:pt>
              <c:pt idx="1815">
                <c:v>7.2806899999999994E-2</c:v>
              </c:pt>
              <c:pt idx="1816">
                <c:v>7.2846900000000006E-2</c:v>
              </c:pt>
              <c:pt idx="1817">
                <c:v>7.2886900000000004E-2</c:v>
              </c:pt>
              <c:pt idx="1818">
                <c:v>7.2926900000000003E-2</c:v>
              </c:pt>
              <c:pt idx="1819">
                <c:v>7.2966900000000001E-2</c:v>
              </c:pt>
              <c:pt idx="1820">
                <c:v>7.30069E-2</c:v>
              </c:pt>
              <c:pt idx="1821">
                <c:v>7.3046899999999998E-2</c:v>
              </c:pt>
              <c:pt idx="1822">
                <c:v>7.3086899999999996E-2</c:v>
              </c:pt>
              <c:pt idx="1823">
                <c:v>7.3126899999999995E-2</c:v>
              </c:pt>
              <c:pt idx="1824">
                <c:v>7.3166900000000007E-2</c:v>
              </c:pt>
              <c:pt idx="1825">
                <c:v>7.3206900000000005E-2</c:v>
              </c:pt>
              <c:pt idx="1826">
                <c:v>7.3246900000000004E-2</c:v>
              </c:pt>
              <c:pt idx="1827">
                <c:v>7.3286900000000002E-2</c:v>
              </c:pt>
              <c:pt idx="1828">
                <c:v>7.33269E-2</c:v>
              </c:pt>
              <c:pt idx="1829">
                <c:v>7.3366899999999999E-2</c:v>
              </c:pt>
              <c:pt idx="1830">
                <c:v>7.3406899999999997E-2</c:v>
              </c:pt>
              <c:pt idx="1831">
                <c:v>7.3446899999999996E-2</c:v>
              </c:pt>
              <c:pt idx="1832">
                <c:v>7.3486899999999994E-2</c:v>
              </c:pt>
              <c:pt idx="1833">
                <c:v>7.3526900000000006E-2</c:v>
              </c:pt>
              <c:pt idx="1834">
                <c:v>7.3566900000000005E-2</c:v>
              </c:pt>
              <c:pt idx="1835">
                <c:v>7.3606900000000003E-2</c:v>
              </c:pt>
              <c:pt idx="1836">
                <c:v>7.3646900000000001E-2</c:v>
              </c:pt>
              <c:pt idx="1837">
                <c:v>7.36869E-2</c:v>
              </c:pt>
              <c:pt idx="1838">
                <c:v>7.3726899999999998E-2</c:v>
              </c:pt>
              <c:pt idx="1839">
                <c:v>7.3766899999999996E-2</c:v>
              </c:pt>
              <c:pt idx="1840">
                <c:v>7.3806899999999995E-2</c:v>
              </c:pt>
              <c:pt idx="1841">
                <c:v>7.3846899999999993E-2</c:v>
              </c:pt>
              <c:pt idx="1842">
                <c:v>7.3886900000000005E-2</c:v>
              </c:pt>
              <c:pt idx="1843">
                <c:v>7.3926900000000004E-2</c:v>
              </c:pt>
              <c:pt idx="1844">
                <c:v>7.3966900000000002E-2</c:v>
              </c:pt>
              <c:pt idx="1845">
                <c:v>7.40069E-2</c:v>
              </c:pt>
              <c:pt idx="1846">
                <c:v>7.4046899999999999E-2</c:v>
              </c:pt>
              <c:pt idx="1847">
                <c:v>7.4086899999999997E-2</c:v>
              </c:pt>
              <c:pt idx="1848">
                <c:v>7.4126899999999996E-2</c:v>
              </c:pt>
              <c:pt idx="1849">
                <c:v>7.4166899999999994E-2</c:v>
              </c:pt>
              <c:pt idx="1850">
                <c:v>7.4206900000000006E-2</c:v>
              </c:pt>
              <c:pt idx="1851">
                <c:v>7.4246900000000005E-2</c:v>
              </c:pt>
              <c:pt idx="1852">
                <c:v>7.4286900000000003E-2</c:v>
              </c:pt>
              <c:pt idx="1853">
                <c:v>7.4326900000000001E-2</c:v>
              </c:pt>
              <c:pt idx="1854">
                <c:v>7.43669E-2</c:v>
              </c:pt>
              <c:pt idx="1855">
                <c:v>7.4406899999999998E-2</c:v>
              </c:pt>
              <c:pt idx="1856">
                <c:v>7.4446899999999996E-2</c:v>
              </c:pt>
              <c:pt idx="1857">
                <c:v>7.4486899999999995E-2</c:v>
              </c:pt>
              <c:pt idx="1858">
                <c:v>7.4526899999999993E-2</c:v>
              </c:pt>
              <c:pt idx="1859">
                <c:v>7.4566900000000005E-2</c:v>
              </c:pt>
              <c:pt idx="1860">
                <c:v>7.4606900000000004E-2</c:v>
              </c:pt>
              <c:pt idx="1861">
                <c:v>7.4646900000000002E-2</c:v>
              </c:pt>
              <c:pt idx="1862">
                <c:v>7.4686900000000001E-2</c:v>
              </c:pt>
              <c:pt idx="1863">
                <c:v>7.4726899999999999E-2</c:v>
              </c:pt>
              <c:pt idx="1864">
                <c:v>7.4766899999999997E-2</c:v>
              </c:pt>
              <c:pt idx="1865">
                <c:v>7.4806899999999996E-2</c:v>
              </c:pt>
              <c:pt idx="1866">
                <c:v>7.4846899999999994E-2</c:v>
              </c:pt>
              <c:pt idx="1867">
                <c:v>7.4886900000000006E-2</c:v>
              </c:pt>
              <c:pt idx="1868">
                <c:v>7.4926900000000005E-2</c:v>
              </c:pt>
              <c:pt idx="1869">
                <c:v>7.4966900000000003E-2</c:v>
              </c:pt>
              <c:pt idx="1870">
                <c:v>7.5006900000000001E-2</c:v>
              </c:pt>
              <c:pt idx="1871">
                <c:v>7.50469E-2</c:v>
              </c:pt>
              <c:pt idx="1872">
                <c:v>7.5086899999999998E-2</c:v>
              </c:pt>
              <c:pt idx="1873">
                <c:v>7.5126899999999996E-2</c:v>
              </c:pt>
              <c:pt idx="1874">
                <c:v>7.5166899999999995E-2</c:v>
              </c:pt>
              <c:pt idx="1875">
                <c:v>7.5206899999999993E-2</c:v>
              </c:pt>
              <c:pt idx="1876">
                <c:v>7.5246900000000005E-2</c:v>
              </c:pt>
              <c:pt idx="1877">
                <c:v>7.5286900000000004E-2</c:v>
              </c:pt>
              <c:pt idx="1878">
                <c:v>7.5326900000000002E-2</c:v>
              </c:pt>
              <c:pt idx="1879">
                <c:v>7.5366900000000001E-2</c:v>
              </c:pt>
              <c:pt idx="1880">
                <c:v>7.5406899999999999E-2</c:v>
              </c:pt>
              <c:pt idx="1881">
                <c:v>7.5446899999999997E-2</c:v>
              </c:pt>
              <c:pt idx="1882">
                <c:v>7.5486899999999996E-2</c:v>
              </c:pt>
              <c:pt idx="1883">
                <c:v>7.5526899999999994E-2</c:v>
              </c:pt>
              <c:pt idx="1884">
                <c:v>7.5566900000000006E-2</c:v>
              </c:pt>
              <c:pt idx="1885">
                <c:v>7.5606900000000005E-2</c:v>
              </c:pt>
              <c:pt idx="1886">
                <c:v>7.5646900000000003E-2</c:v>
              </c:pt>
              <c:pt idx="1887">
                <c:v>7.5686900000000001E-2</c:v>
              </c:pt>
              <c:pt idx="1888">
                <c:v>7.57269E-2</c:v>
              </c:pt>
              <c:pt idx="1889">
                <c:v>7.5766899999999998E-2</c:v>
              </c:pt>
              <c:pt idx="1890">
                <c:v>7.5806899999999997E-2</c:v>
              </c:pt>
              <c:pt idx="1891">
                <c:v>7.5846899999999995E-2</c:v>
              </c:pt>
              <c:pt idx="1892">
                <c:v>7.5886899999999993E-2</c:v>
              </c:pt>
              <c:pt idx="1893">
                <c:v>7.5926900000000005E-2</c:v>
              </c:pt>
              <c:pt idx="1894">
                <c:v>7.5966900000000004E-2</c:v>
              </c:pt>
              <c:pt idx="1895">
                <c:v>7.6006900000000002E-2</c:v>
              </c:pt>
              <c:pt idx="1896">
                <c:v>7.6046900000000001E-2</c:v>
              </c:pt>
              <c:pt idx="1897">
                <c:v>7.6086899999999999E-2</c:v>
              </c:pt>
              <c:pt idx="1898">
                <c:v>7.6126899999999997E-2</c:v>
              </c:pt>
              <c:pt idx="1899">
                <c:v>7.6166899999999996E-2</c:v>
              </c:pt>
              <c:pt idx="1900">
                <c:v>7.6206899999999994E-2</c:v>
              </c:pt>
              <c:pt idx="1901">
                <c:v>7.6246900000000006E-2</c:v>
              </c:pt>
              <c:pt idx="1902">
                <c:v>7.6286900000000005E-2</c:v>
              </c:pt>
              <c:pt idx="1903">
                <c:v>7.6326900000000003E-2</c:v>
              </c:pt>
              <c:pt idx="1904">
                <c:v>7.6366900000000001E-2</c:v>
              </c:pt>
              <c:pt idx="1905">
                <c:v>7.64069E-2</c:v>
              </c:pt>
              <c:pt idx="1906">
                <c:v>7.6446899999999998E-2</c:v>
              </c:pt>
              <c:pt idx="1907">
                <c:v>7.6486899999999997E-2</c:v>
              </c:pt>
              <c:pt idx="1908">
                <c:v>7.6526899999999995E-2</c:v>
              </c:pt>
              <c:pt idx="1909">
                <c:v>7.6566899999999993E-2</c:v>
              </c:pt>
              <c:pt idx="1910">
                <c:v>7.6606900000000006E-2</c:v>
              </c:pt>
              <c:pt idx="1911">
                <c:v>7.6646900000000004E-2</c:v>
              </c:pt>
              <c:pt idx="1912">
                <c:v>7.6686900000000002E-2</c:v>
              </c:pt>
              <c:pt idx="1913">
                <c:v>7.6726900000000001E-2</c:v>
              </c:pt>
              <c:pt idx="1914">
                <c:v>7.6766899999999999E-2</c:v>
              </c:pt>
              <c:pt idx="1915">
                <c:v>7.6806899999999997E-2</c:v>
              </c:pt>
              <c:pt idx="1916">
                <c:v>7.6846899999999996E-2</c:v>
              </c:pt>
              <c:pt idx="1917">
                <c:v>7.6886899999999994E-2</c:v>
              </c:pt>
              <c:pt idx="1918">
                <c:v>7.6926900000000006E-2</c:v>
              </c:pt>
              <c:pt idx="1919">
                <c:v>7.6966900000000005E-2</c:v>
              </c:pt>
              <c:pt idx="1920">
                <c:v>7.7006900000000003E-2</c:v>
              </c:pt>
              <c:pt idx="1921">
                <c:v>7.7046900000000001E-2</c:v>
              </c:pt>
              <c:pt idx="1922">
                <c:v>7.70869E-2</c:v>
              </c:pt>
              <c:pt idx="1923">
                <c:v>7.7126899999999998E-2</c:v>
              </c:pt>
              <c:pt idx="1924">
                <c:v>7.7166899999999997E-2</c:v>
              </c:pt>
              <c:pt idx="1925">
                <c:v>7.7206899999999995E-2</c:v>
              </c:pt>
              <c:pt idx="1926">
                <c:v>7.7246899999999993E-2</c:v>
              </c:pt>
              <c:pt idx="1927">
                <c:v>7.7286900000000006E-2</c:v>
              </c:pt>
              <c:pt idx="1928">
                <c:v>7.7326900000000004E-2</c:v>
              </c:pt>
              <c:pt idx="1929">
                <c:v>7.7366900000000002E-2</c:v>
              </c:pt>
              <c:pt idx="1930">
                <c:v>7.7406900000000001E-2</c:v>
              </c:pt>
              <c:pt idx="1931">
                <c:v>7.7446899999999999E-2</c:v>
              </c:pt>
              <c:pt idx="1932">
                <c:v>7.7486899999999997E-2</c:v>
              </c:pt>
              <c:pt idx="1933">
                <c:v>7.7526899999999996E-2</c:v>
              </c:pt>
              <c:pt idx="1934">
                <c:v>7.7566899999999994E-2</c:v>
              </c:pt>
              <c:pt idx="1935">
                <c:v>7.7606900000000006E-2</c:v>
              </c:pt>
              <c:pt idx="1936">
                <c:v>7.7646900000000005E-2</c:v>
              </c:pt>
              <c:pt idx="1937">
                <c:v>7.7686900000000003E-2</c:v>
              </c:pt>
              <c:pt idx="1938">
                <c:v>7.7726900000000002E-2</c:v>
              </c:pt>
              <c:pt idx="1939">
                <c:v>7.77669E-2</c:v>
              </c:pt>
              <c:pt idx="1940">
                <c:v>7.7806899999999998E-2</c:v>
              </c:pt>
              <c:pt idx="1941">
                <c:v>7.7846899999999997E-2</c:v>
              </c:pt>
              <c:pt idx="1942">
                <c:v>7.7886899999999995E-2</c:v>
              </c:pt>
              <c:pt idx="1943">
                <c:v>7.7926899999999993E-2</c:v>
              </c:pt>
              <c:pt idx="1944">
                <c:v>7.7966900000000006E-2</c:v>
              </c:pt>
              <c:pt idx="1945">
                <c:v>7.8006900000000004E-2</c:v>
              </c:pt>
              <c:pt idx="1946">
                <c:v>7.8046900000000002E-2</c:v>
              </c:pt>
              <c:pt idx="1947">
                <c:v>7.8086900000000001E-2</c:v>
              </c:pt>
              <c:pt idx="1948">
                <c:v>7.8126899999999999E-2</c:v>
              </c:pt>
              <c:pt idx="1949">
                <c:v>7.8166899999999997E-2</c:v>
              </c:pt>
              <c:pt idx="1950">
                <c:v>7.8206899999999996E-2</c:v>
              </c:pt>
              <c:pt idx="1951">
                <c:v>7.8246899999999994E-2</c:v>
              </c:pt>
              <c:pt idx="1952">
                <c:v>7.8286900000000006E-2</c:v>
              </c:pt>
              <c:pt idx="1953">
                <c:v>7.8326900000000005E-2</c:v>
              </c:pt>
              <c:pt idx="1954">
                <c:v>7.8366900000000003E-2</c:v>
              </c:pt>
              <c:pt idx="1955">
                <c:v>7.8406900000000002E-2</c:v>
              </c:pt>
              <c:pt idx="1956">
                <c:v>7.84469E-2</c:v>
              </c:pt>
              <c:pt idx="1957">
                <c:v>7.8486899999999998E-2</c:v>
              </c:pt>
              <c:pt idx="1958">
                <c:v>7.8526899999999997E-2</c:v>
              </c:pt>
              <c:pt idx="1959">
                <c:v>7.8566899999999995E-2</c:v>
              </c:pt>
              <c:pt idx="1960">
                <c:v>7.8606899999999993E-2</c:v>
              </c:pt>
              <c:pt idx="1961">
                <c:v>7.8646900000000006E-2</c:v>
              </c:pt>
              <c:pt idx="1962">
                <c:v>7.8686900000000004E-2</c:v>
              </c:pt>
              <c:pt idx="1963">
                <c:v>7.8726900000000002E-2</c:v>
              </c:pt>
              <c:pt idx="1964">
                <c:v>7.8766900000000001E-2</c:v>
              </c:pt>
              <c:pt idx="1965">
                <c:v>7.8806899999999999E-2</c:v>
              </c:pt>
              <c:pt idx="1966">
                <c:v>7.8846899999999998E-2</c:v>
              </c:pt>
              <c:pt idx="1967">
                <c:v>7.8886899999999996E-2</c:v>
              </c:pt>
              <c:pt idx="1968">
                <c:v>7.8926899999999994E-2</c:v>
              </c:pt>
              <c:pt idx="1969">
                <c:v>7.8966900000000007E-2</c:v>
              </c:pt>
              <c:pt idx="1970">
                <c:v>7.9006900000000005E-2</c:v>
              </c:pt>
              <c:pt idx="1971">
                <c:v>7.9046900000000003E-2</c:v>
              </c:pt>
              <c:pt idx="1972">
                <c:v>7.9086900000000002E-2</c:v>
              </c:pt>
              <c:pt idx="1973">
                <c:v>7.91269E-2</c:v>
              </c:pt>
              <c:pt idx="1974">
                <c:v>7.9166899999999998E-2</c:v>
              </c:pt>
              <c:pt idx="1975">
                <c:v>7.9206899999999997E-2</c:v>
              </c:pt>
              <c:pt idx="1976">
                <c:v>7.9246899999999995E-2</c:v>
              </c:pt>
              <c:pt idx="1977">
                <c:v>7.9286899999999993E-2</c:v>
              </c:pt>
              <c:pt idx="1978">
                <c:v>7.9326900000000006E-2</c:v>
              </c:pt>
              <c:pt idx="1979">
                <c:v>7.9366900000000004E-2</c:v>
              </c:pt>
              <c:pt idx="1980">
                <c:v>7.9406900000000002E-2</c:v>
              </c:pt>
              <c:pt idx="1981">
                <c:v>7.9446900000000001E-2</c:v>
              </c:pt>
              <c:pt idx="1982">
                <c:v>7.9486899999999999E-2</c:v>
              </c:pt>
              <c:pt idx="1983">
                <c:v>7.9526899999999998E-2</c:v>
              </c:pt>
              <c:pt idx="1984">
                <c:v>7.9566899999999996E-2</c:v>
              </c:pt>
              <c:pt idx="1985">
                <c:v>7.9606899999999994E-2</c:v>
              </c:pt>
              <c:pt idx="1986">
                <c:v>7.9646900000000007E-2</c:v>
              </c:pt>
              <c:pt idx="1987">
                <c:v>7.9686900000000005E-2</c:v>
              </c:pt>
              <c:pt idx="1988">
                <c:v>7.9726900000000003E-2</c:v>
              </c:pt>
              <c:pt idx="1989">
                <c:v>7.9766900000000002E-2</c:v>
              </c:pt>
              <c:pt idx="1990">
                <c:v>7.98069E-2</c:v>
              </c:pt>
              <c:pt idx="1991">
                <c:v>7.9846899999999998E-2</c:v>
              </c:pt>
              <c:pt idx="1992">
                <c:v>7.9886899999999997E-2</c:v>
              </c:pt>
              <c:pt idx="1993">
                <c:v>7.9926899999999995E-2</c:v>
              </c:pt>
              <c:pt idx="1994">
                <c:v>7.9966899999999994E-2</c:v>
              </c:pt>
              <c:pt idx="1995">
                <c:v>8.0006900000000006E-2</c:v>
              </c:pt>
              <c:pt idx="1996">
                <c:v>8.0046900000000004E-2</c:v>
              </c:pt>
              <c:pt idx="1997">
                <c:v>8.0086900000000003E-2</c:v>
              </c:pt>
              <c:pt idx="1998">
                <c:v>8.0126900000000001E-2</c:v>
              </c:pt>
              <c:pt idx="1999">
                <c:v>8.0166899999999999E-2</c:v>
              </c:pt>
              <c:pt idx="2000">
                <c:v>8.0206899999999998E-2</c:v>
              </c:pt>
              <c:pt idx="2001">
                <c:v>8.0246899999999996E-2</c:v>
              </c:pt>
              <c:pt idx="2002">
                <c:v>8.0286899999999994E-2</c:v>
              </c:pt>
              <c:pt idx="2003">
                <c:v>8.0326900000000007E-2</c:v>
              </c:pt>
              <c:pt idx="2004">
                <c:v>8.0366900000000005E-2</c:v>
              </c:pt>
              <c:pt idx="2005">
                <c:v>8.0406900000000003E-2</c:v>
              </c:pt>
              <c:pt idx="2006">
                <c:v>8.0446900000000002E-2</c:v>
              </c:pt>
              <c:pt idx="2007">
                <c:v>8.04869E-2</c:v>
              </c:pt>
              <c:pt idx="2008">
                <c:v>8.0526899999999998E-2</c:v>
              </c:pt>
              <c:pt idx="2009">
                <c:v>8.0566899999999997E-2</c:v>
              </c:pt>
              <c:pt idx="2010">
                <c:v>8.0606899999999995E-2</c:v>
              </c:pt>
              <c:pt idx="2011">
                <c:v>8.0646899999999994E-2</c:v>
              </c:pt>
              <c:pt idx="2012">
                <c:v>8.0686900000000006E-2</c:v>
              </c:pt>
              <c:pt idx="2013">
                <c:v>8.0726900000000004E-2</c:v>
              </c:pt>
              <c:pt idx="2014">
                <c:v>8.0766900000000003E-2</c:v>
              </c:pt>
              <c:pt idx="2015">
                <c:v>8.0806900000000001E-2</c:v>
              </c:pt>
              <c:pt idx="2016">
                <c:v>8.0846899999999999E-2</c:v>
              </c:pt>
              <c:pt idx="2017">
                <c:v>8.0886899999999998E-2</c:v>
              </c:pt>
              <c:pt idx="2018">
                <c:v>8.0926899999999996E-2</c:v>
              </c:pt>
              <c:pt idx="2019">
                <c:v>8.0966899999999994E-2</c:v>
              </c:pt>
              <c:pt idx="2020">
                <c:v>8.1006900000000007E-2</c:v>
              </c:pt>
              <c:pt idx="2021">
                <c:v>8.1046900000000005E-2</c:v>
              </c:pt>
              <c:pt idx="2022">
                <c:v>8.1086900000000003E-2</c:v>
              </c:pt>
              <c:pt idx="2023">
                <c:v>8.1126900000000002E-2</c:v>
              </c:pt>
              <c:pt idx="2024">
                <c:v>8.11669E-2</c:v>
              </c:pt>
              <c:pt idx="2025">
                <c:v>8.1206899999999999E-2</c:v>
              </c:pt>
              <c:pt idx="2026">
                <c:v>8.1246899999999997E-2</c:v>
              </c:pt>
              <c:pt idx="2027">
                <c:v>8.1286899999999995E-2</c:v>
              </c:pt>
              <c:pt idx="2028">
                <c:v>8.1326899999999994E-2</c:v>
              </c:pt>
              <c:pt idx="2029">
                <c:v>8.1366900000000006E-2</c:v>
              </c:pt>
              <c:pt idx="2030">
                <c:v>8.1406900000000004E-2</c:v>
              </c:pt>
              <c:pt idx="2031">
                <c:v>8.1446900000000003E-2</c:v>
              </c:pt>
              <c:pt idx="2032">
                <c:v>8.1486900000000001E-2</c:v>
              </c:pt>
              <c:pt idx="2033">
                <c:v>8.1526899999999999E-2</c:v>
              </c:pt>
              <c:pt idx="2034">
                <c:v>8.1566899999999998E-2</c:v>
              </c:pt>
              <c:pt idx="2035">
                <c:v>8.1606899999999996E-2</c:v>
              </c:pt>
              <c:pt idx="2036">
                <c:v>8.1646899999999994E-2</c:v>
              </c:pt>
              <c:pt idx="2037">
                <c:v>8.1686900000000007E-2</c:v>
              </c:pt>
              <c:pt idx="2038">
                <c:v>8.1726900000000005E-2</c:v>
              </c:pt>
              <c:pt idx="2039">
                <c:v>8.1766900000000003E-2</c:v>
              </c:pt>
              <c:pt idx="2040">
                <c:v>8.1806900000000002E-2</c:v>
              </c:pt>
              <c:pt idx="2041">
                <c:v>8.18469E-2</c:v>
              </c:pt>
              <c:pt idx="2042">
                <c:v>8.1886899999999999E-2</c:v>
              </c:pt>
              <c:pt idx="2043">
                <c:v>8.1926899999999997E-2</c:v>
              </c:pt>
              <c:pt idx="2044">
                <c:v>8.1966899999999995E-2</c:v>
              </c:pt>
              <c:pt idx="2045">
                <c:v>8.2006899999999994E-2</c:v>
              </c:pt>
              <c:pt idx="2046">
                <c:v>8.2046900000000006E-2</c:v>
              </c:pt>
              <c:pt idx="2047">
                <c:v>8.2086900000000004E-2</c:v>
              </c:pt>
              <c:pt idx="2048">
                <c:v>8.2126900000000003E-2</c:v>
              </c:pt>
              <c:pt idx="2049">
                <c:v>8.2166900000000001E-2</c:v>
              </c:pt>
              <c:pt idx="2050">
                <c:v>8.2206899999999999E-2</c:v>
              </c:pt>
              <c:pt idx="2051">
                <c:v>8.2246899999999998E-2</c:v>
              </c:pt>
              <c:pt idx="2052">
                <c:v>8.2286899999999996E-2</c:v>
              </c:pt>
              <c:pt idx="2053">
                <c:v>8.2326899999999995E-2</c:v>
              </c:pt>
              <c:pt idx="2054">
                <c:v>8.2366900000000007E-2</c:v>
              </c:pt>
              <c:pt idx="2055">
                <c:v>8.2406900000000005E-2</c:v>
              </c:pt>
              <c:pt idx="2056">
                <c:v>8.2446900000000004E-2</c:v>
              </c:pt>
              <c:pt idx="2057">
                <c:v>8.2486900000000002E-2</c:v>
              </c:pt>
              <c:pt idx="2058">
                <c:v>8.25269E-2</c:v>
              </c:pt>
              <c:pt idx="2059">
                <c:v>8.2566899999999999E-2</c:v>
              </c:pt>
              <c:pt idx="2060">
                <c:v>8.2606899999999997E-2</c:v>
              </c:pt>
              <c:pt idx="2061">
                <c:v>8.2646899999999995E-2</c:v>
              </c:pt>
              <c:pt idx="2062">
                <c:v>8.2686899999999994E-2</c:v>
              </c:pt>
              <c:pt idx="2063">
                <c:v>8.2726900000000006E-2</c:v>
              </c:pt>
              <c:pt idx="2064">
                <c:v>8.2766900000000004E-2</c:v>
              </c:pt>
              <c:pt idx="2065">
                <c:v>8.2806900000000003E-2</c:v>
              </c:pt>
              <c:pt idx="2066">
                <c:v>8.2846900000000001E-2</c:v>
              </c:pt>
              <c:pt idx="2067">
                <c:v>8.2886899999999999E-2</c:v>
              </c:pt>
              <c:pt idx="2068">
                <c:v>8.2926899999999998E-2</c:v>
              </c:pt>
              <c:pt idx="2069">
                <c:v>8.2966899999999996E-2</c:v>
              </c:pt>
              <c:pt idx="2070">
                <c:v>8.3006899999999995E-2</c:v>
              </c:pt>
              <c:pt idx="2071">
                <c:v>8.3046900000000007E-2</c:v>
              </c:pt>
              <c:pt idx="2072">
                <c:v>8.3086900000000005E-2</c:v>
              </c:pt>
              <c:pt idx="2073">
                <c:v>8.3126900000000004E-2</c:v>
              </c:pt>
              <c:pt idx="2074">
                <c:v>8.3166900000000002E-2</c:v>
              </c:pt>
              <c:pt idx="2075">
                <c:v>8.32069E-2</c:v>
              </c:pt>
              <c:pt idx="2076">
                <c:v>8.3246899999999999E-2</c:v>
              </c:pt>
              <c:pt idx="2077">
                <c:v>8.3286899999999997E-2</c:v>
              </c:pt>
              <c:pt idx="2078">
                <c:v>8.3326899999999995E-2</c:v>
              </c:pt>
              <c:pt idx="2079">
                <c:v>8.3366899999999994E-2</c:v>
              </c:pt>
              <c:pt idx="2080">
                <c:v>8.3406900000000006E-2</c:v>
              </c:pt>
              <c:pt idx="2081">
                <c:v>8.3446900000000004E-2</c:v>
              </c:pt>
              <c:pt idx="2082">
                <c:v>8.3486900000000003E-2</c:v>
              </c:pt>
              <c:pt idx="2083">
                <c:v>8.3526900000000001E-2</c:v>
              </c:pt>
              <c:pt idx="2084">
                <c:v>8.35669E-2</c:v>
              </c:pt>
              <c:pt idx="2085">
                <c:v>8.3606899999999998E-2</c:v>
              </c:pt>
              <c:pt idx="2086">
                <c:v>8.3646899999999996E-2</c:v>
              </c:pt>
              <c:pt idx="2087">
                <c:v>8.3686899999999995E-2</c:v>
              </c:pt>
              <c:pt idx="2088">
                <c:v>8.3726900000000007E-2</c:v>
              </c:pt>
              <c:pt idx="2089">
                <c:v>8.3766900000000005E-2</c:v>
              </c:pt>
              <c:pt idx="2090">
                <c:v>8.3806900000000004E-2</c:v>
              </c:pt>
              <c:pt idx="2091">
                <c:v>8.3846900000000002E-2</c:v>
              </c:pt>
              <c:pt idx="2092">
                <c:v>8.38869E-2</c:v>
              </c:pt>
              <c:pt idx="2093">
                <c:v>8.3926899999999999E-2</c:v>
              </c:pt>
              <c:pt idx="2094">
                <c:v>8.3966899999999997E-2</c:v>
              </c:pt>
              <c:pt idx="2095">
                <c:v>8.4006899999999995E-2</c:v>
              </c:pt>
              <c:pt idx="2096">
                <c:v>8.4046899999999994E-2</c:v>
              </c:pt>
              <c:pt idx="2097">
                <c:v>8.4086900000000006E-2</c:v>
              </c:pt>
              <c:pt idx="2098">
                <c:v>8.4126900000000004E-2</c:v>
              </c:pt>
              <c:pt idx="2099">
                <c:v>8.4166900000000003E-2</c:v>
              </c:pt>
              <c:pt idx="2100">
                <c:v>8.4206900000000001E-2</c:v>
              </c:pt>
              <c:pt idx="2101">
                <c:v>8.42469E-2</c:v>
              </c:pt>
              <c:pt idx="2102">
                <c:v>8.4286899999999998E-2</c:v>
              </c:pt>
              <c:pt idx="2103">
                <c:v>8.4326899999999996E-2</c:v>
              </c:pt>
              <c:pt idx="2104">
                <c:v>8.4366899999999995E-2</c:v>
              </c:pt>
              <c:pt idx="2105">
                <c:v>8.4406900000000007E-2</c:v>
              </c:pt>
              <c:pt idx="2106">
                <c:v>8.4446900000000005E-2</c:v>
              </c:pt>
              <c:pt idx="2107">
                <c:v>8.4486900000000004E-2</c:v>
              </c:pt>
              <c:pt idx="2108">
                <c:v>8.4526900000000002E-2</c:v>
              </c:pt>
              <c:pt idx="2109">
                <c:v>8.45669E-2</c:v>
              </c:pt>
              <c:pt idx="2110">
                <c:v>8.4606899999999999E-2</c:v>
              </c:pt>
              <c:pt idx="2111">
                <c:v>8.4646899999999997E-2</c:v>
              </c:pt>
              <c:pt idx="2112">
                <c:v>8.4686899999999996E-2</c:v>
              </c:pt>
              <c:pt idx="2113">
                <c:v>8.4726899999999994E-2</c:v>
              </c:pt>
              <c:pt idx="2114">
                <c:v>8.4766900000000006E-2</c:v>
              </c:pt>
              <c:pt idx="2115">
                <c:v>8.4806900000000005E-2</c:v>
              </c:pt>
              <c:pt idx="2116">
                <c:v>8.4846900000000003E-2</c:v>
              </c:pt>
              <c:pt idx="2117">
                <c:v>8.4886900000000001E-2</c:v>
              </c:pt>
              <c:pt idx="2118">
                <c:v>8.49269E-2</c:v>
              </c:pt>
              <c:pt idx="2119">
                <c:v>8.4966899999999998E-2</c:v>
              </c:pt>
              <c:pt idx="2120">
                <c:v>8.5006899999999996E-2</c:v>
              </c:pt>
              <c:pt idx="2121">
                <c:v>8.5046899999999995E-2</c:v>
              </c:pt>
              <c:pt idx="2122">
                <c:v>8.5086899999999993E-2</c:v>
              </c:pt>
              <c:pt idx="2123">
                <c:v>8.5126900000000005E-2</c:v>
              </c:pt>
              <c:pt idx="2124">
                <c:v>8.5166900000000004E-2</c:v>
              </c:pt>
              <c:pt idx="2125">
                <c:v>8.5206900000000002E-2</c:v>
              </c:pt>
              <c:pt idx="2126">
                <c:v>8.52469E-2</c:v>
              </c:pt>
              <c:pt idx="2127">
                <c:v>8.5286899999999999E-2</c:v>
              </c:pt>
              <c:pt idx="2128">
                <c:v>8.5326899999999997E-2</c:v>
              </c:pt>
              <c:pt idx="2129">
                <c:v>8.5366899999999996E-2</c:v>
              </c:pt>
              <c:pt idx="2130">
                <c:v>8.5406899999999994E-2</c:v>
              </c:pt>
              <c:pt idx="2131">
                <c:v>8.5446900000000006E-2</c:v>
              </c:pt>
              <c:pt idx="2132">
                <c:v>8.5486900000000005E-2</c:v>
              </c:pt>
              <c:pt idx="2133">
                <c:v>8.5526900000000003E-2</c:v>
              </c:pt>
              <c:pt idx="2134">
                <c:v>8.5566900000000001E-2</c:v>
              </c:pt>
              <c:pt idx="2135">
                <c:v>8.56069E-2</c:v>
              </c:pt>
              <c:pt idx="2136">
                <c:v>8.5646899999999998E-2</c:v>
              </c:pt>
              <c:pt idx="2137">
                <c:v>8.5686899999999996E-2</c:v>
              </c:pt>
              <c:pt idx="2138">
                <c:v>8.5726899999999995E-2</c:v>
              </c:pt>
              <c:pt idx="2139">
                <c:v>8.5766899999999993E-2</c:v>
              </c:pt>
              <c:pt idx="2140">
                <c:v>8.5806900000000005E-2</c:v>
              </c:pt>
              <c:pt idx="2141">
                <c:v>8.5846900000000004E-2</c:v>
              </c:pt>
              <c:pt idx="2142">
                <c:v>8.5886900000000002E-2</c:v>
              </c:pt>
              <c:pt idx="2143">
                <c:v>8.5926900000000001E-2</c:v>
              </c:pt>
              <c:pt idx="2144">
                <c:v>8.5966899999999999E-2</c:v>
              </c:pt>
              <c:pt idx="2145">
                <c:v>8.6006899999999997E-2</c:v>
              </c:pt>
              <c:pt idx="2146">
                <c:v>8.6046899999999996E-2</c:v>
              </c:pt>
              <c:pt idx="2147">
                <c:v>8.6086899999999994E-2</c:v>
              </c:pt>
              <c:pt idx="2148">
                <c:v>8.6126900000000006E-2</c:v>
              </c:pt>
              <c:pt idx="2149">
                <c:v>8.6166900000000005E-2</c:v>
              </c:pt>
              <c:pt idx="2150">
                <c:v>8.6206900000000003E-2</c:v>
              </c:pt>
              <c:pt idx="2151">
                <c:v>8.6246900000000001E-2</c:v>
              </c:pt>
              <c:pt idx="2152">
                <c:v>8.62869E-2</c:v>
              </c:pt>
              <c:pt idx="2153">
                <c:v>8.6326899999999998E-2</c:v>
              </c:pt>
              <c:pt idx="2154">
                <c:v>8.6366899999999996E-2</c:v>
              </c:pt>
              <c:pt idx="2155">
                <c:v>8.6406899999999995E-2</c:v>
              </c:pt>
              <c:pt idx="2156">
                <c:v>8.6446899999999993E-2</c:v>
              </c:pt>
              <c:pt idx="2157">
                <c:v>8.6486900000000005E-2</c:v>
              </c:pt>
              <c:pt idx="2158">
                <c:v>8.6526900000000004E-2</c:v>
              </c:pt>
              <c:pt idx="2159">
                <c:v>8.6566900000000002E-2</c:v>
              </c:pt>
              <c:pt idx="2160">
                <c:v>8.6606900000000001E-2</c:v>
              </c:pt>
              <c:pt idx="2161">
                <c:v>8.6646899999999999E-2</c:v>
              </c:pt>
              <c:pt idx="2162">
                <c:v>8.6686899999999997E-2</c:v>
              </c:pt>
              <c:pt idx="2163">
                <c:v>8.6726899999999996E-2</c:v>
              </c:pt>
              <c:pt idx="2164">
                <c:v>8.6766899999999994E-2</c:v>
              </c:pt>
              <c:pt idx="2165">
                <c:v>8.6806900000000006E-2</c:v>
              </c:pt>
              <c:pt idx="2166">
                <c:v>8.6846900000000005E-2</c:v>
              </c:pt>
              <c:pt idx="2167">
                <c:v>8.6886900000000003E-2</c:v>
              </c:pt>
              <c:pt idx="2168">
                <c:v>8.6926900000000001E-2</c:v>
              </c:pt>
              <c:pt idx="2169">
                <c:v>8.69669E-2</c:v>
              </c:pt>
              <c:pt idx="2170">
                <c:v>8.7006899999999998E-2</c:v>
              </c:pt>
              <c:pt idx="2171">
                <c:v>8.7046899999999997E-2</c:v>
              </c:pt>
              <c:pt idx="2172">
                <c:v>8.7086899999999995E-2</c:v>
              </c:pt>
              <c:pt idx="2173">
                <c:v>8.7126899999999993E-2</c:v>
              </c:pt>
              <c:pt idx="2174">
                <c:v>8.7166900000000005E-2</c:v>
              </c:pt>
              <c:pt idx="2175">
                <c:v>8.7206900000000004E-2</c:v>
              </c:pt>
              <c:pt idx="2176">
                <c:v>8.7246900000000002E-2</c:v>
              </c:pt>
              <c:pt idx="2177">
                <c:v>8.7286900000000001E-2</c:v>
              </c:pt>
              <c:pt idx="2178">
                <c:v>8.7326899999999999E-2</c:v>
              </c:pt>
              <c:pt idx="2179">
                <c:v>8.7366899999999997E-2</c:v>
              </c:pt>
              <c:pt idx="2180">
                <c:v>8.7406899999999996E-2</c:v>
              </c:pt>
              <c:pt idx="2181">
                <c:v>8.7446899999999994E-2</c:v>
              </c:pt>
              <c:pt idx="2182">
                <c:v>8.7486900000000006E-2</c:v>
              </c:pt>
              <c:pt idx="2183">
                <c:v>8.7526900000000005E-2</c:v>
              </c:pt>
              <c:pt idx="2184">
                <c:v>8.7566900000000003E-2</c:v>
              </c:pt>
              <c:pt idx="2185">
                <c:v>8.7606900000000001E-2</c:v>
              </c:pt>
              <c:pt idx="2186">
                <c:v>8.76469E-2</c:v>
              </c:pt>
              <c:pt idx="2187">
                <c:v>8.7686899999999998E-2</c:v>
              </c:pt>
              <c:pt idx="2188">
                <c:v>8.7726899999999997E-2</c:v>
              </c:pt>
              <c:pt idx="2189">
                <c:v>8.7766899999999995E-2</c:v>
              </c:pt>
              <c:pt idx="2190">
                <c:v>8.7806899999999993E-2</c:v>
              </c:pt>
              <c:pt idx="2191">
                <c:v>8.7846900000000006E-2</c:v>
              </c:pt>
              <c:pt idx="2192">
                <c:v>8.7886900000000004E-2</c:v>
              </c:pt>
              <c:pt idx="2193">
                <c:v>8.7926900000000002E-2</c:v>
              </c:pt>
              <c:pt idx="2194">
                <c:v>8.7966900000000001E-2</c:v>
              </c:pt>
              <c:pt idx="2195">
                <c:v>8.8006899999999999E-2</c:v>
              </c:pt>
              <c:pt idx="2196">
                <c:v>8.8046899999999997E-2</c:v>
              </c:pt>
              <c:pt idx="2197">
                <c:v>8.8086899999999996E-2</c:v>
              </c:pt>
              <c:pt idx="2198">
                <c:v>8.8126899999999994E-2</c:v>
              </c:pt>
              <c:pt idx="2199">
                <c:v>8.8166900000000006E-2</c:v>
              </c:pt>
              <c:pt idx="2200">
                <c:v>8.8206900000000005E-2</c:v>
              </c:pt>
              <c:pt idx="2201">
                <c:v>8.8246900000000003E-2</c:v>
              </c:pt>
              <c:pt idx="2202">
                <c:v>8.8286900000000001E-2</c:v>
              </c:pt>
              <c:pt idx="2203">
                <c:v>8.83269E-2</c:v>
              </c:pt>
              <c:pt idx="2204">
                <c:v>8.8366899999999998E-2</c:v>
              </c:pt>
              <c:pt idx="2205">
                <c:v>8.8406899999999997E-2</c:v>
              </c:pt>
              <c:pt idx="2206">
                <c:v>8.8446899999999995E-2</c:v>
              </c:pt>
              <c:pt idx="2207">
                <c:v>8.8486899999999993E-2</c:v>
              </c:pt>
              <c:pt idx="2208">
                <c:v>8.8526900000000006E-2</c:v>
              </c:pt>
              <c:pt idx="2209">
                <c:v>8.8566900000000004E-2</c:v>
              </c:pt>
              <c:pt idx="2210">
                <c:v>8.8606900000000002E-2</c:v>
              </c:pt>
              <c:pt idx="2211">
                <c:v>8.8646900000000001E-2</c:v>
              </c:pt>
              <c:pt idx="2212">
                <c:v>8.8686899999999999E-2</c:v>
              </c:pt>
              <c:pt idx="2213">
                <c:v>8.8726899999999997E-2</c:v>
              </c:pt>
              <c:pt idx="2214">
                <c:v>8.8766899999999996E-2</c:v>
              </c:pt>
              <c:pt idx="2215">
                <c:v>8.8806899999999994E-2</c:v>
              </c:pt>
              <c:pt idx="2216">
                <c:v>8.8846900000000006E-2</c:v>
              </c:pt>
              <c:pt idx="2217">
                <c:v>8.8886900000000005E-2</c:v>
              </c:pt>
              <c:pt idx="2218">
                <c:v>8.8926900000000003E-2</c:v>
              </c:pt>
              <c:pt idx="2219">
                <c:v>8.8966900000000002E-2</c:v>
              </c:pt>
              <c:pt idx="2220">
                <c:v>8.90069E-2</c:v>
              </c:pt>
              <c:pt idx="2221">
                <c:v>8.9046899999999998E-2</c:v>
              </c:pt>
              <c:pt idx="2222">
                <c:v>8.9086899999999997E-2</c:v>
              </c:pt>
              <c:pt idx="2223">
                <c:v>8.9126899999999995E-2</c:v>
              </c:pt>
              <c:pt idx="2224">
                <c:v>8.9166899999999993E-2</c:v>
              </c:pt>
              <c:pt idx="2225">
                <c:v>8.9206900000000006E-2</c:v>
              </c:pt>
              <c:pt idx="2226">
                <c:v>8.9246900000000004E-2</c:v>
              </c:pt>
              <c:pt idx="2227">
                <c:v>8.9286900000000002E-2</c:v>
              </c:pt>
              <c:pt idx="2228">
                <c:v>8.9326900000000001E-2</c:v>
              </c:pt>
              <c:pt idx="2229">
                <c:v>8.9366899999999999E-2</c:v>
              </c:pt>
              <c:pt idx="2230">
                <c:v>8.9406899999999997E-2</c:v>
              </c:pt>
              <c:pt idx="2231">
                <c:v>8.9446899999999996E-2</c:v>
              </c:pt>
              <c:pt idx="2232">
                <c:v>8.9486899999999994E-2</c:v>
              </c:pt>
              <c:pt idx="2233">
                <c:v>8.9526900000000006E-2</c:v>
              </c:pt>
              <c:pt idx="2234">
                <c:v>8.9566900000000005E-2</c:v>
              </c:pt>
              <c:pt idx="2235">
                <c:v>8.9606900000000003E-2</c:v>
              </c:pt>
              <c:pt idx="2236">
                <c:v>8.9646900000000002E-2</c:v>
              </c:pt>
              <c:pt idx="2237">
                <c:v>8.96869E-2</c:v>
              </c:pt>
              <c:pt idx="2238">
                <c:v>8.9726899999999998E-2</c:v>
              </c:pt>
              <c:pt idx="2239">
                <c:v>8.9766899999999997E-2</c:v>
              </c:pt>
              <c:pt idx="2240">
                <c:v>8.9806899999999995E-2</c:v>
              </c:pt>
              <c:pt idx="2241">
                <c:v>8.9846899999999993E-2</c:v>
              </c:pt>
              <c:pt idx="2242">
                <c:v>8.9886900000000006E-2</c:v>
              </c:pt>
              <c:pt idx="2243">
                <c:v>8.9926900000000004E-2</c:v>
              </c:pt>
              <c:pt idx="2244">
                <c:v>8.9966900000000002E-2</c:v>
              </c:pt>
              <c:pt idx="2245">
                <c:v>9.0006900000000001E-2</c:v>
              </c:pt>
              <c:pt idx="2246">
                <c:v>9.0046899999999999E-2</c:v>
              </c:pt>
              <c:pt idx="2247">
                <c:v>9.0086899999999998E-2</c:v>
              </c:pt>
              <c:pt idx="2248">
                <c:v>9.0126899999999996E-2</c:v>
              </c:pt>
              <c:pt idx="2249">
                <c:v>9.0166899999999994E-2</c:v>
              </c:pt>
              <c:pt idx="2250">
                <c:v>9.0206900000000007E-2</c:v>
              </c:pt>
              <c:pt idx="2251">
                <c:v>9.0246900000000005E-2</c:v>
              </c:pt>
              <c:pt idx="2252">
                <c:v>9.0286900000000003E-2</c:v>
              </c:pt>
              <c:pt idx="2253">
                <c:v>9.0326900000000002E-2</c:v>
              </c:pt>
              <c:pt idx="2254">
                <c:v>9.03669E-2</c:v>
              </c:pt>
              <c:pt idx="2255">
                <c:v>9.0406899999999998E-2</c:v>
              </c:pt>
              <c:pt idx="2256">
                <c:v>9.0446899999999997E-2</c:v>
              </c:pt>
              <c:pt idx="2257">
                <c:v>9.0486899999999995E-2</c:v>
              </c:pt>
              <c:pt idx="2258">
                <c:v>9.0526899999999993E-2</c:v>
              </c:pt>
              <c:pt idx="2259">
                <c:v>9.0566900000000006E-2</c:v>
              </c:pt>
              <c:pt idx="2260">
                <c:v>9.0606900000000004E-2</c:v>
              </c:pt>
              <c:pt idx="2261">
                <c:v>9.0646900000000002E-2</c:v>
              </c:pt>
              <c:pt idx="2262">
                <c:v>9.0686900000000001E-2</c:v>
              </c:pt>
              <c:pt idx="2263">
                <c:v>9.0726899999999999E-2</c:v>
              </c:pt>
              <c:pt idx="2264">
                <c:v>9.0766899999999998E-2</c:v>
              </c:pt>
              <c:pt idx="2265">
                <c:v>9.0806899999999996E-2</c:v>
              </c:pt>
              <c:pt idx="2266">
                <c:v>9.0846899999999994E-2</c:v>
              </c:pt>
              <c:pt idx="2267">
                <c:v>9.0886900000000007E-2</c:v>
              </c:pt>
              <c:pt idx="2268">
                <c:v>9.0926900000000005E-2</c:v>
              </c:pt>
              <c:pt idx="2269">
                <c:v>9.0966900000000003E-2</c:v>
              </c:pt>
              <c:pt idx="2270">
                <c:v>9.1006900000000002E-2</c:v>
              </c:pt>
              <c:pt idx="2271">
                <c:v>9.10469E-2</c:v>
              </c:pt>
              <c:pt idx="2272">
                <c:v>9.1086899999999998E-2</c:v>
              </c:pt>
              <c:pt idx="2273">
                <c:v>9.1126899999999997E-2</c:v>
              </c:pt>
              <c:pt idx="2274">
                <c:v>9.1166899999999995E-2</c:v>
              </c:pt>
              <c:pt idx="2275">
                <c:v>9.1206899999999994E-2</c:v>
              </c:pt>
              <c:pt idx="2276">
                <c:v>9.1246900000000006E-2</c:v>
              </c:pt>
              <c:pt idx="2277">
                <c:v>9.1286900000000004E-2</c:v>
              </c:pt>
              <c:pt idx="2278">
                <c:v>9.1326900000000003E-2</c:v>
              </c:pt>
              <c:pt idx="2279">
                <c:v>9.1366900000000001E-2</c:v>
              </c:pt>
              <c:pt idx="2280">
                <c:v>9.1406899999999999E-2</c:v>
              </c:pt>
              <c:pt idx="2281">
                <c:v>9.1446899999999998E-2</c:v>
              </c:pt>
              <c:pt idx="2282">
                <c:v>9.1486899999999996E-2</c:v>
              </c:pt>
              <c:pt idx="2283">
                <c:v>9.1526899999999994E-2</c:v>
              </c:pt>
              <c:pt idx="2284">
                <c:v>9.1566900000000007E-2</c:v>
              </c:pt>
              <c:pt idx="2285">
                <c:v>9.1606900000000005E-2</c:v>
              </c:pt>
              <c:pt idx="2286">
                <c:v>9.1646900000000003E-2</c:v>
              </c:pt>
              <c:pt idx="2287">
                <c:v>9.1686900000000002E-2</c:v>
              </c:pt>
              <c:pt idx="2288">
                <c:v>9.17269E-2</c:v>
              </c:pt>
              <c:pt idx="2289">
                <c:v>9.1766899999999998E-2</c:v>
              </c:pt>
              <c:pt idx="2290">
                <c:v>9.1806899999999997E-2</c:v>
              </c:pt>
              <c:pt idx="2291">
                <c:v>9.1846899999999995E-2</c:v>
              </c:pt>
              <c:pt idx="2292">
                <c:v>9.1886899999999994E-2</c:v>
              </c:pt>
              <c:pt idx="2293">
                <c:v>9.1926900000000006E-2</c:v>
              </c:pt>
              <c:pt idx="2294">
                <c:v>9.1966900000000004E-2</c:v>
              </c:pt>
              <c:pt idx="2295">
                <c:v>9.2006900000000003E-2</c:v>
              </c:pt>
              <c:pt idx="2296">
                <c:v>9.2046900000000001E-2</c:v>
              </c:pt>
              <c:pt idx="2297">
                <c:v>9.2086899999999999E-2</c:v>
              </c:pt>
              <c:pt idx="2298">
                <c:v>9.2126899999999998E-2</c:v>
              </c:pt>
              <c:pt idx="2299">
                <c:v>9.2166899999999996E-2</c:v>
              </c:pt>
              <c:pt idx="2300">
                <c:v>9.2206899999999994E-2</c:v>
              </c:pt>
              <c:pt idx="2301">
                <c:v>9.2246900000000007E-2</c:v>
              </c:pt>
              <c:pt idx="2302">
                <c:v>9.2286900000000005E-2</c:v>
              </c:pt>
              <c:pt idx="2303">
                <c:v>9.2326900000000003E-2</c:v>
              </c:pt>
              <c:pt idx="2304">
                <c:v>9.2366900000000002E-2</c:v>
              </c:pt>
              <c:pt idx="2305">
                <c:v>9.24069E-2</c:v>
              </c:pt>
              <c:pt idx="2306">
                <c:v>9.2446899999999999E-2</c:v>
              </c:pt>
              <c:pt idx="2307">
                <c:v>9.2486899999999997E-2</c:v>
              </c:pt>
              <c:pt idx="2308">
                <c:v>9.2526899999999995E-2</c:v>
              </c:pt>
              <c:pt idx="2309">
                <c:v>9.2566899999999994E-2</c:v>
              </c:pt>
              <c:pt idx="2310">
                <c:v>9.2606900000000006E-2</c:v>
              </c:pt>
              <c:pt idx="2311">
                <c:v>9.2646900000000004E-2</c:v>
              </c:pt>
              <c:pt idx="2312">
                <c:v>9.2686900000000003E-2</c:v>
              </c:pt>
              <c:pt idx="2313">
                <c:v>9.2726900000000001E-2</c:v>
              </c:pt>
              <c:pt idx="2314">
                <c:v>9.2766899999999999E-2</c:v>
              </c:pt>
              <c:pt idx="2315">
                <c:v>9.2806899999999998E-2</c:v>
              </c:pt>
              <c:pt idx="2316">
                <c:v>9.2846899999999996E-2</c:v>
              </c:pt>
              <c:pt idx="2317">
                <c:v>9.2886899999999994E-2</c:v>
              </c:pt>
              <c:pt idx="2318">
                <c:v>9.2926900000000007E-2</c:v>
              </c:pt>
              <c:pt idx="2319">
                <c:v>9.2966900000000005E-2</c:v>
              </c:pt>
              <c:pt idx="2320">
                <c:v>9.3006900000000003E-2</c:v>
              </c:pt>
              <c:pt idx="2321">
                <c:v>9.3046900000000002E-2</c:v>
              </c:pt>
              <c:pt idx="2322">
                <c:v>9.30869E-2</c:v>
              </c:pt>
              <c:pt idx="2323">
                <c:v>9.3126899999999999E-2</c:v>
              </c:pt>
              <c:pt idx="2324">
                <c:v>9.3166899999999997E-2</c:v>
              </c:pt>
              <c:pt idx="2325">
                <c:v>9.3206899999999995E-2</c:v>
              </c:pt>
              <c:pt idx="2326">
                <c:v>9.3246899999999994E-2</c:v>
              </c:pt>
              <c:pt idx="2327">
                <c:v>9.3286900000000006E-2</c:v>
              </c:pt>
              <c:pt idx="2328">
                <c:v>9.3326900000000004E-2</c:v>
              </c:pt>
              <c:pt idx="2329">
                <c:v>9.3366900000000003E-2</c:v>
              </c:pt>
              <c:pt idx="2330">
                <c:v>9.3406900000000001E-2</c:v>
              </c:pt>
              <c:pt idx="2331">
                <c:v>9.3446899999999999E-2</c:v>
              </c:pt>
              <c:pt idx="2332">
                <c:v>9.3486899999999998E-2</c:v>
              </c:pt>
              <c:pt idx="2333">
                <c:v>9.3526899999999996E-2</c:v>
              </c:pt>
              <c:pt idx="2334">
                <c:v>9.3566899999999995E-2</c:v>
              </c:pt>
              <c:pt idx="2335">
                <c:v>9.3606900000000007E-2</c:v>
              </c:pt>
              <c:pt idx="2336">
                <c:v>9.3646900000000005E-2</c:v>
              </c:pt>
              <c:pt idx="2337">
                <c:v>9.3686900000000004E-2</c:v>
              </c:pt>
              <c:pt idx="2338">
                <c:v>9.3726900000000002E-2</c:v>
              </c:pt>
              <c:pt idx="2339">
                <c:v>9.37669E-2</c:v>
              </c:pt>
              <c:pt idx="2340">
                <c:v>9.3806899999999999E-2</c:v>
              </c:pt>
              <c:pt idx="2341">
                <c:v>9.3846899999999997E-2</c:v>
              </c:pt>
              <c:pt idx="2342">
                <c:v>9.3886899999999995E-2</c:v>
              </c:pt>
              <c:pt idx="2343">
                <c:v>9.3926899999999994E-2</c:v>
              </c:pt>
              <c:pt idx="2344">
                <c:v>9.3966900000000006E-2</c:v>
              </c:pt>
              <c:pt idx="2345">
                <c:v>9.4006900000000004E-2</c:v>
              </c:pt>
              <c:pt idx="2346">
                <c:v>9.4046900000000003E-2</c:v>
              </c:pt>
              <c:pt idx="2347">
                <c:v>9.4086900000000001E-2</c:v>
              </c:pt>
              <c:pt idx="2348">
                <c:v>9.4126899999999999E-2</c:v>
              </c:pt>
              <c:pt idx="2349">
                <c:v>9.4166899999999998E-2</c:v>
              </c:pt>
              <c:pt idx="2350">
                <c:v>9.4206899999999996E-2</c:v>
              </c:pt>
              <c:pt idx="2351">
                <c:v>9.4246899999999995E-2</c:v>
              </c:pt>
              <c:pt idx="2352">
                <c:v>9.4286900000000007E-2</c:v>
              </c:pt>
              <c:pt idx="2353">
                <c:v>9.4326900000000005E-2</c:v>
              </c:pt>
              <c:pt idx="2354">
                <c:v>9.4366900000000004E-2</c:v>
              </c:pt>
              <c:pt idx="2355">
                <c:v>9.4406900000000002E-2</c:v>
              </c:pt>
              <c:pt idx="2356">
                <c:v>9.44469E-2</c:v>
              </c:pt>
              <c:pt idx="2357">
                <c:v>9.4486899999999999E-2</c:v>
              </c:pt>
              <c:pt idx="2358">
                <c:v>9.4526899999999997E-2</c:v>
              </c:pt>
              <c:pt idx="2359">
                <c:v>9.4566899999999995E-2</c:v>
              </c:pt>
              <c:pt idx="2360">
                <c:v>9.4606899999999994E-2</c:v>
              </c:pt>
              <c:pt idx="2361">
                <c:v>9.4646900000000006E-2</c:v>
              </c:pt>
              <c:pt idx="2362">
                <c:v>9.4686900000000004E-2</c:v>
              </c:pt>
              <c:pt idx="2363">
                <c:v>9.4726900000000003E-2</c:v>
              </c:pt>
              <c:pt idx="2364">
                <c:v>9.4766900000000001E-2</c:v>
              </c:pt>
              <c:pt idx="2365">
                <c:v>9.48069E-2</c:v>
              </c:pt>
              <c:pt idx="2366">
                <c:v>9.4846899999999998E-2</c:v>
              </c:pt>
              <c:pt idx="2367">
                <c:v>9.4886899999999996E-2</c:v>
              </c:pt>
              <c:pt idx="2368">
                <c:v>9.4926899999999995E-2</c:v>
              </c:pt>
              <c:pt idx="2369">
                <c:v>9.4966900000000007E-2</c:v>
              </c:pt>
              <c:pt idx="2370">
                <c:v>9.5006900000000005E-2</c:v>
              </c:pt>
              <c:pt idx="2371">
                <c:v>9.5046900000000004E-2</c:v>
              </c:pt>
              <c:pt idx="2372">
                <c:v>9.5086900000000002E-2</c:v>
              </c:pt>
              <c:pt idx="2373">
                <c:v>9.51269E-2</c:v>
              </c:pt>
              <c:pt idx="2374">
                <c:v>9.5166899999999999E-2</c:v>
              </c:pt>
              <c:pt idx="2375">
                <c:v>9.5206899999999997E-2</c:v>
              </c:pt>
              <c:pt idx="2376">
                <c:v>9.5246899999999995E-2</c:v>
              </c:pt>
              <c:pt idx="2377">
                <c:v>9.5286899999999994E-2</c:v>
              </c:pt>
              <c:pt idx="2378">
                <c:v>9.5326900000000006E-2</c:v>
              </c:pt>
              <c:pt idx="2379">
                <c:v>9.5366900000000004E-2</c:v>
              </c:pt>
              <c:pt idx="2380">
                <c:v>9.5406900000000003E-2</c:v>
              </c:pt>
              <c:pt idx="2381">
                <c:v>9.5446900000000001E-2</c:v>
              </c:pt>
              <c:pt idx="2382">
                <c:v>9.54869E-2</c:v>
              </c:pt>
              <c:pt idx="2383">
                <c:v>9.5526899999999998E-2</c:v>
              </c:pt>
              <c:pt idx="2384">
                <c:v>9.5566899999999996E-2</c:v>
              </c:pt>
              <c:pt idx="2385">
                <c:v>9.5606899999999995E-2</c:v>
              </c:pt>
              <c:pt idx="2386">
                <c:v>9.5646900000000007E-2</c:v>
              </c:pt>
              <c:pt idx="2387">
                <c:v>9.5686900000000005E-2</c:v>
              </c:pt>
              <c:pt idx="2388">
                <c:v>9.5726900000000004E-2</c:v>
              </c:pt>
              <c:pt idx="2389">
                <c:v>9.5766900000000002E-2</c:v>
              </c:pt>
              <c:pt idx="2390">
                <c:v>9.58069E-2</c:v>
              </c:pt>
              <c:pt idx="2391">
                <c:v>9.5846899999999999E-2</c:v>
              </c:pt>
              <c:pt idx="2392">
                <c:v>9.5886899999999997E-2</c:v>
              </c:pt>
              <c:pt idx="2393">
                <c:v>9.5926899999999996E-2</c:v>
              </c:pt>
              <c:pt idx="2394">
                <c:v>9.5966899999999994E-2</c:v>
              </c:pt>
              <c:pt idx="2395">
                <c:v>9.6006900000000006E-2</c:v>
              </c:pt>
              <c:pt idx="2396">
                <c:v>9.6046900000000004E-2</c:v>
              </c:pt>
              <c:pt idx="2397">
                <c:v>9.6086900000000003E-2</c:v>
              </c:pt>
              <c:pt idx="2398">
                <c:v>9.6126900000000001E-2</c:v>
              </c:pt>
              <c:pt idx="2399">
                <c:v>9.61669E-2</c:v>
              </c:pt>
              <c:pt idx="2400">
                <c:v>9.6206899999999998E-2</c:v>
              </c:pt>
              <c:pt idx="2401">
                <c:v>9.6246899999999996E-2</c:v>
              </c:pt>
              <c:pt idx="2402">
                <c:v>9.6286899999999995E-2</c:v>
              </c:pt>
              <c:pt idx="2403">
                <c:v>9.6326899999999993E-2</c:v>
              </c:pt>
              <c:pt idx="2404">
                <c:v>9.6366900000000005E-2</c:v>
              </c:pt>
              <c:pt idx="2405">
                <c:v>9.6406900000000004E-2</c:v>
              </c:pt>
              <c:pt idx="2406">
                <c:v>9.6446900000000002E-2</c:v>
              </c:pt>
              <c:pt idx="2407">
                <c:v>9.64869E-2</c:v>
              </c:pt>
              <c:pt idx="2408">
                <c:v>9.6526899999999999E-2</c:v>
              </c:pt>
              <c:pt idx="2409">
                <c:v>9.6566899999999997E-2</c:v>
              </c:pt>
              <c:pt idx="2410">
                <c:v>9.6606899999999996E-2</c:v>
              </c:pt>
              <c:pt idx="2411">
                <c:v>9.6646899999999994E-2</c:v>
              </c:pt>
              <c:pt idx="2412">
                <c:v>9.6686900000000006E-2</c:v>
              </c:pt>
              <c:pt idx="2413">
                <c:v>9.6726900000000005E-2</c:v>
              </c:pt>
              <c:pt idx="2414">
                <c:v>9.6766900000000003E-2</c:v>
              </c:pt>
              <c:pt idx="2415">
                <c:v>9.6806900000000001E-2</c:v>
              </c:pt>
              <c:pt idx="2416">
                <c:v>9.68469E-2</c:v>
              </c:pt>
              <c:pt idx="2417">
                <c:v>9.6886899999999998E-2</c:v>
              </c:pt>
              <c:pt idx="2418">
                <c:v>9.6926899999999996E-2</c:v>
              </c:pt>
              <c:pt idx="2419">
                <c:v>9.6966899999999995E-2</c:v>
              </c:pt>
              <c:pt idx="2420">
                <c:v>9.7006899999999993E-2</c:v>
              </c:pt>
              <c:pt idx="2421">
                <c:v>9.7046900000000005E-2</c:v>
              </c:pt>
              <c:pt idx="2422">
                <c:v>9.7086900000000004E-2</c:v>
              </c:pt>
              <c:pt idx="2423">
                <c:v>9.7126900000000002E-2</c:v>
              </c:pt>
              <c:pt idx="2424">
                <c:v>9.71669E-2</c:v>
              </c:pt>
              <c:pt idx="2425">
                <c:v>9.7206899999999999E-2</c:v>
              </c:pt>
              <c:pt idx="2426">
                <c:v>9.7246899999999997E-2</c:v>
              </c:pt>
              <c:pt idx="2427">
                <c:v>9.7286899999999996E-2</c:v>
              </c:pt>
              <c:pt idx="2428">
                <c:v>9.7326899999999994E-2</c:v>
              </c:pt>
              <c:pt idx="2429">
                <c:v>9.7366900000000006E-2</c:v>
              </c:pt>
              <c:pt idx="2430">
                <c:v>9.7406900000000005E-2</c:v>
              </c:pt>
              <c:pt idx="2431">
                <c:v>9.7446900000000003E-2</c:v>
              </c:pt>
              <c:pt idx="2432">
                <c:v>9.7486900000000001E-2</c:v>
              </c:pt>
              <c:pt idx="2433">
                <c:v>9.75269E-2</c:v>
              </c:pt>
              <c:pt idx="2434">
                <c:v>9.7566899999999998E-2</c:v>
              </c:pt>
              <c:pt idx="2435">
                <c:v>9.7606899999999996E-2</c:v>
              </c:pt>
              <c:pt idx="2436">
                <c:v>9.7646899999999995E-2</c:v>
              </c:pt>
              <c:pt idx="2437">
                <c:v>9.7686899999999993E-2</c:v>
              </c:pt>
              <c:pt idx="2438">
                <c:v>9.7726900000000005E-2</c:v>
              </c:pt>
              <c:pt idx="2439">
                <c:v>9.7766900000000004E-2</c:v>
              </c:pt>
              <c:pt idx="2440">
                <c:v>9.7806900000000002E-2</c:v>
              </c:pt>
              <c:pt idx="2441">
                <c:v>9.7846900000000001E-2</c:v>
              </c:pt>
              <c:pt idx="2442">
                <c:v>9.7886899999999999E-2</c:v>
              </c:pt>
              <c:pt idx="2443">
                <c:v>9.7926899999999997E-2</c:v>
              </c:pt>
              <c:pt idx="2444">
                <c:v>9.7966899999999996E-2</c:v>
              </c:pt>
              <c:pt idx="2445">
                <c:v>9.8006899999999994E-2</c:v>
              </c:pt>
              <c:pt idx="2446">
                <c:v>9.8046900000000006E-2</c:v>
              </c:pt>
              <c:pt idx="2447">
                <c:v>9.8086900000000005E-2</c:v>
              </c:pt>
              <c:pt idx="2448">
                <c:v>9.8126900000000003E-2</c:v>
              </c:pt>
              <c:pt idx="2449">
                <c:v>9.8166900000000001E-2</c:v>
              </c:pt>
              <c:pt idx="2450">
                <c:v>9.82069E-2</c:v>
              </c:pt>
              <c:pt idx="2451">
                <c:v>9.8246899999999998E-2</c:v>
              </c:pt>
              <c:pt idx="2452">
                <c:v>9.8286899999999996E-2</c:v>
              </c:pt>
              <c:pt idx="2453">
                <c:v>9.8326899999999995E-2</c:v>
              </c:pt>
              <c:pt idx="2454">
                <c:v>9.8366899999999993E-2</c:v>
              </c:pt>
              <c:pt idx="2455">
                <c:v>9.8406900000000005E-2</c:v>
              </c:pt>
              <c:pt idx="2456">
                <c:v>9.8446900000000004E-2</c:v>
              </c:pt>
              <c:pt idx="2457">
                <c:v>9.8486900000000002E-2</c:v>
              </c:pt>
              <c:pt idx="2458">
                <c:v>9.8526900000000001E-2</c:v>
              </c:pt>
              <c:pt idx="2459">
                <c:v>9.8566899999999999E-2</c:v>
              </c:pt>
              <c:pt idx="2460">
                <c:v>9.8606899999999997E-2</c:v>
              </c:pt>
              <c:pt idx="2461">
                <c:v>9.8646899999999996E-2</c:v>
              </c:pt>
              <c:pt idx="2462">
                <c:v>9.8686899999999994E-2</c:v>
              </c:pt>
              <c:pt idx="2463">
                <c:v>9.8726900000000006E-2</c:v>
              </c:pt>
              <c:pt idx="2464">
                <c:v>9.8766900000000005E-2</c:v>
              </c:pt>
              <c:pt idx="2465">
                <c:v>9.8806900000000003E-2</c:v>
              </c:pt>
              <c:pt idx="2466">
                <c:v>9.8846900000000001E-2</c:v>
              </c:pt>
              <c:pt idx="2467">
                <c:v>9.88869E-2</c:v>
              </c:pt>
              <c:pt idx="2468">
                <c:v>9.8926899999999998E-2</c:v>
              </c:pt>
              <c:pt idx="2469">
                <c:v>9.8966899999999997E-2</c:v>
              </c:pt>
              <c:pt idx="2470">
                <c:v>9.9006899999999995E-2</c:v>
              </c:pt>
              <c:pt idx="2471">
                <c:v>9.9046899999999993E-2</c:v>
              </c:pt>
              <c:pt idx="2472">
                <c:v>9.9086900000000006E-2</c:v>
              </c:pt>
              <c:pt idx="2473">
                <c:v>9.9126900000000004E-2</c:v>
              </c:pt>
              <c:pt idx="2474">
                <c:v>9.9166900000000002E-2</c:v>
              </c:pt>
              <c:pt idx="2475">
                <c:v>9.9206900000000001E-2</c:v>
              </c:pt>
              <c:pt idx="2476">
                <c:v>9.9246899999999999E-2</c:v>
              </c:pt>
              <c:pt idx="2477">
                <c:v>9.9286899999999997E-2</c:v>
              </c:pt>
              <c:pt idx="2478">
                <c:v>9.9326899999999996E-2</c:v>
              </c:pt>
              <c:pt idx="2479">
                <c:v>9.9366899999999994E-2</c:v>
              </c:pt>
              <c:pt idx="2480">
                <c:v>9.9406900000000006E-2</c:v>
              </c:pt>
              <c:pt idx="2481">
                <c:v>9.9446900000000005E-2</c:v>
              </c:pt>
              <c:pt idx="2482">
                <c:v>9.9486900000000003E-2</c:v>
              </c:pt>
              <c:pt idx="2483">
                <c:v>9.9526900000000001E-2</c:v>
              </c:pt>
              <c:pt idx="2484">
                <c:v>9.95669E-2</c:v>
              </c:pt>
              <c:pt idx="2485">
                <c:v>9.9606899999999998E-2</c:v>
              </c:pt>
              <c:pt idx="2486">
                <c:v>9.9646899999999997E-2</c:v>
              </c:pt>
              <c:pt idx="2487">
                <c:v>9.9686899999999995E-2</c:v>
              </c:pt>
              <c:pt idx="2488">
                <c:v>9.9726899999999993E-2</c:v>
              </c:pt>
              <c:pt idx="2489">
                <c:v>9.9766900000000006E-2</c:v>
              </c:pt>
              <c:pt idx="2490">
                <c:v>9.9806900000000004E-2</c:v>
              </c:pt>
              <c:pt idx="2491">
                <c:v>9.9846900000000002E-2</c:v>
              </c:pt>
              <c:pt idx="2492">
                <c:v>9.9886900000000001E-2</c:v>
              </c:pt>
              <c:pt idx="2493">
                <c:v>9.9926899999999999E-2</c:v>
              </c:pt>
              <c:pt idx="2494">
                <c:v>9.9966899999999997E-2</c:v>
              </c:pt>
              <c:pt idx="2495">
                <c:v>0.100007</c:v>
              </c:pt>
              <c:pt idx="2496">
                <c:v>0.100047</c:v>
              </c:pt>
              <c:pt idx="2497">
                <c:v>0.100087</c:v>
              </c:pt>
              <c:pt idx="2498">
                <c:v>0.10012699999999999</c:v>
              </c:pt>
              <c:pt idx="2499">
                <c:v>0.10016700000000001</c:v>
              </c:pt>
              <c:pt idx="2500">
                <c:v>0.100207</c:v>
              </c:pt>
              <c:pt idx="2501">
                <c:v>0.100247</c:v>
              </c:pt>
              <c:pt idx="2502">
                <c:v>0.100287</c:v>
              </c:pt>
              <c:pt idx="2503">
                <c:v>0.100327</c:v>
              </c:pt>
              <c:pt idx="2504">
                <c:v>0.100367</c:v>
              </c:pt>
              <c:pt idx="2505">
                <c:v>0.100407</c:v>
              </c:pt>
              <c:pt idx="2506">
                <c:v>0.10044699999999999</c:v>
              </c:pt>
              <c:pt idx="2507">
                <c:v>0.10048700000000001</c:v>
              </c:pt>
              <c:pt idx="2508">
                <c:v>0.10052700000000001</c:v>
              </c:pt>
              <c:pt idx="2509">
                <c:v>0.100567</c:v>
              </c:pt>
              <c:pt idx="2510">
                <c:v>0.100607</c:v>
              </c:pt>
              <c:pt idx="2511">
                <c:v>0.100647</c:v>
              </c:pt>
              <c:pt idx="2512">
                <c:v>0.100687</c:v>
              </c:pt>
              <c:pt idx="2513">
                <c:v>0.100727</c:v>
              </c:pt>
              <c:pt idx="2514">
                <c:v>0.100767</c:v>
              </c:pt>
              <c:pt idx="2515">
                <c:v>0.10080699999999999</c:v>
              </c:pt>
              <c:pt idx="2516">
                <c:v>0.10084700000000001</c:v>
              </c:pt>
              <c:pt idx="2517">
                <c:v>0.100887</c:v>
              </c:pt>
              <c:pt idx="2518">
                <c:v>0.100927</c:v>
              </c:pt>
              <c:pt idx="2519">
                <c:v>0.100967</c:v>
              </c:pt>
              <c:pt idx="2520">
                <c:v>0.101007</c:v>
              </c:pt>
              <c:pt idx="2521">
                <c:v>0.101047</c:v>
              </c:pt>
              <c:pt idx="2522">
                <c:v>0.101087</c:v>
              </c:pt>
              <c:pt idx="2523">
                <c:v>0.10112699999999999</c:v>
              </c:pt>
              <c:pt idx="2524">
                <c:v>0.10116700000000001</c:v>
              </c:pt>
              <c:pt idx="2525">
                <c:v>0.10120700000000001</c:v>
              </c:pt>
              <c:pt idx="2526">
                <c:v>0.101247</c:v>
              </c:pt>
              <c:pt idx="2527">
                <c:v>0.101287</c:v>
              </c:pt>
              <c:pt idx="2528">
                <c:v>0.101327</c:v>
              </c:pt>
              <c:pt idx="2529">
                <c:v>0.101367</c:v>
              </c:pt>
              <c:pt idx="2530">
                <c:v>0.101407</c:v>
              </c:pt>
              <c:pt idx="2531">
                <c:v>0.101447</c:v>
              </c:pt>
              <c:pt idx="2532">
                <c:v>0.10148699999999999</c:v>
              </c:pt>
              <c:pt idx="2533">
                <c:v>0.10152700000000001</c:v>
              </c:pt>
              <c:pt idx="2534">
                <c:v>0.101567</c:v>
              </c:pt>
              <c:pt idx="2535">
                <c:v>0.101607</c:v>
              </c:pt>
              <c:pt idx="2536">
                <c:v>0.101647</c:v>
              </c:pt>
              <c:pt idx="2537">
                <c:v>0.101687</c:v>
              </c:pt>
              <c:pt idx="2538">
                <c:v>0.101727</c:v>
              </c:pt>
              <c:pt idx="2539">
                <c:v>0.101767</c:v>
              </c:pt>
              <c:pt idx="2540">
                <c:v>0.10180699999999999</c:v>
              </c:pt>
              <c:pt idx="2541">
                <c:v>0.10184699999999999</c:v>
              </c:pt>
              <c:pt idx="2542">
                <c:v>0.10188700000000001</c:v>
              </c:pt>
              <c:pt idx="2543">
                <c:v>0.101927</c:v>
              </c:pt>
              <c:pt idx="2544">
                <c:v>0.101967</c:v>
              </c:pt>
              <c:pt idx="2545">
                <c:v>0.102007</c:v>
              </c:pt>
              <c:pt idx="2546">
                <c:v>0.102047</c:v>
              </c:pt>
              <c:pt idx="2547">
                <c:v>0.102087</c:v>
              </c:pt>
              <c:pt idx="2548">
                <c:v>0.102127</c:v>
              </c:pt>
              <c:pt idx="2549">
                <c:v>0.10216699999999999</c:v>
              </c:pt>
              <c:pt idx="2550">
                <c:v>0.10220700000000001</c:v>
              </c:pt>
              <c:pt idx="2551">
                <c:v>0.102247</c:v>
              </c:pt>
              <c:pt idx="2552">
                <c:v>0.102287</c:v>
              </c:pt>
              <c:pt idx="2553">
                <c:v>0.102327</c:v>
              </c:pt>
              <c:pt idx="2554">
                <c:v>0.102367</c:v>
              </c:pt>
              <c:pt idx="2555">
                <c:v>0.102407</c:v>
              </c:pt>
              <c:pt idx="2556">
                <c:v>0.102447</c:v>
              </c:pt>
              <c:pt idx="2557">
                <c:v>0.10248699999999999</c:v>
              </c:pt>
              <c:pt idx="2558">
                <c:v>0.10252699999999999</c:v>
              </c:pt>
              <c:pt idx="2559">
                <c:v>0.10256700000000001</c:v>
              </c:pt>
              <c:pt idx="2560">
                <c:v>0.102607</c:v>
              </c:pt>
              <c:pt idx="2561">
                <c:v>0.102647</c:v>
              </c:pt>
              <c:pt idx="2562">
                <c:v>0.102687</c:v>
              </c:pt>
              <c:pt idx="2563">
                <c:v>0.102727</c:v>
              </c:pt>
              <c:pt idx="2564">
                <c:v>0.102767</c:v>
              </c:pt>
              <c:pt idx="2565">
                <c:v>0.102807</c:v>
              </c:pt>
              <c:pt idx="2566">
                <c:v>0.10284699999999999</c:v>
              </c:pt>
              <c:pt idx="2567">
                <c:v>0.10288700000000001</c:v>
              </c:pt>
              <c:pt idx="2568">
                <c:v>0.102927</c:v>
              </c:pt>
              <c:pt idx="2569">
                <c:v>0.102967</c:v>
              </c:pt>
              <c:pt idx="2570">
                <c:v>0.103007</c:v>
              </c:pt>
              <c:pt idx="2571">
                <c:v>0.103047</c:v>
              </c:pt>
              <c:pt idx="2572">
                <c:v>0.103087</c:v>
              </c:pt>
              <c:pt idx="2573">
                <c:v>0.103127</c:v>
              </c:pt>
              <c:pt idx="2574">
                <c:v>0.10316699999999999</c:v>
              </c:pt>
              <c:pt idx="2575">
                <c:v>0.10320699999999999</c:v>
              </c:pt>
              <c:pt idx="2576">
                <c:v>0.10324700000000001</c:v>
              </c:pt>
              <c:pt idx="2577">
                <c:v>0.103287</c:v>
              </c:pt>
              <c:pt idx="2578">
                <c:v>0.103327</c:v>
              </c:pt>
              <c:pt idx="2579">
                <c:v>0.103367</c:v>
              </c:pt>
              <c:pt idx="2580">
                <c:v>0.103407</c:v>
              </c:pt>
              <c:pt idx="2581">
                <c:v>0.103447</c:v>
              </c:pt>
              <c:pt idx="2582">
                <c:v>0.103487</c:v>
              </c:pt>
              <c:pt idx="2583">
                <c:v>0.10352699999999999</c:v>
              </c:pt>
              <c:pt idx="2584">
                <c:v>0.10356700000000001</c:v>
              </c:pt>
              <c:pt idx="2585">
                <c:v>0.103607</c:v>
              </c:pt>
              <c:pt idx="2586">
                <c:v>0.103647</c:v>
              </c:pt>
              <c:pt idx="2587">
                <c:v>0.103687</c:v>
              </c:pt>
              <c:pt idx="2588">
                <c:v>0.103727</c:v>
              </c:pt>
              <c:pt idx="2589">
                <c:v>0.103767</c:v>
              </c:pt>
              <c:pt idx="2590">
                <c:v>0.103807</c:v>
              </c:pt>
              <c:pt idx="2591">
                <c:v>0.10384699999999999</c:v>
              </c:pt>
              <c:pt idx="2592">
                <c:v>0.10388699999999999</c:v>
              </c:pt>
              <c:pt idx="2593">
                <c:v>0.10392700000000001</c:v>
              </c:pt>
              <c:pt idx="2594">
                <c:v>0.103967</c:v>
              </c:pt>
              <c:pt idx="2595">
                <c:v>0.104007</c:v>
              </c:pt>
              <c:pt idx="2596">
                <c:v>0.104047</c:v>
              </c:pt>
              <c:pt idx="2597">
                <c:v>0.104087</c:v>
              </c:pt>
              <c:pt idx="2598">
                <c:v>0.104127</c:v>
              </c:pt>
              <c:pt idx="2599">
                <c:v>0.104167</c:v>
              </c:pt>
              <c:pt idx="2600">
                <c:v>0.10420699999999999</c:v>
              </c:pt>
              <c:pt idx="2601">
                <c:v>0.10424700000000001</c:v>
              </c:pt>
              <c:pt idx="2602">
                <c:v>0.104287</c:v>
              </c:pt>
              <c:pt idx="2603">
                <c:v>0.104327</c:v>
              </c:pt>
              <c:pt idx="2604">
                <c:v>0.104367</c:v>
              </c:pt>
              <c:pt idx="2605">
                <c:v>0.104407</c:v>
              </c:pt>
              <c:pt idx="2606">
                <c:v>0.104447</c:v>
              </c:pt>
              <c:pt idx="2607">
                <c:v>0.104487</c:v>
              </c:pt>
              <c:pt idx="2608">
                <c:v>0.10452699999999999</c:v>
              </c:pt>
              <c:pt idx="2609">
                <c:v>0.10456699999999999</c:v>
              </c:pt>
              <c:pt idx="2610">
                <c:v>0.10460700000000001</c:v>
              </c:pt>
              <c:pt idx="2611">
                <c:v>0.104647</c:v>
              </c:pt>
              <c:pt idx="2612">
                <c:v>0.104687</c:v>
              </c:pt>
              <c:pt idx="2613">
                <c:v>0.104727</c:v>
              </c:pt>
              <c:pt idx="2614">
                <c:v>0.104767</c:v>
              </c:pt>
              <c:pt idx="2615">
                <c:v>0.104807</c:v>
              </c:pt>
              <c:pt idx="2616">
                <c:v>0.104847</c:v>
              </c:pt>
              <c:pt idx="2617">
                <c:v>0.10488699999999999</c:v>
              </c:pt>
              <c:pt idx="2618">
                <c:v>0.10492700000000001</c:v>
              </c:pt>
              <c:pt idx="2619">
                <c:v>0.104967</c:v>
              </c:pt>
              <c:pt idx="2620">
                <c:v>0.105007</c:v>
              </c:pt>
              <c:pt idx="2621">
                <c:v>0.105047</c:v>
              </c:pt>
              <c:pt idx="2622">
                <c:v>0.105087</c:v>
              </c:pt>
              <c:pt idx="2623">
                <c:v>0.105127</c:v>
              </c:pt>
              <c:pt idx="2624">
                <c:v>0.105167</c:v>
              </c:pt>
              <c:pt idx="2625">
                <c:v>0.10520699999999999</c:v>
              </c:pt>
              <c:pt idx="2626">
                <c:v>0.10524699999999999</c:v>
              </c:pt>
              <c:pt idx="2627">
                <c:v>0.10528700000000001</c:v>
              </c:pt>
              <c:pt idx="2628">
                <c:v>0.105327</c:v>
              </c:pt>
              <c:pt idx="2629">
                <c:v>0.105367</c:v>
              </c:pt>
              <c:pt idx="2630">
                <c:v>0.105407</c:v>
              </c:pt>
              <c:pt idx="2631">
                <c:v>0.105447</c:v>
              </c:pt>
              <c:pt idx="2632">
                <c:v>0.105487</c:v>
              </c:pt>
              <c:pt idx="2633">
                <c:v>0.105527</c:v>
              </c:pt>
              <c:pt idx="2634">
                <c:v>0.10556699999999999</c:v>
              </c:pt>
              <c:pt idx="2635">
                <c:v>0.10560700000000001</c:v>
              </c:pt>
              <c:pt idx="2636">
                <c:v>0.105647</c:v>
              </c:pt>
              <c:pt idx="2637">
                <c:v>0.105687</c:v>
              </c:pt>
              <c:pt idx="2638">
                <c:v>0.105727</c:v>
              </c:pt>
              <c:pt idx="2639">
                <c:v>0.105767</c:v>
              </c:pt>
              <c:pt idx="2640">
                <c:v>0.105807</c:v>
              </c:pt>
              <c:pt idx="2641">
                <c:v>0.105847</c:v>
              </c:pt>
              <c:pt idx="2642">
                <c:v>0.105887</c:v>
              </c:pt>
              <c:pt idx="2643">
                <c:v>0.10592699999999999</c:v>
              </c:pt>
              <c:pt idx="2644">
                <c:v>0.10596700000000001</c:v>
              </c:pt>
              <c:pt idx="2645">
                <c:v>0.106007</c:v>
              </c:pt>
              <c:pt idx="2646">
                <c:v>0.106047</c:v>
              </c:pt>
              <c:pt idx="2647">
                <c:v>0.106087</c:v>
              </c:pt>
              <c:pt idx="2648">
                <c:v>0.106127</c:v>
              </c:pt>
              <c:pt idx="2649">
                <c:v>0.106167</c:v>
              </c:pt>
              <c:pt idx="2650">
                <c:v>0.106207</c:v>
              </c:pt>
              <c:pt idx="2651">
                <c:v>0.10624699999999999</c:v>
              </c:pt>
              <c:pt idx="2652">
                <c:v>0.10628700000000001</c:v>
              </c:pt>
              <c:pt idx="2653">
                <c:v>0.106327</c:v>
              </c:pt>
              <c:pt idx="2654">
                <c:v>0.106367</c:v>
              </c:pt>
              <c:pt idx="2655">
                <c:v>0.106407</c:v>
              </c:pt>
              <c:pt idx="2656">
                <c:v>0.106447</c:v>
              </c:pt>
              <c:pt idx="2657">
                <c:v>0.106487</c:v>
              </c:pt>
              <c:pt idx="2658">
                <c:v>0.106527</c:v>
              </c:pt>
              <c:pt idx="2659">
                <c:v>0.106567</c:v>
              </c:pt>
              <c:pt idx="2660">
                <c:v>0.10660699999999999</c:v>
              </c:pt>
              <c:pt idx="2661">
                <c:v>0.10664700000000001</c:v>
              </c:pt>
              <c:pt idx="2662">
                <c:v>0.106687</c:v>
              </c:pt>
              <c:pt idx="2663">
                <c:v>0.106727</c:v>
              </c:pt>
              <c:pt idx="2664">
                <c:v>0.106767</c:v>
              </c:pt>
              <c:pt idx="2665">
                <c:v>0.106807</c:v>
              </c:pt>
              <c:pt idx="2666">
                <c:v>0.106847</c:v>
              </c:pt>
              <c:pt idx="2667">
                <c:v>0.106887</c:v>
              </c:pt>
              <c:pt idx="2668">
                <c:v>0.10692699999999999</c:v>
              </c:pt>
              <c:pt idx="2669">
                <c:v>0.10696700000000001</c:v>
              </c:pt>
              <c:pt idx="2670">
                <c:v>0.107007</c:v>
              </c:pt>
              <c:pt idx="2671">
                <c:v>0.107047</c:v>
              </c:pt>
              <c:pt idx="2672">
                <c:v>0.107087</c:v>
              </c:pt>
              <c:pt idx="2673">
                <c:v>0.107127</c:v>
              </c:pt>
              <c:pt idx="2674">
                <c:v>0.107167</c:v>
              </c:pt>
              <c:pt idx="2675">
                <c:v>0.107207</c:v>
              </c:pt>
              <c:pt idx="2676">
                <c:v>0.107247</c:v>
              </c:pt>
              <c:pt idx="2677">
                <c:v>0.10728699999999999</c:v>
              </c:pt>
              <c:pt idx="2678">
                <c:v>0.10732700000000001</c:v>
              </c:pt>
              <c:pt idx="2679">
                <c:v>0.107367</c:v>
              </c:pt>
              <c:pt idx="2680">
                <c:v>0.107407</c:v>
              </c:pt>
              <c:pt idx="2681">
                <c:v>0.107447</c:v>
              </c:pt>
              <c:pt idx="2682">
                <c:v>0.107487</c:v>
              </c:pt>
              <c:pt idx="2683">
                <c:v>0.107527</c:v>
              </c:pt>
              <c:pt idx="2684">
                <c:v>0.107567</c:v>
              </c:pt>
              <c:pt idx="2685">
                <c:v>0.10760699999999999</c:v>
              </c:pt>
              <c:pt idx="2686">
                <c:v>0.10764700000000001</c:v>
              </c:pt>
              <c:pt idx="2687">
                <c:v>0.107687</c:v>
              </c:pt>
              <c:pt idx="2688">
                <c:v>0.107727</c:v>
              </c:pt>
              <c:pt idx="2689">
                <c:v>0.107767</c:v>
              </c:pt>
              <c:pt idx="2690">
                <c:v>0.107807</c:v>
              </c:pt>
              <c:pt idx="2691">
                <c:v>0.107847</c:v>
              </c:pt>
              <c:pt idx="2692">
                <c:v>0.107887</c:v>
              </c:pt>
              <c:pt idx="2693">
                <c:v>0.107927</c:v>
              </c:pt>
              <c:pt idx="2694">
                <c:v>0.10796699999999999</c:v>
              </c:pt>
              <c:pt idx="2695">
                <c:v>0.10800700000000001</c:v>
              </c:pt>
              <c:pt idx="2696">
                <c:v>0.108047</c:v>
              </c:pt>
              <c:pt idx="2697">
                <c:v>0.108087</c:v>
              </c:pt>
              <c:pt idx="2698">
                <c:v>0.108127</c:v>
              </c:pt>
              <c:pt idx="2699">
                <c:v>0.108167</c:v>
              </c:pt>
              <c:pt idx="2700">
                <c:v>0.108207</c:v>
              </c:pt>
              <c:pt idx="2701">
                <c:v>0.108247</c:v>
              </c:pt>
              <c:pt idx="2702">
                <c:v>0.10828699999999999</c:v>
              </c:pt>
              <c:pt idx="2703">
                <c:v>0.10832700000000001</c:v>
              </c:pt>
              <c:pt idx="2704">
                <c:v>0.108367</c:v>
              </c:pt>
              <c:pt idx="2705">
                <c:v>0.108407</c:v>
              </c:pt>
              <c:pt idx="2706">
                <c:v>0.108447</c:v>
              </c:pt>
              <c:pt idx="2707">
                <c:v>0.108487</c:v>
              </c:pt>
              <c:pt idx="2708">
                <c:v>0.108527</c:v>
              </c:pt>
              <c:pt idx="2709">
                <c:v>0.108567</c:v>
              </c:pt>
              <c:pt idx="2710">
                <c:v>0.108607</c:v>
              </c:pt>
              <c:pt idx="2711">
                <c:v>0.10864699999999999</c:v>
              </c:pt>
              <c:pt idx="2712">
                <c:v>0.10868700000000001</c:v>
              </c:pt>
              <c:pt idx="2713">
                <c:v>0.108727</c:v>
              </c:pt>
              <c:pt idx="2714">
                <c:v>0.108767</c:v>
              </c:pt>
              <c:pt idx="2715">
                <c:v>0.108807</c:v>
              </c:pt>
              <c:pt idx="2716">
                <c:v>0.108847</c:v>
              </c:pt>
              <c:pt idx="2717">
                <c:v>0.108887</c:v>
              </c:pt>
              <c:pt idx="2718">
                <c:v>0.108927</c:v>
              </c:pt>
              <c:pt idx="2719">
                <c:v>0.10896699999999999</c:v>
              </c:pt>
              <c:pt idx="2720">
                <c:v>0.10900700000000001</c:v>
              </c:pt>
              <c:pt idx="2721">
                <c:v>0.10904700000000001</c:v>
              </c:pt>
              <c:pt idx="2722">
                <c:v>0.109087</c:v>
              </c:pt>
              <c:pt idx="2723">
                <c:v>0.109127</c:v>
              </c:pt>
              <c:pt idx="2724">
                <c:v>0.109167</c:v>
              </c:pt>
              <c:pt idx="2725">
                <c:v>0.109207</c:v>
              </c:pt>
              <c:pt idx="2726">
                <c:v>0.109247</c:v>
              </c:pt>
              <c:pt idx="2727">
                <c:v>0.109287</c:v>
              </c:pt>
              <c:pt idx="2728">
                <c:v>0.10932699999999999</c:v>
              </c:pt>
              <c:pt idx="2729">
                <c:v>0.10936700000000001</c:v>
              </c:pt>
              <c:pt idx="2730">
                <c:v>0.109407</c:v>
              </c:pt>
              <c:pt idx="2731">
                <c:v>0.109447</c:v>
              </c:pt>
              <c:pt idx="2732">
                <c:v>0.109487</c:v>
              </c:pt>
              <c:pt idx="2733">
                <c:v>0.109527</c:v>
              </c:pt>
              <c:pt idx="2734">
                <c:v>0.109567</c:v>
              </c:pt>
              <c:pt idx="2735">
                <c:v>0.109607</c:v>
              </c:pt>
              <c:pt idx="2736">
                <c:v>0.10964699999999999</c:v>
              </c:pt>
              <c:pt idx="2737">
                <c:v>0.10968700000000001</c:v>
              </c:pt>
              <c:pt idx="2738">
                <c:v>0.10972700000000001</c:v>
              </c:pt>
              <c:pt idx="2739">
                <c:v>0.109767</c:v>
              </c:pt>
              <c:pt idx="2740">
                <c:v>0.109807</c:v>
              </c:pt>
              <c:pt idx="2741">
                <c:v>0.109847</c:v>
              </c:pt>
              <c:pt idx="2742">
                <c:v>0.109887</c:v>
              </c:pt>
              <c:pt idx="2743">
                <c:v>0.109927</c:v>
              </c:pt>
              <c:pt idx="2744">
                <c:v>0.109967</c:v>
              </c:pt>
              <c:pt idx="2745">
                <c:v>0.11000699999999999</c:v>
              </c:pt>
              <c:pt idx="2746">
                <c:v>0.11004700000000001</c:v>
              </c:pt>
              <c:pt idx="2747">
                <c:v>0.110087</c:v>
              </c:pt>
              <c:pt idx="2748">
                <c:v>0.110127</c:v>
              </c:pt>
              <c:pt idx="2749">
                <c:v>0.110167</c:v>
              </c:pt>
              <c:pt idx="2750">
                <c:v>0.110207</c:v>
              </c:pt>
              <c:pt idx="2751">
                <c:v>0.110247</c:v>
              </c:pt>
              <c:pt idx="2752">
                <c:v>0.110287</c:v>
              </c:pt>
              <c:pt idx="2753">
                <c:v>0.11032699999999999</c:v>
              </c:pt>
              <c:pt idx="2754">
                <c:v>0.11036700000000001</c:v>
              </c:pt>
              <c:pt idx="2755">
                <c:v>0.11040700000000001</c:v>
              </c:pt>
              <c:pt idx="2756">
                <c:v>0.110447</c:v>
              </c:pt>
              <c:pt idx="2757">
                <c:v>0.110487</c:v>
              </c:pt>
              <c:pt idx="2758">
                <c:v>0.110527</c:v>
              </c:pt>
              <c:pt idx="2759">
                <c:v>0.110567</c:v>
              </c:pt>
              <c:pt idx="2760">
                <c:v>0.110607</c:v>
              </c:pt>
              <c:pt idx="2761">
                <c:v>0.110647</c:v>
              </c:pt>
              <c:pt idx="2762">
                <c:v>0.11068699999999999</c:v>
              </c:pt>
              <c:pt idx="2763">
                <c:v>0.11072700000000001</c:v>
              </c:pt>
              <c:pt idx="2764">
                <c:v>0.110767</c:v>
              </c:pt>
              <c:pt idx="2765">
                <c:v>0.110807</c:v>
              </c:pt>
              <c:pt idx="2766">
                <c:v>0.110847</c:v>
              </c:pt>
              <c:pt idx="2767">
                <c:v>0.110887</c:v>
              </c:pt>
              <c:pt idx="2768">
                <c:v>0.110927</c:v>
              </c:pt>
              <c:pt idx="2769">
                <c:v>0.110967</c:v>
              </c:pt>
              <c:pt idx="2770">
                <c:v>0.11100699999999999</c:v>
              </c:pt>
              <c:pt idx="2771">
                <c:v>0.11104700000000001</c:v>
              </c:pt>
              <c:pt idx="2772">
                <c:v>0.11108700000000001</c:v>
              </c:pt>
              <c:pt idx="2773">
                <c:v>0.111127</c:v>
              </c:pt>
              <c:pt idx="2774">
                <c:v>0.111167</c:v>
              </c:pt>
              <c:pt idx="2775">
                <c:v>0.111207</c:v>
              </c:pt>
              <c:pt idx="2776">
                <c:v>0.111247</c:v>
              </c:pt>
              <c:pt idx="2777">
                <c:v>0.111287</c:v>
              </c:pt>
              <c:pt idx="2778">
                <c:v>0.111327</c:v>
              </c:pt>
              <c:pt idx="2779">
                <c:v>0.11136699999999999</c:v>
              </c:pt>
              <c:pt idx="2780">
                <c:v>0.11140700000000001</c:v>
              </c:pt>
              <c:pt idx="2781">
                <c:v>0.111447</c:v>
              </c:pt>
              <c:pt idx="2782">
                <c:v>0.111487</c:v>
              </c:pt>
              <c:pt idx="2783">
                <c:v>0.111527</c:v>
              </c:pt>
              <c:pt idx="2784">
                <c:v>0.111567</c:v>
              </c:pt>
              <c:pt idx="2785">
                <c:v>0.111607</c:v>
              </c:pt>
              <c:pt idx="2786">
                <c:v>0.111647</c:v>
              </c:pt>
              <c:pt idx="2787">
                <c:v>0.11168699999999999</c:v>
              </c:pt>
              <c:pt idx="2788">
                <c:v>0.11172700000000001</c:v>
              </c:pt>
              <c:pt idx="2789">
                <c:v>0.11176700000000001</c:v>
              </c:pt>
              <c:pt idx="2790">
                <c:v>0.111807</c:v>
              </c:pt>
              <c:pt idx="2791">
                <c:v>0.111847</c:v>
              </c:pt>
              <c:pt idx="2792">
                <c:v>0.111887</c:v>
              </c:pt>
              <c:pt idx="2793">
                <c:v>0.111927</c:v>
              </c:pt>
              <c:pt idx="2794">
                <c:v>0.111967</c:v>
              </c:pt>
              <c:pt idx="2795">
                <c:v>0.112007</c:v>
              </c:pt>
              <c:pt idx="2796">
                <c:v>0.11204699999999999</c:v>
              </c:pt>
              <c:pt idx="2797">
                <c:v>0.11208700000000001</c:v>
              </c:pt>
              <c:pt idx="2798">
                <c:v>0.112127</c:v>
              </c:pt>
              <c:pt idx="2799">
                <c:v>0.112167</c:v>
              </c:pt>
              <c:pt idx="2800">
                <c:v>0.112207</c:v>
              </c:pt>
              <c:pt idx="2801">
                <c:v>0.112247</c:v>
              </c:pt>
              <c:pt idx="2802">
                <c:v>0.112287</c:v>
              </c:pt>
              <c:pt idx="2803">
                <c:v>0.112327</c:v>
              </c:pt>
              <c:pt idx="2804">
                <c:v>0.11236699999999999</c:v>
              </c:pt>
              <c:pt idx="2805">
                <c:v>0.11240700000000001</c:v>
              </c:pt>
              <c:pt idx="2806">
                <c:v>0.11244700000000001</c:v>
              </c:pt>
              <c:pt idx="2807">
                <c:v>0.112487</c:v>
              </c:pt>
              <c:pt idx="2808">
                <c:v>0.112527</c:v>
              </c:pt>
              <c:pt idx="2809">
                <c:v>0.112567</c:v>
              </c:pt>
              <c:pt idx="2810">
                <c:v>0.112607</c:v>
              </c:pt>
              <c:pt idx="2811">
                <c:v>0.112647</c:v>
              </c:pt>
              <c:pt idx="2812">
                <c:v>0.112687</c:v>
              </c:pt>
              <c:pt idx="2813">
                <c:v>0.11272699999999999</c:v>
              </c:pt>
              <c:pt idx="2814">
                <c:v>0.11276700000000001</c:v>
              </c:pt>
              <c:pt idx="2815">
                <c:v>0.112807</c:v>
              </c:pt>
              <c:pt idx="2816">
                <c:v>0.112847</c:v>
              </c:pt>
              <c:pt idx="2817">
                <c:v>0.112887</c:v>
              </c:pt>
              <c:pt idx="2818">
                <c:v>0.112927</c:v>
              </c:pt>
              <c:pt idx="2819">
                <c:v>0.112967</c:v>
              </c:pt>
              <c:pt idx="2820">
                <c:v>0.113007</c:v>
              </c:pt>
              <c:pt idx="2821">
                <c:v>0.11304699999999999</c:v>
              </c:pt>
              <c:pt idx="2822">
                <c:v>0.11308699999999999</c:v>
              </c:pt>
              <c:pt idx="2823">
                <c:v>0.11312700000000001</c:v>
              </c:pt>
              <c:pt idx="2824">
                <c:v>0.113167</c:v>
              </c:pt>
              <c:pt idx="2825">
                <c:v>0.113207</c:v>
              </c:pt>
              <c:pt idx="2826">
                <c:v>0.113247</c:v>
              </c:pt>
              <c:pt idx="2827">
                <c:v>0.113287</c:v>
              </c:pt>
              <c:pt idx="2828">
                <c:v>0.113327</c:v>
              </c:pt>
              <c:pt idx="2829">
                <c:v>0.113367</c:v>
              </c:pt>
              <c:pt idx="2830">
                <c:v>0.11340699999999999</c:v>
              </c:pt>
              <c:pt idx="2831">
                <c:v>0.11344700000000001</c:v>
              </c:pt>
              <c:pt idx="2832">
                <c:v>0.113487</c:v>
              </c:pt>
              <c:pt idx="2833">
                <c:v>0.113527</c:v>
              </c:pt>
              <c:pt idx="2834">
                <c:v>0.113567</c:v>
              </c:pt>
              <c:pt idx="2835">
                <c:v>0.113607</c:v>
              </c:pt>
              <c:pt idx="2836">
                <c:v>0.113647</c:v>
              </c:pt>
              <c:pt idx="2837">
                <c:v>0.113687</c:v>
              </c:pt>
              <c:pt idx="2838">
                <c:v>0.11372699999999999</c:v>
              </c:pt>
              <c:pt idx="2839">
                <c:v>0.11376699999999999</c:v>
              </c:pt>
              <c:pt idx="2840">
                <c:v>0.11380700000000001</c:v>
              </c:pt>
              <c:pt idx="2841">
                <c:v>0.113847</c:v>
              </c:pt>
              <c:pt idx="2842">
                <c:v>0.113887</c:v>
              </c:pt>
              <c:pt idx="2843">
                <c:v>0.113927</c:v>
              </c:pt>
              <c:pt idx="2844">
                <c:v>0.113967</c:v>
              </c:pt>
              <c:pt idx="2845">
                <c:v>0.114007</c:v>
              </c:pt>
              <c:pt idx="2846">
                <c:v>0.114047</c:v>
              </c:pt>
              <c:pt idx="2847">
                <c:v>0.11408699999999999</c:v>
              </c:pt>
              <c:pt idx="2848">
                <c:v>0.11412700000000001</c:v>
              </c:pt>
              <c:pt idx="2849">
                <c:v>0.114167</c:v>
              </c:pt>
              <c:pt idx="2850">
                <c:v>0.114207</c:v>
              </c:pt>
              <c:pt idx="2851">
                <c:v>0.114247</c:v>
              </c:pt>
              <c:pt idx="2852">
                <c:v>0.114287</c:v>
              </c:pt>
              <c:pt idx="2853">
                <c:v>0.114327</c:v>
              </c:pt>
              <c:pt idx="2854">
                <c:v>0.114367</c:v>
              </c:pt>
              <c:pt idx="2855">
                <c:v>0.11440699999999999</c:v>
              </c:pt>
              <c:pt idx="2856">
                <c:v>0.11444699999999999</c:v>
              </c:pt>
              <c:pt idx="2857">
                <c:v>0.11448700000000001</c:v>
              </c:pt>
              <c:pt idx="2858">
                <c:v>0.114527</c:v>
              </c:pt>
              <c:pt idx="2859">
                <c:v>0.114567</c:v>
              </c:pt>
              <c:pt idx="2860">
                <c:v>0.114607</c:v>
              </c:pt>
              <c:pt idx="2861">
                <c:v>0.114647</c:v>
              </c:pt>
              <c:pt idx="2862">
                <c:v>0.114687</c:v>
              </c:pt>
              <c:pt idx="2863">
                <c:v>0.114727</c:v>
              </c:pt>
              <c:pt idx="2864">
                <c:v>0.11476699999999999</c:v>
              </c:pt>
              <c:pt idx="2865">
                <c:v>0.11480700000000001</c:v>
              </c:pt>
              <c:pt idx="2866">
                <c:v>0.114847</c:v>
              </c:pt>
              <c:pt idx="2867">
                <c:v>0.114887</c:v>
              </c:pt>
              <c:pt idx="2868">
                <c:v>0.114927</c:v>
              </c:pt>
              <c:pt idx="2869">
                <c:v>0.114967</c:v>
              </c:pt>
              <c:pt idx="2870">
                <c:v>0.115007</c:v>
              </c:pt>
              <c:pt idx="2871">
                <c:v>0.115047</c:v>
              </c:pt>
              <c:pt idx="2872">
                <c:v>0.11508699999999999</c:v>
              </c:pt>
              <c:pt idx="2873">
                <c:v>0.11512699999999999</c:v>
              </c:pt>
              <c:pt idx="2874">
                <c:v>0.11516700000000001</c:v>
              </c:pt>
              <c:pt idx="2875">
                <c:v>0.115207</c:v>
              </c:pt>
              <c:pt idx="2876">
                <c:v>0.115247</c:v>
              </c:pt>
              <c:pt idx="2877">
                <c:v>0.115287</c:v>
              </c:pt>
              <c:pt idx="2878">
                <c:v>0.115327</c:v>
              </c:pt>
              <c:pt idx="2879">
                <c:v>0.115367</c:v>
              </c:pt>
              <c:pt idx="2880">
                <c:v>0.115407</c:v>
              </c:pt>
              <c:pt idx="2881">
                <c:v>0.11544699999999999</c:v>
              </c:pt>
              <c:pt idx="2882">
                <c:v>0.11548700000000001</c:v>
              </c:pt>
              <c:pt idx="2883">
                <c:v>0.115527</c:v>
              </c:pt>
              <c:pt idx="2884">
                <c:v>0.115567</c:v>
              </c:pt>
              <c:pt idx="2885">
                <c:v>0.115607</c:v>
              </c:pt>
              <c:pt idx="2886">
                <c:v>0.115647</c:v>
              </c:pt>
              <c:pt idx="2887">
                <c:v>0.115687</c:v>
              </c:pt>
              <c:pt idx="2888">
                <c:v>0.115727</c:v>
              </c:pt>
              <c:pt idx="2889">
                <c:v>0.11576699999999999</c:v>
              </c:pt>
              <c:pt idx="2890">
                <c:v>0.11580699999999999</c:v>
              </c:pt>
              <c:pt idx="2891">
                <c:v>0.11584700000000001</c:v>
              </c:pt>
              <c:pt idx="2892">
                <c:v>0.115887</c:v>
              </c:pt>
              <c:pt idx="2893">
                <c:v>0.115927</c:v>
              </c:pt>
              <c:pt idx="2894">
                <c:v>0.115967</c:v>
              </c:pt>
              <c:pt idx="2895">
                <c:v>0.116007</c:v>
              </c:pt>
              <c:pt idx="2896">
                <c:v>0.116047</c:v>
              </c:pt>
              <c:pt idx="2897">
                <c:v>0.116087</c:v>
              </c:pt>
              <c:pt idx="2898">
                <c:v>0.11612699999999999</c:v>
              </c:pt>
              <c:pt idx="2899">
                <c:v>0.11616700000000001</c:v>
              </c:pt>
              <c:pt idx="2900">
                <c:v>0.116207</c:v>
              </c:pt>
              <c:pt idx="2901">
                <c:v>0.116247</c:v>
              </c:pt>
              <c:pt idx="2902">
                <c:v>0.116287</c:v>
              </c:pt>
              <c:pt idx="2903">
                <c:v>0.116327</c:v>
              </c:pt>
              <c:pt idx="2904">
                <c:v>0.116367</c:v>
              </c:pt>
              <c:pt idx="2905">
                <c:v>0.116407</c:v>
              </c:pt>
              <c:pt idx="2906">
                <c:v>0.11644699999999999</c:v>
              </c:pt>
              <c:pt idx="2907">
                <c:v>0.11648699999999999</c:v>
              </c:pt>
              <c:pt idx="2908">
                <c:v>0.11652700000000001</c:v>
              </c:pt>
              <c:pt idx="2909">
                <c:v>0.116567</c:v>
              </c:pt>
              <c:pt idx="2910">
                <c:v>0.116607</c:v>
              </c:pt>
              <c:pt idx="2911">
                <c:v>0.116647</c:v>
              </c:pt>
              <c:pt idx="2912">
                <c:v>0.116687</c:v>
              </c:pt>
              <c:pt idx="2913">
                <c:v>0.116727</c:v>
              </c:pt>
              <c:pt idx="2914">
                <c:v>0.116767</c:v>
              </c:pt>
              <c:pt idx="2915">
                <c:v>0.11680699999999999</c:v>
              </c:pt>
              <c:pt idx="2916">
                <c:v>0.11684700000000001</c:v>
              </c:pt>
              <c:pt idx="2917">
                <c:v>0.116887</c:v>
              </c:pt>
              <c:pt idx="2918">
                <c:v>0.116927</c:v>
              </c:pt>
              <c:pt idx="2919">
                <c:v>0.116967</c:v>
              </c:pt>
              <c:pt idx="2920">
                <c:v>0.117007</c:v>
              </c:pt>
              <c:pt idx="2921">
                <c:v>0.117047</c:v>
              </c:pt>
              <c:pt idx="2922">
                <c:v>0.117087</c:v>
              </c:pt>
              <c:pt idx="2923">
                <c:v>0.117127</c:v>
              </c:pt>
              <c:pt idx="2924">
                <c:v>0.11716699999999999</c:v>
              </c:pt>
              <c:pt idx="2925">
                <c:v>0.11720700000000001</c:v>
              </c:pt>
              <c:pt idx="2926">
                <c:v>0.117247</c:v>
              </c:pt>
              <c:pt idx="2927">
                <c:v>0.117287</c:v>
              </c:pt>
              <c:pt idx="2928">
                <c:v>0.117327</c:v>
              </c:pt>
              <c:pt idx="2929">
                <c:v>0.117367</c:v>
              </c:pt>
              <c:pt idx="2930">
                <c:v>0.117407</c:v>
              </c:pt>
              <c:pt idx="2931">
                <c:v>0.117447</c:v>
              </c:pt>
              <c:pt idx="2932">
                <c:v>0.11748699999999999</c:v>
              </c:pt>
              <c:pt idx="2933">
                <c:v>0.11752700000000001</c:v>
              </c:pt>
              <c:pt idx="2934">
                <c:v>0.117567</c:v>
              </c:pt>
              <c:pt idx="2935">
                <c:v>0.117607</c:v>
              </c:pt>
              <c:pt idx="2936">
                <c:v>0.117647</c:v>
              </c:pt>
              <c:pt idx="2937">
                <c:v>0.117687</c:v>
              </c:pt>
              <c:pt idx="2938">
                <c:v>0.117727</c:v>
              </c:pt>
              <c:pt idx="2939">
                <c:v>0.117767</c:v>
              </c:pt>
              <c:pt idx="2940">
                <c:v>0.117807</c:v>
              </c:pt>
              <c:pt idx="2941">
                <c:v>0.11784699999999999</c:v>
              </c:pt>
              <c:pt idx="2942">
                <c:v>0.11788700000000001</c:v>
              </c:pt>
              <c:pt idx="2943">
                <c:v>0.117927</c:v>
              </c:pt>
              <c:pt idx="2944">
                <c:v>0.117967</c:v>
              </c:pt>
              <c:pt idx="2945">
                <c:v>0.118007</c:v>
              </c:pt>
              <c:pt idx="2946">
                <c:v>0.118047</c:v>
              </c:pt>
              <c:pt idx="2947">
                <c:v>0.118087</c:v>
              </c:pt>
              <c:pt idx="2948">
                <c:v>0.118127</c:v>
              </c:pt>
              <c:pt idx="2949">
                <c:v>0.11816699999999999</c:v>
              </c:pt>
              <c:pt idx="2950">
                <c:v>0.11820700000000001</c:v>
              </c:pt>
              <c:pt idx="2951">
                <c:v>0.118247</c:v>
              </c:pt>
              <c:pt idx="2952">
                <c:v>0.118287</c:v>
              </c:pt>
              <c:pt idx="2953">
                <c:v>0.118327</c:v>
              </c:pt>
              <c:pt idx="2954">
                <c:v>0.118367</c:v>
              </c:pt>
              <c:pt idx="2955">
                <c:v>0.118407</c:v>
              </c:pt>
              <c:pt idx="2956">
                <c:v>0.118447</c:v>
              </c:pt>
              <c:pt idx="2957">
                <c:v>0.118487</c:v>
              </c:pt>
              <c:pt idx="2958">
                <c:v>0.11852699999999999</c:v>
              </c:pt>
              <c:pt idx="2959">
                <c:v>0.11856700000000001</c:v>
              </c:pt>
              <c:pt idx="2960">
                <c:v>0.118607</c:v>
              </c:pt>
              <c:pt idx="2961">
                <c:v>0.118647</c:v>
              </c:pt>
              <c:pt idx="2962">
                <c:v>0.118687</c:v>
              </c:pt>
              <c:pt idx="2963">
                <c:v>0.118727</c:v>
              </c:pt>
              <c:pt idx="2964">
                <c:v>0.118767</c:v>
              </c:pt>
              <c:pt idx="2965">
                <c:v>0.118807</c:v>
              </c:pt>
              <c:pt idx="2966">
                <c:v>0.11884699999999999</c:v>
              </c:pt>
              <c:pt idx="2967">
                <c:v>0.11888700000000001</c:v>
              </c:pt>
              <c:pt idx="2968">
                <c:v>0.118927</c:v>
              </c:pt>
              <c:pt idx="2969">
                <c:v>0.118967</c:v>
              </c:pt>
              <c:pt idx="2970">
                <c:v>0.119007</c:v>
              </c:pt>
              <c:pt idx="2971">
                <c:v>0.119047</c:v>
              </c:pt>
              <c:pt idx="2972">
                <c:v>0.119087</c:v>
              </c:pt>
              <c:pt idx="2973">
                <c:v>0.119127</c:v>
              </c:pt>
              <c:pt idx="2974">
                <c:v>0.119167</c:v>
              </c:pt>
              <c:pt idx="2975">
                <c:v>0.11920699999999999</c:v>
              </c:pt>
              <c:pt idx="2976">
                <c:v>0.11924700000000001</c:v>
              </c:pt>
              <c:pt idx="2977">
                <c:v>0.119287</c:v>
              </c:pt>
              <c:pt idx="2978">
                <c:v>0.119327</c:v>
              </c:pt>
              <c:pt idx="2979">
                <c:v>0.119367</c:v>
              </c:pt>
              <c:pt idx="2980">
                <c:v>0.119407</c:v>
              </c:pt>
              <c:pt idx="2981">
                <c:v>0.119447</c:v>
              </c:pt>
              <c:pt idx="2982">
                <c:v>0.119487</c:v>
              </c:pt>
              <c:pt idx="2983">
                <c:v>0.11952699999999999</c:v>
              </c:pt>
              <c:pt idx="2984">
                <c:v>0.11956700000000001</c:v>
              </c:pt>
              <c:pt idx="2985">
                <c:v>0.119607</c:v>
              </c:pt>
              <c:pt idx="2986">
                <c:v>0.119647</c:v>
              </c:pt>
              <c:pt idx="2987">
                <c:v>0.119687</c:v>
              </c:pt>
              <c:pt idx="2988">
                <c:v>0.119727</c:v>
              </c:pt>
              <c:pt idx="2989">
                <c:v>0.119767</c:v>
              </c:pt>
              <c:pt idx="2990">
                <c:v>0.119807</c:v>
              </c:pt>
              <c:pt idx="2991">
                <c:v>0.119847</c:v>
              </c:pt>
              <c:pt idx="2992">
                <c:v>0.11988699999999999</c:v>
              </c:pt>
              <c:pt idx="2993">
                <c:v>0.11992700000000001</c:v>
              </c:pt>
              <c:pt idx="2994">
                <c:v>0.119967</c:v>
              </c:pt>
              <c:pt idx="2995">
                <c:v>0.120007</c:v>
              </c:pt>
              <c:pt idx="2996">
                <c:v>0.120047</c:v>
              </c:pt>
              <c:pt idx="2997">
                <c:v>0.120087</c:v>
              </c:pt>
              <c:pt idx="2998">
                <c:v>0.120127</c:v>
              </c:pt>
              <c:pt idx="2999">
                <c:v>0.120167</c:v>
              </c:pt>
              <c:pt idx="3000">
                <c:v>0.12020699999999999</c:v>
              </c:pt>
              <c:pt idx="3001">
                <c:v>0.12024700000000001</c:v>
              </c:pt>
              <c:pt idx="3002">
                <c:v>0.12028700000000001</c:v>
              </c:pt>
              <c:pt idx="3003">
                <c:v>0.120327</c:v>
              </c:pt>
              <c:pt idx="3004">
                <c:v>0.120367</c:v>
              </c:pt>
              <c:pt idx="3005">
                <c:v>0.120407</c:v>
              </c:pt>
              <c:pt idx="3006">
                <c:v>0.120447</c:v>
              </c:pt>
              <c:pt idx="3007">
                <c:v>0.120487</c:v>
              </c:pt>
              <c:pt idx="3008">
                <c:v>0.120527</c:v>
              </c:pt>
              <c:pt idx="3009">
                <c:v>0.12056699999999999</c:v>
              </c:pt>
              <c:pt idx="3010">
                <c:v>0.12060700000000001</c:v>
              </c:pt>
              <c:pt idx="3011">
                <c:v>0.120647</c:v>
              </c:pt>
              <c:pt idx="3012">
                <c:v>0.120687</c:v>
              </c:pt>
              <c:pt idx="3013">
                <c:v>0.120727</c:v>
              </c:pt>
              <c:pt idx="3014">
                <c:v>0.120767</c:v>
              </c:pt>
              <c:pt idx="3015">
                <c:v>0.120807</c:v>
              </c:pt>
              <c:pt idx="3016">
                <c:v>0.120847</c:v>
              </c:pt>
              <c:pt idx="3017">
                <c:v>0.12088699999999999</c:v>
              </c:pt>
              <c:pt idx="3018">
                <c:v>0.12092700000000001</c:v>
              </c:pt>
              <c:pt idx="3019">
                <c:v>0.12096700000000001</c:v>
              </c:pt>
              <c:pt idx="3020">
                <c:v>0.121007</c:v>
              </c:pt>
              <c:pt idx="3021">
                <c:v>0.121047</c:v>
              </c:pt>
              <c:pt idx="3022">
                <c:v>0.121087</c:v>
              </c:pt>
              <c:pt idx="3023">
                <c:v>0.121127</c:v>
              </c:pt>
              <c:pt idx="3024">
                <c:v>0.121167</c:v>
              </c:pt>
              <c:pt idx="3025">
                <c:v>0.121207</c:v>
              </c:pt>
              <c:pt idx="3026">
                <c:v>0.12124699999999999</c:v>
              </c:pt>
              <c:pt idx="3027">
                <c:v>0.12128700000000001</c:v>
              </c:pt>
              <c:pt idx="3028">
                <c:v>0.121327</c:v>
              </c:pt>
              <c:pt idx="3029">
                <c:v>0.121367</c:v>
              </c:pt>
              <c:pt idx="3030">
                <c:v>0.121407</c:v>
              </c:pt>
              <c:pt idx="3031">
                <c:v>0.121447</c:v>
              </c:pt>
              <c:pt idx="3032">
                <c:v>0.121487</c:v>
              </c:pt>
              <c:pt idx="3033">
                <c:v>0.121527</c:v>
              </c:pt>
              <c:pt idx="3034">
                <c:v>0.12156699999999999</c:v>
              </c:pt>
              <c:pt idx="3035">
                <c:v>0.12160700000000001</c:v>
              </c:pt>
              <c:pt idx="3036">
                <c:v>0.12164700000000001</c:v>
              </c:pt>
              <c:pt idx="3037">
                <c:v>0.121687</c:v>
              </c:pt>
              <c:pt idx="3038">
                <c:v>0.121727</c:v>
              </c:pt>
              <c:pt idx="3039">
                <c:v>0.121767</c:v>
              </c:pt>
              <c:pt idx="3040">
                <c:v>0.121807</c:v>
              </c:pt>
              <c:pt idx="3041">
                <c:v>0.121847</c:v>
              </c:pt>
              <c:pt idx="3042">
                <c:v>0.121887</c:v>
              </c:pt>
              <c:pt idx="3043">
                <c:v>0.12192699999999999</c:v>
              </c:pt>
              <c:pt idx="3044">
                <c:v>0.12196700000000001</c:v>
              </c:pt>
              <c:pt idx="3045">
                <c:v>0.122007</c:v>
              </c:pt>
              <c:pt idx="3046">
                <c:v>0.122047</c:v>
              </c:pt>
              <c:pt idx="3047">
                <c:v>0.122087</c:v>
              </c:pt>
              <c:pt idx="3048">
                <c:v>0.122127</c:v>
              </c:pt>
              <c:pt idx="3049">
                <c:v>0.122167</c:v>
              </c:pt>
              <c:pt idx="3050">
                <c:v>0.122207</c:v>
              </c:pt>
              <c:pt idx="3051">
                <c:v>0.12224699999999999</c:v>
              </c:pt>
              <c:pt idx="3052">
                <c:v>0.12228700000000001</c:v>
              </c:pt>
              <c:pt idx="3053">
                <c:v>0.12232700000000001</c:v>
              </c:pt>
              <c:pt idx="3054">
                <c:v>0.122367</c:v>
              </c:pt>
              <c:pt idx="3055">
                <c:v>0.122407</c:v>
              </c:pt>
              <c:pt idx="3056">
                <c:v>0.122447</c:v>
              </c:pt>
              <c:pt idx="3057">
                <c:v>0.122487</c:v>
              </c:pt>
              <c:pt idx="3058">
                <c:v>0.122527</c:v>
              </c:pt>
              <c:pt idx="3059">
                <c:v>0.122567</c:v>
              </c:pt>
              <c:pt idx="3060">
                <c:v>0.12260699999999999</c:v>
              </c:pt>
              <c:pt idx="3061">
                <c:v>0.12264700000000001</c:v>
              </c:pt>
              <c:pt idx="3062">
                <c:v>0.122687</c:v>
              </c:pt>
              <c:pt idx="3063">
                <c:v>0.122727</c:v>
              </c:pt>
              <c:pt idx="3064">
                <c:v>0.122767</c:v>
              </c:pt>
              <c:pt idx="3065">
                <c:v>0.122807</c:v>
              </c:pt>
              <c:pt idx="3066">
                <c:v>0.122847</c:v>
              </c:pt>
              <c:pt idx="3067">
                <c:v>0.122887</c:v>
              </c:pt>
              <c:pt idx="3068">
                <c:v>0.12292699999999999</c:v>
              </c:pt>
              <c:pt idx="3069">
                <c:v>0.12296700000000001</c:v>
              </c:pt>
              <c:pt idx="3070">
                <c:v>0.12300700000000001</c:v>
              </c:pt>
              <c:pt idx="3071">
                <c:v>0.123047</c:v>
              </c:pt>
              <c:pt idx="3072">
                <c:v>0.123087</c:v>
              </c:pt>
              <c:pt idx="3073">
                <c:v>0.123127</c:v>
              </c:pt>
              <c:pt idx="3074">
                <c:v>0.123167</c:v>
              </c:pt>
              <c:pt idx="3075">
                <c:v>0.123207</c:v>
              </c:pt>
              <c:pt idx="3076">
                <c:v>0.123247</c:v>
              </c:pt>
              <c:pt idx="3077">
                <c:v>0.12328699999999999</c:v>
              </c:pt>
              <c:pt idx="3078">
                <c:v>0.12332700000000001</c:v>
              </c:pt>
              <c:pt idx="3079">
                <c:v>0.123367</c:v>
              </c:pt>
              <c:pt idx="3080">
                <c:v>0.123407</c:v>
              </c:pt>
              <c:pt idx="3081">
                <c:v>0.123447</c:v>
              </c:pt>
              <c:pt idx="3082">
                <c:v>0.123487</c:v>
              </c:pt>
              <c:pt idx="3083">
                <c:v>0.123527</c:v>
              </c:pt>
              <c:pt idx="3084">
                <c:v>0.123567</c:v>
              </c:pt>
              <c:pt idx="3085">
                <c:v>0.12360699999999999</c:v>
              </c:pt>
              <c:pt idx="3086">
                <c:v>0.12364700000000001</c:v>
              </c:pt>
              <c:pt idx="3087">
                <c:v>0.12368700000000001</c:v>
              </c:pt>
              <c:pt idx="3088">
                <c:v>0.123727</c:v>
              </c:pt>
              <c:pt idx="3089">
                <c:v>0.123767</c:v>
              </c:pt>
              <c:pt idx="3090">
                <c:v>0.123807</c:v>
              </c:pt>
              <c:pt idx="3091">
                <c:v>0.123847</c:v>
              </c:pt>
              <c:pt idx="3092">
                <c:v>0.123887</c:v>
              </c:pt>
              <c:pt idx="3093">
                <c:v>0.123927</c:v>
              </c:pt>
              <c:pt idx="3094">
                <c:v>0.12396699999999999</c:v>
              </c:pt>
              <c:pt idx="3095">
                <c:v>0.12400700000000001</c:v>
              </c:pt>
              <c:pt idx="3096">
                <c:v>0.124047</c:v>
              </c:pt>
              <c:pt idx="3097">
                <c:v>0.124087</c:v>
              </c:pt>
              <c:pt idx="3098">
                <c:v>0.124127</c:v>
              </c:pt>
              <c:pt idx="3099">
                <c:v>0.124167</c:v>
              </c:pt>
              <c:pt idx="3100">
                <c:v>0.124207</c:v>
              </c:pt>
              <c:pt idx="3101">
                <c:v>0.124247</c:v>
              </c:pt>
              <c:pt idx="3102">
                <c:v>0.12428699999999999</c:v>
              </c:pt>
              <c:pt idx="3103">
                <c:v>0.12432699999999999</c:v>
              </c:pt>
              <c:pt idx="3104">
                <c:v>0.12436700000000001</c:v>
              </c:pt>
              <c:pt idx="3105">
                <c:v>0.124407</c:v>
              </c:pt>
              <c:pt idx="3106">
                <c:v>0.124447</c:v>
              </c:pt>
              <c:pt idx="3107">
                <c:v>0.124487</c:v>
              </c:pt>
              <c:pt idx="3108">
                <c:v>0.124527</c:v>
              </c:pt>
              <c:pt idx="3109">
                <c:v>0.124567</c:v>
              </c:pt>
              <c:pt idx="3110">
                <c:v>0.124607</c:v>
              </c:pt>
              <c:pt idx="3111">
                <c:v>0.12464699999999999</c:v>
              </c:pt>
              <c:pt idx="3112">
                <c:v>0.12468700000000001</c:v>
              </c:pt>
              <c:pt idx="3113">
                <c:v>0.124727</c:v>
              </c:pt>
              <c:pt idx="3114">
                <c:v>0.124767</c:v>
              </c:pt>
              <c:pt idx="3115">
                <c:v>0.124807</c:v>
              </c:pt>
              <c:pt idx="3116">
                <c:v>0.124847</c:v>
              </c:pt>
              <c:pt idx="3117">
                <c:v>0.124887</c:v>
              </c:pt>
              <c:pt idx="3118">
                <c:v>0.124927</c:v>
              </c:pt>
              <c:pt idx="3119">
                <c:v>0.12496699999999999</c:v>
              </c:pt>
              <c:pt idx="3120">
                <c:v>0.12500700000000001</c:v>
              </c:pt>
              <c:pt idx="3121">
                <c:v>0.12504699999999999</c:v>
              </c:pt>
              <c:pt idx="3122">
                <c:v>0.125087</c:v>
              </c:pt>
              <c:pt idx="3123">
                <c:v>0.12512699999999999</c:v>
              </c:pt>
              <c:pt idx="3124">
                <c:v>0.125167</c:v>
              </c:pt>
              <c:pt idx="3125">
                <c:v>0.12520700000000001</c:v>
              </c:pt>
              <c:pt idx="3126">
                <c:v>0.125247</c:v>
              </c:pt>
              <c:pt idx="3127">
                <c:v>0.12528700000000001</c:v>
              </c:pt>
              <c:pt idx="3128">
                <c:v>0.12532699999999999</c:v>
              </c:pt>
              <c:pt idx="3129">
                <c:v>0.12536700000000001</c:v>
              </c:pt>
              <c:pt idx="3130">
                <c:v>0.12540699999999999</c:v>
              </c:pt>
              <c:pt idx="3131">
                <c:v>0.125447</c:v>
              </c:pt>
              <c:pt idx="3132">
                <c:v>0.12548699999999999</c:v>
              </c:pt>
              <c:pt idx="3133">
                <c:v>0.125527</c:v>
              </c:pt>
              <c:pt idx="3134">
                <c:v>0.12556700000000001</c:v>
              </c:pt>
              <c:pt idx="3135">
                <c:v>0.125607</c:v>
              </c:pt>
              <c:pt idx="3136">
                <c:v>0.12564700000000001</c:v>
              </c:pt>
              <c:pt idx="3137">
                <c:v>0.12568699999999999</c:v>
              </c:pt>
              <c:pt idx="3138">
                <c:v>0.12572700000000001</c:v>
              </c:pt>
              <c:pt idx="3139">
                <c:v>0.12576699999999999</c:v>
              </c:pt>
              <c:pt idx="3140">
                <c:v>0.125807</c:v>
              </c:pt>
              <c:pt idx="3141">
                <c:v>0.12584699999999999</c:v>
              </c:pt>
              <c:pt idx="3142">
                <c:v>0.125887</c:v>
              </c:pt>
              <c:pt idx="3143">
                <c:v>0.12592700000000001</c:v>
              </c:pt>
              <c:pt idx="3144">
                <c:v>0.125967</c:v>
              </c:pt>
              <c:pt idx="3145">
                <c:v>0.12600700000000001</c:v>
              </c:pt>
              <c:pt idx="3146">
                <c:v>0.12604699999999999</c:v>
              </c:pt>
              <c:pt idx="3147">
                <c:v>0.126087</c:v>
              </c:pt>
              <c:pt idx="3148">
                <c:v>0.12612699999999999</c:v>
              </c:pt>
              <c:pt idx="3149">
                <c:v>0.126167</c:v>
              </c:pt>
              <c:pt idx="3150">
                <c:v>0.12620700000000001</c:v>
              </c:pt>
              <c:pt idx="3151">
                <c:v>0.126247</c:v>
              </c:pt>
              <c:pt idx="3152">
                <c:v>0.12628700000000001</c:v>
              </c:pt>
              <c:pt idx="3153">
                <c:v>0.12632699999999999</c:v>
              </c:pt>
              <c:pt idx="3154">
                <c:v>0.12636700000000001</c:v>
              </c:pt>
              <c:pt idx="3155">
                <c:v>0.12640699999999999</c:v>
              </c:pt>
              <c:pt idx="3156">
                <c:v>0.126447</c:v>
              </c:pt>
              <c:pt idx="3157">
                <c:v>0.12648699999999999</c:v>
              </c:pt>
              <c:pt idx="3158">
                <c:v>0.126527</c:v>
              </c:pt>
              <c:pt idx="3159">
                <c:v>0.12656700000000001</c:v>
              </c:pt>
              <c:pt idx="3160">
                <c:v>0.126607</c:v>
              </c:pt>
              <c:pt idx="3161">
                <c:v>0.12664700000000001</c:v>
              </c:pt>
              <c:pt idx="3162">
                <c:v>0.12668699999999999</c:v>
              </c:pt>
              <c:pt idx="3163">
                <c:v>0.12672700000000001</c:v>
              </c:pt>
              <c:pt idx="3164">
                <c:v>0.12676699999999999</c:v>
              </c:pt>
              <c:pt idx="3165">
                <c:v>0.126807</c:v>
              </c:pt>
              <c:pt idx="3166">
                <c:v>0.12684699999999999</c:v>
              </c:pt>
              <c:pt idx="3167">
                <c:v>0.126887</c:v>
              </c:pt>
              <c:pt idx="3168">
                <c:v>0.12692700000000001</c:v>
              </c:pt>
              <c:pt idx="3169">
                <c:v>0.126967</c:v>
              </c:pt>
              <c:pt idx="3170">
                <c:v>0.12700700000000001</c:v>
              </c:pt>
              <c:pt idx="3171">
                <c:v>0.12704699999999999</c:v>
              </c:pt>
              <c:pt idx="3172">
                <c:v>0.12708700000000001</c:v>
              </c:pt>
              <c:pt idx="3173">
                <c:v>0.12712699999999999</c:v>
              </c:pt>
              <c:pt idx="3174">
                <c:v>0.127167</c:v>
              </c:pt>
              <c:pt idx="3175">
                <c:v>0.12720699999999999</c:v>
              </c:pt>
              <c:pt idx="3176">
                <c:v>0.127247</c:v>
              </c:pt>
              <c:pt idx="3177">
                <c:v>0.12728700000000001</c:v>
              </c:pt>
              <c:pt idx="3178">
                <c:v>0.127327</c:v>
              </c:pt>
              <c:pt idx="3179">
                <c:v>0.12736700000000001</c:v>
              </c:pt>
              <c:pt idx="3180">
                <c:v>0.12740699999999999</c:v>
              </c:pt>
              <c:pt idx="3181">
                <c:v>0.127447</c:v>
              </c:pt>
              <c:pt idx="3182">
                <c:v>0.12748699999999999</c:v>
              </c:pt>
              <c:pt idx="3183">
                <c:v>0.127527</c:v>
              </c:pt>
              <c:pt idx="3184">
                <c:v>0.12756700000000001</c:v>
              </c:pt>
              <c:pt idx="3185">
                <c:v>0.127607</c:v>
              </c:pt>
              <c:pt idx="3186">
                <c:v>0.12764700000000001</c:v>
              </c:pt>
              <c:pt idx="3187">
                <c:v>0.12768699999999999</c:v>
              </c:pt>
              <c:pt idx="3188">
                <c:v>0.12772700000000001</c:v>
              </c:pt>
              <c:pt idx="3189">
                <c:v>0.12776699999999999</c:v>
              </c:pt>
              <c:pt idx="3190">
                <c:v>0.127807</c:v>
              </c:pt>
              <c:pt idx="3191">
                <c:v>0.12784699999999999</c:v>
              </c:pt>
              <c:pt idx="3192">
                <c:v>0.127887</c:v>
              </c:pt>
              <c:pt idx="3193">
                <c:v>0.12792700000000001</c:v>
              </c:pt>
              <c:pt idx="3194">
                <c:v>0.127967</c:v>
              </c:pt>
              <c:pt idx="3195">
                <c:v>0.12800700000000001</c:v>
              </c:pt>
              <c:pt idx="3196">
                <c:v>0.12804699999999999</c:v>
              </c:pt>
              <c:pt idx="3197">
                <c:v>0.12808700000000001</c:v>
              </c:pt>
              <c:pt idx="3198">
                <c:v>0.12812699999999999</c:v>
              </c:pt>
              <c:pt idx="3199">
                <c:v>0.128167</c:v>
              </c:pt>
              <c:pt idx="3200">
                <c:v>0.12820699999999999</c:v>
              </c:pt>
              <c:pt idx="3201">
                <c:v>0.128247</c:v>
              </c:pt>
              <c:pt idx="3202">
                <c:v>0.12828700000000001</c:v>
              </c:pt>
              <c:pt idx="3203">
                <c:v>0.128327</c:v>
              </c:pt>
              <c:pt idx="3204">
                <c:v>0.12836700000000001</c:v>
              </c:pt>
              <c:pt idx="3205">
                <c:v>0.12840699999999999</c:v>
              </c:pt>
              <c:pt idx="3206">
                <c:v>0.12844700000000001</c:v>
              </c:pt>
              <c:pt idx="3207">
                <c:v>0.12848699999999999</c:v>
              </c:pt>
              <c:pt idx="3208">
                <c:v>0.128527</c:v>
              </c:pt>
              <c:pt idx="3209">
                <c:v>0.12856699999999999</c:v>
              </c:pt>
              <c:pt idx="3210">
                <c:v>0.128607</c:v>
              </c:pt>
              <c:pt idx="3211">
                <c:v>0.12864700000000001</c:v>
              </c:pt>
              <c:pt idx="3212">
                <c:v>0.128687</c:v>
              </c:pt>
              <c:pt idx="3213">
                <c:v>0.12872700000000001</c:v>
              </c:pt>
              <c:pt idx="3214">
                <c:v>0.12876699999999999</c:v>
              </c:pt>
              <c:pt idx="3215">
                <c:v>0.128807</c:v>
              </c:pt>
              <c:pt idx="3216">
                <c:v>0.12884699999999999</c:v>
              </c:pt>
              <c:pt idx="3217">
                <c:v>0.128887</c:v>
              </c:pt>
              <c:pt idx="3218">
                <c:v>0.12892700000000001</c:v>
              </c:pt>
              <c:pt idx="3219">
                <c:v>0.128967</c:v>
              </c:pt>
              <c:pt idx="3220">
                <c:v>0.12900700000000001</c:v>
              </c:pt>
              <c:pt idx="3221">
                <c:v>0.129047</c:v>
              </c:pt>
              <c:pt idx="3222">
                <c:v>0.12908700000000001</c:v>
              </c:pt>
              <c:pt idx="3223">
                <c:v>0.12912699999999999</c:v>
              </c:pt>
              <c:pt idx="3224">
                <c:v>0.129167</c:v>
              </c:pt>
              <c:pt idx="3225">
                <c:v>0.12920699999999999</c:v>
              </c:pt>
              <c:pt idx="3226">
                <c:v>0.129247</c:v>
              </c:pt>
              <c:pt idx="3227">
                <c:v>0.12928700000000001</c:v>
              </c:pt>
              <c:pt idx="3228">
                <c:v>0.129327</c:v>
              </c:pt>
              <c:pt idx="3229">
                <c:v>0.12936700000000001</c:v>
              </c:pt>
              <c:pt idx="3230">
                <c:v>0.12940699999999999</c:v>
              </c:pt>
              <c:pt idx="3231">
                <c:v>0.12944700000000001</c:v>
              </c:pt>
              <c:pt idx="3232">
                <c:v>0.12948699999999999</c:v>
              </c:pt>
              <c:pt idx="3233">
                <c:v>0.129527</c:v>
              </c:pt>
              <c:pt idx="3234">
                <c:v>0.12956699999999999</c:v>
              </c:pt>
              <c:pt idx="3235">
                <c:v>0.129607</c:v>
              </c:pt>
              <c:pt idx="3236">
                <c:v>0.12964700000000001</c:v>
              </c:pt>
              <c:pt idx="3237">
                <c:v>0.129687</c:v>
              </c:pt>
              <c:pt idx="3238">
                <c:v>0.12972700000000001</c:v>
              </c:pt>
              <c:pt idx="3239">
                <c:v>0.12976699999999999</c:v>
              </c:pt>
              <c:pt idx="3240">
                <c:v>0.12980700000000001</c:v>
              </c:pt>
              <c:pt idx="3241">
                <c:v>0.12984699999999999</c:v>
              </c:pt>
              <c:pt idx="3242">
                <c:v>0.129887</c:v>
              </c:pt>
              <c:pt idx="3243">
                <c:v>0.12992699999999999</c:v>
              </c:pt>
              <c:pt idx="3244">
                <c:v>0.129967</c:v>
              </c:pt>
              <c:pt idx="3245">
                <c:v>0.13000700000000001</c:v>
              </c:pt>
              <c:pt idx="3246">
                <c:v>0.130047</c:v>
              </c:pt>
              <c:pt idx="3247">
                <c:v>0.13008700000000001</c:v>
              </c:pt>
              <c:pt idx="3248">
                <c:v>0.13012699999999999</c:v>
              </c:pt>
              <c:pt idx="3249">
                <c:v>0.130167</c:v>
              </c:pt>
              <c:pt idx="3250">
                <c:v>0.13020699999999999</c:v>
              </c:pt>
              <c:pt idx="3251">
                <c:v>0.130247</c:v>
              </c:pt>
              <c:pt idx="3252">
                <c:v>0.13028699999999999</c:v>
              </c:pt>
              <c:pt idx="3253">
                <c:v>0.130327</c:v>
              </c:pt>
              <c:pt idx="3254">
                <c:v>0.13036700000000001</c:v>
              </c:pt>
              <c:pt idx="3255">
                <c:v>0.130407</c:v>
              </c:pt>
              <c:pt idx="3256">
                <c:v>0.13044700000000001</c:v>
              </c:pt>
              <c:pt idx="3257">
                <c:v>0.13048699999999999</c:v>
              </c:pt>
              <c:pt idx="3258">
                <c:v>0.130527</c:v>
              </c:pt>
              <c:pt idx="3259">
                <c:v>0.13056699999999999</c:v>
              </c:pt>
              <c:pt idx="3260">
                <c:v>0.130607</c:v>
              </c:pt>
              <c:pt idx="3261">
                <c:v>0.13064700000000001</c:v>
              </c:pt>
              <c:pt idx="3262">
                <c:v>0.130687</c:v>
              </c:pt>
              <c:pt idx="3263">
                <c:v>0.13072700000000001</c:v>
              </c:pt>
              <c:pt idx="3264">
                <c:v>0.13076699999999999</c:v>
              </c:pt>
              <c:pt idx="3265">
                <c:v>0.13080700000000001</c:v>
              </c:pt>
              <c:pt idx="3266">
                <c:v>0.13084699999999999</c:v>
              </c:pt>
              <c:pt idx="3267">
                <c:v>0.130887</c:v>
              </c:pt>
              <c:pt idx="3268">
                <c:v>0.13092699999999999</c:v>
              </c:pt>
              <c:pt idx="3269">
                <c:v>0.130967</c:v>
              </c:pt>
              <c:pt idx="3270">
                <c:v>0.13100700000000001</c:v>
              </c:pt>
              <c:pt idx="3271">
                <c:v>0.131047</c:v>
              </c:pt>
              <c:pt idx="3272">
                <c:v>0.13108700000000001</c:v>
              </c:pt>
              <c:pt idx="3273">
                <c:v>0.13112699999999999</c:v>
              </c:pt>
              <c:pt idx="3274">
                <c:v>0.13116700000000001</c:v>
              </c:pt>
              <c:pt idx="3275">
                <c:v>0.13120699999999999</c:v>
              </c:pt>
              <c:pt idx="3276">
                <c:v>0.131247</c:v>
              </c:pt>
              <c:pt idx="3277">
                <c:v>0.13128699999999999</c:v>
              </c:pt>
              <c:pt idx="3278">
                <c:v>0.131327</c:v>
              </c:pt>
              <c:pt idx="3279">
                <c:v>0.13136700000000001</c:v>
              </c:pt>
              <c:pt idx="3280">
                <c:v>0.131407</c:v>
              </c:pt>
              <c:pt idx="3281">
                <c:v>0.13144700000000001</c:v>
              </c:pt>
              <c:pt idx="3282">
                <c:v>0.13148699999999999</c:v>
              </c:pt>
              <c:pt idx="3283">
                <c:v>0.13152700000000001</c:v>
              </c:pt>
              <c:pt idx="3284">
                <c:v>0.13156699999999999</c:v>
              </c:pt>
              <c:pt idx="3285">
                <c:v>0.131607</c:v>
              </c:pt>
              <c:pt idx="3286">
                <c:v>0.13164699999999999</c:v>
              </c:pt>
              <c:pt idx="3287">
                <c:v>0.131687</c:v>
              </c:pt>
              <c:pt idx="3288">
                <c:v>0.13172700000000001</c:v>
              </c:pt>
              <c:pt idx="3289">
                <c:v>0.131767</c:v>
              </c:pt>
              <c:pt idx="3290">
                <c:v>0.13180700000000001</c:v>
              </c:pt>
              <c:pt idx="3291">
                <c:v>0.13184699999999999</c:v>
              </c:pt>
              <c:pt idx="3292">
                <c:v>0.131887</c:v>
              </c:pt>
              <c:pt idx="3293">
                <c:v>0.13192699999999999</c:v>
              </c:pt>
              <c:pt idx="3294">
                <c:v>0.131967</c:v>
              </c:pt>
              <c:pt idx="3295">
                <c:v>0.13200700000000001</c:v>
              </c:pt>
              <c:pt idx="3296">
                <c:v>0.132047</c:v>
              </c:pt>
              <c:pt idx="3297">
                <c:v>0.13208700000000001</c:v>
              </c:pt>
              <c:pt idx="3298">
                <c:v>0.13212699999999999</c:v>
              </c:pt>
              <c:pt idx="3299">
                <c:v>0.13216700000000001</c:v>
              </c:pt>
              <c:pt idx="3300">
                <c:v>0.13220699999999999</c:v>
              </c:pt>
              <c:pt idx="3301">
                <c:v>0.132247</c:v>
              </c:pt>
              <c:pt idx="3302">
                <c:v>0.13228699999999999</c:v>
              </c:pt>
              <c:pt idx="3303">
                <c:v>0.132327</c:v>
              </c:pt>
              <c:pt idx="3304">
                <c:v>0.13236700000000001</c:v>
              </c:pt>
              <c:pt idx="3305">
                <c:v>0.132407</c:v>
              </c:pt>
              <c:pt idx="3306">
                <c:v>0.13244700000000001</c:v>
              </c:pt>
              <c:pt idx="3307">
                <c:v>0.13248699999999999</c:v>
              </c:pt>
              <c:pt idx="3308">
                <c:v>0.13252700000000001</c:v>
              </c:pt>
              <c:pt idx="3309">
                <c:v>0.13256699999999999</c:v>
              </c:pt>
              <c:pt idx="3310">
                <c:v>0.132607</c:v>
              </c:pt>
              <c:pt idx="3311">
                <c:v>0.13264699999999999</c:v>
              </c:pt>
              <c:pt idx="3312">
                <c:v>0.132687</c:v>
              </c:pt>
              <c:pt idx="3313">
                <c:v>0.13272700000000001</c:v>
              </c:pt>
              <c:pt idx="3314">
                <c:v>0.132767</c:v>
              </c:pt>
              <c:pt idx="3315">
                <c:v>0.13280700000000001</c:v>
              </c:pt>
              <c:pt idx="3316">
                <c:v>0.13284699999999999</c:v>
              </c:pt>
              <c:pt idx="3317">
                <c:v>0.13288700000000001</c:v>
              </c:pt>
              <c:pt idx="3318">
                <c:v>0.13292699999999999</c:v>
              </c:pt>
              <c:pt idx="3319">
                <c:v>0.132967</c:v>
              </c:pt>
              <c:pt idx="3320">
                <c:v>0.13300699999999999</c:v>
              </c:pt>
              <c:pt idx="3321">
                <c:v>0.133047</c:v>
              </c:pt>
              <c:pt idx="3322">
                <c:v>0.13308700000000001</c:v>
              </c:pt>
              <c:pt idx="3323">
                <c:v>0.133127</c:v>
              </c:pt>
              <c:pt idx="3324">
                <c:v>0.13316700000000001</c:v>
              </c:pt>
              <c:pt idx="3325">
                <c:v>0.13320699999999999</c:v>
              </c:pt>
              <c:pt idx="3326">
                <c:v>0.133247</c:v>
              </c:pt>
              <c:pt idx="3327">
                <c:v>0.13328699999999999</c:v>
              </c:pt>
              <c:pt idx="3328">
                <c:v>0.133327</c:v>
              </c:pt>
              <c:pt idx="3329">
                <c:v>0.13336700000000001</c:v>
              </c:pt>
              <c:pt idx="3330">
                <c:v>0.133407</c:v>
              </c:pt>
              <c:pt idx="3331">
                <c:v>0.13344700000000001</c:v>
              </c:pt>
              <c:pt idx="3332">
                <c:v>0.13348699999999999</c:v>
              </c:pt>
              <c:pt idx="3333">
                <c:v>0.13352700000000001</c:v>
              </c:pt>
              <c:pt idx="3334">
                <c:v>0.13356699999999999</c:v>
              </c:pt>
              <c:pt idx="3335">
                <c:v>0.133607</c:v>
              </c:pt>
              <c:pt idx="3336">
                <c:v>0.13364699999999999</c:v>
              </c:pt>
              <c:pt idx="3337">
                <c:v>0.133687</c:v>
              </c:pt>
              <c:pt idx="3338">
                <c:v>0.13372700000000001</c:v>
              </c:pt>
              <c:pt idx="3339">
                <c:v>0.133767</c:v>
              </c:pt>
              <c:pt idx="3340">
                <c:v>0.13380700000000001</c:v>
              </c:pt>
              <c:pt idx="3341">
                <c:v>0.13384699999999999</c:v>
              </c:pt>
              <c:pt idx="3342">
                <c:v>0.13388700000000001</c:v>
              </c:pt>
              <c:pt idx="3343">
                <c:v>0.13392699999999999</c:v>
              </c:pt>
              <c:pt idx="3344">
                <c:v>0.133967</c:v>
              </c:pt>
              <c:pt idx="3345">
                <c:v>0.13400699999999999</c:v>
              </c:pt>
              <c:pt idx="3346">
                <c:v>0.134047</c:v>
              </c:pt>
              <c:pt idx="3347">
                <c:v>0.13408700000000001</c:v>
              </c:pt>
              <c:pt idx="3348">
                <c:v>0.134127</c:v>
              </c:pt>
              <c:pt idx="3349">
                <c:v>0.13416700000000001</c:v>
              </c:pt>
              <c:pt idx="3350">
                <c:v>0.13420699999999999</c:v>
              </c:pt>
              <c:pt idx="3351">
                <c:v>0.13424700000000001</c:v>
              </c:pt>
              <c:pt idx="3352">
                <c:v>0.13428699999999999</c:v>
              </c:pt>
              <c:pt idx="3353">
                <c:v>0.134327</c:v>
              </c:pt>
              <c:pt idx="3354">
                <c:v>0.13436699999999999</c:v>
              </c:pt>
              <c:pt idx="3355">
                <c:v>0.134407</c:v>
              </c:pt>
              <c:pt idx="3356">
                <c:v>0.13444700000000001</c:v>
              </c:pt>
              <c:pt idx="3357">
                <c:v>0.134487</c:v>
              </c:pt>
              <c:pt idx="3358">
                <c:v>0.13452700000000001</c:v>
              </c:pt>
              <c:pt idx="3359">
                <c:v>0.13456699999999999</c:v>
              </c:pt>
              <c:pt idx="3360">
                <c:v>0.134607</c:v>
              </c:pt>
              <c:pt idx="3361">
                <c:v>0.13464699999999999</c:v>
              </c:pt>
              <c:pt idx="3362">
                <c:v>0.134687</c:v>
              </c:pt>
              <c:pt idx="3363">
                <c:v>0.13472700000000001</c:v>
              </c:pt>
              <c:pt idx="3364">
                <c:v>0.134767</c:v>
              </c:pt>
              <c:pt idx="3365">
                <c:v>0.13480700000000001</c:v>
              </c:pt>
              <c:pt idx="3366">
                <c:v>0.13484699999999999</c:v>
              </c:pt>
              <c:pt idx="3367">
                <c:v>0.13488700000000001</c:v>
              </c:pt>
              <c:pt idx="3368">
                <c:v>0.13492699999999999</c:v>
              </c:pt>
              <c:pt idx="3369">
                <c:v>0.134967</c:v>
              </c:pt>
              <c:pt idx="3370">
                <c:v>0.13500699999999999</c:v>
              </c:pt>
              <c:pt idx="3371">
                <c:v>0.135047</c:v>
              </c:pt>
              <c:pt idx="3372">
                <c:v>0.13508700000000001</c:v>
              </c:pt>
              <c:pt idx="3373">
                <c:v>0.135127</c:v>
              </c:pt>
              <c:pt idx="3374">
                <c:v>0.13516700000000001</c:v>
              </c:pt>
              <c:pt idx="3375">
                <c:v>0.13520699999999999</c:v>
              </c:pt>
              <c:pt idx="3376">
                <c:v>0.13524700000000001</c:v>
              </c:pt>
              <c:pt idx="3377">
                <c:v>0.13528699999999999</c:v>
              </c:pt>
              <c:pt idx="3378">
                <c:v>0.135327</c:v>
              </c:pt>
              <c:pt idx="3379">
                <c:v>0.13536699999999999</c:v>
              </c:pt>
              <c:pt idx="3380">
                <c:v>0.135407</c:v>
              </c:pt>
              <c:pt idx="3381">
                <c:v>0.13544700000000001</c:v>
              </c:pt>
              <c:pt idx="3382">
                <c:v>0.135487</c:v>
              </c:pt>
              <c:pt idx="3383">
                <c:v>0.13552700000000001</c:v>
              </c:pt>
              <c:pt idx="3384">
                <c:v>0.13556699999999999</c:v>
              </c:pt>
              <c:pt idx="3385">
                <c:v>0.13560700000000001</c:v>
              </c:pt>
              <c:pt idx="3386">
                <c:v>0.13564699999999999</c:v>
              </c:pt>
              <c:pt idx="3387">
                <c:v>0.135687</c:v>
              </c:pt>
              <c:pt idx="3388">
                <c:v>0.13572699999999999</c:v>
              </c:pt>
              <c:pt idx="3389">
                <c:v>0.135767</c:v>
              </c:pt>
              <c:pt idx="3390">
                <c:v>0.13580700000000001</c:v>
              </c:pt>
              <c:pt idx="3391">
                <c:v>0.135847</c:v>
              </c:pt>
              <c:pt idx="3392">
                <c:v>0.13588700000000001</c:v>
              </c:pt>
              <c:pt idx="3393">
                <c:v>0.13592699999999999</c:v>
              </c:pt>
              <c:pt idx="3394">
                <c:v>0.135967</c:v>
              </c:pt>
              <c:pt idx="3395">
                <c:v>0.13600699999999999</c:v>
              </c:pt>
              <c:pt idx="3396">
                <c:v>0.136047</c:v>
              </c:pt>
              <c:pt idx="3397">
                <c:v>0.13608700000000001</c:v>
              </c:pt>
              <c:pt idx="3398">
                <c:v>0.136127</c:v>
              </c:pt>
              <c:pt idx="3399">
                <c:v>0.13616700000000001</c:v>
              </c:pt>
              <c:pt idx="3400">
                <c:v>0.13620699999999999</c:v>
              </c:pt>
              <c:pt idx="3401">
                <c:v>0.13624700000000001</c:v>
              </c:pt>
              <c:pt idx="3402">
                <c:v>0.13628699999999999</c:v>
              </c:pt>
              <c:pt idx="3403">
                <c:v>0.136327</c:v>
              </c:pt>
              <c:pt idx="3404">
                <c:v>0.13636699999999999</c:v>
              </c:pt>
              <c:pt idx="3405">
                <c:v>0.136407</c:v>
              </c:pt>
              <c:pt idx="3406">
                <c:v>0.13644700000000001</c:v>
              </c:pt>
              <c:pt idx="3407">
                <c:v>0.136487</c:v>
              </c:pt>
              <c:pt idx="3408">
                <c:v>0.13652700000000001</c:v>
              </c:pt>
              <c:pt idx="3409">
                <c:v>0.13656699999999999</c:v>
              </c:pt>
              <c:pt idx="3410">
                <c:v>0.13660700000000001</c:v>
              </c:pt>
              <c:pt idx="3411">
                <c:v>0.13664699999999999</c:v>
              </c:pt>
              <c:pt idx="3412">
                <c:v>0.136687</c:v>
              </c:pt>
              <c:pt idx="3413">
                <c:v>0.13672699999999999</c:v>
              </c:pt>
              <c:pt idx="3414">
                <c:v>0.136767</c:v>
              </c:pt>
              <c:pt idx="3415">
                <c:v>0.13680700000000001</c:v>
              </c:pt>
              <c:pt idx="3416">
                <c:v>0.136847</c:v>
              </c:pt>
              <c:pt idx="3417">
                <c:v>0.13688700000000001</c:v>
              </c:pt>
              <c:pt idx="3418">
                <c:v>0.13692699999999999</c:v>
              </c:pt>
              <c:pt idx="3419">
                <c:v>0.13696700000000001</c:v>
              </c:pt>
              <c:pt idx="3420">
                <c:v>0.13700699999999999</c:v>
              </c:pt>
              <c:pt idx="3421">
                <c:v>0.137047</c:v>
              </c:pt>
              <c:pt idx="3422">
                <c:v>0.13708699999999999</c:v>
              </c:pt>
              <c:pt idx="3423">
                <c:v>0.137127</c:v>
              </c:pt>
              <c:pt idx="3424">
                <c:v>0.13716700000000001</c:v>
              </c:pt>
              <c:pt idx="3425">
                <c:v>0.137207</c:v>
              </c:pt>
              <c:pt idx="3426">
                <c:v>0.13724700000000001</c:v>
              </c:pt>
              <c:pt idx="3427">
                <c:v>0.13728699999999999</c:v>
              </c:pt>
              <c:pt idx="3428">
                <c:v>0.137327</c:v>
              </c:pt>
              <c:pt idx="3429">
                <c:v>0.13736699999999999</c:v>
              </c:pt>
              <c:pt idx="3430">
                <c:v>0.137407</c:v>
              </c:pt>
              <c:pt idx="3431">
                <c:v>0.13744700000000001</c:v>
              </c:pt>
              <c:pt idx="3432">
                <c:v>0.137487</c:v>
              </c:pt>
              <c:pt idx="3433">
                <c:v>0.13752700000000001</c:v>
              </c:pt>
              <c:pt idx="3434">
                <c:v>0.13756699999999999</c:v>
              </c:pt>
              <c:pt idx="3435">
                <c:v>0.13760700000000001</c:v>
              </c:pt>
              <c:pt idx="3436">
                <c:v>0.13764699999999999</c:v>
              </c:pt>
              <c:pt idx="3437">
                <c:v>0.137687</c:v>
              </c:pt>
              <c:pt idx="3438">
                <c:v>0.13772699999999999</c:v>
              </c:pt>
              <c:pt idx="3439">
                <c:v>0.137767</c:v>
              </c:pt>
              <c:pt idx="3440">
                <c:v>0.13780700000000001</c:v>
              </c:pt>
              <c:pt idx="3441">
                <c:v>0.137847</c:v>
              </c:pt>
              <c:pt idx="3442">
                <c:v>0.13788700000000001</c:v>
              </c:pt>
              <c:pt idx="3443">
                <c:v>0.13792699999999999</c:v>
              </c:pt>
              <c:pt idx="3444">
                <c:v>0.13796700000000001</c:v>
              </c:pt>
              <c:pt idx="3445">
                <c:v>0.13800699999999999</c:v>
              </c:pt>
              <c:pt idx="3446">
                <c:v>0.138047</c:v>
              </c:pt>
              <c:pt idx="3447">
                <c:v>0.13808699999999999</c:v>
              </c:pt>
              <c:pt idx="3448">
                <c:v>0.138127</c:v>
              </c:pt>
              <c:pt idx="3449">
                <c:v>0.13816700000000001</c:v>
              </c:pt>
              <c:pt idx="3450">
                <c:v>0.138207</c:v>
              </c:pt>
              <c:pt idx="3451">
                <c:v>0.13824700000000001</c:v>
              </c:pt>
              <c:pt idx="3452">
                <c:v>0.13828699999999999</c:v>
              </c:pt>
              <c:pt idx="3453">
                <c:v>0.13832700000000001</c:v>
              </c:pt>
              <c:pt idx="3454">
                <c:v>0.13836699999999999</c:v>
              </c:pt>
              <c:pt idx="3455">
                <c:v>0.138407</c:v>
              </c:pt>
              <c:pt idx="3456">
                <c:v>0.13844699999999999</c:v>
              </c:pt>
              <c:pt idx="3457">
                <c:v>0.138487</c:v>
              </c:pt>
              <c:pt idx="3458">
                <c:v>0.13852700000000001</c:v>
              </c:pt>
              <c:pt idx="3459">
                <c:v>0.138567</c:v>
              </c:pt>
              <c:pt idx="3460">
                <c:v>0.13860700000000001</c:v>
              </c:pt>
              <c:pt idx="3461">
                <c:v>0.13864699999999999</c:v>
              </c:pt>
              <c:pt idx="3462">
                <c:v>0.138687</c:v>
              </c:pt>
              <c:pt idx="3463">
                <c:v>0.13872699999999999</c:v>
              </c:pt>
              <c:pt idx="3464">
                <c:v>0.138767</c:v>
              </c:pt>
              <c:pt idx="3465">
                <c:v>0.13880700000000001</c:v>
              </c:pt>
              <c:pt idx="3466">
                <c:v>0.138847</c:v>
              </c:pt>
              <c:pt idx="3467">
                <c:v>0.13888700000000001</c:v>
              </c:pt>
              <c:pt idx="3468">
                <c:v>0.13892699999999999</c:v>
              </c:pt>
              <c:pt idx="3469">
                <c:v>0.13896700000000001</c:v>
              </c:pt>
              <c:pt idx="3470">
                <c:v>0.13900699999999999</c:v>
              </c:pt>
              <c:pt idx="3471">
                <c:v>0.139047</c:v>
              </c:pt>
              <c:pt idx="3472">
                <c:v>0.13908699999999999</c:v>
              </c:pt>
              <c:pt idx="3473">
                <c:v>0.139127</c:v>
              </c:pt>
              <c:pt idx="3474">
                <c:v>0.13916700000000001</c:v>
              </c:pt>
              <c:pt idx="3475">
                <c:v>0.139207</c:v>
              </c:pt>
              <c:pt idx="3476">
                <c:v>0.13924700000000001</c:v>
              </c:pt>
              <c:pt idx="3477">
                <c:v>0.13928699999999999</c:v>
              </c:pt>
              <c:pt idx="3478">
                <c:v>0.13932700000000001</c:v>
              </c:pt>
              <c:pt idx="3479">
                <c:v>0.13936699999999999</c:v>
              </c:pt>
              <c:pt idx="3480">
                <c:v>0.139407</c:v>
              </c:pt>
              <c:pt idx="3481">
                <c:v>0.13944699999999999</c:v>
              </c:pt>
              <c:pt idx="3482">
                <c:v>0.139487</c:v>
              </c:pt>
              <c:pt idx="3483">
                <c:v>0.13952700000000001</c:v>
              </c:pt>
              <c:pt idx="3484">
                <c:v>0.139567</c:v>
              </c:pt>
              <c:pt idx="3485">
                <c:v>0.13960700000000001</c:v>
              </c:pt>
              <c:pt idx="3486">
                <c:v>0.13964699999999999</c:v>
              </c:pt>
              <c:pt idx="3487">
                <c:v>0.13968700000000001</c:v>
              </c:pt>
              <c:pt idx="3488">
                <c:v>0.13972699999999999</c:v>
              </c:pt>
              <c:pt idx="3489">
                <c:v>0.139767</c:v>
              </c:pt>
              <c:pt idx="3490">
                <c:v>0.13980699999999999</c:v>
              </c:pt>
              <c:pt idx="3491">
                <c:v>0.139847</c:v>
              </c:pt>
              <c:pt idx="3492">
                <c:v>0.13988700000000001</c:v>
              </c:pt>
              <c:pt idx="3493">
                <c:v>0.139927</c:v>
              </c:pt>
              <c:pt idx="3494">
                <c:v>0.13996700000000001</c:v>
              </c:pt>
              <c:pt idx="3495">
                <c:v>0.14000699999999999</c:v>
              </c:pt>
              <c:pt idx="3496">
                <c:v>0.140047</c:v>
              </c:pt>
              <c:pt idx="3497">
                <c:v>0.14008699999999999</c:v>
              </c:pt>
              <c:pt idx="3498">
                <c:v>0.140127</c:v>
              </c:pt>
              <c:pt idx="3499">
                <c:v>0.14016700000000001</c:v>
              </c:pt>
              <c:pt idx="3500">
                <c:v>0.140207</c:v>
              </c:pt>
              <c:pt idx="3501">
                <c:v>0.14024700000000001</c:v>
              </c:pt>
              <c:pt idx="3502">
                <c:v>0.140287</c:v>
              </c:pt>
              <c:pt idx="3503">
                <c:v>0.14032700000000001</c:v>
              </c:pt>
              <c:pt idx="3504">
                <c:v>0.14036699999999999</c:v>
              </c:pt>
              <c:pt idx="3505">
                <c:v>0.140407</c:v>
              </c:pt>
              <c:pt idx="3506">
                <c:v>0.14044699999999999</c:v>
              </c:pt>
              <c:pt idx="3507">
                <c:v>0.140487</c:v>
              </c:pt>
              <c:pt idx="3508">
                <c:v>0.14052700000000001</c:v>
              </c:pt>
              <c:pt idx="3509">
                <c:v>0.140567</c:v>
              </c:pt>
              <c:pt idx="3510">
                <c:v>0.14060700000000001</c:v>
              </c:pt>
              <c:pt idx="3511">
                <c:v>0.14064699999999999</c:v>
              </c:pt>
              <c:pt idx="3512">
                <c:v>0.14068700000000001</c:v>
              </c:pt>
              <c:pt idx="3513">
                <c:v>0.14072699999999999</c:v>
              </c:pt>
              <c:pt idx="3514">
                <c:v>0.140767</c:v>
              </c:pt>
              <c:pt idx="3515">
                <c:v>0.14080699999999999</c:v>
              </c:pt>
              <c:pt idx="3516">
                <c:v>0.140847</c:v>
              </c:pt>
              <c:pt idx="3517">
                <c:v>0.14088700000000001</c:v>
              </c:pt>
              <c:pt idx="3518">
                <c:v>0.140927</c:v>
              </c:pt>
              <c:pt idx="3519">
                <c:v>0.14096700000000001</c:v>
              </c:pt>
              <c:pt idx="3520">
                <c:v>0.14100699999999999</c:v>
              </c:pt>
              <c:pt idx="3521">
                <c:v>0.14104700000000001</c:v>
              </c:pt>
              <c:pt idx="3522">
                <c:v>0.14108699999999999</c:v>
              </c:pt>
              <c:pt idx="3523">
                <c:v>0.141127</c:v>
              </c:pt>
              <c:pt idx="3524">
                <c:v>0.14116699999999999</c:v>
              </c:pt>
              <c:pt idx="3525">
                <c:v>0.141207</c:v>
              </c:pt>
              <c:pt idx="3526">
                <c:v>0.14124700000000001</c:v>
              </c:pt>
              <c:pt idx="3527">
                <c:v>0.141287</c:v>
              </c:pt>
              <c:pt idx="3528">
                <c:v>0.14132700000000001</c:v>
              </c:pt>
              <c:pt idx="3529">
                <c:v>0.14136699999999999</c:v>
              </c:pt>
              <c:pt idx="3530">
                <c:v>0.141407</c:v>
              </c:pt>
              <c:pt idx="3531">
                <c:v>0.14144699999999999</c:v>
              </c:pt>
              <c:pt idx="3532">
                <c:v>0.141487</c:v>
              </c:pt>
              <c:pt idx="3533">
                <c:v>0.14152699999999999</c:v>
              </c:pt>
              <c:pt idx="3534">
                <c:v>0.141567</c:v>
              </c:pt>
              <c:pt idx="3535">
                <c:v>0.14160700000000001</c:v>
              </c:pt>
              <c:pt idx="3536">
                <c:v>0.141647</c:v>
              </c:pt>
              <c:pt idx="3537">
                <c:v>0.14168700000000001</c:v>
              </c:pt>
              <c:pt idx="3538">
                <c:v>0.14172699999999999</c:v>
              </c:pt>
              <c:pt idx="3539">
                <c:v>0.141767</c:v>
              </c:pt>
              <c:pt idx="3540">
                <c:v>0.14180699999999999</c:v>
              </c:pt>
              <c:pt idx="3541">
                <c:v>0.141847</c:v>
              </c:pt>
              <c:pt idx="3542">
                <c:v>0.14188700000000001</c:v>
              </c:pt>
              <c:pt idx="3543">
                <c:v>0.141927</c:v>
              </c:pt>
              <c:pt idx="3544">
                <c:v>0.14196700000000001</c:v>
              </c:pt>
              <c:pt idx="3545">
                <c:v>0.14200699999999999</c:v>
              </c:pt>
              <c:pt idx="3546">
                <c:v>0.14204700000000001</c:v>
              </c:pt>
              <c:pt idx="3547">
                <c:v>0.14208699999999999</c:v>
              </c:pt>
              <c:pt idx="3548">
                <c:v>0.142127</c:v>
              </c:pt>
              <c:pt idx="3549">
                <c:v>0.14216699999999999</c:v>
              </c:pt>
              <c:pt idx="3550">
                <c:v>0.142207</c:v>
              </c:pt>
              <c:pt idx="3551">
                <c:v>0.14224700000000001</c:v>
              </c:pt>
              <c:pt idx="3552">
                <c:v>0.142287</c:v>
              </c:pt>
              <c:pt idx="3553">
                <c:v>0.14232700000000001</c:v>
              </c:pt>
              <c:pt idx="3554">
                <c:v>0.14236699999999999</c:v>
              </c:pt>
              <c:pt idx="3555">
                <c:v>0.14240700000000001</c:v>
              </c:pt>
              <c:pt idx="3556">
                <c:v>0.14244699999999999</c:v>
              </c:pt>
              <c:pt idx="3557">
                <c:v>0.142487</c:v>
              </c:pt>
              <c:pt idx="3558">
                <c:v>0.14252699999999999</c:v>
              </c:pt>
              <c:pt idx="3559">
                <c:v>0.142567</c:v>
              </c:pt>
              <c:pt idx="3560">
                <c:v>0.14260700000000001</c:v>
              </c:pt>
              <c:pt idx="3561">
                <c:v>0.142647</c:v>
              </c:pt>
              <c:pt idx="3562">
                <c:v>0.14268700000000001</c:v>
              </c:pt>
              <c:pt idx="3563">
                <c:v>0.14272699999999999</c:v>
              </c:pt>
              <c:pt idx="3564">
                <c:v>0.14276700000000001</c:v>
              </c:pt>
              <c:pt idx="3565">
                <c:v>0.14280699999999999</c:v>
              </c:pt>
              <c:pt idx="3566">
                <c:v>0.142847</c:v>
              </c:pt>
              <c:pt idx="3567">
                <c:v>0.14288699999999999</c:v>
              </c:pt>
              <c:pt idx="3568">
                <c:v>0.142927</c:v>
              </c:pt>
              <c:pt idx="3569">
                <c:v>0.14296700000000001</c:v>
              </c:pt>
              <c:pt idx="3570">
                <c:v>0.143007</c:v>
              </c:pt>
              <c:pt idx="3571">
                <c:v>0.14304700000000001</c:v>
              </c:pt>
              <c:pt idx="3572">
                <c:v>0.14308699999999999</c:v>
              </c:pt>
              <c:pt idx="3573">
                <c:v>0.143127</c:v>
              </c:pt>
              <c:pt idx="3574">
                <c:v>0.14316699999999999</c:v>
              </c:pt>
              <c:pt idx="3575">
                <c:v>0.143207</c:v>
              </c:pt>
              <c:pt idx="3576">
                <c:v>0.14324700000000001</c:v>
              </c:pt>
              <c:pt idx="3577">
                <c:v>0.143287</c:v>
              </c:pt>
              <c:pt idx="3578">
                <c:v>0.14332700000000001</c:v>
              </c:pt>
              <c:pt idx="3579">
                <c:v>0.14336699999999999</c:v>
              </c:pt>
              <c:pt idx="3580">
                <c:v>0.14340700000000001</c:v>
              </c:pt>
              <c:pt idx="3581">
                <c:v>0.14344699999999999</c:v>
              </c:pt>
              <c:pt idx="3582">
                <c:v>0.143487</c:v>
              </c:pt>
              <c:pt idx="3583">
                <c:v>0.14352699999999999</c:v>
              </c:pt>
              <c:pt idx="3584">
                <c:v>0.143567</c:v>
              </c:pt>
              <c:pt idx="3585">
                <c:v>0.14360700000000001</c:v>
              </c:pt>
              <c:pt idx="3586">
                <c:v>0.143647</c:v>
              </c:pt>
              <c:pt idx="3587">
                <c:v>0.14368700000000001</c:v>
              </c:pt>
              <c:pt idx="3588">
                <c:v>0.14372699999999999</c:v>
              </c:pt>
              <c:pt idx="3589">
                <c:v>0.14376700000000001</c:v>
              </c:pt>
              <c:pt idx="3590">
                <c:v>0.14380699999999999</c:v>
              </c:pt>
              <c:pt idx="3591">
                <c:v>0.143847</c:v>
              </c:pt>
              <c:pt idx="3592">
                <c:v>0.14388699999999999</c:v>
              </c:pt>
              <c:pt idx="3593">
                <c:v>0.143927</c:v>
              </c:pt>
              <c:pt idx="3594">
                <c:v>0.14396700000000001</c:v>
              </c:pt>
              <c:pt idx="3595">
                <c:v>0.144007</c:v>
              </c:pt>
              <c:pt idx="3596">
                <c:v>0.14404700000000001</c:v>
              </c:pt>
              <c:pt idx="3597">
                <c:v>0.14408699999999999</c:v>
              </c:pt>
              <c:pt idx="3598">
                <c:v>0.14412700000000001</c:v>
              </c:pt>
              <c:pt idx="3599">
                <c:v>0.14416699999999999</c:v>
              </c:pt>
              <c:pt idx="3600">
                <c:v>0.144207</c:v>
              </c:pt>
              <c:pt idx="3601">
                <c:v>0.14424699999999999</c:v>
              </c:pt>
              <c:pt idx="3602">
                <c:v>0.144287</c:v>
              </c:pt>
              <c:pt idx="3603">
                <c:v>0.14432700000000001</c:v>
              </c:pt>
              <c:pt idx="3604">
                <c:v>0.144367</c:v>
              </c:pt>
              <c:pt idx="3605">
                <c:v>0.14440700000000001</c:v>
              </c:pt>
              <c:pt idx="3606">
                <c:v>0.14444699999999999</c:v>
              </c:pt>
              <c:pt idx="3607">
                <c:v>0.144487</c:v>
              </c:pt>
              <c:pt idx="3608">
                <c:v>0.14452699999999999</c:v>
              </c:pt>
              <c:pt idx="3609">
                <c:v>0.144567</c:v>
              </c:pt>
              <c:pt idx="3610">
                <c:v>0.14460700000000001</c:v>
              </c:pt>
              <c:pt idx="3611">
                <c:v>0.144647</c:v>
              </c:pt>
              <c:pt idx="3612">
                <c:v>0.14468700000000001</c:v>
              </c:pt>
              <c:pt idx="3613">
                <c:v>0.14472699999999999</c:v>
              </c:pt>
              <c:pt idx="3614">
                <c:v>0.14476700000000001</c:v>
              </c:pt>
              <c:pt idx="3615">
                <c:v>0.14480699999999999</c:v>
              </c:pt>
              <c:pt idx="3616">
                <c:v>0.144847</c:v>
              </c:pt>
              <c:pt idx="3617">
                <c:v>0.14488699999999999</c:v>
              </c:pt>
              <c:pt idx="3618">
                <c:v>0.144927</c:v>
              </c:pt>
              <c:pt idx="3619">
                <c:v>0.14496700000000001</c:v>
              </c:pt>
              <c:pt idx="3620">
                <c:v>0.145007</c:v>
              </c:pt>
              <c:pt idx="3621">
                <c:v>0.14504700000000001</c:v>
              </c:pt>
              <c:pt idx="3622">
                <c:v>0.14508699999999999</c:v>
              </c:pt>
              <c:pt idx="3623">
                <c:v>0.14512700000000001</c:v>
              </c:pt>
              <c:pt idx="3624">
                <c:v>0.14516699999999999</c:v>
              </c:pt>
              <c:pt idx="3625">
                <c:v>0.145207</c:v>
              </c:pt>
              <c:pt idx="3626">
                <c:v>0.14524699999999999</c:v>
              </c:pt>
              <c:pt idx="3627">
                <c:v>0.145287</c:v>
              </c:pt>
              <c:pt idx="3628">
                <c:v>0.14532700000000001</c:v>
              </c:pt>
              <c:pt idx="3629">
                <c:v>0.145367</c:v>
              </c:pt>
              <c:pt idx="3630">
                <c:v>0.14540700000000001</c:v>
              </c:pt>
              <c:pt idx="3631">
                <c:v>0.14544699999999999</c:v>
              </c:pt>
              <c:pt idx="3632">
                <c:v>0.14548700000000001</c:v>
              </c:pt>
              <c:pt idx="3633">
                <c:v>0.14552699999999999</c:v>
              </c:pt>
              <c:pt idx="3634">
                <c:v>0.145567</c:v>
              </c:pt>
              <c:pt idx="3635">
                <c:v>0.14560699999999999</c:v>
              </c:pt>
              <c:pt idx="3636">
                <c:v>0.145647</c:v>
              </c:pt>
              <c:pt idx="3637">
                <c:v>0.14568700000000001</c:v>
              </c:pt>
              <c:pt idx="3638">
                <c:v>0.145727</c:v>
              </c:pt>
              <c:pt idx="3639">
                <c:v>0.14576700000000001</c:v>
              </c:pt>
              <c:pt idx="3640">
                <c:v>0.14580699999999999</c:v>
              </c:pt>
              <c:pt idx="3641">
                <c:v>0.145847</c:v>
              </c:pt>
              <c:pt idx="3642">
                <c:v>0.14588699999999999</c:v>
              </c:pt>
              <c:pt idx="3643">
                <c:v>0.145927</c:v>
              </c:pt>
              <c:pt idx="3644">
                <c:v>0.14596700000000001</c:v>
              </c:pt>
              <c:pt idx="3645">
                <c:v>0.146007</c:v>
              </c:pt>
              <c:pt idx="3646">
                <c:v>0.14604700000000001</c:v>
              </c:pt>
              <c:pt idx="3647">
                <c:v>0.14608699999999999</c:v>
              </c:pt>
              <c:pt idx="3648">
                <c:v>0.14612700000000001</c:v>
              </c:pt>
              <c:pt idx="3649">
                <c:v>0.14616699999999999</c:v>
              </c:pt>
              <c:pt idx="3650">
                <c:v>0.146207</c:v>
              </c:pt>
              <c:pt idx="3651">
                <c:v>0.14624699999999999</c:v>
              </c:pt>
              <c:pt idx="3652">
                <c:v>0.146287</c:v>
              </c:pt>
              <c:pt idx="3653">
                <c:v>0.14632700000000001</c:v>
              </c:pt>
              <c:pt idx="3654">
                <c:v>0.146367</c:v>
              </c:pt>
              <c:pt idx="3655">
                <c:v>0.14640700000000001</c:v>
              </c:pt>
              <c:pt idx="3656">
                <c:v>0.14644699999999999</c:v>
              </c:pt>
              <c:pt idx="3657">
                <c:v>0.14648700000000001</c:v>
              </c:pt>
              <c:pt idx="3658">
                <c:v>0.14652699999999999</c:v>
              </c:pt>
              <c:pt idx="3659">
                <c:v>0.146567</c:v>
              </c:pt>
              <c:pt idx="3660">
                <c:v>0.14660699999999999</c:v>
              </c:pt>
              <c:pt idx="3661">
                <c:v>0.146647</c:v>
              </c:pt>
              <c:pt idx="3662">
                <c:v>0.14668700000000001</c:v>
              </c:pt>
              <c:pt idx="3663">
                <c:v>0.146727</c:v>
              </c:pt>
              <c:pt idx="3664">
                <c:v>0.14676700000000001</c:v>
              </c:pt>
              <c:pt idx="3665">
                <c:v>0.14680699999999999</c:v>
              </c:pt>
              <c:pt idx="3666">
                <c:v>0.14684700000000001</c:v>
              </c:pt>
              <c:pt idx="3667">
                <c:v>0.14688699999999999</c:v>
              </c:pt>
              <c:pt idx="3668">
                <c:v>0.146927</c:v>
              </c:pt>
              <c:pt idx="3669">
                <c:v>0.14696699999999999</c:v>
              </c:pt>
              <c:pt idx="3670">
                <c:v>0.147007</c:v>
              </c:pt>
              <c:pt idx="3671">
                <c:v>0.14704700000000001</c:v>
              </c:pt>
              <c:pt idx="3672">
                <c:v>0.147087</c:v>
              </c:pt>
              <c:pt idx="3673">
                <c:v>0.14712700000000001</c:v>
              </c:pt>
              <c:pt idx="3674">
                <c:v>0.14716699999999999</c:v>
              </c:pt>
              <c:pt idx="3675">
                <c:v>0.147207</c:v>
              </c:pt>
              <c:pt idx="3676">
                <c:v>0.14724699999999999</c:v>
              </c:pt>
              <c:pt idx="3677">
                <c:v>0.147287</c:v>
              </c:pt>
              <c:pt idx="3678">
                <c:v>0.14732700000000001</c:v>
              </c:pt>
              <c:pt idx="3679">
                <c:v>0.147367</c:v>
              </c:pt>
              <c:pt idx="3680">
                <c:v>0.14740700000000001</c:v>
              </c:pt>
              <c:pt idx="3681">
                <c:v>0.14744699999999999</c:v>
              </c:pt>
              <c:pt idx="3682">
                <c:v>0.14748700000000001</c:v>
              </c:pt>
              <c:pt idx="3683">
                <c:v>0.14752699999999999</c:v>
              </c:pt>
              <c:pt idx="3684">
                <c:v>0.147567</c:v>
              </c:pt>
              <c:pt idx="3685">
                <c:v>0.14760699999999999</c:v>
              </c:pt>
              <c:pt idx="3686">
                <c:v>0.147647</c:v>
              </c:pt>
              <c:pt idx="3687">
                <c:v>0.14768700000000001</c:v>
              </c:pt>
              <c:pt idx="3688">
                <c:v>0.147727</c:v>
              </c:pt>
              <c:pt idx="3689">
                <c:v>0.14776700000000001</c:v>
              </c:pt>
              <c:pt idx="3690">
                <c:v>0.14780699999999999</c:v>
              </c:pt>
              <c:pt idx="3691">
                <c:v>0.14784700000000001</c:v>
              </c:pt>
              <c:pt idx="3692">
                <c:v>0.14788699999999999</c:v>
              </c:pt>
              <c:pt idx="3693">
                <c:v>0.147927</c:v>
              </c:pt>
              <c:pt idx="3694">
                <c:v>0.14796699999999999</c:v>
              </c:pt>
              <c:pt idx="3695">
                <c:v>0.148007</c:v>
              </c:pt>
              <c:pt idx="3696">
                <c:v>0.14804700000000001</c:v>
              </c:pt>
              <c:pt idx="3697">
                <c:v>0.148087</c:v>
              </c:pt>
              <c:pt idx="3698">
                <c:v>0.14812700000000001</c:v>
              </c:pt>
              <c:pt idx="3699">
                <c:v>0.14816699999999999</c:v>
              </c:pt>
              <c:pt idx="3700">
                <c:v>0.14820700000000001</c:v>
              </c:pt>
              <c:pt idx="3701">
                <c:v>0.14824699999999999</c:v>
              </c:pt>
              <c:pt idx="3702">
                <c:v>0.148287</c:v>
              </c:pt>
              <c:pt idx="3703">
                <c:v>0.14832699999999999</c:v>
              </c:pt>
              <c:pt idx="3704">
                <c:v>0.148367</c:v>
              </c:pt>
              <c:pt idx="3705">
                <c:v>0.14840700000000001</c:v>
              </c:pt>
              <c:pt idx="3706">
                <c:v>0.148447</c:v>
              </c:pt>
              <c:pt idx="3707">
                <c:v>0.14848700000000001</c:v>
              </c:pt>
              <c:pt idx="3708">
                <c:v>0.14852699999999999</c:v>
              </c:pt>
              <c:pt idx="3709">
                <c:v>0.148567</c:v>
              </c:pt>
              <c:pt idx="3710">
                <c:v>0.14860699999999999</c:v>
              </c:pt>
              <c:pt idx="3711">
                <c:v>0.148647</c:v>
              </c:pt>
              <c:pt idx="3712">
                <c:v>0.14868700000000001</c:v>
              </c:pt>
              <c:pt idx="3713">
                <c:v>0.148727</c:v>
              </c:pt>
              <c:pt idx="3714">
                <c:v>0.14876700000000001</c:v>
              </c:pt>
              <c:pt idx="3715">
                <c:v>0.14880699999999999</c:v>
              </c:pt>
              <c:pt idx="3716">
                <c:v>0.14884700000000001</c:v>
              </c:pt>
              <c:pt idx="3717">
                <c:v>0.14888699999999999</c:v>
              </c:pt>
              <c:pt idx="3718">
                <c:v>0.148927</c:v>
              </c:pt>
              <c:pt idx="3719">
                <c:v>0.14896699999999999</c:v>
              </c:pt>
              <c:pt idx="3720">
                <c:v>0.149007</c:v>
              </c:pt>
              <c:pt idx="3721">
                <c:v>0.14904700000000001</c:v>
              </c:pt>
              <c:pt idx="3722">
                <c:v>0.149087</c:v>
              </c:pt>
              <c:pt idx="3723">
                <c:v>0.14912700000000001</c:v>
              </c:pt>
              <c:pt idx="3724">
                <c:v>0.14916699999999999</c:v>
              </c:pt>
              <c:pt idx="3725">
                <c:v>0.14920700000000001</c:v>
              </c:pt>
              <c:pt idx="3726">
                <c:v>0.14924699999999999</c:v>
              </c:pt>
              <c:pt idx="3727">
                <c:v>0.149287</c:v>
              </c:pt>
              <c:pt idx="3728">
                <c:v>0.14932699999999999</c:v>
              </c:pt>
              <c:pt idx="3729">
                <c:v>0.149367</c:v>
              </c:pt>
              <c:pt idx="3730">
                <c:v>0.14940700000000001</c:v>
              </c:pt>
              <c:pt idx="3731">
                <c:v>0.149447</c:v>
              </c:pt>
              <c:pt idx="3732">
                <c:v>0.14948700000000001</c:v>
              </c:pt>
              <c:pt idx="3733">
                <c:v>0.14952699999999999</c:v>
              </c:pt>
              <c:pt idx="3734">
                <c:v>0.14956700000000001</c:v>
              </c:pt>
              <c:pt idx="3735">
                <c:v>0.14960699999999999</c:v>
              </c:pt>
              <c:pt idx="3736">
                <c:v>0.149647</c:v>
              </c:pt>
              <c:pt idx="3737">
                <c:v>0.14968699999999999</c:v>
              </c:pt>
              <c:pt idx="3738">
                <c:v>0.149727</c:v>
              </c:pt>
              <c:pt idx="3739">
                <c:v>0.14976700000000001</c:v>
              </c:pt>
              <c:pt idx="3740">
                <c:v>0.149807</c:v>
              </c:pt>
              <c:pt idx="3741">
                <c:v>0.14984700000000001</c:v>
              </c:pt>
              <c:pt idx="3742">
                <c:v>0.14988699999999999</c:v>
              </c:pt>
              <c:pt idx="3743">
                <c:v>0.149927</c:v>
              </c:pt>
              <c:pt idx="3744">
                <c:v>0.14996699999999999</c:v>
              </c:pt>
              <c:pt idx="3745">
                <c:v>0.150007</c:v>
              </c:pt>
              <c:pt idx="3746">
                <c:v>0.15004700000000001</c:v>
              </c:pt>
              <c:pt idx="3747">
                <c:v>0.150087</c:v>
              </c:pt>
              <c:pt idx="3748">
                <c:v>0.15012700000000001</c:v>
              </c:pt>
              <c:pt idx="3749">
                <c:v>0.15016699999999999</c:v>
              </c:pt>
              <c:pt idx="3750">
                <c:v>0.15020700000000001</c:v>
              </c:pt>
              <c:pt idx="3751">
                <c:v>0.15024699999999999</c:v>
              </c:pt>
              <c:pt idx="3752">
                <c:v>0.150287</c:v>
              </c:pt>
              <c:pt idx="3753">
                <c:v>0.15032699999999999</c:v>
              </c:pt>
              <c:pt idx="3754">
                <c:v>0.150367</c:v>
              </c:pt>
              <c:pt idx="3755">
                <c:v>0.15040700000000001</c:v>
              </c:pt>
              <c:pt idx="3756">
                <c:v>0.150447</c:v>
              </c:pt>
              <c:pt idx="3757">
                <c:v>0.15048700000000001</c:v>
              </c:pt>
              <c:pt idx="3758">
                <c:v>0.15052699999999999</c:v>
              </c:pt>
              <c:pt idx="3759">
                <c:v>0.15056700000000001</c:v>
              </c:pt>
              <c:pt idx="3760">
                <c:v>0.15060699999999999</c:v>
              </c:pt>
              <c:pt idx="3761">
                <c:v>0.150647</c:v>
              </c:pt>
              <c:pt idx="3762">
                <c:v>0.15068699999999999</c:v>
              </c:pt>
              <c:pt idx="3763">
                <c:v>0.150727</c:v>
              </c:pt>
              <c:pt idx="3764">
                <c:v>0.15076700000000001</c:v>
              </c:pt>
              <c:pt idx="3765">
                <c:v>0.150807</c:v>
              </c:pt>
              <c:pt idx="3766">
                <c:v>0.15084700000000001</c:v>
              </c:pt>
              <c:pt idx="3767">
                <c:v>0.15088699999999999</c:v>
              </c:pt>
              <c:pt idx="3768">
                <c:v>0.15092700000000001</c:v>
              </c:pt>
              <c:pt idx="3769">
                <c:v>0.15096699999999999</c:v>
              </c:pt>
              <c:pt idx="3770">
                <c:v>0.151007</c:v>
              </c:pt>
              <c:pt idx="3771">
                <c:v>0.15104699999999999</c:v>
              </c:pt>
              <c:pt idx="3772">
                <c:v>0.151087</c:v>
              </c:pt>
              <c:pt idx="3773">
                <c:v>0.15112700000000001</c:v>
              </c:pt>
              <c:pt idx="3774">
                <c:v>0.151167</c:v>
              </c:pt>
              <c:pt idx="3775">
                <c:v>0.15120700000000001</c:v>
              </c:pt>
              <c:pt idx="3776">
                <c:v>0.15124699999999999</c:v>
              </c:pt>
              <c:pt idx="3777">
                <c:v>0.151287</c:v>
              </c:pt>
              <c:pt idx="3778">
                <c:v>0.15132699999999999</c:v>
              </c:pt>
              <c:pt idx="3779">
                <c:v>0.151367</c:v>
              </c:pt>
              <c:pt idx="3780">
                <c:v>0.15140700000000001</c:v>
              </c:pt>
              <c:pt idx="3781">
                <c:v>0.151447</c:v>
              </c:pt>
              <c:pt idx="3782">
                <c:v>0.15148700000000001</c:v>
              </c:pt>
              <c:pt idx="3783">
                <c:v>0.151527</c:v>
              </c:pt>
              <c:pt idx="3784">
                <c:v>0.15156700000000001</c:v>
              </c:pt>
              <c:pt idx="3785">
                <c:v>0.15160699999999999</c:v>
              </c:pt>
              <c:pt idx="3786">
                <c:v>0.151647</c:v>
              </c:pt>
              <c:pt idx="3787">
                <c:v>0.15168699999999999</c:v>
              </c:pt>
              <c:pt idx="3788">
                <c:v>0.151727</c:v>
              </c:pt>
              <c:pt idx="3789">
                <c:v>0.15176700000000001</c:v>
              </c:pt>
              <c:pt idx="3790">
                <c:v>0.151807</c:v>
              </c:pt>
              <c:pt idx="3791">
                <c:v>0.15184700000000001</c:v>
              </c:pt>
              <c:pt idx="3792">
                <c:v>0.15188699999999999</c:v>
              </c:pt>
              <c:pt idx="3793">
                <c:v>0.15192700000000001</c:v>
              </c:pt>
              <c:pt idx="3794">
                <c:v>0.15196699999999999</c:v>
              </c:pt>
              <c:pt idx="3795">
                <c:v>0.152007</c:v>
              </c:pt>
              <c:pt idx="3796">
                <c:v>0.15204699999999999</c:v>
              </c:pt>
              <c:pt idx="3797">
                <c:v>0.152087</c:v>
              </c:pt>
              <c:pt idx="3798">
                <c:v>0.15212700000000001</c:v>
              </c:pt>
              <c:pt idx="3799">
                <c:v>0.152167</c:v>
              </c:pt>
              <c:pt idx="3800">
                <c:v>0.15220700000000001</c:v>
              </c:pt>
              <c:pt idx="3801">
                <c:v>0.15224699999999999</c:v>
              </c:pt>
              <c:pt idx="3802">
                <c:v>0.15228700000000001</c:v>
              </c:pt>
              <c:pt idx="3803">
                <c:v>0.15232699999999999</c:v>
              </c:pt>
              <c:pt idx="3804">
                <c:v>0.152367</c:v>
              </c:pt>
              <c:pt idx="3805">
                <c:v>0.15240699999999999</c:v>
              </c:pt>
              <c:pt idx="3806">
                <c:v>0.152447</c:v>
              </c:pt>
              <c:pt idx="3807">
                <c:v>0.15248700000000001</c:v>
              </c:pt>
              <c:pt idx="3808">
                <c:v>0.152527</c:v>
              </c:pt>
              <c:pt idx="3809">
                <c:v>0.15256700000000001</c:v>
              </c:pt>
              <c:pt idx="3810">
                <c:v>0.15260699999999999</c:v>
              </c:pt>
              <c:pt idx="3811">
                <c:v>0.152647</c:v>
              </c:pt>
              <c:pt idx="3812">
                <c:v>0.15268699999999999</c:v>
              </c:pt>
              <c:pt idx="3813">
                <c:v>0.152727</c:v>
              </c:pt>
              <c:pt idx="3814">
                <c:v>0.15276699999999999</c:v>
              </c:pt>
              <c:pt idx="3815">
                <c:v>0.152807</c:v>
              </c:pt>
              <c:pt idx="3816">
                <c:v>0.15284700000000001</c:v>
              </c:pt>
              <c:pt idx="3817">
                <c:v>0.152887</c:v>
              </c:pt>
              <c:pt idx="3818">
                <c:v>0.15292700000000001</c:v>
              </c:pt>
              <c:pt idx="3819">
                <c:v>0.15296699999999999</c:v>
              </c:pt>
              <c:pt idx="3820">
                <c:v>0.153007</c:v>
              </c:pt>
              <c:pt idx="3821">
                <c:v>0.15304699999999999</c:v>
              </c:pt>
              <c:pt idx="3822">
                <c:v>0.153087</c:v>
              </c:pt>
              <c:pt idx="3823">
                <c:v>0.15312700000000001</c:v>
              </c:pt>
              <c:pt idx="3824">
                <c:v>0.153167</c:v>
              </c:pt>
              <c:pt idx="3825">
                <c:v>0.15320700000000001</c:v>
              </c:pt>
              <c:pt idx="3826">
                <c:v>0.15324699999999999</c:v>
              </c:pt>
              <c:pt idx="3827">
                <c:v>0.15328700000000001</c:v>
              </c:pt>
              <c:pt idx="3828">
                <c:v>0.15332699999999999</c:v>
              </c:pt>
              <c:pt idx="3829">
                <c:v>0.153367</c:v>
              </c:pt>
              <c:pt idx="3830">
                <c:v>0.15340699999999999</c:v>
              </c:pt>
              <c:pt idx="3831">
                <c:v>0.153447</c:v>
              </c:pt>
              <c:pt idx="3832">
                <c:v>0.15348700000000001</c:v>
              </c:pt>
              <c:pt idx="3833">
                <c:v>0.153527</c:v>
              </c:pt>
              <c:pt idx="3834">
                <c:v>0.15356700000000001</c:v>
              </c:pt>
              <c:pt idx="3835">
                <c:v>0.15360699999999999</c:v>
              </c:pt>
              <c:pt idx="3836">
                <c:v>0.15364700000000001</c:v>
              </c:pt>
              <c:pt idx="3837">
                <c:v>0.15368699999999999</c:v>
              </c:pt>
              <c:pt idx="3838">
                <c:v>0.153727</c:v>
              </c:pt>
              <c:pt idx="3839">
                <c:v>0.15376699999999999</c:v>
              </c:pt>
              <c:pt idx="3840">
                <c:v>0.153807</c:v>
              </c:pt>
              <c:pt idx="3841">
                <c:v>0.15384700000000001</c:v>
              </c:pt>
              <c:pt idx="3842">
                <c:v>0.153887</c:v>
              </c:pt>
              <c:pt idx="3843">
                <c:v>0.15392700000000001</c:v>
              </c:pt>
              <c:pt idx="3844">
                <c:v>0.15396699999999999</c:v>
              </c:pt>
              <c:pt idx="3845">
                <c:v>0.15400700000000001</c:v>
              </c:pt>
              <c:pt idx="3846">
                <c:v>0.15404699999999999</c:v>
              </c:pt>
              <c:pt idx="3847">
                <c:v>0.154087</c:v>
              </c:pt>
              <c:pt idx="3848">
                <c:v>0.15412699999999999</c:v>
              </c:pt>
              <c:pt idx="3849">
                <c:v>0.154167</c:v>
              </c:pt>
              <c:pt idx="3850">
                <c:v>0.15420700000000001</c:v>
              </c:pt>
              <c:pt idx="3851">
                <c:v>0.154247</c:v>
              </c:pt>
              <c:pt idx="3852">
                <c:v>0.15428700000000001</c:v>
              </c:pt>
              <c:pt idx="3853">
                <c:v>0.15432699999999999</c:v>
              </c:pt>
              <c:pt idx="3854">
                <c:v>0.154367</c:v>
              </c:pt>
              <c:pt idx="3855">
                <c:v>0.15440699999999999</c:v>
              </c:pt>
              <c:pt idx="3856">
                <c:v>0.154447</c:v>
              </c:pt>
              <c:pt idx="3857">
                <c:v>0.15448700000000001</c:v>
              </c:pt>
              <c:pt idx="3858">
                <c:v>0.154527</c:v>
              </c:pt>
              <c:pt idx="3859">
                <c:v>0.15456700000000001</c:v>
              </c:pt>
              <c:pt idx="3860">
                <c:v>0.15460699999999999</c:v>
              </c:pt>
              <c:pt idx="3861">
                <c:v>0.15464700000000001</c:v>
              </c:pt>
              <c:pt idx="3862">
                <c:v>0.15468699999999999</c:v>
              </c:pt>
              <c:pt idx="3863">
                <c:v>0.154727</c:v>
              </c:pt>
              <c:pt idx="3864">
                <c:v>0.15476699999999999</c:v>
              </c:pt>
              <c:pt idx="3865">
                <c:v>0.154807</c:v>
              </c:pt>
              <c:pt idx="3866">
                <c:v>0.15484700000000001</c:v>
              </c:pt>
              <c:pt idx="3867">
                <c:v>0.154887</c:v>
              </c:pt>
              <c:pt idx="3868">
                <c:v>0.15492700000000001</c:v>
              </c:pt>
              <c:pt idx="3869">
                <c:v>0.15496699999999999</c:v>
              </c:pt>
              <c:pt idx="3870">
                <c:v>0.15500700000000001</c:v>
              </c:pt>
              <c:pt idx="3871">
                <c:v>0.15504699999999999</c:v>
              </c:pt>
              <c:pt idx="3872">
                <c:v>0.155087</c:v>
              </c:pt>
              <c:pt idx="3873">
                <c:v>0.15512699999999999</c:v>
              </c:pt>
              <c:pt idx="3874">
                <c:v>0.155167</c:v>
              </c:pt>
              <c:pt idx="3875">
                <c:v>0.15520700000000001</c:v>
              </c:pt>
              <c:pt idx="3876">
                <c:v>0.155247</c:v>
              </c:pt>
              <c:pt idx="3877">
                <c:v>0.15528700000000001</c:v>
              </c:pt>
              <c:pt idx="3878">
                <c:v>0.15532699999999999</c:v>
              </c:pt>
              <c:pt idx="3879">
                <c:v>0.15536700000000001</c:v>
              </c:pt>
              <c:pt idx="3880">
                <c:v>0.15540699999999999</c:v>
              </c:pt>
              <c:pt idx="3881">
                <c:v>0.155447</c:v>
              </c:pt>
              <c:pt idx="3882">
                <c:v>0.15548699999999999</c:v>
              </c:pt>
              <c:pt idx="3883">
                <c:v>0.155527</c:v>
              </c:pt>
              <c:pt idx="3884">
                <c:v>0.15556700000000001</c:v>
              </c:pt>
              <c:pt idx="3885">
                <c:v>0.155607</c:v>
              </c:pt>
              <c:pt idx="3886">
                <c:v>0.15564700000000001</c:v>
              </c:pt>
              <c:pt idx="3887">
                <c:v>0.15568699999999999</c:v>
              </c:pt>
              <c:pt idx="3888">
                <c:v>0.155727</c:v>
              </c:pt>
              <c:pt idx="3889">
                <c:v>0.15576699999999999</c:v>
              </c:pt>
              <c:pt idx="3890">
                <c:v>0.155807</c:v>
              </c:pt>
              <c:pt idx="3891">
                <c:v>0.15584700000000001</c:v>
              </c:pt>
              <c:pt idx="3892">
                <c:v>0.155887</c:v>
              </c:pt>
              <c:pt idx="3893">
                <c:v>0.15592700000000001</c:v>
              </c:pt>
              <c:pt idx="3894">
                <c:v>0.15596699999999999</c:v>
              </c:pt>
              <c:pt idx="3895">
                <c:v>0.15600700000000001</c:v>
              </c:pt>
              <c:pt idx="3896">
                <c:v>0.15604699999999999</c:v>
              </c:pt>
              <c:pt idx="3897">
                <c:v>0.156087</c:v>
              </c:pt>
              <c:pt idx="3898">
                <c:v>0.15612699999999999</c:v>
              </c:pt>
              <c:pt idx="3899">
                <c:v>0.156167</c:v>
              </c:pt>
              <c:pt idx="3900">
                <c:v>0.15620700000000001</c:v>
              </c:pt>
              <c:pt idx="3901">
                <c:v>0.156247</c:v>
              </c:pt>
              <c:pt idx="3902">
                <c:v>0.15628700000000001</c:v>
              </c:pt>
              <c:pt idx="3903">
                <c:v>0.15632699999999999</c:v>
              </c:pt>
              <c:pt idx="3904">
                <c:v>0.15636700000000001</c:v>
              </c:pt>
              <c:pt idx="3905">
                <c:v>0.15640699999999999</c:v>
              </c:pt>
              <c:pt idx="3906">
                <c:v>0.156447</c:v>
              </c:pt>
              <c:pt idx="3907">
                <c:v>0.15648699999999999</c:v>
              </c:pt>
              <c:pt idx="3908">
                <c:v>0.156527</c:v>
              </c:pt>
              <c:pt idx="3909">
                <c:v>0.15656700000000001</c:v>
              </c:pt>
              <c:pt idx="3910">
                <c:v>0.156607</c:v>
              </c:pt>
              <c:pt idx="3911">
                <c:v>0.15664700000000001</c:v>
              </c:pt>
              <c:pt idx="3912">
                <c:v>0.15668699999999999</c:v>
              </c:pt>
              <c:pt idx="3913">
                <c:v>0.15672700000000001</c:v>
              </c:pt>
              <c:pt idx="3914">
                <c:v>0.15676699999999999</c:v>
              </c:pt>
              <c:pt idx="3915">
                <c:v>0.156807</c:v>
              </c:pt>
              <c:pt idx="3916">
                <c:v>0.15684699999999999</c:v>
              </c:pt>
              <c:pt idx="3917">
                <c:v>0.156887</c:v>
              </c:pt>
              <c:pt idx="3918">
                <c:v>0.15692700000000001</c:v>
              </c:pt>
              <c:pt idx="3919">
                <c:v>0.156967</c:v>
              </c:pt>
              <c:pt idx="3920">
                <c:v>0.15700700000000001</c:v>
              </c:pt>
              <c:pt idx="3921">
                <c:v>0.15704699999999999</c:v>
              </c:pt>
              <c:pt idx="3922">
                <c:v>0.157087</c:v>
              </c:pt>
              <c:pt idx="3923">
                <c:v>0.15712699999999999</c:v>
              </c:pt>
              <c:pt idx="3924">
                <c:v>0.157167</c:v>
              </c:pt>
              <c:pt idx="3925">
                <c:v>0.15720700000000001</c:v>
              </c:pt>
              <c:pt idx="3926">
                <c:v>0.157247</c:v>
              </c:pt>
              <c:pt idx="3927">
                <c:v>0.15728700000000001</c:v>
              </c:pt>
              <c:pt idx="3928">
                <c:v>0.15732699999999999</c:v>
              </c:pt>
              <c:pt idx="3929">
                <c:v>0.15736700000000001</c:v>
              </c:pt>
              <c:pt idx="3930">
                <c:v>0.15740699999999999</c:v>
              </c:pt>
              <c:pt idx="3931">
                <c:v>0.157447</c:v>
              </c:pt>
              <c:pt idx="3932">
                <c:v>0.15748699999999999</c:v>
              </c:pt>
              <c:pt idx="3933">
                <c:v>0.157527</c:v>
              </c:pt>
              <c:pt idx="3934">
                <c:v>0.15756700000000001</c:v>
              </c:pt>
              <c:pt idx="3935">
                <c:v>0.157607</c:v>
              </c:pt>
              <c:pt idx="3936">
                <c:v>0.15764700000000001</c:v>
              </c:pt>
              <c:pt idx="3937">
                <c:v>0.15768699999999999</c:v>
              </c:pt>
              <c:pt idx="3938">
                <c:v>0.15772700000000001</c:v>
              </c:pt>
              <c:pt idx="3939">
                <c:v>0.15776699999999999</c:v>
              </c:pt>
              <c:pt idx="3940">
                <c:v>0.157807</c:v>
              </c:pt>
              <c:pt idx="3941">
                <c:v>0.15784699999999999</c:v>
              </c:pt>
              <c:pt idx="3942">
                <c:v>0.157887</c:v>
              </c:pt>
              <c:pt idx="3943">
                <c:v>0.15792700000000001</c:v>
              </c:pt>
              <c:pt idx="3944">
                <c:v>0.157967</c:v>
              </c:pt>
              <c:pt idx="3945">
                <c:v>0.15800700000000001</c:v>
              </c:pt>
              <c:pt idx="3946">
                <c:v>0.15804699999999999</c:v>
              </c:pt>
              <c:pt idx="3947">
                <c:v>0.15808700000000001</c:v>
              </c:pt>
              <c:pt idx="3948">
                <c:v>0.15812699999999999</c:v>
              </c:pt>
              <c:pt idx="3949">
                <c:v>0.158167</c:v>
              </c:pt>
              <c:pt idx="3950">
                <c:v>0.15820699999999999</c:v>
              </c:pt>
              <c:pt idx="3951">
                <c:v>0.158247</c:v>
              </c:pt>
              <c:pt idx="3952">
                <c:v>0.15828700000000001</c:v>
              </c:pt>
              <c:pt idx="3953">
                <c:v>0.158327</c:v>
              </c:pt>
              <c:pt idx="3954">
                <c:v>0.15836700000000001</c:v>
              </c:pt>
              <c:pt idx="3955">
                <c:v>0.15840699999999999</c:v>
              </c:pt>
              <c:pt idx="3956">
                <c:v>0.158447</c:v>
              </c:pt>
              <c:pt idx="3957">
                <c:v>0.15848699999999999</c:v>
              </c:pt>
              <c:pt idx="3958">
                <c:v>0.158527</c:v>
              </c:pt>
              <c:pt idx="3959">
                <c:v>0.15856700000000001</c:v>
              </c:pt>
              <c:pt idx="3960">
                <c:v>0.158607</c:v>
              </c:pt>
              <c:pt idx="3961">
                <c:v>0.15864700000000001</c:v>
              </c:pt>
              <c:pt idx="3962">
                <c:v>0.15868699999999999</c:v>
              </c:pt>
              <c:pt idx="3963">
                <c:v>0.15872700000000001</c:v>
              </c:pt>
              <c:pt idx="3964">
                <c:v>0.15876699999999999</c:v>
              </c:pt>
              <c:pt idx="3965">
                <c:v>0.158807</c:v>
              </c:pt>
              <c:pt idx="3966">
                <c:v>0.15884699999999999</c:v>
              </c:pt>
              <c:pt idx="3967">
                <c:v>0.158887</c:v>
              </c:pt>
              <c:pt idx="3968">
                <c:v>0.15892700000000001</c:v>
              </c:pt>
              <c:pt idx="3969">
                <c:v>0.158967</c:v>
              </c:pt>
              <c:pt idx="3970">
                <c:v>0.15900700000000001</c:v>
              </c:pt>
              <c:pt idx="3971">
                <c:v>0.15904699999999999</c:v>
              </c:pt>
              <c:pt idx="3972">
                <c:v>0.15908700000000001</c:v>
              </c:pt>
              <c:pt idx="3973">
                <c:v>0.15912699999999999</c:v>
              </c:pt>
              <c:pt idx="3974">
                <c:v>0.159167</c:v>
              </c:pt>
              <c:pt idx="3975">
                <c:v>0.15920699999999999</c:v>
              </c:pt>
              <c:pt idx="3976">
                <c:v>0.159247</c:v>
              </c:pt>
              <c:pt idx="3977">
                <c:v>0.15928700000000001</c:v>
              </c:pt>
              <c:pt idx="3978">
                <c:v>0.159327</c:v>
              </c:pt>
              <c:pt idx="3979">
                <c:v>0.15936700000000001</c:v>
              </c:pt>
              <c:pt idx="3980">
                <c:v>0.15940699999999999</c:v>
              </c:pt>
              <c:pt idx="3981">
                <c:v>0.15944700000000001</c:v>
              </c:pt>
              <c:pt idx="3982">
                <c:v>0.15948699999999999</c:v>
              </c:pt>
              <c:pt idx="3983">
                <c:v>0.159527</c:v>
              </c:pt>
              <c:pt idx="3984">
                <c:v>0.15956699999999999</c:v>
              </c:pt>
              <c:pt idx="3985">
                <c:v>0.159607</c:v>
              </c:pt>
              <c:pt idx="3986">
                <c:v>0.15964700000000001</c:v>
              </c:pt>
              <c:pt idx="3987">
                <c:v>0.159687</c:v>
              </c:pt>
              <c:pt idx="3988">
                <c:v>0.15972700000000001</c:v>
              </c:pt>
              <c:pt idx="3989">
                <c:v>0.15976699999999999</c:v>
              </c:pt>
              <c:pt idx="3990">
                <c:v>0.159807</c:v>
              </c:pt>
              <c:pt idx="3991">
                <c:v>0.15984699999999999</c:v>
              </c:pt>
              <c:pt idx="3992">
                <c:v>0.159887</c:v>
              </c:pt>
              <c:pt idx="3993">
                <c:v>0.15992700000000001</c:v>
              </c:pt>
              <c:pt idx="3994">
                <c:v>0.159967</c:v>
              </c:pt>
              <c:pt idx="3995">
                <c:v>0.16000700000000001</c:v>
              </c:pt>
              <c:pt idx="3996">
                <c:v>0.16004699999999999</c:v>
              </c:pt>
              <c:pt idx="3997">
                <c:v>0.16008700000000001</c:v>
              </c:pt>
              <c:pt idx="3998">
                <c:v>0.16012699999999999</c:v>
              </c:pt>
              <c:pt idx="3999">
                <c:v>0.160167</c:v>
              </c:pt>
              <c:pt idx="4000">
                <c:v>0.16020699999999999</c:v>
              </c:pt>
              <c:pt idx="4001">
                <c:v>0.160247</c:v>
              </c:pt>
              <c:pt idx="4002">
                <c:v>0.16028700000000001</c:v>
              </c:pt>
              <c:pt idx="4003">
                <c:v>0.160327</c:v>
              </c:pt>
              <c:pt idx="4004">
                <c:v>0.16036700000000001</c:v>
              </c:pt>
              <c:pt idx="4005">
                <c:v>0.16040699999999999</c:v>
              </c:pt>
              <c:pt idx="4006">
                <c:v>0.16044700000000001</c:v>
              </c:pt>
              <c:pt idx="4007">
                <c:v>0.16048699999999999</c:v>
              </c:pt>
              <c:pt idx="4008">
                <c:v>0.160527</c:v>
              </c:pt>
              <c:pt idx="4009">
                <c:v>0.16056699999999999</c:v>
              </c:pt>
              <c:pt idx="4010">
                <c:v>0.160607</c:v>
              </c:pt>
              <c:pt idx="4011">
                <c:v>0.16064700000000001</c:v>
              </c:pt>
              <c:pt idx="4012">
                <c:v>0.160687</c:v>
              </c:pt>
              <c:pt idx="4013">
                <c:v>0.16072700000000001</c:v>
              </c:pt>
              <c:pt idx="4014">
                <c:v>0.16076699999999999</c:v>
              </c:pt>
              <c:pt idx="4015">
                <c:v>0.16080700000000001</c:v>
              </c:pt>
              <c:pt idx="4016">
                <c:v>0.16084699999999999</c:v>
              </c:pt>
              <c:pt idx="4017">
                <c:v>0.160887</c:v>
              </c:pt>
              <c:pt idx="4018">
                <c:v>0.16092699999999999</c:v>
              </c:pt>
              <c:pt idx="4019">
                <c:v>0.160967</c:v>
              </c:pt>
              <c:pt idx="4020">
                <c:v>0.16100700000000001</c:v>
              </c:pt>
              <c:pt idx="4021">
                <c:v>0.161047</c:v>
              </c:pt>
              <c:pt idx="4022">
                <c:v>0.16108700000000001</c:v>
              </c:pt>
              <c:pt idx="4023">
                <c:v>0.16112699999999999</c:v>
              </c:pt>
              <c:pt idx="4024">
                <c:v>0.161167</c:v>
              </c:pt>
              <c:pt idx="4025">
                <c:v>0.16120699999999999</c:v>
              </c:pt>
              <c:pt idx="4026">
                <c:v>0.161247</c:v>
              </c:pt>
              <c:pt idx="4027">
                <c:v>0.16128700000000001</c:v>
              </c:pt>
              <c:pt idx="4028">
                <c:v>0.161327</c:v>
              </c:pt>
              <c:pt idx="4029">
                <c:v>0.16136700000000001</c:v>
              </c:pt>
              <c:pt idx="4030">
                <c:v>0.16140699999999999</c:v>
              </c:pt>
              <c:pt idx="4031">
                <c:v>0.16144700000000001</c:v>
              </c:pt>
              <c:pt idx="4032">
                <c:v>0.16148699999999999</c:v>
              </c:pt>
              <c:pt idx="4033">
                <c:v>0.161527</c:v>
              </c:pt>
              <c:pt idx="4034">
                <c:v>0.16156699999999999</c:v>
              </c:pt>
              <c:pt idx="4035">
                <c:v>0.161607</c:v>
              </c:pt>
              <c:pt idx="4036">
                <c:v>0.16164700000000001</c:v>
              </c:pt>
              <c:pt idx="4037">
                <c:v>0.161687</c:v>
              </c:pt>
              <c:pt idx="4038">
                <c:v>0.16172700000000001</c:v>
              </c:pt>
              <c:pt idx="4039">
                <c:v>0.16176699999999999</c:v>
              </c:pt>
              <c:pt idx="4040">
                <c:v>0.16180700000000001</c:v>
              </c:pt>
              <c:pt idx="4041">
                <c:v>0.16184699999999999</c:v>
              </c:pt>
              <c:pt idx="4042">
                <c:v>0.161887</c:v>
              </c:pt>
              <c:pt idx="4043">
                <c:v>0.16192699999999999</c:v>
              </c:pt>
              <c:pt idx="4044">
                <c:v>0.161967</c:v>
              </c:pt>
              <c:pt idx="4045">
                <c:v>0.16200700000000001</c:v>
              </c:pt>
              <c:pt idx="4046">
                <c:v>0.162047</c:v>
              </c:pt>
              <c:pt idx="4047">
                <c:v>0.16208700000000001</c:v>
              </c:pt>
              <c:pt idx="4048">
                <c:v>0.16212699999999999</c:v>
              </c:pt>
              <c:pt idx="4049">
                <c:v>0.16216700000000001</c:v>
              </c:pt>
              <c:pt idx="4050">
                <c:v>0.16220699999999999</c:v>
              </c:pt>
              <c:pt idx="4051">
                <c:v>0.162247</c:v>
              </c:pt>
              <c:pt idx="4052">
                <c:v>0.16228699999999999</c:v>
              </c:pt>
              <c:pt idx="4053">
                <c:v>0.162327</c:v>
              </c:pt>
              <c:pt idx="4054">
                <c:v>0.16236700000000001</c:v>
              </c:pt>
              <c:pt idx="4055">
                <c:v>0.162407</c:v>
              </c:pt>
              <c:pt idx="4056">
                <c:v>0.16244700000000001</c:v>
              </c:pt>
              <c:pt idx="4057">
                <c:v>0.16248699999999999</c:v>
              </c:pt>
              <c:pt idx="4058">
                <c:v>0.162527</c:v>
              </c:pt>
              <c:pt idx="4059">
                <c:v>0.16256699999999999</c:v>
              </c:pt>
              <c:pt idx="4060">
                <c:v>0.162607</c:v>
              </c:pt>
              <c:pt idx="4061">
                <c:v>0.16264700000000001</c:v>
              </c:pt>
              <c:pt idx="4062">
                <c:v>0.162687</c:v>
              </c:pt>
              <c:pt idx="4063">
                <c:v>0.16272700000000001</c:v>
              </c:pt>
              <c:pt idx="4064">
                <c:v>0.162767</c:v>
              </c:pt>
              <c:pt idx="4065">
                <c:v>0.16280700000000001</c:v>
              </c:pt>
              <c:pt idx="4066">
                <c:v>0.16284699999999999</c:v>
              </c:pt>
              <c:pt idx="4067">
                <c:v>0.162887</c:v>
              </c:pt>
              <c:pt idx="4068">
                <c:v>0.16292699999999999</c:v>
              </c:pt>
              <c:pt idx="4069">
                <c:v>0.162967</c:v>
              </c:pt>
              <c:pt idx="4070">
                <c:v>0.16300700000000001</c:v>
              </c:pt>
              <c:pt idx="4071">
                <c:v>0.163047</c:v>
              </c:pt>
              <c:pt idx="4072">
                <c:v>0.16308700000000001</c:v>
              </c:pt>
              <c:pt idx="4073">
                <c:v>0.16312699999999999</c:v>
              </c:pt>
              <c:pt idx="4074">
                <c:v>0.16316700000000001</c:v>
              </c:pt>
              <c:pt idx="4075">
                <c:v>0.16320699999999999</c:v>
              </c:pt>
              <c:pt idx="4076">
                <c:v>0.163247</c:v>
              </c:pt>
              <c:pt idx="4077">
                <c:v>0.16328699999999999</c:v>
              </c:pt>
              <c:pt idx="4078">
                <c:v>0.163327</c:v>
              </c:pt>
              <c:pt idx="4079">
                <c:v>0.16336700000000001</c:v>
              </c:pt>
              <c:pt idx="4080">
                <c:v>0.163407</c:v>
              </c:pt>
              <c:pt idx="4081">
                <c:v>0.16344700000000001</c:v>
              </c:pt>
              <c:pt idx="4082">
                <c:v>0.16348699999999999</c:v>
              </c:pt>
              <c:pt idx="4083">
                <c:v>0.16352700000000001</c:v>
              </c:pt>
              <c:pt idx="4084">
                <c:v>0.16356699999999999</c:v>
              </c:pt>
              <c:pt idx="4085">
                <c:v>0.163607</c:v>
              </c:pt>
              <c:pt idx="4086">
                <c:v>0.16364699999999999</c:v>
              </c:pt>
              <c:pt idx="4087">
                <c:v>0.163687</c:v>
              </c:pt>
              <c:pt idx="4088">
                <c:v>0.16372700000000001</c:v>
              </c:pt>
              <c:pt idx="4089">
                <c:v>0.163767</c:v>
              </c:pt>
              <c:pt idx="4090">
                <c:v>0.16380700000000001</c:v>
              </c:pt>
              <c:pt idx="4091">
                <c:v>0.16384699999999999</c:v>
              </c:pt>
              <c:pt idx="4092">
                <c:v>0.163887</c:v>
              </c:pt>
              <c:pt idx="4093">
                <c:v>0.16392699999999999</c:v>
              </c:pt>
              <c:pt idx="4094">
                <c:v>0.163967</c:v>
              </c:pt>
              <c:pt idx="4095">
                <c:v>0.16400700000000001</c:v>
              </c:pt>
              <c:pt idx="4096">
                <c:v>0.164047</c:v>
              </c:pt>
              <c:pt idx="4097">
                <c:v>0.16408700000000001</c:v>
              </c:pt>
              <c:pt idx="4098">
                <c:v>0.164127</c:v>
              </c:pt>
              <c:pt idx="4099">
                <c:v>0.16416700000000001</c:v>
              </c:pt>
              <c:pt idx="4100">
                <c:v>0.16420699999999999</c:v>
              </c:pt>
              <c:pt idx="4101">
                <c:v>0.164247</c:v>
              </c:pt>
              <c:pt idx="4102">
                <c:v>0.16428699999999999</c:v>
              </c:pt>
              <c:pt idx="4103">
                <c:v>0.164327</c:v>
              </c:pt>
              <c:pt idx="4104">
                <c:v>0.16436700000000001</c:v>
              </c:pt>
              <c:pt idx="4105">
                <c:v>0.164407</c:v>
              </c:pt>
              <c:pt idx="4106">
                <c:v>0.16444700000000001</c:v>
              </c:pt>
              <c:pt idx="4107">
                <c:v>0.16448699999999999</c:v>
              </c:pt>
              <c:pt idx="4108">
                <c:v>0.16452700000000001</c:v>
              </c:pt>
              <c:pt idx="4109">
                <c:v>0.16456699999999999</c:v>
              </c:pt>
              <c:pt idx="4110">
                <c:v>0.164607</c:v>
              </c:pt>
              <c:pt idx="4111">
                <c:v>0.16464699999999999</c:v>
              </c:pt>
              <c:pt idx="4112">
                <c:v>0.164687</c:v>
              </c:pt>
              <c:pt idx="4113">
                <c:v>0.16472700000000001</c:v>
              </c:pt>
              <c:pt idx="4114">
                <c:v>0.164767</c:v>
              </c:pt>
              <c:pt idx="4115">
                <c:v>0.16480700000000001</c:v>
              </c:pt>
              <c:pt idx="4116">
                <c:v>0.16484699999999999</c:v>
              </c:pt>
              <c:pt idx="4117">
                <c:v>0.16488700000000001</c:v>
              </c:pt>
              <c:pt idx="4118">
                <c:v>0.16492699999999999</c:v>
              </c:pt>
              <c:pt idx="4119">
                <c:v>0.164967</c:v>
              </c:pt>
              <c:pt idx="4120">
                <c:v>0.16500699999999999</c:v>
              </c:pt>
              <c:pt idx="4121">
                <c:v>0.165047</c:v>
              </c:pt>
              <c:pt idx="4122">
                <c:v>0.16508700000000001</c:v>
              </c:pt>
              <c:pt idx="4123">
                <c:v>0.165127</c:v>
              </c:pt>
              <c:pt idx="4124">
                <c:v>0.16516700000000001</c:v>
              </c:pt>
              <c:pt idx="4125">
                <c:v>0.16520699999999999</c:v>
              </c:pt>
              <c:pt idx="4126">
                <c:v>0.165247</c:v>
              </c:pt>
              <c:pt idx="4127">
                <c:v>0.16528699999999999</c:v>
              </c:pt>
              <c:pt idx="4128">
                <c:v>0.165327</c:v>
              </c:pt>
              <c:pt idx="4129">
                <c:v>0.16536699999999999</c:v>
              </c:pt>
              <c:pt idx="4130">
                <c:v>0.165407</c:v>
              </c:pt>
              <c:pt idx="4131">
                <c:v>0.16544700000000001</c:v>
              </c:pt>
              <c:pt idx="4132">
                <c:v>0.165487</c:v>
              </c:pt>
              <c:pt idx="4133">
                <c:v>0.16552700000000001</c:v>
              </c:pt>
              <c:pt idx="4134">
                <c:v>0.16556699999999999</c:v>
              </c:pt>
              <c:pt idx="4135">
                <c:v>0.165607</c:v>
              </c:pt>
              <c:pt idx="4136">
                <c:v>0.16564699999999999</c:v>
              </c:pt>
              <c:pt idx="4137">
                <c:v>0.165687</c:v>
              </c:pt>
              <c:pt idx="4138">
                <c:v>0.16572700000000001</c:v>
              </c:pt>
              <c:pt idx="4139">
                <c:v>0.165767</c:v>
              </c:pt>
              <c:pt idx="4140">
                <c:v>0.16580700000000001</c:v>
              </c:pt>
              <c:pt idx="4141">
                <c:v>0.16584699999999999</c:v>
              </c:pt>
              <c:pt idx="4142">
                <c:v>0.16588700000000001</c:v>
              </c:pt>
              <c:pt idx="4143">
                <c:v>0.16592699999999999</c:v>
              </c:pt>
              <c:pt idx="4144">
                <c:v>0.165967</c:v>
              </c:pt>
              <c:pt idx="4145">
                <c:v>0.16600699999999999</c:v>
              </c:pt>
              <c:pt idx="4146">
                <c:v>0.166047</c:v>
              </c:pt>
              <c:pt idx="4147">
                <c:v>0.16608700000000001</c:v>
              </c:pt>
              <c:pt idx="4148">
                <c:v>0.166127</c:v>
              </c:pt>
              <c:pt idx="4149">
                <c:v>0.16616700000000001</c:v>
              </c:pt>
              <c:pt idx="4150">
                <c:v>0.16620699999999999</c:v>
              </c:pt>
              <c:pt idx="4151">
                <c:v>0.16624700000000001</c:v>
              </c:pt>
              <c:pt idx="4152">
                <c:v>0.16628699999999999</c:v>
              </c:pt>
              <c:pt idx="4153">
                <c:v>0.166327</c:v>
              </c:pt>
              <c:pt idx="4154">
                <c:v>0.16636699999999999</c:v>
              </c:pt>
              <c:pt idx="4155">
                <c:v>0.166407</c:v>
              </c:pt>
              <c:pt idx="4156">
                <c:v>0.16644700000000001</c:v>
              </c:pt>
              <c:pt idx="4157">
                <c:v>0.166487</c:v>
              </c:pt>
              <c:pt idx="4158">
                <c:v>0.16652700000000001</c:v>
              </c:pt>
              <c:pt idx="4159">
                <c:v>0.16656699999999999</c:v>
              </c:pt>
              <c:pt idx="4160">
                <c:v>0.16660700000000001</c:v>
              </c:pt>
              <c:pt idx="4161">
                <c:v>0.16664699999999999</c:v>
              </c:pt>
              <c:pt idx="4162">
                <c:v>0.166687</c:v>
              </c:pt>
              <c:pt idx="4163">
                <c:v>0.16672699999999999</c:v>
              </c:pt>
              <c:pt idx="4164">
                <c:v>0.166767</c:v>
              </c:pt>
              <c:pt idx="4165">
                <c:v>0.16680700000000001</c:v>
              </c:pt>
              <c:pt idx="4166">
                <c:v>0.166847</c:v>
              </c:pt>
              <c:pt idx="4167">
                <c:v>0.16688700000000001</c:v>
              </c:pt>
              <c:pt idx="4168">
                <c:v>0.16692699999999999</c:v>
              </c:pt>
              <c:pt idx="4169">
                <c:v>0.166967</c:v>
              </c:pt>
              <c:pt idx="4170">
                <c:v>0.16700699999999999</c:v>
              </c:pt>
              <c:pt idx="4171">
                <c:v>0.167047</c:v>
              </c:pt>
              <c:pt idx="4172">
                <c:v>0.16708700000000001</c:v>
              </c:pt>
              <c:pt idx="4173">
                <c:v>0.167127</c:v>
              </c:pt>
              <c:pt idx="4174">
                <c:v>0.16716700000000001</c:v>
              </c:pt>
              <c:pt idx="4175">
                <c:v>0.16720699999999999</c:v>
              </c:pt>
              <c:pt idx="4176">
                <c:v>0.16724700000000001</c:v>
              </c:pt>
              <c:pt idx="4177">
                <c:v>0.16728699999999999</c:v>
              </c:pt>
              <c:pt idx="4178">
                <c:v>0.167327</c:v>
              </c:pt>
              <c:pt idx="4179">
                <c:v>0.16736699999999999</c:v>
              </c:pt>
              <c:pt idx="4180">
                <c:v>0.167407</c:v>
              </c:pt>
              <c:pt idx="4181">
                <c:v>0.16744700000000001</c:v>
              </c:pt>
              <c:pt idx="4182">
                <c:v>0.167487</c:v>
              </c:pt>
              <c:pt idx="4183">
                <c:v>0.16752700000000001</c:v>
              </c:pt>
              <c:pt idx="4184">
                <c:v>0.16756699999999999</c:v>
              </c:pt>
              <c:pt idx="4185">
                <c:v>0.16760700000000001</c:v>
              </c:pt>
              <c:pt idx="4186">
                <c:v>0.16764699999999999</c:v>
              </c:pt>
              <c:pt idx="4187">
                <c:v>0.167687</c:v>
              </c:pt>
              <c:pt idx="4188">
                <c:v>0.16772699999999999</c:v>
              </c:pt>
              <c:pt idx="4189">
                <c:v>0.167767</c:v>
              </c:pt>
              <c:pt idx="4190">
                <c:v>0.16780700000000001</c:v>
              </c:pt>
              <c:pt idx="4191">
                <c:v>0.167847</c:v>
              </c:pt>
              <c:pt idx="4192">
                <c:v>0.16788700000000001</c:v>
              </c:pt>
              <c:pt idx="4193">
                <c:v>0.16792699999999999</c:v>
              </c:pt>
              <c:pt idx="4194">
                <c:v>0.16796700000000001</c:v>
              </c:pt>
              <c:pt idx="4195">
                <c:v>0.16800699999999999</c:v>
              </c:pt>
              <c:pt idx="4196">
                <c:v>0.168047</c:v>
              </c:pt>
              <c:pt idx="4197">
                <c:v>0.16808699999999999</c:v>
              </c:pt>
              <c:pt idx="4198">
                <c:v>0.168127</c:v>
              </c:pt>
              <c:pt idx="4199">
                <c:v>0.16816700000000001</c:v>
              </c:pt>
              <c:pt idx="4200">
                <c:v>0.168207</c:v>
              </c:pt>
              <c:pt idx="4201">
                <c:v>0.16824700000000001</c:v>
              </c:pt>
              <c:pt idx="4202">
                <c:v>0.16828699999999999</c:v>
              </c:pt>
              <c:pt idx="4203">
                <c:v>0.168327</c:v>
              </c:pt>
              <c:pt idx="4204">
                <c:v>0.16836699999999999</c:v>
              </c:pt>
              <c:pt idx="4205">
                <c:v>0.168407</c:v>
              </c:pt>
              <c:pt idx="4206">
                <c:v>0.16844700000000001</c:v>
              </c:pt>
              <c:pt idx="4207">
                <c:v>0.168487</c:v>
              </c:pt>
              <c:pt idx="4208">
                <c:v>0.16852700000000001</c:v>
              </c:pt>
              <c:pt idx="4209">
                <c:v>0.16856699999999999</c:v>
              </c:pt>
              <c:pt idx="4210">
                <c:v>0.16860700000000001</c:v>
              </c:pt>
              <c:pt idx="4211">
                <c:v>0.16864699999999999</c:v>
              </c:pt>
              <c:pt idx="4212">
                <c:v>0.168687</c:v>
              </c:pt>
              <c:pt idx="4213">
                <c:v>0.16872699999999999</c:v>
              </c:pt>
              <c:pt idx="4214">
                <c:v>0.168767</c:v>
              </c:pt>
              <c:pt idx="4215">
                <c:v>0.16880700000000001</c:v>
              </c:pt>
              <c:pt idx="4216">
                <c:v>0.168847</c:v>
              </c:pt>
              <c:pt idx="4217">
                <c:v>0.16888700000000001</c:v>
              </c:pt>
              <c:pt idx="4218">
                <c:v>0.16892699999999999</c:v>
              </c:pt>
              <c:pt idx="4219">
                <c:v>0.16896700000000001</c:v>
              </c:pt>
              <c:pt idx="4220">
                <c:v>0.16900699999999999</c:v>
              </c:pt>
              <c:pt idx="4221">
                <c:v>0.169047</c:v>
              </c:pt>
              <c:pt idx="4222">
                <c:v>0.16908699999999999</c:v>
              </c:pt>
              <c:pt idx="4223">
                <c:v>0.169127</c:v>
              </c:pt>
              <c:pt idx="4224">
                <c:v>0.16916700000000001</c:v>
              </c:pt>
              <c:pt idx="4225">
                <c:v>0.169207</c:v>
              </c:pt>
              <c:pt idx="4226">
                <c:v>0.16924700000000001</c:v>
              </c:pt>
              <c:pt idx="4227">
                <c:v>0.16928699999999999</c:v>
              </c:pt>
              <c:pt idx="4228">
                <c:v>0.16932700000000001</c:v>
              </c:pt>
              <c:pt idx="4229">
                <c:v>0.16936699999999999</c:v>
              </c:pt>
              <c:pt idx="4230">
                <c:v>0.169407</c:v>
              </c:pt>
              <c:pt idx="4231">
                <c:v>0.16944699999999999</c:v>
              </c:pt>
              <c:pt idx="4232">
                <c:v>0.169487</c:v>
              </c:pt>
              <c:pt idx="4233">
                <c:v>0.16952700000000001</c:v>
              </c:pt>
              <c:pt idx="4234">
                <c:v>0.169567</c:v>
              </c:pt>
              <c:pt idx="4235">
                <c:v>0.16960700000000001</c:v>
              </c:pt>
              <c:pt idx="4236">
                <c:v>0.16964699999999999</c:v>
              </c:pt>
              <c:pt idx="4237">
                <c:v>0.169687</c:v>
              </c:pt>
              <c:pt idx="4238">
                <c:v>0.16972699999999999</c:v>
              </c:pt>
              <c:pt idx="4239">
                <c:v>0.169767</c:v>
              </c:pt>
              <c:pt idx="4240">
                <c:v>0.16980700000000001</c:v>
              </c:pt>
              <c:pt idx="4241">
                <c:v>0.169847</c:v>
              </c:pt>
              <c:pt idx="4242">
                <c:v>0.16988700000000001</c:v>
              </c:pt>
              <c:pt idx="4243">
                <c:v>0.16992699999999999</c:v>
              </c:pt>
              <c:pt idx="4244">
                <c:v>0.16996700000000001</c:v>
              </c:pt>
              <c:pt idx="4245">
                <c:v>0.17000699999999999</c:v>
              </c:pt>
              <c:pt idx="4246">
                <c:v>0.170047</c:v>
              </c:pt>
              <c:pt idx="4247">
                <c:v>0.17008699999999999</c:v>
              </c:pt>
              <c:pt idx="4248">
                <c:v>0.170127</c:v>
              </c:pt>
              <c:pt idx="4249">
                <c:v>0.17016700000000001</c:v>
              </c:pt>
              <c:pt idx="4250">
                <c:v>0.170207</c:v>
              </c:pt>
              <c:pt idx="4251">
                <c:v>0.17024700000000001</c:v>
              </c:pt>
              <c:pt idx="4252">
                <c:v>0.17028699999999999</c:v>
              </c:pt>
              <c:pt idx="4253">
                <c:v>0.17032700000000001</c:v>
              </c:pt>
              <c:pt idx="4254">
                <c:v>0.17036699999999999</c:v>
              </c:pt>
              <c:pt idx="4255">
                <c:v>0.170407</c:v>
              </c:pt>
              <c:pt idx="4256">
                <c:v>0.17044699999999999</c:v>
              </c:pt>
              <c:pt idx="4257">
                <c:v>0.170487</c:v>
              </c:pt>
              <c:pt idx="4258">
                <c:v>0.17052700000000001</c:v>
              </c:pt>
              <c:pt idx="4259">
                <c:v>0.170567</c:v>
              </c:pt>
              <c:pt idx="4260">
                <c:v>0.17060700000000001</c:v>
              </c:pt>
              <c:pt idx="4261">
                <c:v>0.17064699999999999</c:v>
              </c:pt>
              <c:pt idx="4262">
                <c:v>0.17068700000000001</c:v>
              </c:pt>
              <c:pt idx="4263">
                <c:v>0.17072699999999999</c:v>
              </c:pt>
              <c:pt idx="4264">
                <c:v>0.170767</c:v>
              </c:pt>
              <c:pt idx="4265">
                <c:v>0.17080699999999999</c:v>
              </c:pt>
              <c:pt idx="4266">
                <c:v>0.170847</c:v>
              </c:pt>
              <c:pt idx="4267">
                <c:v>0.17088700000000001</c:v>
              </c:pt>
              <c:pt idx="4268">
                <c:v>0.170927</c:v>
              </c:pt>
              <c:pt idx="4269">
                <c:v>0.17096700000000001</c:v>
              </c:pt>
              <c:pt idx="4270">
                <c:v>0.17100699999999999</c:v>
              </c:pt>
              <c:pt idx="4271">
                <c:v>0.171047</c:v>
              </c:pt>
              <c:pt idx="4272">
                <c:v>0.17108699999999999</c:v>
              </c:pt>
              <c:pt idx="4273">
                <c:v>0.171127</c:v>
              </c:pt>
              <c:pt idx="4274">
                <c:v>0.17116700000000001</c:v>
              </c:pt>
              <c:pt idx="4275">
                <c:v>0.171207</c:v>
              </c:pt>
              <c:pt idx="4276">
                <c:v>0.17124700000000001</c:v>
              </c:pt>
              <c:pt idx="4277">
                <c:v>0.17128699999999999</c:v>
              </c:pt>
              <c:pt idx="4278">
                <c:v>0.17132700000000001</c:v>
              </c:pt>
              <c:pt idx="4279">
                <c:v>0.17136699999999999</c:v>
              </c:pt>
              <c:pt idx="4280">
                <c:v>0.171407</c:v>
              </c:pt>
              <c:pt idx="4281">
                <c:v>0.17144699999999999</c:v>
              </c:pt>
              <c:pt idx="4282">
                <c:v>0.171487</c:v>
              </c:pt>
              <c:pt idx="4283">
                <c:v>0.17152700000000001</c:v>
              </c:pt>
              <c:pt idx="4284">
                <c:v>0.171567</c:v>
              </c:pt>
              <c:pt idx="4285">
                <c:v>0.17160700000000001</c:v>
              </c:pt>
              <c:pt idx="4286">
                <c:v>0.17164699999999999</c:v>
              </c:pt>
              <c:pt idx="4287">
                <c:v>0.17168700000000001</c:v>
              </c:pt>
              <c:pt idx="4288">
                <c:v>0.17172699999999999</c:v>
              </c:pt>
              <c:pt idx="4289">
                <c:v>0.171767</c:v>
              </c:pt>
              <c:pt idx="4290">
                <c:v>0.17180699999999999</c:v>
              </c:pt>
              <c:pt idx="4291">
                <c:v>0.171847</c:v>
              </c:pt>
              <c:pt idx="4292">
                <c:v>0.17188700000000001</c:v>
              </c:pt>
              <c:pt idx="4293">
                <c:v>0.171927</c:v>
              </c:pt>
              <c:pt idx="4294">
                <c:v>0.17196700000000001</c:v>
              </c:pt>
              <c:pt idx="4295">
                <c:v>0.17200699999999999</c:v>
              </c:pt>
              <c:pt idx="4296">
                <c:v>0.17204700000000001</c:v>
              </c:pt>
              <c:pt idx="4297">
                <c:v>0.17208699999999999</c:v>
              </c:pt>
            </c:numLit>
          </c:xVal>
          <c:yVal>
            <c:numLit>
              <c:formatCode>General</c:formatCode>
              <c:ptCount val="5457"/>
              <c:pt idx="0">
                <c:v>-1.0431809999999997</c:v>
              </c:pt>
              <c:pt idx="1">
                <c:v>-2.0862110000000005</c:v>
              </c:pt>
              <c:pt idx="2">
                <c:v>-3.1292371999999999</c:v>
              </c:pt>
              <c:pt idx="3">
                <c:v>-4.1722699999999993</c:v>
              </c:pt>
              <c:pt idx="4">
                <c:v>-5.2153019999999994</c:v>
              </c:pt>
              <c:pt idx="5">
                <c:v>-6.2583260000000003</c:v>
              </c:pt>
              <c:pt idx="6">
                <c:v>-7.3013399999999997</c:v>
              </c:pt>
              <c:pt idx="7">
                <c:v>-8.3443705999999995</c:v>
              </c:pt>
              <c:pt idx="8">
                <c:v>-9.3874050000000011</c:v>
              </c:pt>
              <c:pt idx="9">
                <c:v>-10.430421000000001</c:v>
              </c:pt>
              <c:pt idx="10">
                <c:v>-11.473447999999999</c:v>
              </c:pt>
              <c:pt idx="11">
                <c:v>-12.516475</c:v>
              </c:pt>
              <c:pt idx="12">
                <c:v>-13.55424</c:v>
              </c:pt>
              <c:pt idx="13">
                <c:v>-14.574459999999998</c:v>
              </c:pt>
              <c:pt idx="14">
                <c:v>-15.594679999999999</c:v>
              </c:pt>
              <c:pt idx="15">
                <c:v>-16.614889999999999</c:v>
              </c:pt>
              <c:pt idx="16">
                <c:v>-17.635100000000001</c:v>
              </c:pt>
              <c:pt idx="17">
                <c:v>-18.65531</c:v>
              </c:pt>
              <c:pt idx="18">
                <c:v>-19.675530000000002</c:v>
              </c:pt>
              <c:pt idx="19">
                <c:v>-20.695740000000001</c:v>
              </c:pt>
              <c:pt idx="20">
                <c:v>-21.715949999999999</c:v>
              </c:pt>
              <c:pt idx="21">
                <c:v>-22.736170000000001</c:v>
              </c:pt>
              <c:pt idx="22">
                <c:v>-23.75638</c:v>
              </c:pt>
              <c:pt idx="23">
                <c:v>-24.776600000000002</c:v>
              </c:pt>
              <c:pt idx="24">
                <c:v>-25.796810000000001</c:v>
              </c:pt>
              <c:pt idx="25">
                <c:v>-26.817019999999999</c:v>
              </c:pt>
              <c:pt idx="26">
                <c:v>-27.837240000000001</c:v>
              </c:pt>
              <c:pt idx="27">
                <c:v>-28.85745</c:v>
              </c:pt>
              <c:pt idx="28">
                <c:v>-29.877679999999998</c:v>
              </c:pt>
              <c:pt idx="29">
                <c:v>-30.89789</c:v>
              </c:pt>
              <c:pt idx="30">
                <c:v>-31.918109999999999</c:v>
              </c:pt>
              <c:pt idx="31">
                <c:v>-32.936450000000001</c:v>
              </c:pt>
              <c:pt idx="32">
                <c:v>-33.928359999999998</c:v>
              </c:pt>
              <c:pt idx="33">
                <c:v>-34.908580999999998</c:v>
              </c:pt>
              <c:pt idx="34">
                <c:v>-35.888776</c:v>
              </c:pt>
              <c:pt idx="35">
                <c:v>-36.868994000000001</c:v>
              </c:pt>
              <c:pt idx="36">
                <c:v>-37.849195999999999</c:v>
              </c:pt>
              <c:pt idx="37">
                <c:v>-38.8294</c:v>
              </c:pt>
              <c:pt idx="38">
                <c:v>-39.809577000000004</c:v>
              </c:pt>
              <c:pt idx="39">
                <c:v>-40.789838000000003</c:v>
              </c:pt>
              <c:pt idx="40">
                <c:v>-41.7637507265</c:v>
              </c:pt>
              <c:pt idx="41">
                <c:v>-42.730912000000004</c:v>
              </c:pt>
              <c:pt idx="42">
                <c:v>-43.683043000000005</c:v>
              </c:pt>
              <c:pt idx="43">
                <c:v>-44.596474000000008</c:v>
              </c:pt>
              <c:pt idx="44">
                <c:v>-45.509929</c:v>
              </c:pt>
              <c:pt idx="45">
                <c:v>-46.423276000000001</c:v>
              </c:pt>
              <c:pt idx="46">
                <c:v>-47.336736999999999</c:v>
              </c:pt>
              <c:pt idx="47">
                <c:v>-48.234907000000007</c:v>
              </c:pt>
              <c:pt idx="48">
                <c:v>-49.117942000000006</c:v>
              </c:pt>
              <c:pt idx="49">
                <c:v>-49.964689999999997</c:v>
              </c:pt>
              <c:pt idx="50">
                <c:v>-50.811430000000001</c:v>
              </c:pt>
              <c:pt idx="51">
                <c:v>-51.652060000000006</c:v>
              </c:pt>
              <c:pt idx="52">
                <c:v>-52.471440000000001</c:v>
              </c:pt>
              <c:pt idx="53">
                <c:v>-53.290750000000003</c:v>
              </c:pt>
              <c:pt idx="54">
                <c:v>-54.11007</c:v>
              </c:pt>
              <c:pt idx="55">
                <c:v>-54.929400000000001</c:v>
              </c:pt>
              <c:pt idx="56">
                <c:v>-55.748579999999997</c:v>
              </c:pt>
              <c:pt idx="57">
                <c:v>-56.568060000000003</c:v>
              </c:pt>
              <c:pt idx="58">
                <c:v>-57.387340000000002</c:v>
              </c:pt>
              <c:pt idx="59">
                <c:v>-58.206730000000007</c:v>
              </c:pt>
              <c:pt idx="60">
                <c:v>-59.026090000000003</c:v>
              </c:pt>
              <c:pt idx="61">
                <c:v>-59.845399999999998</c:v>
              </c:pt>
              <c:pt idx="62">
                <c:v>-60.648249999999997</c:v>
              </c:pt>
              <c:pt idx="63">
                <c:v>-61.437650000000005</c:v>
              </c:pt>
              <c:pt idx="64">
                <c:v>-62.227160000000012</c:v>
              </c:pt>
              <c:pt idx="65">
                <c:v>-63.016759999999998</c:v>
              </c:pt>
              <c:pt idx="66">
                <c:v>-63.806370000000001</c:v>
              </c:pt>
              <c:pt idx="67">
                <c:v>-64.595880000000008</c:v>
              </c:pt>
              <c:pt idx="68">
                <c:v>-65.377290000000002</c:v>
              </c:pt>
              <c:pt idx="69">
                <c:v>-66.143410000000003</c:v>
              </c:pt>
              <c:pt idx="70">
                <c:v>-66.909629999999993</c:v>
              </c:pt>
              <c:pt idx="71">
                <c:v>-67.675539999999998</c:v>
              </c:pt>
              <c:pt idx="72">
                <c:v>-68.441869999999994</c:v>
              </c:pt>
              <c:pt idx="73">
                <c:v>-69.207889999999992</c:v>
              </c:pt>
              <c:pt idx="74">
                <c:v>-69.974119999999999</c:v>
              </c:pt>
              <c:pt idx="75">
                <c:v>-70.740340000000003</c:v>
              </c:pt>
              <c:pt idx="76">
                <c:v>-71.50636999999999</c:v>
              </c:pt>
              <c:pt idx="77">
                <c:v>-72.272609999999986</c:v>
              </c:pt>
              <c:pt idx="78">
                <c:v>-73.038640000000001</c:v>
              </c:pt>
              <c:pt idx="79">
                <c:v>-73.804879999999997</c:v>
              </c:pt>
              <c:pt idx="80">
                <c:v>-74.570920000000001</c:v>
              </c:pt>
              <c:pt idx="81">
                <c:v>-75.337059999999994</c:v>
              </c:pt>
              <c:pt idx="82">
                <c:v>-76.103409999999997</c:v>
              </c:pt>
              <c:pt idx="83">
                <c:v>-76.869460000000004</c:v>
              </c:pt>
              <c:pt idx="84">
                <c:v>-77.63561</c:v>
              </c:pt>
              <c:pt idx="85">
                <c:v>-78.401659999999993</c:v>
              </c:pt>
              <c:pt idx="86">
                <c:v>-79.167910000000006</c:v>
              </c:pt>
              <c:pt idx="87">
                <c:v>-79.934070000000006</c:v>
              </c:pt>
              <c:pt idx="88">
                <c:v>-80.700229999999991</c:v>
              </c:pt>
              <c:pt idx="89">
                <c:v>-81.466290000000015</c:v>
              </c:pt>
              <c:pt idx="90">
                <c:v>-82.232450000000014</c:v>
              </c:pt>
              <c:pt idx="91">
                <c:v>-82.998620000000003</c:v>
              </c:pt>
              <c:pt idx="92">
                <c:v>-83.744960000000006</c:v>
              </c:pt>
              <c:pt idx="93">
                <c:v>-84.490470000000002</c:v>
              </c:pt>
              <c:pt idx="94">
                <c:v>-85.235779999999991</c:v>
              </c:pt>
              <c:pt idx="95">
                <c:v>-85.981099999999998</c:v>
              </c:pt>
              <c:pt idx="96">
                <c:v>-86.726510000000005</c:v>
              </c:pt>
              <c:pt idx="97">
                <c:v>-87.47193</c:v>
              </c:pt>
              <c:pt idx="98">
                <c:v>-88.217560000000006</c:v>
              </c:pt>
              <c:pt idx="99">
                <c:v>-88.964119999999994</c:v>
              </c:pt>
              <c:pt idx="100">
                <c:v>-89.709339999999997</c:v>
              </c:pt>
              <c:pt idx="101">
                <c:v>-90.450439999999986</c:v>
              </c:pt>
              <c:pt idx="102">
                <c:v>-91.179630000000003</c:v>
              </c:pt>
              <c:pt idx="103">
                <c:v>-91.880799999999994</c:v>
              </c:pt>
              <c:pt idx="104">
                <c:v>-92.581909999999993</c:v>
              </c:pt>
              <c:pt idx="105">
                <c:v>-93.28291999999999</c:v>
              </c:pt>
              <c:pt idx="106">
                <c:v>-93.984039999999993</c:v>
              </c:pt>
              <c:pt idx="107">
                <c:v>-94.684950000000001</c:v>
              </c:pt>
              <c:pt idx="108">
                <c:v>-95.384029999999996</c:v>
              </c:pt>
              <c:pt idx="109">
                <c:v>-96.078209999999999</c:v>
              </c:pt>
              <c:pt idx="110">
                <c:v>-96.772490000000005</c:v>
              </c:pt>
              <c:pt idx="111">
                <c:v>-97.466580000000022</c:v>
              </c:pt>
              <c:pt idx="112">
                <c:v>-98.160960000000003</c:v>
              </c:pt>
              <c:pt idx="113">
                <c:v>-98.855050000000006</c:v>
              </c:pt>
              <c:pt idx="114">
                <c:v>-99.549239999999998</c:v>
              </c:pt>
              <c:pt idx="115">
                <c:v>-100.23459999999999</c:v>
              </c:pt>
              <c:pt idx="116">
                <c:v>-100.91983999999999</c:v>
              </c:pt>
              <c:pt idx="117">
                <c:v>-101.60469000000001</c:v>
              </c:pt>
              <c:pt idx="118">
                <c:v>-102.28073999999999</c:v>
              </c:pt>
              <c:pt idx="119">
                <c:v>-102.95496</c:v>
              </c:pt>
              <c:pt idx="120">
                <c:v>-103.62918000000001</c:v>
              </c:pt>
              <c:pt idx="121">
                <c:v>-104.30248</c:v>
              </c:pt>
              <c:pt idx="122">
                <c:v>-104.96746999999999</c:v>
              </c:pt>
              <c:pt idx="123">
                <c:v>-105.63276999999999</c:v>
              </c:pt>
              <c:pt idx="124">
                <c:v>-106.29142999999999</c:v>
              </c:pt>
              <c:pt idx="125">
                <c:v>-106.94547</c:v>
              </c:pt>
              <c:pt idx="126">
                <c:v>-107.59961</c:v>
              </c:pt>
              <c:pt idx="127">
                <c:v>-108.25375</c:v>
              </c:pt>
              <c:pt idx="128">
                <c:v>-108.90779000000001</c:v>
              </c:pt>
              <c:pt idx="129">
                <c:v>-109.5609</c:v>
              </c:pt>
              <c:pt idx="130">
                <c:v>-110.19935</c:v>
              </c:pt>
              <c:pt idx="131">
                <c:v>-110.8377</c:v>
              </c:pt>
              <c:pt idx="132">
                <c:v>-111.47605</c:v>
              </c:pt>
              <c:pt idx="133">
                <c:v>-112.11440000000002</c:v>
              </c:pt>
              <c:pt idx="134">
                <c:v>-112.75265999999999</c:v>
              </c:pt>
              <c:pt idx="135">
                <c:v>-113.39112000000002</c:v>
              </c:pt>
              <c:pt idx="136">
                <c:v>-114.02928</c:v>
              </c:pt>
              <c:pt idx="137">
                <c:v>-114.66773999999999</c:v>
              </c:pt>
              <c:pt idx="138">
                <c:v>-115.30609999999999</c:v>
              </c:pt>
              <c:pt idx="139">
                <c:v>-115.94426</c:v>
              </c:pt>
              <c:pt idx="140">
                <c:v>-116.5763</c:v>
              </c:pt>
              <c:pt idx="141">
                <c:v>-117.20834000000001</c:v>
              </c:pt>
              <c:pt idx="142">
                <c:v>-117.84027999999999</c:v>
              </c:pt>
              <c:pt idx="143">
                <c:v>-118.47241999999999</c:v>
              </c:pt>
              <c:pt idx="144">
                <c:v>-119.10446999999999</c:v>
              </c:pt>
              <c:pt idx="145">
                <c:v>-119.73317</c:v>
              </c:pt>
              <c:pt idx="146">
                <c:v>-120.35699</c:v>
              </c:pt>
              <c:pt idx="147">
                <c:v>-120.98070999999999</c:v>
              </c:pt>
              <c:pt idx="148">
                <c:v>-121.60463</c:v>
              </c:pt>
              <c:pt idx="149">
                <c:v>-122.22855</c:v>
              </c:pt>
              <c:pt idx="150">
                <c:v>-122.85227</c:v>
              </c:pt>
              <c:pt idx="151">
                <c:v>-123.4761</c:v>
              </c:pt>
              <c:pt idx="152">
                <c:v>-124.10012999999998</c:v>
              </c:pt>
              <c:pt idx="153">
                <c:v>-124.72386</c:v>
              </c:pt>
              <c:pt idx="154">
                <c:v>-125.34779</c:v>
              </c:pt>
              <c:pt idx="155">
                <c:v>-125.97152</c:v>
              </c:pt>
              <c:pt idx="156">
                <c:v>-126.59535</c:v>
              </c:pt>
              <c:pt idx="157">
                <c:v>-127.21919</c:v>
              </c:pt>
              <c:pt idx="158">
                <c:v>-127.84312000000001</c:v>
              </c:pt>
              <c:pt idx="159">
                <c:v>-128.46696</c:v>
              </c:pt>
              <c:pt idx="160">
                <c:v>-129.0907</c:v>
              </c:pt>
              <c:pt idx="161">
                <c:v>-129.71463999999997</c:v>
              </c:pt>
              <c:pt idx="162">
                <c:v>-130.33839</c:v>
              </c:pt>
              <c:pt idx="163">
                <c:v>-130.96233000000001</c:v>
              </c:pt>
              <c:pt idx="164">
                <c:v>-131.58638000000002</c:v>
              </c:pt>
              <c:pt idx="165">
                <c:v>-132.21013000000002</c:v>
              </c:pt>
              <c:pt idx="166">
                <c:v>-132.83398000000003</c:v>
              </c:pt>
              <c:pt idx="167">
                <c:v>-133.45783</c:v>
              </c:pt>
              <c:pt idx="168">
                <c:v>-134.08188999999999</c:v>
              </c:pt>
              <c:pt idx="169">
                <c:v>-134.70563999999999</c:v>
              </c:pt>
              <c:pt idx="170">
                <c:v>-135.3295</c:v>
              </c:pt>
              <c:pt idx="171">
                <c:v>-135.95822000000001</c:v>
              </c:pt>
              <c:pt idx="172">
                <c:v>-136.58785</c:v>
              </c:pt>
              <c:pt idx="173">
                <c:v>-137.21728999999999</c:v>
              </c:pt>
              <c:pt idx="174">
                <c:v>-137.84663</c:v>
              </c:pt>
              <c:pt idx="175">
                <c:v>-138.47617</c:v>
              </c:pt>
              <c:pt idx="176">
                <c:v>-139.10541999999998</c:v>
              </c:pt>
              <c:pt idx="177">
                <c:v>-139.73496</c:v>
              </c:pt>
              <c:pt idx="178">
                <c:v>-140.36420999999999</c:v>
              </c:pt>
              <c:pt idx="179">
                <c:v>-140.99376000000001</c:v>
              </c:pt>
              <c:pt idx="180">
                <c:v>-141.62321</c:v>
              </c:pt>
              <c:pt idx="181">
                <c:v>-142.25266999999999</c:v>
              </c:pt>
              <c:pt idx="182">
                <c:v>-142.88211999999999</c:v>
              </c:pt>
              <c:pt idx="183">
                <c:v>-143.51158000000001</c:v>
              </c:pt>
              <c:pt idx="184">
                <c:v>-144.14103</c:v>
              </c:pt>
              <c:pt idx="185">
                <c:v>-144.77038999999999</c:v>
              </c:pt>
              <c:pt idx="186">
                <c:v>-145.39995999999999</c:v>
              </c:pt>
              <c:pt idx="187">
                <c:v>-146.03304</c:v>
              </c:pt>
              <c:pt idx="188">
                <c:v>-146.66922999999997</c:v>
              </c:pt>
              <c:pt idx="189">
                <c:v>-147.30563000000001</c:v>
              </c:pt>
              <c:pt idx="190">
                <c:v>-147.94182000000001</c:v>
              </c:pt>
              <c:pt idx="191">
                <c:v>-148.57822000000002</c:v>
              </c:pt>
              <c:pt idx="192">
                <c:v>-149.21461999999997</c:v>
              </c:pt>
              <c:pt idx="193">
                <c:v>-149.85083</c:v>
              </c:pt>
              <c:pt idx="194">
                <c:v>-150.48723000000001</c:v>
              </c:pt>
              <c:pt idx="195">
                <c:v>-151.12342999999998</c:v>
              </c:pt>
              <c:pt idx="196">
                <c:v>-151.75984</c:v>
              </c:pt>
              <c:pt idx="197">
                <c:v>-152.39604999999997</c:v>
              </c:pt>
              <c:pt idx="198">
                <c:v>-153.03236000000001</c:v>
              </c:pt>
              <c:pt idx="199">
                <c:v>-153.66878</c:v>
              </c:pt>
              <c:pt idx="200">
                <c:v>-154.30498999999998</c:v>
              </c:pt>
              <c:pt idx="201">
                <c:v>-154.94141000000002</c:v>
              </c:pt>
              <c:pt idx="202">
                <c:v>-155.57762</c:v>
              </c:pt>
              <c:pt idx="203">
                <c:v>-156.21404000000001</c:v>
              </c:pt>
              <c:pt idx="204">
                <c:v>-156.85037</c:v>
              </c:pt>
              <c:pt idx="205">
                <c:v>-157.48679000000001</c:v>
              </c:pt>
              <c:pt idx="206">
                <c:v>-158.12322</c:v>
              </c:pt>
              <c:pt idx="207">
                <c:v>-158.75933999999998</c:v>
              </c:pt>
              <c:pt idx="208">
                <c:v>-159.39567</c:v>
              </c:pt>
              <c:pt idx="209">
                <c:v>-160.03190000000001</c:v>
              </c:pt>
              <c:pt idx="210">
                <c:v>-160.66834</c:v>
              </c:pt>
              <c:pt idx="211">
                <c:v>-161.30466999999999</c:v>
              </c:pt>
              <c:pt idx="212">
                <c:v>-161.94111000000001</c:v>
              </c:pt>
              <c:pt idx="213">
                <c:v>-162.57735000000002</c:v>
              </c:pt>
              <c:pt idx="214">
                <c:v>-163.21378999999999</c:v>
              </c:pt>
              <c:pt idx="215">
                <c:v>-163.85003</c:v>
              </c:pt>
              <c:pt idx="216">
                <c:v>-164.48636999999999</c:v>
              </c:pt>
              <c:pt idx="217">
                <c:v>-165.12281999999999</c:v>
              </c:pt>
              <c:pt idx="218">
                <c:v>-165.75916000000001</c:v>
              </c:pt>
              <c:pt idx="219">
                <c:v>-166.39561</c:v>
              </c:pt>
              <c:pt idx="220">
                <c:v>-167.03195999999997</c:v>
              </c:pt>
              <c:pt idx="221">
                <c:v>-167.66841999999997</c:v>
              </c:pt>
              <c:pt idx="222">
                <c:v>-168.30466999999999</c:v>
              </c:pt>
              <c:pt idx="223">
                <c:v>-168.94093000000001</c:v>
              </c:pt>
              <c:pt idx="224">
                <c:v>-169.57729</c:v>
              </c:pt>
              <c:pt idx="225">
                <c:v>-170.21375</c:v>
              </c:pt>
              <c:pt idx="226">
                <c:v>-170.85001</c:v>
              </c:pt>
              <c:pt idx="227">
                <c:v>-171.48647</c:v>
              </c:pt>
              <c:pt idx="228">
                <c:v>-172.12294</c:v>
              </c:pt>
              <c:pt idx="229">
                <c:v>-172.75919999999999</c:v>
              </c:pt>
              <c:pt idx="230">
                <c:v>-173.39556999999996</c:v>
              </c:pt>
              <c:pt idx="231">
                <c:v>-174.03203999999999</c:v>
              </c:pt>
              <c:pt idx="232">
                <c:v>-174.66831999999999</c:v>
              </c:pt>
              <c:pt idx="233">
                <c:v>-175.30489</c:v>
              </c:pt>
              <c:pt idx="234">
                <c:v>-175.94107000000002</c:v>
              </c:pt>
              <c:pt idx="235">
                <c:v>-176.57754999999997</c:v>
              </c:pt>
              <c:pt idx="236">
                <c:v>-177.21382</c:v>
              </c:pt>
              <c:pt idx="237">
                <c:v>-177.85040999999998</c:v>
              </c:pt>
              <c:pt idx="238">
                <c:v>-178.48668999999998</c:v>
              </c:pt>
              <c:pt idx="239">
                <c:v>-179.12317999999999</c:v>
              </c:pt>
              <c:pt idx="240">
                <c:v>-179.75945999999999</c:v>
              </c:pt>
              <c:pt idx="241">
                <c:v>-180.39595</c:v>
              </c:pt>
              <c:pt idx="242">
                <c:v>-181.03224</c:v>
              </c:pt>
              <c:pt idx="243">
                <c:v>-181.66892999999999</c:v>
              </c:pt>
              <c:pt idx="244">
                <c:v>-182.30522999999999</c:v>
              </c:pt>
              <c:pt idx="245">
                <c:v>-182.94139000000001</c:v>
              </c:pt>
              <c:pt idx="246">
                <c:v>-183.57503</c:v>
              </c:pt>
              <c:pt idx="247">
                <c:v>-184.20868000000002</c:v>
              </c:pt>
              <c:pt idx="248">
                <c:v>-184.84242</c:v>
              </c:pt>
              <c:pt idx="249">
                <c:v>-185.47606999999999</c:v>
              </c:pt>
              <c:pt idx="250">
                <c:v>-186.10971999999998</c:v>
              </c:pt>
              <c:pt idx="251">
                <c:v>-186.74347</c:v>
              </c:pt>
              <c:pt idx="252">
                <c:v>-187.37702999999999</c:v>
              </c:pt>
              <c:pt idx="253">
                <c:v>-188.01078000000001</c:v>
              </c:pt>
              <c:pt idx="254">
                <c:v>-188.64454000000001</c:v>
              </c:pt>
              <c:pt idx="255">
                <c:v>-189.2782</c:v>
              </c:pt>
              <c:pt idx="256">
                <c:v>-189.91195999999999</c:v>
              </c:pt>
              <c:pt idx="257">
                <c:v>-190.54561999999999</c:v>
              </c:pt>
              <c:pt idx="258">
                <c:v>-191.17928000000001</c:v>
              </c:pt>
              <c:pt idx="259">
                <c:v>-191.81295</c:v>
              </c:pt>
              <c:pt idx="260">
                <c:v>-192.44672</c:v>
              </c:pt>
              <c:pt idx="261">
                <c:v>-193.08028999999999</c:v>
              </c:pt>
              <c:pt idx="262">
                <c:v>-193.71406000000002</c:v>
              </c:pt>
              <c:pt idx="263">
                <c:v>-194.34772999999998</c:v>
              </c:pt>
              <c:pt idx="264">
                <c:v>-194.98151000000004</c:v>
              </c:pt>
              <c:pt idx="265">
                <c:v>-195.61517999999998</c:v>
              </c:pt>
              <c:pt idx="266">
                <c:v>-196.24886000000001</c:v>
              </c:pt>
              <c:pt idx="267">
                <c:v>-196.88254000000001</c:v>
              </c:pt>
              <c:pt idx="268">
                <c:v>-197.51632999999998</c:v>
              </c:pt>
              <c:pt idx="269">
                <c:v>-198.14991000000001</c:v>
              </c:pt>
              <c:pt idx="270">
                <c:v>-198.78370000000001</c:v>
              </c:pt>
              <c:pt idx="271">
                <c:v>-199.41748999999999</c:v>
              </c:pt>
              <c:pt idx="272">
                <c:v>-200.05117999999999</c:v>
              </c:pt>
              <c:pt idx="273">
                <c:v>-200.68487000000002</c:v>
              </c:pt>
              <c:pt idx="274">
                <c:v>-201.31865999999997</c:v>
              </c:pt>
              <c:pt idx="275">
                <c:v>-201.95236000000003</c:v>
              </c:pt>
              <c:pt idx="276">
                <c:v>-202.58616000000001</c:v>
              </c:pt>
              <c:pt idx="277">
                <c:v>-203.21985000000001</c:v>
              </c:pt>
              <c:pt idx="278">
                <c:v>-203.85366000000002</c:v>
              </c:pt>
              <c:pt idx="279">
                <c:v>-204.48726000000002</c:v>
              </c:pt>
              <c:pt idx="280">
                <c:v>-205.12106</c:v>
              </c:pt>
              <c:pt idx="281">
                <c:v>-205.75467000000003</c:v>
              </c:pt>
              <c:pt idx="282">
                <c:v>-206.38847999999999</c:v>
              </c:pt>
              <c:pt idx="283">
                <c:v>-207.02219000000002</c:v>
              </c:pt>
              <c:pt idx="284">
                <c:v>-207.65600000000001</c:v>
              </c:pt>
              <c:pt idx="285">
                <c:v>-208.28971000000001</c:v>
              </c:pt>
              <c:pt idx="286">
                <c:v>-208.92343</c:v>
              </c:pt>
              <c:pt idx="287">
                <c:v>-209.55714999999998</c:v>
              </c:pt>
              <c:pt idx="288">
                <c:v>-210.19086999999999</c:v>
              </c:pt>
              <c:pt idx="289">
                <c:v>-210.82469000000003</c:v>
              </c:pt>
              <c:pt idx="290">
                <c:v>-211.45850999999999</c:v>
              </c:pt>
              <c:pt idx="291">
                <c:v>-212.09233999999998</c:v>
              </c:pt>
              <c:pt idx="292">
                <c:v>-212.72606000000002</c:v>
              </c:pt>
              <c:pt idx="293">
                <c:v>-213.35979000000003</c:v>
              </c:pt>
              <c:pt idx="294">
                <c:v>-213.99361999999996</c:v>
              </c:pt>
              <c:pt idx="295">
                <c:v>-214.62736000000001</c:v>
              </c:pt>
              <c:pt idx="296">
                <c:v>-215.26119</c:v>
              </c:pt>
              <c:pt idx="297">
                <c:v>-215.89502999999996</c:v>
              </c:pt>
              <c:pt idx="298">
                <c:v>-216.52866</c:v>
              </c:pt>
              <c:pt idx="299">
                <c:v>-217.16239999999999</c:v>
              </c:pt>
              <c:pt idx="300">
                <c:v>-217.79624000000001</c:v>
              </c:pt>
              <c:pt idx="301">
                <c:v>-218.42999000000003</c:v>
              </c:pt>
              <c:pt idx="302">
                <c:v>-219.06383</c:v>
              </c:pt>
              <c:pt idx="303">
                <c:v>-219.69758000000002</c:v>
              </c:pt>
              <c:pt idx="304">
                <c:v>-220.33143000000001</c:v>
              </c:pt>
              <c:pt idx="305">
                <c:v>-220.96518000000003</c:v>
              </c:pt>
              <c:pt idx="306">
                <c:v>-221.59893</c:v>
              </c:pt>
              <c:pt idx="307">
                <c:v>-222.23289</c:v>
              </c:pt>
              <c:pt idx="308">
                <c:v>-222.86663999999999</c:v>
              </c:pt>
              <c:pt idx="309">
                <c:v>-223.50029999999998</c:v>
              </c:pt>
              <c:pt idx="310">
                <c:v>-224.13406000000001</c:v>
              </c:pt>
              <c:pt idx="311">
                <c:v>-224.76782000000003</c:v>
              </c:pt>
              <c:pt idx="312">
                <c:v>-225.40169</c:v>
              </c:pt>
              <c:pt idx="313">
                <c:v>-226.03544999999997</c:v>
              </c:pt>
              <c:pt idx="314">
                <c:v>-226.66922000000002</c:v>
              </c:pt>
              <c:pt idx="315">
                <c:v>-227.30309000000003</c:v>
              </c:pt>
              <c:pt idx="316">
                <c:v>-227.93686</c:v>
              </c:pt>
              <c:pt idx="317">
                <c:v>-228.57073</c:v>
              </c:pt>
              <c:pt idx="318">
                <c:v>-229.20450999999997</c:v>
              </c:pt>
              <c:pt idx="319">
                <c:v>-229.83828</c:v>
              </c:pt>
              <c:pt idx="320">
                <c:v>-230.47216</c:v>
              </c:pt>
              <c:pt idx="321">
                <c:v>-231.10604000000001</c:v>
              </c:pt>
              <c:pt idx="322">
                <c:v>-231.73982000000001</c:v>
              </c:pt>
              <c:pt idx="323">
                <c:v>-232.37370999999999</c:v>
              </c:pt>
              <c:pt idx="324">
                <c:v>-233.00749000000002</c:v>
              </c:pt>
              <c:pt idx="325">
                <c:v>-233.64138</c:v>
              </c:pt>
              <c:pt idx="326">
                <c:v>-234.27506999999997</c:v>
              </c:pt>
              <c:pt idx="327">
                <c:v>-234.90895999999998</c:v>
              </c:pt>
              <c:pt idx="328">
                <c:v>-235.54286000000002</c:v>
              </c:pt>
              <c:pt idx="329">
                <c:v>-236.17654999999996</c:v>
              </c:pt>
              <c:pt idx="330">
                <c:v>-236.81045</c:v>
              </c:pt>
              <c:pt idx="331">
                <c:v>-237.44424999999998</c:v>
              </c:pt>
              <c:pt idx="332">
                <c:v>-238.07825</c:v>
              </c:pt>
              <c:pt idx="333">
                <c:v>-238.71215000000001</c:v>
              </c:pt>
              <c:pt idx="334">
                <c:v>-239.34584999999998</c:v>
              </c:pt>
              <c:pt idx="335">
                <c:v>-239.97965999999997</c:v>
              </c:pt>
              <c:pt idx="336">
                <c:v>-240.61357000000001</c:v>
              </c:pt>
              <c:pt idx="337">
                <c:v>-241.24737999999999</c:v>
              </c:pt>
              <c:pt idx="338">
                <c:v>-241.88129000000001</c:v>
              </c:pt>
              <c:pt idx="339">
                <c:v>-242.51510000000002</c:v>
              </c:pt>
              <c:pt idx="340">
                <c:v>-243.14901999999995</c:v>
              </c:pt>
              <c:pt idx="341">
                <c:v>-243.78283000000002</c:v>
              </c:pt>
              <c:pt idx="342">
                <c:v>-244.41665</c:v>
              </c:pt>
              <c:pt idx="343">
                <c:v>-245.05057000000002</c:v>
              </c:pt>
              <c:pt idx="344">
                <c:v>-245.68450000000001</c:v>
              </c:pt>
              <c:pt idx="345">
                <c:v>-246.31832</c:v>
              </c:pt>
              <c:pt idx="346">
                <c:v>-246.95214999999999</c:v>
              </c:pt>
              <c:pt idx="347">
                <c:v>-247.58587</c:v>
              </c:pt>
              <c:pt idx="348">
                <c:v>-248.21989999999997</c:v>
              </c:pt>
              <c:pt idx="349">
                <c:v>-248.85383999999999</c:v>
              </c:pt>
              <c:pt idx="350">
                <c:v>-249.48766999999998</c:v>
              </c:pt>
              <c:pt idx="351">
                <c:v>-250.12160000000003</c:v>
              </c:pt>
              <c:pt idx="352">
                <c:v>-250.75543999999999</c:v>
              </c:pt>
              <c:pt idx="353">
                <c:v>-251.38927999999999</c:v>
              </c:pt>
              <c:pt idx="354">
                <c:v>-252.02312000000001</c:v>
              </c:pt>
              <c:pt idx="355">
                <c:v>-252.65706</c:v>
              </c:pt>
              <c:pt idx="356">
                <c:v>-253.29091</c:v>
              </c:pt>
              <c:pt idx="357">
                <c:v>-253.92496</c:v>
              </c:pt>
              <c:pt idx="358">
                <c:v>-254.55869999999999</c:v>
              </c:pt>
              <c:pt idx="359">
                <c:v>-255.19265000000001</c:v>
              </c:pt>
              <c:pt idx="360">
                <c:v>-255.82660999999999</c:v>
              </c:pt>
              <c:pt idx="361">
                <c:v>-256.46055999999999</c:v>
              </c:pt>
              <c:pt idx="362">
                <c:v>-257.09442000000001</c:v>
              </c:pt>
              <c:pt idx="363">
                <c:v>-257.72826999999995</c:v>
              </c:pt>
              <c:pt idx="364">
                <c:v>-258.36222999999995</c:v>
              </c:pt>
              <c:pt idx="365">
                <c:v>-258.99608999999998</c:v>
              </c:pt>
              <c:pt idx="366">
                <c:v>-259.63006000000001</c:v>
              </c:pt>
              <c:pt idx="367">
                <c:v>-260.26402000000002</c:v>
              </c:pt>
              <c:pt idx="368">
                <c:v>-260.89789000000002</c:v>
              </c:pt>
              <c:pt idx="369">
                <c:v>-261.53165999999999</c:v>
              </c:pt>
              <c:pt idx="370">
                <c:v>-262.16562999999996</c:v>
              </c:pt>
              <c:pt idx="371">
                <c:v>-262.79865999999998</c:v>
              </c:pt>
              <c:pt idx="372">
                <c:v>-263.43120999999996</c:v>
              </c:pt>
              <c:pt idx="373">
                <c:v>-264.06367</c:v>
              </c:pt>
              <c:pt idx="374">
                <c:v>-264.69632999999999</c:v>
              </c:pt>
              <c:pt idx="375">
                <c:v>-265.32879000000003</c:v>
              </c:pt>
              <c:pt idx="376">
                <c:v>-265.96125000000001</c:v>
              </c:pt>
              <c:pt idx="377">
                <c:v>-266.59381999999999</c:v>
              </c:pt>
              <c:pt idx="378">
                <c:v>-267.22638000000001</c:v>
              </c:pt>
              <c:pt idx="379">
                <c:v>-267.85884999999996</c:v>
              </c:pt>
              <c:pt idx="380">
                <c:v>-268.49151999999998</c:v>
              </c:pt>
              <c:pt idx="381">
                <c:v>-269.12409000000002</c:v>
              </c:pt>
              <c:pt idx="382">
                <c:v>-269.75666000000001</c:v>
              </c:pt>
              <c:pt idx="383">
                <c:v>-270.38924000000003</c:v>
              </c:pt>
              <c:pt idx="384">
                <c:v>-271.02181999999999</c:v>
              </c:pt>
              <c:pt idx="385">
                <c:v>-271.65438999999998</c:v>
              </c:pt>
              <c:pt idx="386">
                <c:v>-272.28688</c:v>
              </c:pt>
              <c:pt idx="387">
                <c:v>-272.91955999999999</c:v>
              </c:pt>
              <c:pt idx="388">
                <c:v>-273.55204000000003</c:v>
              </c:pt>
              <c:pt idx="389">
                <c:v>-274.18463000000003</c:v>
              </c:pt>
              <c:pt idx="390">
                <c:v>-274.81721999999996</c:v>
              </c:pt>
              <c:pt idx="391">
                <c:v>-275.44961000000001</c:v>
              </c:pt>
              <c:pt idx="392">
                <c:v>-276.08240000000001</c:v>
              </c:pt>
              <c:pt idx="393">
                <c:v>-276.71488999999997</c:v>
              </c:pt>
              <c:pt idx="394">
                <c:v>-277.34748999999999</c:v>
              </c:pt>
              <c:pt idx="395">
                <c:v>-277.98008000000004</c:v>
              </c:pt>
              <c:pt idx="396">
                <c:v>-278.61268000000001</c:v>
              </c:pt>
              <c:pt idx="397">
                <c:v>-279.24527999999998</c:v>
              </c:pt>
              <c:pt idx="398">
                <c:v>-279.87788999999998</c:v>
              </c:pt>
              <c:pt idx="399">
                <c:v>-280.51038999999997</c:v>
              </c:pt>
              <c:pt idx="400">
                <c:v>-281.14300000000003</c:v>
              </c:pt>
              <c:pt idx="401">
                <c:v>-281.77561000000003</c:v>
              </c:pt>
              <c:pt idx="402">
                <c:v>-282.40821999999997</c:v>
              </c:pt>
              <c:pt idx="403">
                <c:v>-283.04073</c:v>
              </c:pt>
              <c:pt idx="404">
                <c:v>-283.67334</c:v>
              </c:pt>
              <c:pt idx="405">
                <c:v>-284.30606</c:v>
              </c:pt>
              <c:pt idx="406">
                <c:v>-284.93856999999997</c:v>
              </c:pt>
              <c:pt idx="407">
                <c:v>-285.57119</c:v>
              </c:pt>
              <c:pt idx="408">
                <c:v>-286.20391000000001</c:v>
              </c:pt>
              <c:pt idx="409">
                <c:v>-286.83643999999998</c:v>
              </c:pt>
              <c:pt idx="410">
                <c:v>-287.46905999999996</c:v>
              </c:pt>
              <c:pt idx="411">
                <c:v>-288.10168999999996</c:v>
              </c:pt>
              <c:pt idx="412">
                <c:v>-288.73432000000003</c:v>
              </c:pt>
              <c:pt idx="413">
                <c:v>-289.36675000000002</c:v>
              </c:pt>
              <c:pt idx="414">
                <c:v>-289.99948000000001</c:v>
              </c:pt>
              <c:pt idx="415">
                <c:v>-290.63211000000001</c:v>
              </c:pt>
              <c:pt idx="416">
                <c:v>-291.26474999999999</c:v>
              </c:pt>
              <c:pt idx="417">
                <c:v>-291.89738999999997</c:v>
              </c:pt>
              <c:pt idx="418">
                <c:v>-292.53003000000001</c:v>
              </c:pt>
              <c:pt idx="419">
                <c:v>-293.16266999999999</c:v>
              </c:pt>
              <c:pt idx="420">
                <c:v>-293.79521</c:v>
              </c:pt>
              <c:pt idx="421">
                <c:v>-294.42795000000001</c:v>
              </c:pt>
              <c:pt idx="422">
                <c:v>-295.06060000000002</c:v>
              </c:pt>
              <c:pt idx="423">
                <c:v>-295.69325000000003</c:v>
              </c:pt>
              <c:pt idx="424">
                <c:v>-296.32589999999999</c:v>
              </c:pt>
              <c:pt idx="425">
                <c:v>-296.95845000000003</c:v>
              </c:pt>
              <c:pt idx="426">
                <c:v>-297.59111000000001</c:v>
              </c:pt>
              <c:pt idx="427">
                <c:v>-298.22386</c:v>
              </c:pt>
              <c:pt idx="428">
                <c:v>-298.85642000000001</c:v>
              </c:pt>
              <c:pt idx="429">
                <c:v>-299.48908000000006</c:v>
              </c:pt>
              <c:pt idx="430">
                <c:v>-300.12174000000005</c:v>
              </c:pt>
              <c:pt idx="431">
                <c:v>-300.75439999999998</c:v>
              </c:pt>
              <c:pt idx="432">
                <c:v>-301.38697000000002</c:v>
              </c:pt>
              <c:pt idx="433">
                <c:v>-302.01974000000001</c:v>
              </c:pt>
              <c:pt idx="434">
                <c:v>-302.65239999999994</c:v>
              </c:pt>
              <c:pt idx="435">
                <c:v>-303.28507000000002</c:v>
              </c:pt>
              <c:pt idx="436">
                <c:v>-303.91590000000002</c:v>
              </c:pt>
              <c:pt idx="437">
                <c:v>-304.54616999999996</c:v>
              </c:pt>
              <c:pt idx="438">
                <c:v>-305.17644999999999</c:v>
              </c:pt>
              <c:pt idx="439">
                <c:v>-305.80671999999998</c:v>
              </c:pt>
              <c:pt idx="440">
                <c:v>-306.43700000000001</c:v>
              </c:pt>
              <c:pt idx="441">
                <c:v>-307.06718999999998</c:v>
              </c:pt>
              <c:pt idx="442">
                <c:v>-307.69746999999995</c:v>
              </c:pt>
              <c:pt idx="443">
                <c:v>-308.32776000000001</c:v>
              </c:pt>
              <c:pt idx="444">
                <c:v>-308.95804000000004</c:v>
              </c:pt>
              <c:pt idx="445">
                <c:v>-309.58823000000001</c:v>
              </c:pt>
              <c:pt idx="446">
                <c:v>-310.21852999999999</c:v>
              </c:pt>
              <c:pt idx="447">
                <c:v>-310.84890000000001</c:v>
              </c:pt>
              <c:pt idx="448">
                <c:v>-311.47919999999999</c:v>
              </c:pt>
              <c:pt idx="449">
                <c:v>-312.10930000000002</c:v>
              </c:pt>
              <c:pt idx="450">
                <c:v>-312.7396</c:v>
              </c:pt>
              <c:pt idx="451">
                <c:v>-313.36990000000003</c:v>
              </c:pt>
              <c:pt idx="452">
                <c:v>-314.00020000000001</c:v>
              </c:pt>
              <c:pt idx="453">
                <c:v>-314.63060000000002</c:v>
              </c:pt>
              <c:pt idx="454">
                <c:v>-315.26099999999997</c:v>
              </c:pt>
              <c:pt idx="455">
                <c:v>-315.89120000000003</c:v>
              </c:pt>
              <c:pt idx="456">
                <c:v>-316.5215</c:v>
              </c:pt>
              <c:pt idx="457">
                <c:v>-317.15170000000001</c:v>
              </c:pt>
              <c:pt idx="458">
                <c:v>-317.78210000000001</c:v>
              </c:pt>
              <c:pt idx="459">
                <c:v>-318.41239999999999</c:v>
              </c:pt>
              <c:pt idx="460">
                <c:v>-319.04259999999999</c:v>
              </c:pt>
              <c:pt idx="461">
                <c:v>-319.67290000000003</c:v>
              </c:pt>
              <c:pt idx="462">
                <c:v>-320.30330000000004</c:v>
              </c:pt>
              <c:pt idx="463">
                <c:v>-320.93260000000004</c:v>
              </c:pt>
              <c:pt idx="464">
                <c:v>-321.56060000000002</c:v>
              </c:pt>
              <c:pt idx="465">
                <c:v>-322.18889999999999</c:v>
              </c:pt>
              <c:pt idx="466">
                <c:v>-322.81720000000001</c:v>
              </c:pt>
              <c:pt idx="467">
                <c:v>-323.44540000000001</c:v>
              </c:pt>
              <c:pt idx="468">
                <c:v>-324.0736</c:v>
              </c:pt>
              <c:pt idx="469">
                <c:v>-324.70190000000002</c:v>
              </c:pt>
              <c:pt idx="470">
                <c:v>-325.33010000000002</c:v>
              </c:pt>
              <c:pt idx="471">
                <c:v>-325.9581</c:v>
              </c:pt>
              <c:pt idx="472">
                <c:v>-326.5865</c:v>
              </c:pt>
              <c:pt idx="473">
                <c:v>-327.21479999999997</c:v>
              </c:pt>
              <c:pt idx="474">
                <c:v>-327.84309999999999</c:v>
              </c:pt>
              <c:pt idx="475">
                <c:v>-328.47120000000001</c:v>
              </c:pt>
              <c:pt idx="476">
                <c:v>-329.09949999999998</c:v>
              </c:pt>
              <c:pt idx="477">
                <c:v>-329.72769999999997</c:v>
              </c:pt>
              <c:pt idx="478">
                <c:v>-330.35590000000002</c:v>
              </c:pt>
              <c:pt idx="479">
                <c:v>-330.98420000000004</c:v>
              </c:pt>
              <c:pt idx="480">
                <c:v>-331.61250000000001</c:v>
              </c:pt>
              <c:pt idx="481">
                <c:v>-332.2407</c:v>
              </c:pt>
              <c:pt idx="482">
                <c:v>-332.86900000000003</c:v>
              </c:pt>
              <c:pt idx="483">
                <c:v>-333.4973</c:v>
              </c:pt>
              <c:pt idx="484">
                <c:v>-334.12550000000005</c:v>
              </c:pt>
              <c:pt idx="485">
                <c:v>-334.75370000000004</c:v>
              </c:pt>
              <c:pt idx="486">
                <c:v>-335.38200000000001</c:v>
              </c:pt>
              <c:pt idx="487">
                <c:v>-336.01029999999997</c:v>
              </c:pt>
              <c:pt idx="488">
                <c:v>-336.63850000000002</c:v>
              </c:pt>
              <c:pt idx="489">
                <c:v>-337.26680000000005</c:v>
              </c:pt>
              <c:pt idx="490">
                <c:v>-337.89520000000005</c:v>
              </c:pt>
              <c:pt idx="491">
                <c:v>-338.52339999999998</c:v>
              </c:pt>
              <c:pt idx="492">
                <c:v>-339.1515</c:v>
              </c:pt>
              <c:pt idx="493">
                <c:v>-339.77910000000003</c:v>
              </c:pt>
              <c:pt idx="494">
                <c:v>-340.40639999999996</c:v>
              </c:pt>
              <c:pt idx="495">
                <c:v>-341.0335</c:v>
              </c:pt>
              <c:pt idx="496">
                <c:v>-341.66070000000002</c:v>
              </c:pt>
              <c:pt idx="497">
                <c:v>-342.28789999999998</c:v>
              </c:pt>
              <c:pt idx="498">
                <c:v>-342.91500000000008</c:v>
              </c:pt>
              <c:pt idx="499">
                <c:v>-343.54229999999995</c:v>
              </c:pt>
              <c:pt idx="500">
                <c:v>-344.16949999999997</c:v>
              </c:pt>
              <c:pt idx="501">
                <c:v>-344.79660000000001</c:v>
              </c:pt>
              <c:pt idx="502">
                <c:v>-345.42309999999998</c:v>
              </c:pt>
              <c:pt idx="503">
                <c:v>-346.04930000000002</c:v>
              </c:pt>
              <c:pt idx="504">
                <c:v>-346.67570000000001</c:v>
              </c:pt>
              <c:pt idx="505">
                <c:v>-347.3021</c:v>
              </c:pt>
              <c:pt idx="506">
                <c:v>-347.92849999999999</c:v>
              </c:pt>
              <c:pt idx="507">
                <c:v>-348.55469999999997</c:v>
              </c:pt>
              <c:pt idx="508">
                <c:v>-349.18110000000001</c:v>
              </c:pt>
              <c:pt idx="509">
                <c:v>-349.80740000000003</c:v>
              </c:pt>
              <c:pt idx="510">
                <c:v>-350.43380000000002</c:v>
              </c:pt>
              <c:pt idx="511">
                <c:v>-351.06009999999998</c:v>
              </c:pt>
              <c:pt idx="512">
                <c:v>-351.68639999999999</c:v>
              </c:pt>
              <c:pt idx="513">
                <c:v>-352.31279999999998</c:v>
              </c:pt>
              <c:pt idx="514">
                <c:v>-352.9391</c:v>
              </c:pt>
              <c:pt idx="515">
                <c:v>-353.56549999999999</c:v>
              </c:pt>
              <c:pt idx="516">
                <c:v>-354.19169999999997</c:v>
              </c:pt>
              <c:pt idx="517">
                <c:v>-354.81820000000005</c:v>
              </c:pt>
              <c:pt idx="518">
                <c:v>-355.44449999999995</c:v>
              </c:pt>
              <c:pt idx="519">
                <c:v>-356.07100000000003</c:v>
              </c:pt>
              <c:pt idx="520">
                <c:v>-356.69730000000004</c:v>
              </c:pt>
              <c:pt idx="521">
                <c:v>-357.32350000000002</c:v>
              </c:pt>
              <c:pt idx="522">
                <c:v>-357.95</c:v>
              </c:pt>
              <c:pt idx="523">
                <c:v>-358.5763</c:v>
              </c:pt>
              <c:pt idx="524">
                <c:v>-359.20269999999999</c:v>
              </c:pt>
              <c:pt idx="525">
                <c:v>-359.82899999999995</c:v>
              </c:pt>
              <c:pt idx="526">
                <c:v>-360.45540000000005</c:v>
              </c:pt>
              <c:pt idx="527">
                <c:v>-361.08179999999999</c:v>
              </c:pt>
              <c:pt idx="528">
                <c:v>-361.70820000000003</c:v>
              </c:pt>
              <c:pt idx="529">
                <c:v>-362.33460000000002</c:v>
              </c:pt>
              <c:pt idx="530">
                <c:v>-362.96120000000002</c:v>
              </c:pt>
              <c:pt idx="531">
                <c:v>-363.58729999999997</c:v>
              </c:pt>
              <c:pt idx="532">
                <c:v>-364.21369999999996</c:v>
              </c:pt>
              <c:pt idx="533">
                <c:v>-364.84010000000001</c:v>
              </c:pt>
              <c:pt idx="534">
                <c:v>-365.46660000000003</c:v>
              </c:pt>
              <c:pt idx="535">
                <c:v>-366.09289999999999</c:v>
              </c:pt>
              <c:pt idx="536">
                <c:v>-366.71930000000003</c:v>
              </c:pt>
              <c:pt idx="537">
                <c:v>-367.34580000000005</c:v>
              </c:pt>
              <c:pt idx="538">
                <c:v>-367.97200000000004</c:v>
              </c:pt>
              <c:pt idx="539">
                <c:v>-368.59839999999997</c:v>
              </c:pt>
              <c:pt idx="540">
                <c:v>-369.22489999999999</c:v>
              </c:pt>
              <c:pt idx="541">
                <c:v>-369.85110000000003</c:v>
              </c:pt>
              <c:pt idx="542">
                <c:v>-370.4776</c:v>
              </c:pt>
              <c:pt idx="543">
                <c:v>-371.096</c:v>
              </c:pt>
              <c:pt idx="544">
                <c:v>-371.71129999999999</c:v>
              </c:pt>
              <c:pt idx="545">
                <c:v>-372.32679999999999</c:v>
              </c:pt>
              <c:pt idx="546">
                <c:v>-372.94209999999998</c:v>
              </c:pt>
              <c:pt idx="547">
                <c:v>-373.55740000000003</c:v>
              </c:pt>
              <c:pt idx="548">
                <c:v>-374.17290000000003</c:v>
              </c:pt>
              <c:pt idx="549">
                <c:v>-374.78819999999996</c:v>
              </c:pt>
              <c:pt idx="550">
                <c:v>-375.40359999999998</c:v>
              </c:pt>
              <c:pt idx="551">
                <c:v>-376.01890000000003</c:v>
              </c:pt>
              <c:pt idx="552">
                <c:v>-376.6343</c:v>
              </c:pt>
              <c:pt idx="553">
                <c:v>-377.24950000000001</c:v>
              </c:pt>
              <c:pt idx="554">
                <c:v>-377.86500000000001</c:v>
              </c:pt>
              <c:pt idx="555">
                <c:v>-378.48040000000003</c:v>
              </c:pt>
              <c:pt idx="556">
                <c:v>-379.09559999999999</c:v>
              </c:pt>
              <c:pt idx="557">
                <c:v>-379.71100000000001</c:v>
              </c:pt>
              <c:pt idx="558">
                <c:v>-380.32650000000001</c:v>
              </c:pt>
              <c:pt idx="559">
                <c:v>-380.94200000000001</c:v>
              </c:pt>
              <c:pt idx="560">
                <c:v>-381.55720000000002</c:v>
              </c:pt>
              <c:pt idx="561">
                <c:v>-382.17259999999999</c:v>
              </c:pt>
              <c:pt idx="562">
                <c:v>-382.78799999999995</c:v>
              </c:pt>
              <c:pt idx="563">
                <c:v>-383.4033</c:v>
              </c:pt>
              <c:pt idx="564">
                <c:v>-384.0188</c:v>
              </c:pt>
              <c:pt idx="565">
                <c:v>-384.63420000000002</c:v>
              </c:pt>
              <c:pt idx="566">
                <c:v>-385.23899999999998</c:v>
              </c:pt>
              <c:pt idx="567">
                <c:v>-385.84280000000001</c:v>
              </c:pt>
              <c:pt idx="568">
                <c:v>-386.44669999999996</c:v>
              </c:pt>
              <c:pt idx="569">
                <c:v>-387.05069999999995</c:v>
              </c:pt>
              <c:pt idx="570">
                <c:v>-387.65459999999996</c:v>
              </c:pt>
              <c:pt idx="571">
                <c:v>-388.25840000000005</c:v>
              </c:pt>
              <c:pt idx="572">
                <c:v>-388.86240000000004</c:v>
              </c:pt>
              <c:pt idx="573">
                <c:v>-389.46629999999999</c:v>
              </c:pt>
              <c:pt idx="574">
                <c:v>-390.07030000000003</c:v>
              </c:pt>
              <c:pt idx="575">
                <c:v>-390.67430000000002</c:v>
              </c:pt>
              <c:pt idx="576">
                <c:v>-391.27819999999997</c:v>
              </c:pt>
              <c:pt idx="577">
                <c:v>-391.88210000000004</c:v>
              </c:pt>
              <c:pt idx="578">
                <c:v>-392.48610000000002</c:v>
              </c:pt>
              <c:pt idx="579">
                <c:v>-393.09009999999995</c:v>
              </c:pt>
              <c:pt idx="580">
                <c:v>-393.69400000000002</c:v>
              </c:pt>
              <c:pt idx="581">
                <c:v>-394.29799999999994</c:v>
              </c:pt>
              <c:pt idx="582">
                <c:v>-394.90180000000004</c:v>
              </c:pt>
              <c:pt idx="583">
                <c:v>-395.49209999999994</c:v>
              </c:pt>
              <c:pt idx="584">
                <c:v>-396.0582</c:v>
              </c:pt>
              <c:pt idx="585">
                <c:v>-396.62419999999997</c:v>
              </c:pt>
              <c:pt idx="586">
                <c:v>-397.19030000000004</c:v>
              </c:pt>
              <c:pt idx="587">
                <c:v>-397.75650000000002</c:v>
              </c:pt>
              <c:pt idx="588">
                <c:v>-398.31889999999993</c:v>
              </c:pt>
              <c:pt idx="589">
                <c:v>-398.83299999999997</c:v>
              </c:pt>
              <c:pt idx="590">
                <c:v>-399.34710000000007</c:v>
              </c:pt>
              <c:pt idx="591">
                <c:v>-399.86120000000005</c:v>
              </c:pt>
              <c:pt idx="592">
                <c:v>-400.37520000000001</c:v>
              </c:pt>
              <c:pt idx="593">
                <c:v>-400.88929999999999</c:v>
              </c:pt>
              <c:pt idx="594">
                <c:v>-401.40350000000001</c:v>
              </c:pt>
              <c:pt idx="595">
                <c:v>-401.91740000000004</c:v>
              </c:pt>
              <c:pt idx="596">
                <c:v>-402.4316</c:v>
              </c:pt>
              <c:pt idx="597">
                <c:v>-402.94569999999999</c:v>
              </c:pt>
              <c:pt idx="598">
                <c:v>-403.45979999999997</c:v>
              </c:pt>
              <c:pt idx="599">
                <c:v>-403.97389999999996</c:v>
              </c:pt>
              <c:pt idx="600">
                <c:v>-404.48810000000003</c:v>
              </c:pt>
              <c:pt idx="601">
                <c:v>-405.00179999999995</c:v>
              </c:pt>
              <c:pt idx="602">
                <c:v>-405.51550000000003</c:v>
              </c:pt>
              <c:pt idx="603">
                <c:v>-406.0292</c:v>
              </c:pt>
              <c:pt idx="604">
                <c:v>-406.54309999999998</c:v>
              </c:pt>
              <c:pt idx="605">
                <c:v>-407.05679999999995</c:v>
              </c:pt>
              <c:pt idx="606">
                <c:v>-407.57050000000004</c:v>
              </c:pt>
              <c:pt idx="607">
                <c:v>-408.08430000000004</c:v>
              </c:pt>
              <c:pt idx="608">
                <c:v>-408.59799999999996</c:v>
              </c:pt>
              <c:pt idx="609">
                <c:v>-409.11170000000004</c:v>
              </c:pt>
              <c:pt idx="610">
                <c:v>-409.62560000000002</c:v>
              </c:pt>
              <c:pt idx="611">
                <c:v>-410.13920000000002</c:v>
              </c:pt>
              <c:pt idx="612">
                <c:v>-410.65309999999999</c:v>
              </c:pt>
              <c:pt idx="613">
                <c:v>-411.16719999999998</c:v>
              </c:pt>
              <c:pt idx="614">
                <c:v>-411.68010000000004</c:v>
              </c:pt>
              <c:pt idx="615">
                <c:v>-412.19410000000005</c:v>
              </c:pt>
              <c:pt idx="616">
                <c:v>-412.7079</c:v>
              </c:pt>
              <c:pt idx="617">
                <c:v>-413.22189999999995</c:v>
              </c:pt>
              <c:pt idx="618">
                <c:v>-413.73569999999995</c:v>
              </c:pt>
              <c:pt idx="619">
                <c:v>-414.24959999999999</c:v>
              </c:pt>
              <c:pt idx="620">
                <c:v>-414.76349999999996</c:v>
              </c:pt>
              <c:pt idx="621">
                <c:v>-415.27729999999997</c:v>
              </c:pt>
              <c:pt idx="622">
                <c:v>-415.79020000000003</c:v>
              </c:pt>
              <c:pt idx="623">
                <c:v>-416.30419999999998</c:v>
              </c:pt>
              <c:pt idx="624">
                <c:v>-416.81799999999998</c:v>
              </c:pt>
              <c:pt idx="625">
                <c:v>-417.33199999999999</c:v>
              </c:pt>
              <c:pt idx="626">
                <c:v>-417.83170000000001</c:v>
              </c:pt>
              <c:pt idx="627">
                <c:v>-418.2747</c:v>
              </c:pt>
              <c:pt idx="628">
                <c:v>-418.71769999999998</c:v>
              </c:pt>
              <c:pt idx="629">
                <c:v>-419.16070000000002</c:v>
              </c:pt>
              <c:pt idx="630">
                <c:v>-419.6037</c:v>
              </c:pt>
              <c:pt idx="631">
                <c:v>-420.04679999999996</c:v>
              </c:pt>
              <c:pt idx="632">
                <c:v>-420.48969999999997</c:v>
              </c:pt>
              <c:pt idx="633">
                <c:v>-420.93269999999995</c:v>
              </c:pt>
              <c:pt idx="634">
                <c:v>-421.37469999999996</c:v>
              </c:pt>
              <c:pt idx="635">
                <c:v>-421.81180000000001</c:v>
              </c:pt>
              <c:pt idx="636">
                <c:v>-422.24869999999999</c:v>
              </c:pt>
              <c:pt idx="637">
                <c:v>-422.68580000000003</c:v>
              </c:pt>
              <c:pt idx="638">
                <c:v>-423.12279999999998</c:v>
              </c:pt>
              <c:pt idx="639">
                <c:v>-423.5598</c:v>
              </c:pt>
              <c:pt idx="640">
                <c:v>-423.99700000000001</c:v>
              </c:pt>
              <c:pt idx="641">
                <c:v>-424.43389999999999</c:v>
              </c:pt>
              <c:pt idx="642">
                <c:v>-424.87049999999999</c:v>
              </c:pt>
              <c:pt idx="643">
                <c:v>-425.30670000000003</c:v>
              </c:pt>
              <c:pt idx="644">
                <c:v>-425.74279999999999</c:v>
              </c:pt>
              <c:pt idx="645">
                <c:v>-426.17700000000002</c:v>
              </c:pt>
              <c:pt idx="646">
                <c:v>-426.60600000000005</c:v>
              </c:pt>
              <c:pt idx="647">
                <c:v>-427.03269999999998</c:v>
              </c:pt>
              <c:pt idx="648">
                <c:v>-427.45929999999998</c:v>
              </c:pt>
              <c:pt idx="649">
                <c:v>-427.88399999999996</c:v>
              </c:pt>
              <c:pt idx="650">
                <c:v>-428.31050000000005</c:v>
              </c:pt>
              <c:pt idx="651">
                <c:v>-428.7373</c:v>
              </c:pt>
              <c:pt idx="652">
                <c:v>-429.16379999999998</c:v>
              </c:pt>
              <c:pt idx="653">
                <c:v>-429.59049999999996</c:v>
              </c:pt>
              <c:pt idx="654">
                <c:v>-430.01519999999994</c:v>
              </c:pt>
              <c:pt idx="655">
                <c:v>-430.44170000000003</c:v>
              </c:pt>
              <c:pt idx="656">
                <c:v>-430.86840000000001</c:v>
              </c:pt>
              <c:pt idx="657">
                <c:v>-431.29499999999996</c:v>
              </c:pt>
              <c:pt idx="658">
                <c:v>-431.71969999999999</c:v>
              </c:pt>
              <c:pt idx="659">
                <c:v>-432.1463</c:v>
              </c:pt>
              <c:pt idx="660">
                <c:v>-432.5729</c:v>
              </c:pt>
              <c:pt idx="661">
                <c:v>-432.99970000000002</c:v>
              </c:pt>
              <c:pt idx="662">
                <c:v>-433.42630000000003</c:v>
              </c:pt>
              <c:pt idx="663">
                <c:v>-433.85090000000002</c:v>
              </c:pt>
              <c:pt idx="664">
                <c:v>-434.27749999999997</c:v>
              </c:pt>
              <c:pt idx="665">
                <c:v>-434.70419999999996</c:v>
              </c:pt>
              <c:pt idx="666">
                <c:v>-435.13069999999999</c:v>
              </c:pt>
              <c:pt idx="667">
                <c:v>-435.55250000000001</c:v>
              </c:pt>
              <c:pt idx="668">
                <c:v>-435.97320000000002</c:v>
              </c:pt>
              <c:pt idx="669">
                <c:v>-436.39390000000003</c:v>
              </c:pt>
              <c:pt idx="670">
                <c:v>-436.81569999999999</c:v>
              </c:pt>
              <c:pt idx="671">
                <c:v>-437.23739999999998</c:v>
              </c:pt>
              <c:pt idx="672">
                <c:v>-437.64280000000002</c:v>
              </c:pt>
              <c:pt idx="673">
                <c:v>-438.04700000000003</c:v>
              </c:pt>
              <c:pt idx="674">
                <c:v>-438.45100000000002</c:v>
              </c:pt>
              <c:pt idx="675">
                <c:v>-438.8562</c:v>
              </c:pt>
              <c:pt idx="676">
                <c:v>-439.2604</c:v>
              </c:pt>
              <c:pt idx="677">
                <c:v>-439.66319999999996</c:v>
              </c:pt>
              <c:pt idx="678">
                <c:v>-440.06759999999997</c:v>
              </c:pt>
              <c:pt idx="679">
                <c:v>-440.46999999999997</c:v>
              </c:pt>
              <c:pt idx="680">
                <c:v>-440.87430000000001</c:v>
              </c:pt>
              <c:pt idx="681">
                <c:v>-441.27650000000006</c:v>
              </c:pt>
              <c:pt idx="682">
                <c:v>-441.67969999999997</c:v>
              </c:pt>
              <c:pt idx="683">
                <c:v>-442.08280000000002</c:v>
              </c:pt>
              <c:pt idx="684">
                <c:v>-442.48599999999999</c:v>
              </c:pt>
              <c:pt idx="685">
                <c:v>-442.88909999999998</c:v>
              </c:pt>
              <c:pt idx="686">
                <c:v>-443.29230000000001</c:v>
              </c:pt>
              <c:pt idx="687">
                <c:v>-443.69639999999998</c:v>
              </c:pt>
              <c:pt idx="688">
                <c:v>-444.09950000000003</c:v>
              </c:pt>
              <c:pt idx="689">
                <c:v>-444.50279999999998</c:v>
              </c:pt>
              <c:pt idx="690">
                <c:v>-444.9058</c:v>
              </c:pt>
              <c:pt idx="691">
                <c:v>-445.30759999999998</c:v>
              </c:pt>
              <c:pt idx="692">
                <c:v>-445.7072</c:v>
              </c:pt>
              <c:pt idx="693">
                <c:v>-446.10579999999999</c:v>
              </c:pt>
              <c:pt idx="694">
                <c:v>-446.49799999999999</c:v>
              </c:pt>
              <c:pt idx="695">
                <c:v>-446.8802</c:v>
              </c:pt>
              <c:pt idx="696">
                <c:v>-447.24279999999999</c:v>
              </c:pt>
              <c:pt idx="697">
                <c:v>-447.60549999999995</c:v>
              </c:pt>
              <c:pt idx="698">
                <c:v>-447.96710000000002</c:v>
              </c:pt>
              <c:pt idx="699">
                <c:v>-448.32959999999997</c:v>
              </c:pt>
              <c:pt idx="700">
                <c:v>-448.69219999999996</c:v>
              </c:pt>
              <c:pt idx="701">
                <c:v>-449.05469999999997</c:v>
              </c:pt>
              <c:pt idx="702">
                <c:v>-449.41829999999993</c:v>
              </c:pt>
              <c:pt idx="703">
                <c:v>-449.78</c:v>
              </c:pt>
              <c:pt idx="704">
                <c:v>-450.14249999999998</c:v>
              </c:pt>
              <c:pt idx="705">
                <c:v>-450.50510000000003</c:v>
              </c:pt>
              <c:pt idx="706">
                <c:v>-450.86759999999998</c:v>
              </c:pt>
              <c:pt idx="707">
                <c:v>-451.23019999999997</c:v>
              </c:pt>
              <c:pt idx="708">
                <c:v>-451.59280000000001</c:v>
              </c:pt>
              <c:pt idx="709">
                <c:v>-451.9554</c:v>
              </c:pt>
              <c:pt idx="710">
                <c:v>-452.31770000000006</c:v>
              </c:pt>
              <c:pt idx="711">
                <c:v>-452.68009999999998</c:v>
              </c:pt>
              <c:pt idx="712">
                <c:v>-453.03990000000005</c:v>
              </c:pt>
              <c:pt idx="713">
                <c:v>-453.40099999999995</c:v>
              </c:pt>
              <c:pt idx="714">
                <c:v>-453.76179999999999</c:v>
              </c:pt>
              <c:pt idx="715">
                <c:v>-454.1216</c:v>
              </c:pt>
              <c:pt idx="716">
                <c:v>-454.48259999999999</c:v>
              </c:pt>
              <c:pt idx="717">
                <c:v>-454.8424</c:v>
              </c:pt>
              <c:pt idx="718">
                <c:v>-455.20349999999996</c:v>
              </c:pt>
              <c:pt idx="719">
                <c:v>-455.56529999999998</c:v>
              </c:pt>
              <c:pt idx="720">
                <c:v>-455.92520000000002</c:v>
              </c:pt>
              <c:pt idx="721">
                <c:v>-456.28600000000006</c:v>
              </c:pt>
              <c:pt idx="722">
                <c:v>-456.64690000000002</c:v>
              </c:pt>
              <c:pt idx="723">
                <c:v>-457.00680000000006</c:v>
              </c:pt>
              <c:pt idx="724">
                <c:v>-457.36780000000005</c:v>
              </c:pt>
              <c:pt idx="725">
                <c:v>-457.72770000000003</c:v>
              </c:pt>
              <c:pt idx="726">
                <c:v>-458.08859999999999</c:v>
              </c:pt>
              <c:pt idx="727">
                <c:v>-458.45050000000003</c:v>
              </c:pt>
              <c:pt idx="728">
                <c:v>-458.81029999999998</c:v>
              </c:pt>
              <c:pt idx="729">
                <c:v>-459.17110000000002</c:v>
              </c:pt>
              <c:pt idx="730">
                <c:v>-459.53120000000001</c:v>
              </c:pt>
              <c:pt idx="731">
                <c:v>-459.89200000000005</c:v>
              </c:pt>
              <c:pt idx="732">
                <c:v>-460.25299999999999</c:v>
              </c:pt>
              <c:pt idx="733">
                <c:v>-460.61279999999999</c:v>
              </c:pt>
              <c:pt idx="734">
                <c:v>-460.97390000000001</c:v>
              </c:pt>
              <c:pt idx="735">
                <c:v>-461.33190000000008</c:v>
              </c:pt>
              <c:pt idx="736">
                <c:v>-461.68889999999999</c:v>
              </c:pt>
              <c:pt idx="737">
                <c:v>-462.04359999999997</c:v>
              </c:pt>
              <c:pt idx="738">
                <c:v>-462.39749999999998</c:v>
              </c:pt>
              <c:pt idx="739">
                <c:v>-462.75220000000002</c:v>
              </c:pt>
              <c:pt idx="740">
                <c:v>-463.10579999999999</c:v>
              </c:pt>
              <c:pt idx="741">
                <c:v>-463.4606</c:v>
              </c:pt>
              <c:pt idx="742">
                <c:v>-463.8143</c:v>
              </c:pt>
              <c:pt idx="743">
                <c:v>-464.16899999999998</c:v>
              </c:pt>
              <c:pt idx="744">
                <c:v>-464.52280000000002</c:v>
              </c:pt>
              <c:pt idx="745">
                <c:v>-464.87849999999997</c:v>
              </c:pt>
              <c:pt idx="746">
                <c:v>-465.23209999999995</c:v>
              </c:pt>
              <c:pt idx="747">
                <c:v>-465.58690000000001</c:v>
              </c:pt>
              <c:pt idx="748">
                <c:v>-465.94059999999996</c:v>
              </c:pt>
              <c:pt idx="749">
                <c:v>-466.29540000000003</c:v>
              </c:pt>
              <c:pt idx="750">
                <c:v>-466.64910000000003</c:v>
              </c:pt>
              <c:pt idx="751">
                <c:v>-467.0016</c:v>
              </c:pt>
              <c:pt idx="752">
                <c:v>-467.34609999999998</c:v>
              </c:pt>
              <c:pt idx="753">
                <c:v>-467.68880000000001</c:v>
              </c:pt>
              <c:pt idx="754">
                <c:v>-468.03340000000003</c:v>
              </c:pt>
              <c:pt idx="755">
                <c:v>-468.37789999999995</c:v>
              </c:pt>
              <c:pt idx="756">
                <c:v>-468.72160000000002</c:v>
              </c:pt>
              <c:pt idx="757">
                <c:v>-469.06420000000003</c:v>
              </c:pt>
              <c:pt idx="758">
                <c:v>-469.40770000000003</c:v>
              </c:pt>
              <c:pt idx="759">
                <c:v>-469.75150000000002</c:v>
              </c:pt>
              <c:pt idx="760">
                <c:v>-470.09410000000003</c:v>
              </c:pt>
              <c:pt idx="761">
                <c:v>-470.43489999999997</c:v>
              </c:pt>
              <c:pt idx="762">
                <c:v>-470.73649999999998</c:v>
              </c:pt>
              <c:pt idx="763">
                <c:v>-471.0403</c:v>
              </c:pt>
              <c:pt idx="764">
                <c:v>-471.34190000000001</c:v>
              </c:pt>
              <c:pt idx="765">
                <c:v>-471.64449999999999</c:v>
              </c:pt>
              <c:pt idx="766">
                <c:v>-471.94709999999998</c:v>
              </c:pt>
              <c:pt idx="767">
                <c:v>-472.24590000000001</c:v>
              </c:pt>
              <c:pt idx="768">
                <c:v>-472.53969999999998</c:v>
              </c:pt>
              <c:pt idx="769">
                <c:v>-472.83350000000002</c:v>
              </c:pt>
              <c:pt idx="770">
                <c:v>-473.12630000000001</c:v>
              </c:pt>
              <c:pt idx="771">
                <c:v>-473.41500000000002</c:v>
              </c:pt>
              <c:pt idx="772">
                <c:v>-473.69850000000008</c:v>
              </c:pt>
              <c:pt idx="773">
                <c:v>-473.98099999999999</c:v>
              </c:pt>
              <c:pt idx="774">
                <c:v>-474.26549999999997</c:v>
              </c:pt>
              <c:pt idx="775">
                <c:v>-474.54900000000004</c:v>
              </c:pt>
              <c:pt idx="776">
                <c:v>-474.83249999999998</c:v>
              </c:pt>
              <c:pt idx="777">
                <c:v>-475.11490000000003</c:v>
              </c:pt>
              <c:pt idx="778">
                <c:v>-475.39929999999998</c:v>
              </c:pt>
              <c:pt idx="779">
                <c:v>-475.68279999999999</c:v>
              </c:pt>
              <c:pt idx="780">
                <c:v>-475.96529999999996</c:v>
              </c:pt>
              <c:pt idx="781">
                <c:v>-476.24979999999999</c:v>
              </c:pt>
              <c:pt idx="782">
                <c:v>-476.5333</c:v>
              </c:pt>
              <c:pt idx="783">
                <c:v>-476.8168</c:v>
              </c:pt>
              <c:pt idx="784">
                <c:v>-477.0992</c:v>
              </c:pt>
              <c:pt idx="785">
                <c:v>-477.3836</c:v>
              </c:pt>
              <c:pt idx="786">
                <c:v>-477.66700000000003</c:v>
              </c:pt>
              <c:pt idx="787">
                <c:v>-477.95050000000003</c:v>
              </c:pt>
              <c:pt idx="788">
                <c:v>-478.23299999999995</c:v>
              </c:pt>
              <c:pt idx="789">
                <c:v>-478.51749999999998</c:v>
              </c:pt>
              <c:pt idx="790">
                <c:v>-478.80089999999996</c:v>
              </c:pt>
              <c:pt idx="791">
                <c:v>-479.08429999999998</c:v>
              </c:pt>
              <c:pt idx="792">
                <c:v>-479.36779999999999</c:v>
              </c:pt>
              <c:pt idx="793">
                <c:v>-479.65130000000005</c:v>
              </c:pt>
              <c:pt idx="794">
                <c:v>-479.93469999999996</c:v>
              </c:pt>
              <c:pt idx="795">
                <c:v>-480.21819999999997</c:v>
              </c:pt>
              <c:pt idx="796">
                <c:v>-480.50169999999997</c:v>
              </c:pt>
              <c:pt idx="797">
                <c:v>-480.78509999999994</c:v>
              </c:pt>
              <c:pt idx="798">
                <c:v>-481.06859999999995</c:v>
              </c:pt>
              <c:pt idx="799">
                <c:v>-481.35310000000004</c:v>
              </c:pt>
              <c:pt idx="800">
                <c:v>-481.63559999999995</c:v>
              </c:pt>
              <c:pt idx="801">
                <c:v>-481.91899999999998</c:v>
              </c:pt>
              <c:pt idx="802">
                <c:v>-482.20240000000001</c:v>
              </c:pt>
              <c:pt idx="803">
                <c:v>-482.48580000000004</c:v>
              </c:pt>
              <c:pt idx="804">
                <c:v>-482.76930000000004</c:v>
              </c:pt>
              <c:pt idx="805">
                <c:v>-483.05289999999997</c:v>
              </c:pt>
              <c:pt idx="806">
                <c:v>-483.33729999999997</c:v>
              </c:pt>
              <c:pt idx="807">
                <c:v>-483.61969999999997</c:v>
              </c:pt>
              <c:pt idx="808">
                <c:v>-483.90320000000003</c:v>
              </c:pt>
              <c:pt idx="809">
                <c:v>-484.18649999999997</c:v>
              </c:pt>
              <c:pt idx="810">
                <c:v>-484.47110000000004</c:v>
              </c:pt>
              <c:pt idx="811">
                <c:v>-484.75349999999997</c:v>
              </c:pt>
              <c:pt idx="812">
                <c:v>-485.03629999999998</c:v>
              </c:pt>
              <c:pt idx="813">
                <c:v>-485.31869999999998</c:v>
              </c:pt>
              <c:pt idx="814">
                <c:v>-485.60030000000006</c:v>
              </c:pt>
              <c:pt idx="815">
                <c:v>-485.88190000000003</c:v>
              </c:pt>
              <c:pt idx="816">
                <c:v>-486.16460000000001</c:v>
              </c:pt>
              <c:pt idx="817">
                <c:v>-486.44610000000006</c:v>
              </c:pt>
              <c:pt idx="818">
                <c:v>-486.7287</c:v>
              </c:pt>
              <c:pt idx="819">
                <c:v>-487.01009999999997</c:v>
              </c:pt>
              <c:pt idx="820">
                <c:v>-487.2921</c:v>
              </c:pt>
              <c:pt idx="821">
                <c:v>-487.56709999999998</c:v>
              </c:pt>
              <c:pt idx="822">
                <c:v>-487.83690000000001</c:v>
              </c:pt>
              <c:pt idx="823">
                <c:v>-488.10540000000003</c:v>
              </c:pt>
              <c:pt idx="824">
                <c:v>-488.37509999999997</c:v>
              </c:pt>
              <c:pt idx="825">
                <c:v>-488.6447</c:v>
              </c:pt>
              <c:pt idx="826">
                <c:v>-488.91340000000002</c:v>
              </c:pt>
              <c:pt idx="827">
                <c:v>-489.18309999999997</c:v>
              </c:pt>
              <c:pt idx="828">
                <c:v>-489.45270000000005</c:v>
              </c:pt>
              <c:pt idx="829">
                <c:v>-489.72149999999993</c:v>
              </c:pt>
              <c:pt idx="830">
                <c:v>-489.99109999999996</c:v>
              </c:pt>
              <c:pt idx="831">
                <c:v>-490.25959999999998</c:v>
              </c:pt>
              <c:pt idx="832">
                <c:v>-490.52319999999997</c:v>
              </c:pt>
              <c:pt idx="833">
                <c:v>-490.7876</c:v>
              </c:pt>
              <c:pt idx="834">
                <c:v>-491.05120000000005</c:v>
              </c:pt>
              <c:pt idx="835">
                <c:v>-491.31470000000002</c:v>
              </c:pt>
              <c:pt idx="836">
                <c:v>-491.57840000000004</c:v>
              </c:pt>
              <c:pt idx="837">
                <c:v>-491.84080000000006</c:v>
              </c:pt>
              <c:pt idx="838">
                <c:v>-492.10430000000002</c:v>
              </c:pt>
              <c:pt idx="839">
                <c:v>-492.36790000000002</c:v>
              </c:pt>
              <c:pt idx="840">
                <c:v>-492.63139999999999</c:v>
              </c:pt>
              <c:pt idx="841">
                <c:v>-492.89490000000001</c:v>
              </c:pt>
              <c:pt idx="842">
                <c:v>-493.15770000000003</c:v>
              </c:pt>
              <c:pt idx="843">
                <c:v>-493.40870000000001</c:v>
              </c:pt>
              <c:pt idx="844">
                <c:v>-493.65989999999994</c:v>
              </c:pt>
              <c:pt idx="845">
                <c:v>-493.91130000000004</c:v>
              </c:pt>
              <c:pt idx="846">
                <c:v>-494.16230000000007</c:v>
              </c:pt>
              <c:pt idx="847">
                <c:v>-494.4135</c:v>
              </c:pt>
              <c:pt idx="848">
                <c:v>-494.66469999999998</c:v>
              </c:pt>
              <c:pt idx="849">
                <c:v>-494.91580000000005</c:v>
              </c:pt>
              <c:pt idx="850">
                <c:v>-495.1669</c:v>
              </c:pt>
              <c:pt idx="851">
                <c:v>-495.41820000000001</c:v>
              </c:pt>
              <c:pt idx="852">
                <c:v>-495.66919999999999</c:v>
              </c:pt>
              <c:pt idx="853">
                <c:v>-495.92040000000009</c:v>
              </c:pt>
              <c:pt idx="854">
                <c:v>-496.17160000000007</c:v>
              </c:pt>
              <c:pt idx="855">
                <c:v>-496.42259999999993</c:v>
              </c:pt>
              <c:pt idx="856">
                <c:v>-496.6739</c:v>
              </c:pt>
              <c:pt idx="857">
                <c:v>-496.92500000000007</c:v>
              </c:pt>
              <c:pt idx="858">
                <c:v>-497.17520000000002</c:v>
              </c:pt>
              <c:pt idx="859">
                <c:v>-497.42629999999997</c:v>
              </c:pt>
              <c:pt idx="860">
                <c:v>-497.67740000000003</c:v>
              </c:pt>
              <c:pt idx="861">
                <c:v>-497.92859999999996</c:v>
              </c:pt>
              <c:pt idx="862">
                <c:v>-498.1798</c:v>
              </c:pt>
              <c:pt idx="863">
                <c:v>-498.43089999999995</c:v>
              </c:pt>
              <c:pt idx="864">
                <c:v>-498.68199999999996</c:v>
              </c:pt>
              <c:pt idx="865">
                <c:v>-498.9332</c:v>
              </c:pt>
              <c:pt idx="866">
                <c:v>-499.18330000000003</c:v>
              </c:pt>
              <c:pt idx="867">
                <c:v>-499.43460000000005</c:v>
              </c:pt>
              <c:pt idx="868">
                <c:v>-499.68559999999997</c:v>
              </c:pt>
              <c:pt idx="869">
                <c:v>-499.93689999999998</c:v>
              </c:pt>
              <c:pt idx="870">
                <c:v>-500.18790000000001</c:v>
              </c:pt>
              <c:pt idx="871">
                <c:v>-500.4391</c:v>
              </c:pt>
              <c:pt idx="872">
                <c:v>-500.69029999999992</c:v>
              </c:pt>
              <c:pt idx="873">
                <c:v>-500.94139999999999</c:v>
              </c:pt>
              <c:pt idx="874">
                <c:v>-501.19250000000005</c:v>
              </c:pt>
              <c:pt idx="875">
                <c:v>-501.44359999999995</c:v>
              </c:pt>
              <c:pt idx="876">
                <c:v>-501.69469999999995</c:v>
              </c:pt>
              <c:pt idx="877">
                <c:v>-501.94589999999999</c:v>
              </c:pt>
              <c:pt idx="878">
                <c:v>-502.19699999999995</c:v>
              </c:pt>
              <c:pt idx="879">
                <c:v>-502.44820000000004</c:v>
              </c:pt>
              <c:pt idx="880">
                <c:v>-502.69929999999999</c:v>
              </c:pt>
              <c:pt idx="881">
                <c:v>-502.95049999999998</c:v>
              </c:pt>
              <c:pt idx="882">
                <c:v>-503.20170000000002</c:v>
              </c:pt>
              <c:pt idx="883">
                <c:v>-503.45270000000005</c:v>
              </c:pt>
              <c:pt idx="884">
                <c:v>-503.70349999999996</c:v>
              </c:pt>
              <c:pt idx="885">
                <c:v>-503.95330000000001</c:v>
              </c:pt>
              <c:pt idx="886">
                <c:v>-504.20410000000004</c:v>
              </c:pt>
              <c:pt idx="887">
                <c:v>-504.45480000000003</c:v>
              </c:pt>
              <c:pt idx="888">
                <c:v>-504.70559999999995</c:v>
              </c:pt>
              <c:pt idx="889">
                <c:v>-504.95639999999997</c:v>
              </c:pt>
              <c:pt idx="890">
                <c:v>-505.20619999999997</c:v>
              </c:pt>
              <c:pt idx="891">
                <c:v>-505.45799999999997</c:v>
              </c:pt>
              <c:pt idx="892">
                <c:v>-505.7088</c:v>
              </c:pt>
              <c:pt idx="893">
                <c:v>-505.95960000000002</c:v>
              </c:pt>
              <c:pt idx="894">
                <c:v>-506.21030000000002</c:v>
              </c:pt>
              <c:pt idx="895">
                <c:v>-506.46100000000001</c:v>
              </c:pt>
              <c:pt idx="896">
                <c:v>-506.71079999999995</c:v>
              </c:pt>
              <c:pt idx="897">
                <c:v>-506.96159999999998</c:v>
              </c:pt>
              <c:pt idx="898">
                <c:v>-507.2124</c:v>
              </c:pt>
              <c:pt idx="899">
                <c:v>-507.4633</c:v>
              </c:pt>
              <c:pt idx="900">
                <c:v>-507.71389999999997</c:v>
              </c:pt>
              <c:pt idx="901">
                <c:v>-507.96360000000004</c:v>
              </c:pt>
              <c:pt idx="902">
                <c:v>-508.21410000000003</c:v>
              </c:pt>
              <c:pt idx="903">
                <c:v>-508.46450000000004</c:v>
              </c:pt>
              <c:pt idx="904">
                <c:v>-508.714</c:v>
              </c:pt>
              <c:pt idx="905">
                <c:v>-508.96349999999995</c:v>
              </c:pt>
              <c:pt idx="906">
                <c:v>-509.214</c:v>
              </c:pt>
              <c:pt idx="907">
                <c:v>-509.46430000000004</c:v>
              </c:pt>
              <c:pt idx="908">
                <c:v>-509.71370000000002</c:v>
              </c:pt>
              <c:pt idx="909">
                <c:v>-509.96420000000001</c:v>
              </c:pt>
              <c:pt idx="910">
                <c:v>-510.21469999999999</c:v>
              </c:pt>
              <c:pt idx="911">
                <c:v>-510.46500000000003</c:v>
              </c:pt>
              <c:pt idx="912">
                <c:v>-510.71420000000001</c:v>
              </c:pt>
              <c:pt idx="913">
                <c:v>-510.96449999999999</c:v>
              </c:pt>
              <c:pt idx="914">
                <c:v>-511.21569999999997</c:v>
              </c:pt>
              <c:pt idx="915">
                <c:v>-511.46409999999997</c:v>
              </c:pt>
              <c:pt idx="916">
                <c:v>-511.71430000000004</c:v>
              </c:pt>
              <c:pt idx="917">
                <c:v>-511.96449999999993</c:v>
              </c:pt>
              <c:pt idx="918">
                <c:v>-512.21479999999997</c:v>
              </c:pt>
              <c:pt idx="919">
                <c:v>-512.46500000000003</c:v>
              </c:pt>
              <c:pt idx="920">
                <c:v>-512.71529999999996</c:v>
              </c:pt>
              <c:pt idx="921">
                <c:v>-512.96559999999999</c:v>
              </c:pt>
              <c:pt idx="922">
                <c:v>-513.21469999999999</c:v>
              </c:pt>
              <c:pt idx="923">
                <c:v>-513.46370000000002</c:v>
              </c:pt>
              <c:pt idx="924">
                <c:v>-513.71389999999997</c:v>
              </c:pt>
              <c:pt idx="925">
                <c:v>-513.96379999999999</c:v>
              </c:pt>
              <c:pt idx="926">
                <c:v>-514.21379999999999</c:v>
              </c:pt>
              <c:pt idx="927">
                <c:v>-514.46299999999997</c:v>
              </c:pt>
              <c:pt idx="928">
                <c:v>-514.71199999999999</c:v>
              </c:pt>
              <c:pt idx="929">
                <c:v>-514.96209999999996</c:v>
              </c:pt>
              <c:pt idx="930">
                <c:v>-515.21109999999999</c:v>
              </c:pt>
              <c:pt idx="931">
                <c:v>-515.46140000000003</c:v>
              </c:pt>
              <c:pt idx="932">
                <c:v>-515.70960000000002</c:v>
              </c:pt>
              <c:pt idx="933">
                <c:v>-515.9588</c:v>
              </c:pt>
              <c:pt idx="934">
                <c:v>-516.20799999999997</c:v>
              </c:pt>
              <c:pt idx="935">
                <c:v>-516.45720000000006</c:v>
              </c:pt>
              <c:pt idx="936">
                <c:v>-516.70650000000001</c:v>
              </c:pt>
              <c:pt idx="937">
                <c:v>-516.9556</c:v>
              </c:pt>
              <c:pt idx="938">
                <c:v>-517.20489999999995</c:v>
              </c:pt>
              <c:pt idx="939">
                <c:v>-517.45299999999997</c:v>
              </c:pt>
              <c:pt idx="940">
                <c:v>-517.70330000000001</c:v>
              </c:pt>
              <c:pt idx="941">
                <c:v>-517.95260000000007</c:v>
              </c:pt>
              <c:pt idx="942">
                <c:v>-518.20069999999998</c:v>
              </c:pt>
              <c:pt idx="943">
                <c:v>-518.45079999999996</c:v>
              </c:pt>
              <c:pt idx="944">
                <c:v>-518.69880000000001</c:v>
              </c:pt>
              <c:pt idx="945">
                <c:v>-518.94770000000005</c:v>
              </c:pt>
              <c:pt idx="946">
                <c:v>-519.19679999999994</c:v>
              </c:pt>
              <c:pt idx="947">
                <c:v>-519.44590000000005</c:v>
              </c:pt>
              <c:pt idx="948">
                <c:v>-519.69389999999999</c:v>
              </c:pt>
              <c:pt idx="949">
                <c:v>-519.94290000000001</c:v>
              </c:pt>
              <c:pt idx="950">
                <c:v>-520.19189999999992</c:v>
              </c:pt>
              <c:pt idx="951">
                <c:v>-520.44100000000003</c:v>
              </c:pt>
              <c:pt idx="952">
                <c:v>-520.68049999999994</c:v>
              </c:pt>
              <c:pt idx="953">
                <c:v>-520.90549999999996</c:v>
              </c:pt>
              <c:pt idx="954">
                <c:v>-521.13049999999998</c:v>
              </c:pt>
              <c:pt idx="955">
                <c:v>-521.35559999999998</c:v>
              </c:pt>
              <c:pt idx="956">
                <c:v>-521.57839999999999</c:v>
              </c:pt>
              <c:pt idx="957">
                <c:v>-521.80449999999996</c:v>
              </c:pt>
              <c:pt idx="958">
                <c:v>-522.02940000000001</c:v>
              </c:pt>
              <c:pt idx="959">
                <c:v>-522.25350000000003</c:v>
              </c:pt>
              <c:pt idx="960">
                <c:v>-522.47849999999994</c:v>
              </c:pt>
              <c:pt idx="961">
                <c:v>-522.70249999999999</c:v>
              </c:pt>
              <c:pt idx="962">
                <c:v>-522.92849999999999</c:v>
              </c:pt>
              <c:pt idx="963">
                <c:v>-523.15249999999992</c:v>
              </c:pt>
              <c:pt idx="964">
                <c:v>-523.37739999999997</c:v>
              </c:pt>
              <c:pt idx="965">
                <c:v>-523.60239999999999</c:v>
              </c:pt>
              <c:pt idx="966">
                <c:v>-523.82539999999995</c:v>
              </c:pt>
              <c:pt idx="967">
                <c:v>-524.05150000000003</c:v>
              </c:pt>
              <c:pt idx="968">
                <c:v>-524.27639999999997</c:v>
              </c:pt>
              <c:pt idx="969">
                <c:v>-524.5014000000001</c:v>
              </c:pt>
              <c:pt idx="970">
                <c:v>-524.72540000000004</c:v>
              </c:pt>
              <c:pt idx="971">
                <c:v>-524.95039999999995</c:v>
              </c:pt>
              <c:pt idx="972">
                <c:v>-525.17539999999997</c:v>
              </c:pt>
              <c:pt idx="973">
                <c:v>-525.39940000000001</c:v>
              </c:pt>
              <c:pt idx="974">
                <c:v>-525.62439999999992</c:v>
              </c:pt>
              <c:pt idx="975">
                <c:v>-525.84939999999995</c:v>
              </c:pt>
              <c:pt idx="976">
                <c:v>-526.07439999999997</c:v>
              </c:pt>
              <c:pt idx="977">
                <c:v>-526.29840000000002</c:v>
              </c:pt>
              <c:pt idx="978">
                <c:v>-526.52329999999995</c:v>
              </c:pt>
              <c:pt idx="979">
                <c:v>-526.74839999999995</c:v>
              </c:pt>
              <c:pt idx="980">
                <c:v>-526.97330000000011</c:v>
              </c:pt>
              <c:pt idx="981">
                <c:v>-527.19839999999999</c:v>
              </c:pt>
              <c:pt idx="982">
                <c:v>-527.42230000000006</c:v>
              </c:pt>
              <c:pt idx="983">
                <c:v>-527.64739999999995</c:v>
              </c:pt>
              <c:pt idx="984">
                <c:v>-527.87130000000002</c:v>
              </c:pt>
              <c:pt idx="985">
                <c:v>-528.09730000000002</c:v>
              </c:pt>
              <c:pt idx="986">
                <c:v>-528.32229999999993</c:v>
              </c:pt>
              <c:pt idx="987">
                <c:v>-528.5453</c:v>
              </c:pt>
              <c:pt idx="988">
                <c:v>-528.76990000000001</c:v>
              </c:pt>
              <c:pt idx="989">
                <c:v>-528.99469999999997</c:v>
              </c:pt>
              <c:pt idx="990">
                <c:v>-529.21720000000005</c:v>
              </c:pt>
              <c:pt idx="991">
                <c:v>-529.44200000000001</c:v>
              </c:pt>
              <c:pt idx="992">
                <c:v>-529.66460000000006</c:v>
              </c:pt>
              <c:pt idx="993">
                <c:v>-529.88940000000002</c:v>
              </c:pt>
              <c:pt idx="994">
                <c:v>-530.11400000000003</c:v>
              </c:pt>
              <c:pt idx="995">
                <c:v>-530.33680000000004</c:v>
              </c:pt>
              <c:pt idx="996">
                <c:v>-530.56119999999999</c:v>
              </c:pt>
              <c:pt idx="997">
                <c:v>-530.78430000000003</c:v>
              </c:pt>
              <c:pt idx="998">
                <c:v>-531.00760000000014</c:v>
              </c:pt>
              <c:pt idx="999">
                <c:v>-531.2319</c:v>
              </c:pt>
              <c:pt idx="1000">
                <c:v>-531.45510000000002</c:v>
              </c:pt>
              <c:pt idx="1001">
                <c:v>-531.67930000000001</c:v>
              </c:pt>
              <c:pt idx="1002">
                <c:v>-531.90170000000001</c:v>
              </c:pt>
              <c:pt idx="1003">
                <c:v>-532.1268</c:v>
              </c:pt>
              <c:pt idx="1004">
                <c:v>-532.3501</c:v>
              </c:pt>
              <c:pt idx="1005">
                <c:v>-532.57240000000002</c:v>
              </c:pt>
              <c:pt idx="1006">
                <c:v>-532.7974999999999</c:v>
              </c:pt>
              <c:pt idx="1007">
                <c:v>-533.01980000000003</c:v>
              </c:pt>
              <c:pt idx="1008">
                <c:v>-533.2441</c:v>
              </c:pt>
              <c:pt idx="1009">
                <c:v>-533.4674</c:v>
              </c:pt>
              <c:pt idx="1010">
                <c:v>-533.69049999999993</c:v>
              </c:pt>
              <c:pt idx="1011">
                <c:v>-533.91480000000001</c:v>
              </c:pt>
              <c:pt idx="1012">
                <c:v>-534.13810000000001</c:v>
              </c:pt>
              <c:pt idx="1013">
                <c:v>-534.36239999999998</c:v>
              </c:pt>
              <c:pt idx="1014">
                <c:v>-534.58449999999993</c:v>
              </c:pt>
              <c:pt idx="1015">
                <c:v>-534.8098</c:v>
              </c:pt>
              <c:pt idx="1016">
                <c:v>-535.03309999999999</c:v>
              </c:pt>
              <c:pt idx="1017">
                <c:v>-535.25529999999992</c:v>
              </c:pt>
              <c:pt idx="1018">
                <c:v>-535.48050000000001</c:v>
              </c:pt>
              <c:pt idx="1019">
                <c:v>-535.70269999999994</c:v>
              </c:pt>
              <c:pt idx="1020">
                <c:v>-535.9271</c:v>
              </c:pt>
              <c:pt idx="1021">
                <c:v>-536.15129999999999</c:v>
              </c:pt>
              <c:pt idx="1022">
                <c:v>-536.37350000000004</c:v>
              </c:pt>
              <c:pt idx="1023">
                <c:v>-536.59770000000003</c:v>
              </c:pt>
              <c:pt idx="1024">
                <c:v>-536.82100000000003</c:v>
              </c:pt>
              <c:pt idx="1025">
                <c:v>-537.0453</c:v>
              </c:pt>
              <c:pt idx="1026">
                <c:v>-537.26850000000002</c:v>
              </c:pt>
              <c:pt idx="1027">
                <c:v>-537.49279999999999</c:v>
              </c:pt>
              <c:pt idx="1028">
                <c:v>-537.71590000000003</c:v>
              </c:pt>
              <c:pt idx="1029">
                <c:v>-537.93830000000003</c:v>
              </c:pt>
              <c:pt idx="1030">
                <c:v>-538.1635</c:v>
              </c:pt>
              <c:pt idx="1031">
                <c:v>-538.38670000000002</c:v>
              </c:pt>
              <c:pt idx="1032">
                <c:v>-538.61</c:v>
              </c:pt>
              <c:pt idx="1033">
                <c:v>-538.83420000000001</c:v>
              </c:pt>
              <c:pt idx="1034">
                <c:v>-539.05740000000003</c:v>
              </c:pt>
              <c:pt idx="1035">
                <c:v>-539.28070000000002</c:v>
              </c:pt>
              <c:pt idx="1036">
                <c:v>-539.50490000000002</c:v>
              </c:pt>
              <c:pt idx="1037">
                <c:v>-539.72820000000002</c:v>
              </c:pt>
              <c:pt idx="1038">
                <c:v>-539.95140000000004</c:v>
              </c:pt>
              <c:pt idx="1039">
                <c:v>-540.17559999999992</c:v>
              </c:pt>
              <c:pt idx="1040">
                <c:v>-540.399</c:v>
              </c:pt>
              <c:pt idx="1041">
                <c:v>-540.62220000000002</c:v>
              </c:pt>
              <c:pt idx="1042">
                <c:v>-540.84640000000002</c:v>
              </c:pt>
              <c:pt idx="1043">
                <c:v>-541.06970000000001</c:v>
              </c:pt>
              <c:pt idx="1044">
                <c:v>-541.29269999999997</c:v>
              </c:pt>
              <c:pt idx="1045">
                <c:v>-541.51690000000008</c:v>
              </c:pt>
              <c:pt idx="1046">
                <c:v>-541.74</c:v>
              </c:pt>
              <c:pt idx="1047">
                <c:v>-541.96319999999992</c:v>
              </c:pt>
              <c:pt idx="1048">
                <c:v>-542.18629999999996</c:v>
              </c:pt>
              <c:pt idx="1049">
                <c:v>-542.40949999999998</c:v>
              </c:pt>
              <c:pt idx="1050">
                <c:v>-542.6336</c:v>
              </c:pt>
              <c:pt idx="1051">
                <c:v>-542.85580000000004</c:v>
              </c:pt>
              <c:pt idx="1052">
                <c:v>-543.0788</c:v>
              </c:pt>
              <c:pt idx="1053">
                <c:v>-543.303</c:v>
              </c:pt>
              <c:pt idx="1054">
                <c:v>-543.52610000000004</c:v>
              </c:pt>
              <c:pt idx="1055">
                <c:v>-543.74810000000002</c:v>
              </c:pt>
              <c:pt idx="1056">
                <c:v>-543.97230000000002</c:v>
              </c:pt>
              <c:pt idx="1057">
                <c:v>-544.19539999999995</c:v>
              </c:pt>
              <c:pt idx="1058">
                <c:v>-544.41849999999999</c:v>
              </c:pt>
              <c:pt idx="1059">
                <c:v>-544.64150000000006</c:v>
              </c:pt>
              <c:pt idx="1060">
                <c:v>-544.8646</c:v>
              </c:pt>
              <c:pt idx="1061">
                <c:v>-545.08769999999993</c:v>
              </c:pt>
              <c:pt idx="1062">
                <c:v>-545.31179999999995</c:v>
              </c:pt>
              <c:pt idx="1063">
                <c:v>-545.53390000000002</c:v>
              </c:pt>
              <c:pt idx="1064">
                <c:v>-545.75700000000006</c:v>
              </c:pt>
              <c:pt idx="1065">
                <c:v>-545.98099999999999</c:v>
              </c:pt>
              <c:pt idx="1066">
                <c:v>-546.20400000000006</c:v>
              </c:pt>
              <c:pt idx="1067">
                <c:v>-546.42619999999999</c:v>
              </c:pt>
              <c:pt idx="1068">
                <c:v>-546.65030000000002</c:v>
              </c:pt>
              <c:pt idx="1069">
                <c:v>-546.87339999999995</c:v>
              </c:pt>
              <c:pt idx="1070">
                <c:v>-547.09649999999999</c:v>
              </c:pt>
              <c:pt idx="1071">
                <c:v>-547.31950000000006</c:v>
              </c:pt>
              <c:pt idx="1072">
                <c:v>-547.54259999999999</c:v>
              </c:pt>
              <c:pt idx="1073">
                <c:v>-547.76569999999992</c:v>
              </c:pt>
              <c:pt idx="1074">
                <c:v>-547.98990000000003</c:v>
              </c:pt>
              <c:pt idx="1075">
                <c:v>-548.21190000000001</c:v>
              </c:pt>
              <c:pt idx="1076">
                <c:v>-548.43489999999997</c:v>
              </c:pt>
              <c:pt idx="1077">
                <c:v>-548.65800000000002</c:v>
              </c:pt>
              <c:pt idx="1078">
                <c:v>-548.88210000000004</c:v>
              </c:pt>
              <c:pt idx="1079">
                <c:v>-549.10410000000002</c:v>
              </c:pt>
              <c:pt idx="1080">
                <c:v>-549.32820000000004</c:v>
              </c:pt>
              <c:pt idx="1081">
                <c:v>-549.55029999999999</c:v>
              </c:pt>
              <c:pt idx="1082">
                <c:v>-549.77440000000001</c:v>
              </c:pt>
              <c:pt idx="1083">
                <c:v>-549.99749999999995</c:v>
              </c:pt>
              <c:pt idx="1084">
                <c:v>-550.22059999999999</c:v>
              </c:pt>
              <c:pt idx="1085">
                <c:v>-550.44269999999995</c:v>
              </c:pt>
              <c:pt idx="1086">
                <c:v>-550.66780000000006</c:v>
              </c:pt>
              <c:pt idx="1087">
                <c:v>-550.88980000000004</c:v>
              </c:pt>
              <c:pt idx="1088">
                <c:v>-551.11289999999997</c:v>
              </c:pt>
              <c:pt idx="1089">
                <c:v>-551.33699999999999</c:v>
              </c:pt>
              <c:pt idx="1090">
                <c:v>-551.56010000000003</c:v>
              </c:pt>
              <c:pt idx="1091">
                <c:v>-551.78210000000001</c:v>
              </c:pt>
              <c:pt idx="1092">
                <c:v>-552.00620000000004</c:v>
              </c:pt>
              <c:pt idx="1093">
                <c:v>-552.23029999999994</c:v>
              </c:pt>
              <c:pt idx="1094">
                <c:v>-552.45229999999992</c:v>
              </c:pt>
              <c:pt idx="1095">
                <c:v>-552.67640000000006</c:v>
              </c:pt>
              <c:pt idx="1096">
                <c:v>-552.89859999999999</c:v>
              </c:pt>
              <c:pt idx="1097">
                <c:v>-553.12270000000001</c:v>
              </c:pt>
              <c:pt idx="1098">
                <c:v>-553.34570000000008</c:v>
              </c:pt>
              <c:pt idx="1099">
                <c:v>-553.56880000000012</c:v>
              </c:pt>
              <c:pt idx="1100">
                <c:v>-553.79090000000008</c:v>
              </c:pt>
              <c:pt idx="1101">
                <c:v>-554.01589999999999</c:v>
              </c:pt>
              <c:pt idx="1102">
                <c:v>-554.23799999999994</c:v>
              </c:pt>
              <c:pt idx="1103">
                <c:v>-554.46109999999999</c:v>
              </c:pt>
              <c:pt idx="1104">
                <c:v>-554.68309999999997</c:v>
              </c:pt>
              <c:pt idx="1105">
                <c:v>-554.90819999999997</c:v>
              </c:pt>
              <c:pt idx="1106">
                <c:v>-555.13029999999992</c:v>
              </c:pt>
              <c:pt idx="1107">
                <c:v>-555.35340000000008</c:v>
              </c:pt>
              <c:pt idx="1108">
                <c:v>-555.57650000000001</c:v>
              </c:pt>
              <c:pt idx="1109">
                <c:v>-555.80060000000003</c:v>
              </c:pt>
              <c:pt idx="1110">
                <c:v>-556.02260000000001</c:v>
              </c:pt>
              <c:pt idx="1111">
                <c:v>-556.24669999999992</c:v>
              </c:pt>
              <c:pt idx="1112">
                <c:v>-556.46879999999999</c:v>
              </c:pt>
              <c:pt idx="1113">
                <c:v>-556.69280000000003</c:v>
              </c:pt>
              <c:pt idx="1114">
                <c:v>-556.91600000000005</c:v>
              </c:pt>
              <c:pt idx="1115">
                <c:v>-557.13909999999998</c:v>
              </c:pt>
              <c:pt idx="1116">
                <c:v>-557.36310000000003</c:v>
              </c:pt>
              <c:pt idx="1117">
                <c:v>-557.58619999999996</c:v>
              </c:pt>
              <c:pt idx="1118">
                <c:v>-557.80930000000001</c:v>
              </c:pt>
              <c:pt idx="1119">
                <c:v>-558.03140000000008</c:v>
              </c:pt>
              <c:pt idx="1120">
                <c:v>-558.25650000000007</c:v>
              </c:pt>
              <c:pt idx="1121">
                <c:v>-558.47850000000005</c:v>
              </c:pt>
              <c:pt idx="1122">
                <c:v>-558.70150000000001</c:v>
              </c:pt>
              <c:pt idx="1123">
                <c:v>-558.92359999999996</c:v>
              </c:pt>
              <c:pt idx="1124">
                <c:v>-559.14869999999996</c:v>
              </c:pt>
              <c:pt idx="1125">
                <c:v>-559.37080000000003</c:v>
              </c:pt>
              <c:pt idx="1126">
                <c:v>-559.59390000000008</c:v>
              </c:pt>
              <c:pt idx="1127">
                <c:v>-559.81790000000001</c:v>
              </c:pt>
              <c:pt idx="1128">
                <c:v>-560.04109999999991</c:v>
              </c:pt>
              <c:pt idx="1129">
                <c:v>-560.26309999999989</c:v>
              </c:pt>
              <c:pt idx="1130">
                <c:v>-560.48720000000003</c:v>
              </c:pt>
              <c:pt idx="1131">
                <c:v>-560.71120000000008</c:v>
              </c:pt>
              <c:pt idx="1132">
                <c:v>-560.93330000000003</c:v>
              </c:pt>
              <c:pt idx="1133">
                <c:v>-561.15740000000005</c:v>
              </c:pt>
              <c:pt idx="1134">
                <c:v>-561.38040000000001</c:v>
              </c:pt>
              <c:pt idx="1135">
                <c:v>-561.60310000000004</c:v>
              </c:pt>
              <c:pt idx="1136">
                <c:v>-561.82539999999995</c:v>
              </c:pt>
              <c:pt idx="1137">
                <c:v>-562.04899999999998</c:v>
              </c:pt>
              <c:pt idx="1138">
                <c:v>-562.27140000000009</c:v>
              </c:pt>
              <c:pt idx="1139">
                <c:v>-562.495</c:v>
              </c:pt>
              <c:pt idx="1140">
                <c:v>-562.71640000000002</c:v>
              </c:pt>
              <c:pt idx="1141">
                <c:v>-562.94100000000003</c:v>
              </c:pt>
              <c:pt idx="1142">
                <c:v>-563.16239999999993</c:v>
              </c:pt>
              <c:pt idx="1143">
                <c:v>-563.38699999999994</c:v>
              </c:pt>
              <c:pt idx="1144">
                <c:v>-563.60839999999996</c:v>
              </c:pt>
              <c:pt idx="1145">
                <c:v>-563.83199999999999</c:v>
              </c:pt>
              <c:pt idx="1146">
                <c:v>-564.05439999999999</c:v>
              </c:pt>
              <c:pt idx="1147">
                <c:v>-564.27800000000002</c:v>
              </c:pt>
              <c:pt idx="1148">
                <c:v>-564.50040000000001</c:v>
              </c:pt>
              <c:pt idx="1149">
                <c:v>-564.72400000000005</c:v>
              </c:pt>
              <c:pt idx="1150">
                <c:v>-564.94640000000004</c:v>
              </c:pt>
              <c:pt idx="1151">
                <c:v>-565.1699000000001</c:v>
              </c:pt>
              <c:pt idx="1152">
                <c:v>-565.39120000000003</c:v>
              </c:pt>
              <c:pt idx="1153">
                <c:v>-565.61189999999999</c:v>
              </c:pt>
              <c:pt idx="1154">
                <c:v>-565.83079999999995</c:v>
              </c:pt>
              <c:pt idx="1155">
                <c:v>-566.048</c:v>
              </c:pt>
              <c:pt idx="1156">
                <c:v>-566.26600000000008</c:v>
              </c:pt>
              <c:pt idx="1157">
                <c:v>-566.4858999999999</c:v>
              </c:pt>
              <c:pt idx="1158">
                <c:v>-566.70399999999995</c:v>
              </c:pt>
              <c:pt idx="1159">
                <c:v>-566.923</c:v>
              </c:pt>
              <c:pt idx="1160">
                <c:v>-567.14089999999999</c:v>
              </c:pt>
              <c:pt idx="1161">
                <c:v>-567.35899999999992</c:v>
              </c:pt>
              <c:pt idx="1162">
                <c:v>-567.577</c:v>
              </c:pt>
              <c:pt idx="1163">
                <c:v>-567.79610000000002</c:v>
              </c:pt>
              <c:pt idx="1164">
                <c:v>-568.0141000000001</c:v>
              </c:pt>
              <c:pt idx="1165">
                <c:v>-568.2331999999999</c:v>
              </c:pt>
              <c:pt idx="1166">
                <c:v>-568.4511</c:v>
              </c:pt>
              <c:pt idx="1167">
                <c:v>-568.66920000000005</c:v>
              </c:pt>
              <c:pt idx="1168">
                <c:v>-568.88819999999998</c:v>
              </c:pt>
              <c:pt idx="1169">
                <c:v>-569.10609999999997</c:v>
              </c:pt>
              <c:pt idx="1170">
                <c:v>-569.32420000000002</c:v>
              </c:pt>
              <c:pt idx="1171">
                <c:v>-569.54319999999996</c:v>
              </c:pt>
              <c:pt idx="1172">
                <c:v>-569.76120000000003</c:v>
              </c:pt>
              <c:pt idx="1173">
                <c:v>-569.98029999999994</c:v>
              </c:pt>
              <c:pt idx="1174">
                <c:v>-570.19830000000002</c:v>
              </c:pt>
              <c:pt idx="1175">
                <c:v>-570.41629999999998</c:v>
              </c:pt>
              <c:pt idx="1176">
                <c:v>-570.63639999999998</c:v>
              </c:pt>
              <c:pt idx="1177">
                <c:v>-570.85329999999999</c:v>
              </c:pt>
              <c:pt idx="1178">
                <c:v>-571.07139999999993</c:v>
              </c:pt>
              <c:pt idx="1179">
                <c:v>-571.2903</c:v>
              </c:pt>
              <c:pt idx="1180">
                <c:v>-571.50840000000005</c:v>
              </c:pt>
              <c:pt idx="1181">
                <c:v>-571.72640000000001</c:v>
              </c:pt>
              <c:pt idx="1182">
                <c:v>-571.94640000000004</c:v>
              </c:pt>
              <c:pt idx="1183">
                <c:v>-572.16449999999998</c:v>
              </c:pt>
              <c:pt idx="1184">
                <c:v>-572.38239999999996</c:v>
              </c:pt>
              <c:pt idx="1185">
                <c:v>-572.60059999999999</c:v>
              </c:pt>
              <c:pt idx="1186">
                <c:v>-572.81849999999997</c:v>
              </c:pt>
              <c:pt idx="1187">
                <c:v>-573.0376</c:v>
              </c:pt>
              <c:pt idx="1188">
                <c:v>-573.25660000000005</c:v>
              </c:pt>
              <c:pt idx="1189">
                <c:v>-573.47460000000001</c:v>
              </c:pt>
              <c:pt idx="1190">
                <c:v>-573.69370000000004</c:v>
              </c:pt>
              <c:pt idx="1191">
                <c:v>-573.91060000000004</c:v>
              </c:pt>
              <c:pt idx="1192">
                <c:v>-574.12869999999998</c:v>
              </c:pt>
              <c:pt idx="1193">
                <c:v>-574.34759999999994</c:v>
              </c:pt>
              <c:pt idx="1194">
                <c:v>-574.56669999999997</c:v>
              </c:pt>
              <c:pt idx="1195">
                <c:v>-574.78570000000002</c:v>
              </c:pt>
              <c:pt idx="1196">
                <c:v>-575.00369999999998</c:v>
              </c:pt>
              <c:pt idx="1197">
                <c:v>-575.22170000000006</c:v>
              </c:pt>
              <c:pt idx="1198">
                <c:v>-575.43970000000002</c:v>
              </c:pt>
              <c:pt idx="1199">
                <c:v>-575.65769999999998</c:v>
              </c:pt>
              <c:pt idx="1200">
                <c:v>-575.8768</c:v>
              </c:pt>
              <c:pt idx="1201">
                <c:v>-576.09580000000005</c:v>
              </c:pt>
              <c:pt idx="1202">
                <c:v>-576.31389999999999</c:v>
              </c:pt>
              <c:pt idx="1203">
                <c:v>-576.53289999999993</c:v>
              </c:pt>
              <c:pt idx="1204">
                <c:v>-576.74990000000003</c:v>
              </c:pt>
              <c:pt idx="1205">
                <c:v>-576.96889999999996</c:v>
              </c:pt>
              <c:pt idx="1206">
                <c:v>-577.1880000000001</c:v>
              </c:pt>
              <c:pt idx="1207">
                <c:v>-577.40589999999997</c:v>
              </c:pt>
              <c:pt idx="1208">
                <c:v>-577.62400000000002</c:v>
              </c:pt>
              <c:pt idx="1209">
                <c:v>-577.84299999999996</c:v>
              </c:pt>
              <c:pt idx="1210">
                <c:v>-578.06100000000004</c:v>
              </c:pt>
              <c:pt idx="1211">
                <c:v>-578.28000000000009</c:v>
              </c:pt>
              <c:pt idx="1212">
                <c:v>-578.49800000000005</c:v>
              </c:pt>
              <c:pt idx="1213">
                <c:v>-578.7161000000001</c:v>
              </c:pt>
              <c:pt idx="1214">
                <c:v>-578.93510000000003</c:v>
              </c:pt>
              <c:pt idx="1215">
                <c:v>-579.15309999999999</c:v>
              </c:pt>
              <c:pt idx="1216">
                <c:v>-579.37210000000005</c:v>
              </c:pt>
              <c:pt idx="1217">
                <c:v>-579.59019999999998</c:v>
              </c:pt>
              <c:pt idx="1218">
                <c:v>-579.80819999999994</c:v>
              </c:pt>
              <c:pt idx="1219">
                <c:v>-580.02710000000002</c:v>
              </c:pt>
              <c:pt idx="1220">
                <c:v>-580.24519999999995</c:v>
              </c:pt>
              <c:pt idx="1221">
                <c:v>-580.46319999999992</c:v>
              </c:pt>
              <c:pt idx="1222">
                <c:v>-580.68330000000003</c:v>
              </c:pt>
              <c:pt idx="1223">
                <c:v>-580.90020000000004</c:v>
              </c:pt>
              <c:pt idx="1224">
                <c:v>-581.11819999999989</c:v>
              </c:pt>
              <c:pt idx="1225">
                <c:v>-581.33729999999991</c:v>
              </c:pt>
              <c:pt idx="1226">
                <c:v>-581.55529999999999</c:v>
              </c:pt>
              <c:pt idx="1227">
                <c:v>-581.77530000000002</c:v>
              </c:pt>
              <c:pt idx="1228">
                <c:v>-581.99329999999998</c:v>
              </c:pt>
              <c:pt idx="1229">
                <c:v>-582.21130000000005</c:v>
              </c:pt>
              <c:pt idx="1230">
                <c:v>-582.42939999999999</c:v>
              </c:pt>
              <c:pt idx="1231">
                <c:v>-582.64329999999995</c:v>
              </c:pt>
              <c:pt idx="1232">
                <c:v>-582.85439999999994</c:v>
              </c:pt>
              <c:pt idx="1233">
                <c:v>-583.06740000000002</c:v>
              </c:pt>
              <c:pt idx="1234">
                <c:v>-583.27919999999995</c:v>
              </c:pt>
              <c:pt idx="1235">
                <c:v>-583.49120000000005</c:v>
              </c:pt>
              <c:pt idx="1236">
                <c:v>-583.70209999999997</c:v>
              </c:pt>
              <c:pt idx="1237">
                <c:v>-583.91409999999996</c:v>
              </c:pt>
              <c:pt idx="1238">
                <c:v>-584.12490000000003</c:v>
              </c:pt>
              <c:pt idx="1239">
                <c:v>-584.33789999999999</c:v>
              </c:pt>
              <c:pt idx="1240">
                <c:v>-584.5498</c:v>
              </c:pt>
              <c:pt idx="1241">
                <c:v>-584.76070000000004</c:v>
              </c:pt>
              <c:pt idx="1242">
                <c:v>-584.97260000000006</c:v>
              </c:pt>
              <c:pt idx="1243">
                <c:v>-585.17899999999997</c:v>
              </c:pt>
              <c:pt idx="1244">
                <c:v>-585.36889999999994</c:v>
              </c:pt>
              <c:pt idx="1245">
                <c:v>-585.56079999999997</c:v>
              </c:pt>
              <c:pt idx="1246">
                <c:v>-585.75170000000003</c:v>
              </c:pt>
              <c:pt idx="1247">
                <c:v>-585.94150000000002</c:v>
              </c:pt>
              <c:pt idx="1248">
                <c:v>-586.12419999999997</c:v>
              </c:pt>
              <c:pt idx="1249">
                <c:v>-586.30409999999995</c:v>
              </c:pt>
              <c:pt idx="1250">
                <c:v>-586.48509999999999</c:v>
              </c:pt>
              <c:pt idx="1251">
                <c:v>-586.66509999999994</c:v>
              </c:pt>
              <c:pt idx="1252">
                <c:v>-586.84590000000003</c:v>
              </c:pt>
              <c:pt idx="1253">
                <c:v>-587.00049999999999</c:v>
              </c:pt>
              <c:pt idx="1254">
                <c:v>-587.14520000000005</c:v>
              </c:pt>
              <c:pt idx="1255">
                <c:v>-587.29110000000003</c:v>
              </c:pt>
              <c:pt idx="1256">
                <c:v>-587.43610000000001</c:v>
              </c:pt>
              <c:pt idx="1257">
                <c:v>-587.5829</c:v>
              </c:pt>
              <c:pt idx="1258">
                <c:v>-587.7278</c:v>
              </c:pt>
              <c:pt idx="1259">
                <c:v>-587.87260000000003</c:v>
              </c:pt>
              <c:pt idx="1260">
                <c:v>-588.01850000000002</c:v>
              </c:pt>
              <c:pt idx="1261">
                <c:v>-588.16339999999991</c:v>
              </c:pt>
              <c:pt idx="1262">
                <c:v>-588.30920000000003</c:v>
              </c:pt>
              <c:pt idx="1263">
                <c:v>-588.45420000000001</c:v>
              </c:pt>
              <c:pt idx="1264">
                <c:v>-588.59909999999991</c:v>
              </c:pt>
              <c:pt idx="1265">
                <c:v>-588.74590000000001</c:v>
              </c:pt>
              <c:pt idx="1266">
                <c:v>-588.89070000000004</c:v>
              </c:pt>
              <c:pt idx="1267">
                <c:v>-589.0367</c:v>
              </c:pt>
              <c:pt idx="1268">
                <c:v>-589.18150000000003</c:v>
              </c:pt>
              <c:pt idx="1269">
                <c:v>-589.32729999999992</c:v>
              </c:pt>
              <c:pt idx="1270">
                <c:v>-589.47230000000002</c:v>
              </c:pt>
              <c:pt idx="1271">
                <c:v>-589.61720000000003</c:v>
              </c:pt>
              <c:pt idx="1272">
                <c:v>-589.76400000000001</c:v>
              </c:pt>
              <c:pt idx="1273">
                <c:v>-589.90890000000002</c:v>
              </c:pt>
              <c:pt idx="1274">
                <c:v>-590.05470000000003</c:v>
              </c:pt>
              <c:pt idx="1275">
                <c:v>-590.19970000000001</c:v>
              </c:pt>
              <c:pt idx="1276">
                <c:v>-590.34449999999993</c:v>
              </c:pt>
              <c:pt idx="1277">
                <c:v>-590.49040000000002</c:v>
              </c:pt>
              <c:pt idx="1278">
                <c:v>-590.63520000000005</c:v>
              </c:pt>
              <c:pt idx="1279">
                <c:v>-590.78210000000001</c:v>
              </c:pt>
              <c:pt idx="1280">
                <c:v>-590.92689999999993</c:v>
              </c:pt>
              <c:pt idx="1281">
                <c:v>-591.07190000000003</c:v>
              </c:pt>
              <c:pt idx="1282">
                <c:v>-591.21769999999992</c:v>
              </c:pt>
              <c:pt idx="1283">
                <c:v>-591.36260000000004</c:v>
              </c:pt>
              <c:pt idx="1284">
                <c:v>-591.50840000000005</c:v>
              </c:pt>
              <c:pt idx="1285">
                <c:v>-591.65340000000003</c:v>
              </c:pt>
              <c:pt idx="1286">
                <c:v>-591.79819999999995</c:v>
              </c:pt>
              <c:pt idx="1287">
                <c:v>-591.94399999999996</c:v>
              </c:pt>
              <c:pt idx="1288">
                <c:v>-592.08280000000002</c:v>
              </c:pt>
              <c:pt idx="1289">
                <c:v>-592.17340000000002</c:v>
              </c:pt>
              <c:pt idx="1290">
                <c:v>-592.26409999999998</c:v>
              </c:pt>
              <c:pt idx="1291">
                <c:v>-592.35569999999996</c:v>
              </c:pt>
              <c:pt idx="1292">
                <c:v>-592.44640000000004</c:v>
              </c:pt>
              <c:pt idx="1293">
                <c:v>-592.5329999999999</c:v>
              </c:pt>
              <c:pt idx="1294">
                <c:v>-592.61270000000002</c:v>
              </c:pt>
              <c:pt idx="1295">
                <c:v>-592.6925</c:v>
              </c:pt>
              <c:pt idx="1296">
                <c:v>-592.77129999999988</c:v>
              </c:pt>
              <c:pt idx="1297">
                <c:v>-592.85109999999997</c:v>
              </c:pt>
              <c:pt idx="1298">
                <c:v>-592.92989999999998</c:v>
              </c:pt>
              <c:pt idx="1299">
                <c:v>-593.00969999999995</c:v>
              </c:pt>
              <c:pt idx="1300">
                <c:v>-593.08950000000004</c:v>
              </c:pt>
              <c:pt idx="1301">
                <c:v>-593.16830000000004</c:v>
              </c:pt>
              <c:pt idx="1302">
                <c:v>-593.24800000000005</c:v>
              </c:pt>
              <c:pt idx="1303">
                <c:v>-593.32780000000002</c:v>
              </c:pt>
              <c:pt idx="1304">
                <c:v>-593.40750000000003</c:v>
              </c:pt>
              <c:pt idx="1305">
                <c:v>-593.4864</c:v>
              </c:pt>
              <c:pt idx="1306">
                <c:v>-593.56619999999998</c:v>
              </c:pt>
              <c:pt idx="1307">
                <c:v>-593.64589999999998</c:v>
              </c:pt>
              <c:pt idx="1308">
                <c:v>-593.7247000000001</c:v>
              </c:pt>
              <c:pt idx="1309">
                <c:v>-593.80439999999999</c:v>
              </c:pt>
              <c:pt idx="1310">
                <c:v>-593.88419999999996</c:v>
              </c:pt>
              <c:pt idx="1311">
                <c:v>-593.96299999999997</c:v>
              </c:pt>
              <c:pt idx="1312">
                <c:v>-594.04270000000008</c:v>
              </c:pt>
              <c:pt idx="1313">
                <c:v>-594.12149999999997</c:v>
              </c:pt>
              <c:pt idx="1314">
                <c:v>-594.20219999999995</c:v>
              </c:pt>
              <c:pt idx="1315">
                <c:v>-594.28109999999992</c:v>
              </c:pt>
              <c:pt idx="1316">
                <c:v>-594.36080000000004</c:v>
              </c:pt>
              <c:pt idx="1317">
                <c:v>-594.44060000000002</c:v>
              </c:pt>
              <c:pt idx="1318">
                <c:v>-594.51829999999995</c:v>
              </c:pt>
              <c:pt idx="1319">
                <c:v>-594.59910000000002</c:v>
              </c:pt>
              <c:pt idx="1320">
                <c:v>-594.67779999999993</c:v>
              </c:pt>
              <c:pt idx="1321">
                <c:v>-594.75759999999991</c:v>
              </c:pt>
              <c:pt idx="1322">
                <c:v>-594.83730000000003</c:v>
              </c:pt>
              <c:pt idx="1323">
                <c:v>-594.91609999999991</c:v>
              </c:pt>
              <c:pt idx="1324">
                <c:v>-594.99580000000003</c:v>
              </c:pt>
              <c:pt idx="1325">
                <c:v>-595.07460000000003</c:v>
              </c:pt>
              <c:pt idx="1326">
                <c:v>-595.15530000000001</c:v>
              </c:pt>
              <c:pt idx="1327">
                <c:v>-595.23410000000001</c:v>
              </c:pt>
              <c:pt idx="1328">
                <c:v>-595.31280000000004</c:v>
              </c:pt>
              <c:pt idx="1329">
                <c:v>-595.39359999999999</c:v>
              </c:pt>
              <c:pt idx="1330">
                <c:v>-595.47130000000004</c:v>
              </c:pt>
              <c:pt idx="1331">
                <c:v>-595.5521</c:v>
              </c:pt>
              <c:pt idx="1332">
                <c:v>-595.63080000000002</c:v>
              </c:pt>
              <c:pt idx="1333">
                <c:v>-595.70960000000002</c:v>
              </c:pt>
              <c:pt idx="1334">
                <c:v>-595.7903</c:v>
              </c:pt>
              <c:pt idx="1335">
                <c:v>-595.86890000000005</c:v>
              </c:pt>
              <c:pt idx="1336">
                <c:v>-595.94969999999989</c:v>
              </c:pt>
              <c:pt idx="1337">
                <c:v>-596.02739999999994</c:v>
              </c:pt>
              <c:pt idx="1338">
                <c:v>-596.10619999999994</c:v>
              </c:pt>
              <c:pt idx="1339">
                <c:v>-596.18690000000004</c:v>
              </c:pt>
              <c:pt idx="1340">
                <c:v>-596.26559999999995</c:v>
              </c:pt>
              <c:pt idx="1341">
                <c:v>-596.34640000000002</c:v>
              </c:pt>
              <c:pt idx="1342">
                <c:v>-596.42510000000004</c:v>
              </c:pt>
              <c:pt idx="1343">
                <c:v>-596.50390000000004</c:v>
              </c:pt>
              <c:pt idx="1344">
                <c:v>-596.58359999999993</c:v>
              </c:pt>
              <c:pt idx="1345">
                <c:v>-596.66219999999998</c:v>
              </c:pt>
              <c:pt idx="1346">
                <c:v>-596.74299999999994</c:v>
              </c:pt>
              <c:pt idx="1347">
                <c:v>-596.82169999999996</c:v>
              </c:pt>
              <c:pt idx="1348">
                <c:v>-596.89940000000001</c:v>
              </c:pt>
              <c:pt idx="1349">
                <c:v>-596.98019999999997</c:v>
              </c:pt>
              <c:pt idx="1350">
                <c:v>-597.05879999999991</c:v>
              </c:pt>
              <c:pt idx="1351">
                <c:v>-597.13729999999998</c:v>
              </c:pt>
              <c:pt idx="1352">
                <c:v>-597.21690000000001</c:v>
              </c:pt>
              <c:pt idx="1353">
                <c:v>-597.29539999999997</c:v>
              </c:pt>
              <c:pt idx="1354">
                <c:v>-597.37400000000002</c:v>
              </c:pt>
              <c:pt idx="1355">
                <c:v>-597.45240000000001</c:v>
              </c:pt>
              <c:pt idx="1356">
                <c:v>-597.53099999999995</c:v>
              </c:pt>
              <c:pt idx="1357">
                <c:v>-597.60950000000003</c:v>
              </c:pt>
              <c:pt idx="1358">
                <c:v>-597.6880000000001</c:v>
              </c:pt>
              <c:pt idx="1359">
                <c:v>-597.76769999999999</c:v>
              </c:pt>
              <c:pt idx="1360">
                <c:v>-597.8451</c:v>
              </c:pt>
              <c:pt idx="1361">
                <c:v>-597.92470000000003</c:v>
              </c:pt>
              <c:pt idx="1362">
                <c:v>-598.00409999999999</c:v>
              </c:pt>
              <c:pt idx="1363">
                <c:v>-598.08169999999996</c:v>
              </c:pt>
              <c:pt idx="1364">
                <c:v>-598.16020000000003</c:v>
              </c:pt>
              <c:pt idx="1365">
                <c:v>-598.2376999999999</c:v>
              </c:pt>
              <c:pt idx="1366">
                <c:v>-598.31830000000002</c:v>
              </c:pt>
              <c:pt idx="1367">
                <c:v>-598.39679999999998</c:v>
              </c:pt>
              <c:pt idx="1368">
                <c:v>-598.47439999999995</c:v>
              </c:pt>
              <c:pt idx="1369">
                <c:v>-598.55279999999993</c:v>
              </c:pt>
              <c:pt idx="1370">
                <c:v>-598.63239999999996</c:v>
              </c:pt>
              <c:pt idx="1371">
                <c:v>-598.71080000000006</c:v>
              </c:pt>
              <c:pt idx="1372">
                <c:v>-598.7894</c:v>
              </c:pt>
              <c:pt idx="1373">
                <c:v>-598.86680000000001</c:v>
              </c:pt>
              <c:pt idx="1374">
                <c:v>-598.94640000000004</c:v>
              </c:pt>
              <c:pt idx="1375">
                <c:v>-599.02589999999998</c:v>
              </c:pt>
              <c:pt idx="1376">
                <c:v>-599.10339999999997</c:v>
              </c:pt>
              <c:pt idx="1377">
                <c:v>-599.1828999999999</c:v>
              </c:pt>
              <c:pt idx="1378">
                <c:v>-599.26139999999998</c:v>
              </c:pt>
              <c:pt idx="1379">
                <c:v>-599.33889999999997</c:v>
              </c:pt>
              <c:pt idx="1380">
                <c:v>-599.41840000000002</c:v>
              </c:pt>
              <c:pt idx="1381">
                <c:v>-599.49789999999996</c:v>
              </c:pt>
              <c:pt idx="1382">
                <c:v>-599.57529999999997</c:v>
              </c:pt>
              <c:pt idx="1383">
                <c:v>-599.65390000000002</c:v>
              </c:pt>
              <c:pt idx="1384">
                <c:v>-599.73230000000001</c:v>
              </c:pt>
              <c:pt idx="1385">
                <c:v>-599.81190000000004</c:v>
              </c:pt>
              <c:pt idx="1386">
                <c:v>-599.8904</c:v>
              </c:pt>
              <c:pt idx="1387">
                <c:v>-599.96789999999999</c:v>
              </c:pt>
              <c:pt idx="1388">
                <c:v>-600.04639999999995</c:v>
              </c:pt>
              <c:pt idx="1389">
                <c:v>-600.1268</c:v>
              </c:pt>
              <c:pt idx="1390">
                <c:v>-600.20440000000008</c:v>
              </c:pt>
              <c:pt idx="1391">
                <c:v>-600.28279999999995</c:v>
              </c:pt>
              <c:pt idx="1392">
                <c:v>-600.3614</c:v>
              </c:pt>
              <c:pt idx="1393">
                <c:v>-600.43979999999999</c:v>
              </c:pt>
              <c:pt idx="1394">
                <c:v>-600.51920000000007</c:v>
              </c:pt>
              <c:pt idx="1395">
                <c:v>-600.59669999999994</c:v>
              </c:pt>
              <c:pt idx="1396">
                <c:v>-600.67619999999999</c:v>
              </c:pt>
              <c:pt idx="1397">
                <c:v>-600.75369999999998</c:v>
              </c:pt>
              <c:pt idx="1398">
                <c:v>-600.83320000000003</c:v>
              </c:pt>
              <c:pt idx="1399">
                <c:v>-600.9117</c:v>
              </c:pt>
              <c:pt idx="1400">
                <c:v>-600.98649999999998</c:v>
              </c:pt>
              <c:pt idx="1401">
                <c:v>-601.05819999999994</c:v>
              </c:pt>
              <c:pt idx="1402">
                <c:v>-601.1268</c:v>
              </c:pt>
              <c:pt idx="1403">
                <c:v>-601.19749999999999</c:v>
              </c:pt>
              <c:pt idx="1404">
                <c:v>-601.26819999999998</c:v>
              </c:pt>
              <c:pt idx="1405">
                <c:v>-601.33680000000004</c:v>
              </c:pt>
              <c:pt idx="1406">
                <c:v>-601.40740000000005</c:v>
              </c:pt>
              <c:pt idx="1407">
                <c:v>-601.47820000000002</c:v>
              </c:pt>
              <c:pt idx="1408">
                <c:v>-601.54769999999996</c:v>
              </c:pt>
              <c:pt idx="1409">
                <c:v>-601.61840000000007</c:v>
              </c:pt>
              <c:pt idx="1410">
                <c:v>-601.68889999999999</c:v>
              </c:pt>
              <c:pt idx="1411">
                <c:v>-601.7577</c:v>
              </c:pt>
              <c:pt idx="1412">
                <c:v>-601.82830000000001</c:v>
              </c:pt>
              <c:pt idx="1413">
                <c:v>-601.89890000000003</c:v>
              </c:pt>
              <c:pt idx="1414">
                <c:v>-601.96760000000006</c:v>
              </c:pt>
              <c:pt idx="1415">
                <c:v>-602.03930000000003</c:v>
              </c:pt>
              <c:pt idx="1416">
                <c:v>-602.10879999999997</c:v>
              </c:pt>
              <c:pt idx="1417">
                <c:v>-602.17849999999999</c:v>
              </c:pt>
              <c:pt idx="1418">
                <c:v>-602.2491</c:v>
              </c:pt>
              <c:pt idx="1419">
                <c:v>-602.31880000000001</c:v>
              </c:pt>
              <c:pt idx="1420">
                <c:v>-602.38840000000005</c:v>
              </c:pt>
              <c:pt idx="1421">
                <c:v>-602.45900000000006</c:v>
              </c:pt>
              <c:pt idx="1422">
                <c:v>-602.52970000000005</c:v>
              </c:pt>
              <c:pt idx="1423">
                <c:v>-602.59929999999997</c:v>
              </c:pt>
              <c:pt idx="1424">
                <c:v>-602.66999999999996</c:v>
              </c:pt>
              <c:pt idx="1425">
                <c:v>-602.73849999999993</c:v>
              </c:pt>
              <c:pt idx="1426">
                <c:v>-602.80920000000003</c:v>
              </c:pt>
              <c:pt idx="1427">
                <c:v>-602.87969999999996</c:v>
              </c:pt>
              <c:pt idx="1428">
                <c:v>-602.94849999999997</c:v>
              </c:pt>
              <c:pt idx="1429">
                <c:v>-603.02</c:v>
              </c:pt>
              <c:pt idx="1430">
                <c:v>-603.08969999999999</c:v>
              </c:pt>
              <c:pt idx="1431">
                <c:v>-603.15930000000003</c:v>
              </c:pt>
              <c:pt idx="1432">
                <c:v>-603.22990000000004</c:v>
              </c:pt>
              <c:pt idx="1433">
                <c:v>-603.29949999999997</c:v>
              </c:pt>
              <c:pt idx="1434">
                <c:v>-603.36920000000009</c:v>
              </c:pt>
              <c:pt idx="1435">
                <c:v>-603.43979999999999</c:v>
              </c:pt>
              <c:pt idx="1436">
                <c:v>-603.51030000000003</c:v>
              </c:pt>
              <c:pt idx="1437">
                <c:v>-603.57999999999993</c:v>
              </c:pt>
              <c:pt idx="1438">
                <c:v>-603.64949999999999</c:v>
              </c:pt>
              <c:pt idx="1439">
                <c:v>-603.7201</c:v>
              </c:pt>
              <c:pt idx="1440">
                <c:v>-603.78970000000004</c:v>
              </c:pt>
              <c:pt idx="1441">
                <c:v>-603.86030000000005</c:v>
              </c:pt>
              <c:pt idx="1442">
                <c:v>-603.9289</c:v>
              </c:pt>
              <c:pt idx="1443">
                <c:v>-604.00060000000008</c:v>
              </c:pt>
              <c:pt idx="1444">
                <c:v>-604.07009999999991</c:v>
              </c:pt>
              <c:pt idx="1445">
                <c:v>-604.13869999999997</c:v>
              </c:pt>
              <c:pt idx="1446">
                <c:v>-604.21029999999996</c:v>
              </c:pt>
              <c:pt idx="1447">
                <c:v>-604.2799</c:v>
              </c:pt>
              <c:pt idx="1448">
                <c:v>-604.34950000000003</c:v>
              </c:pt>
              <c:pt idx="1449">
                <c:v>-604.41999999999996</c:v>
              </c:pt>
              <c:pt idx="1450">
                <c:v>-604.49069999999995</c:v>
              </c:pt>
              <c:pt idx="1451">
                <c:v>-604.55920000000003</c:v>
              </c:pt>
              <c:pt idx="1452">
                <c:v>-604.62970000000007</c:v>
              </c:pt>
              <c:pt idx="1453">
                <c:v>-604.70039999999995</c:v>
              </c:pt>
              <c:pt idx="1454">
                <c:v>-604.76890000000003</c:v>
              </c:pt>
              <c:pt idx="1455">
                <c:v>-604.84050000000002</c:v>
              </c:pt>
              <c:pt idx="1456">
                <c:v>-604.90899999999999</c:v>
              </c:pt>
              <c:pt idx="1457">
                <c:v>-604.97969999999998</c:v>
              </c:pt>
              <c:pt idx="1458">
                <c:v>-605.05020000000002</c:v>
              </c:pt>
              <c:pt idx="1459">
                <c:v>-605.11879999999996</c:v>
              </c:pt>
              <c:pt idx="1460">
                <c:v>-605.19039999999995</c:v>
              </c:pt>
              <c:pt idx="1461">
                <c:v>-605.26</c:v>
              </c:pt>
              <c:pt idx="1462">
                <c:v>-605.32949999999994</c:v>
              </c:pt>
              <c:pt idx="1463">
                <c:v>-605.39300000000003</c:v>
              </c:pt>
              <c:pt idx="1464">
                <c:v>-605.45249999999999</c:v>
              </c:pt>
              <c:pt idx="1465">
                <c:v>-605.51210000000003</c:v>
              </c:pt>
              <c:pt idx="1466">
                <c:v>-605.57169999999996</c:v>
              </c:pt>
              <c:pt idx="1467">
                <c:v>-605.62940000000003</c:v>
              </c:pt>
              <c:pt idx="1468">
                <c:v>-605.68889999999999</c:v>
              </c:pt>
              <c:pt idx="1469">
                <c:v>-605.74849999999992</c:v>
              </c:pt>
              <c:pt idx="1470">
                <c:v>-605.80809999999997</c:v>
              </c:pt>
              <c:pt idx="1471">
                <c:v>-605.86660000000006</c:v>
              </c:pt>
              <c:pt idx="1472">
                <c:v>-605.92420000000004</c:v>
              </c:pt>
              <c:pt idx="1473">
                <c:v>-605.9837</c:v>
              </c:pt>
              <c:pt idx="1474">
                <c:v>-606.04329999999993</c:v>
              </c:pt>
              <c:pt idx="1475">
                <c:v>-606.1028</c:v>
              </c:pt>
              <c:pt idx="1476">
                <c:v>-606.16039999999998</c:v>
              </c:pt>
              <c:pt idx="1477">
                <c:v>-606.21989999999994</c:v>
              </c:pt>
              <c:pt idx="1478">
                <c:v>-606.27849999999989</c:v>
              </c:pt>
              <c:pt idx="1479">
                <c:v>-606.33699999999999</c:v>
              </c:pt>
              <c:pt idx="1480">
                <c:v>-606.39659999999992</c:v>
              </c:pt>
              <c:pt idx="1481">
                <c:v>-606.45500000000004</c:v>
              </c:pt>
              <c:pt idx="1482">
                <c:v>-606.51470000000006</c:v>
              </c:pt>
              <c:pt idx="1483">
                <c:v>-606.57320000000004</c:v>
              </c:pt>
              <c:pt idx="1484">
                <c:v>-606.63080000000002</c:v>
              </c:pt>
              <c:pt idx="1485">
                <c:v>-606.69030000000009</c:v>
              </c:pt>
              <c:pt idx="1486">
                <c:v>-606.74990000000003</c:v>
              </c:pt>
              <c:pt idx="1487">
                <c:v>-606.8094000000001</c:v>
              </c:pt>
              <c:pt idx="1488">
                <c:v>-606.86689999999999</c:v>
              </c:pt>
              <c:pt idx="1489">
                <c:v>-606.92639999999994</c:v>
              </c:pt>
              <c:pt idx="1490">
                <c:v>-606.98500000000013</c:v>
              </c:pt>
              <c:pt idx="1491">
                <c:v>-607.04250000000002</c:v>
              </c:pt>
              <c:pt idx="1492">
                <c:v>-607.10199999999998</c:v>
              </c:pt>
              <c:pt idx="1493">
                <c:v>-607.16160000000002</c:v>
              </c:pt>
              <c:pt idx="1494">
                <c:v>-607.22110000000009</c:v>
              </c:pt>
              <c:pt idx="1495">
                <c:v>-607.27859999999998</c:v>
              </c:pt>
              <c:pt idx="1496">
                <c:v>-607.33710000000008</c:v>
              </c:pt>
              <c:pt idx="1497">
                <c:v>-607.39670000000001</c:v>
              </c:pt>
              <c:pt idx="1498">
                <c:v>-607.45519999999999</c:v>
              </c:pt>
              <c:pt idx="1499">
                <c:v>-607.51470000000006</c:v>
              </c:pt>
              <c:pt idx="1500">
                <c:v>-607.57330000000002</c:v>
              </c:pt>
              <c:pt idx="1501">
                <c:v>-607.63279999999997</c:v>
              </c:pt>
              <c:pt idx="1502">
                <c:v>-607.69130000000007</c:v>
              </c:pt>
              <c:pt idx="1503">
                <c:v>-607.74880000000007</c:v>
              </c:pt>
              <c:pt idx="1504">
                <c:v>-607.80830000000003</c:v>
              </c:pt>
              <c:pt idx="1505">
                <c:v>-607.86689999999999</c:v>
              </c:pt>
              <c:pt idx="1506">
                <c:v>-607.92740000000003</c:v>
              </c:pt>
              <c:pt idx="1507">
                <c:v>-607.98500000000001</c:v>
              </c:pt>
              <c:pt idx="1508">
                <c:v>-608.04340000000002</c:v>
              </c:pt>
              <c:pt idx="1509">
                <c:v>-608.10289999999998</c:v>
              </c:pt>
              <c:pt idx="1510">
                <c:v>-608.16050000000007</c:v>
              </c:pt>
              <c:pt idx="1511">
                <c:v>-608.22</c:v>
              </c:pt>
              <c:pt idx="1512">
                <c:v>-608.27949999999998</c:v>
              </c:pt>
              <c:pt idx="1513">
                <c:v>-608.33799999999997</c:v>
              </c:pt>
              <c:pt idx="1514">
                <c:v>-608.39639999999997</c:v>
              </c:pt>
              <c:pt idx="1515">
                <c:v>-608.45489999999995</c:v>
              </c:pt>
              <c:pt idx="1516">
                <c:v>-608.5145</c:v>
              </c:pt>
              <c:pt idx="1517">
                <c:v>-608.57300000000009</c:v>
              </c:pt>
              <c:pt idx="1518">
                <c:v>-608.63049999999998</c:v>
              </c:pt>
              <c:pt idx="1519">
                <c:v>-608.69110000000001</c:v>
              </c:pt>
              <c:pt idx="1520">
                <c:v>-608.74950000000001</c:v>
              </c:pt>
              <c:pt idx="1521">
                <c:v>-608.80800000000011</c:v>
              </c:pt>
              <c:pt idx="1522">
                <c:v>-608.86640000000011</c:v>
              </c:pt>
              <c:pt idx="1523">
                <c:v>-608.92600000000004</c:v>
              </c:pt>
              <c:pt idx="1524">
                <c:v>-608.98450000000003</c:v>
              </c:pt>
              <c:pt idx="1525">
                <c:v>-609.04200000000014</c:v>
              </c:pt>
              <c:pt idx="1526">
                <c:v>-609.10250000000008</c:v>
              </c:pt>
              <c:pt idx="1527">
                <c:v>-609.16100000000006</c:v>
              </c:pt>
              <c:pt idx="1528">
                <c:v>-609.22040000000004</c:v>
              </c:pt>
              <c:pt idx="1529">
                <c:v>-609.27789999999993</c:v>
              </c:pt>
              <c:pt idx="1530">
                <c:v>-609.3365</c:v>
              </c:pt>
              <c:pt idx="1531">
                <c:v>-609.3959000000001</c:v>
              </c:pt>
              <c:pt idx="1532">
                <c:v>-609.4534000000001</c:v>
              </c:pt>
              <c:pt idx="1533">
                <c:v>-609.51379999999995</c:v>
              </c:pt>
              <c:pt idx="1534">
                <c:v>-609.57240000000002</c:v>
              </c:pt>
              <c:pt idx="1535">
                <c:v>-609.6309</c:v>
              </c:pt>
              <c:pt idx="1536">
                <c:v>-609.6893</c:v>
              </c:pt>
              <c:pt idx="1537">
                <c:v>-609.74779999999998</c:v>
              </c:pt>
              <c:pt idx="1538">
                <c:v>-609.80720000000008</c:v>
              </c:pt>
              <c:pt idx="1539">
                <c:v>-609.86580000000004</c:v>
              </c:pt>
              <c:pt idx="1540">
                <c:v>-609.92430000000002</c:v>
              </c:pt>
              <c:pt idx="1541">
                <c:v>-609.9837</c:v>
              </c:pt>
              <c:pt idx="1542">
                <c:v>-610.04209999999989</c:v>
              </c:pt>
              <c:pt idx="1543">
                <c:v>-610.10059999999999</c:v>
              </c:pt>
              <c:pt idx="1544">
                <c:v>-610.15920000000006</c:v>
              </c:pt>
              <c:pt idx="1545">
                <c:v>-610.21769999999992</c:v>
              </c:pt>
              <c:pt idx="1546">
                <c:v>-610.27700000000004</c:v>
              </c:pt>
              <c:pt idx="1547">
                <c:v>-610.33549999999991</c:v>
              </c:pt>
              <c:pt idx="1548">
                <c:v>-610.3950000000001</c:v>
              </c:pt>
              <c:pt idx="1549">
                <c:v>-610.4534000000001</c:v>
              </c:pt>
              <c:pt idx="1550">
                <c:v>-610.51099999999997</c:v>
              </c:pt>
              <c:pt idx="1551">
                <c:v>-610.57040000000006</c:v>
              </c:pt>
              <c:pt idx="1552">
                <c:v>-610.62879999999996</c:v>
              </c:pt>
              <c:pt idx="1553">
                <c:v>-610.68830000000003</c:v>
              </c:pt>
              <c:pt idx="1554">
                <c:v>-610.74680000000001</c:v>
              </c:pt>
              <c:pt idx="1555">
                <c:v>-610.80510000000004</c:v>
              </c:pt>
              <c:pt idx="1556">
                <c:v>-610.8646</c:v>
              </c:pt>
              <c:pt idx="1557">
                <c:v>-610.92309999999998</c:v>
              </c:pt>
              <c:pt idx="1558">
                <c:v>-610.98160000000007</c:v>
              </c:pt>
              <c:pt idx="1559">
                <c:v>-611.04009999999994</c:v>
              </c:pt>
              <c:pt idx="1560">
                <c:v>-611.09849999999994</c:v>
              </c:pt>
              <c:pt idx="1561">
                <c:v>-611.15689999999995</c:v>
              </c:pt>
              <c:pt idx="1562">
                <c:v>-611.21640000000002</c:v>
              </c:pt>
              <c:pt idx="1563">
                <c:v>-611.2749</c:v>
              </c:pt>
              <c:pt idx="1564">
                <c:v>-611.33420000000001</c:v>
              </c:pt>
              <c:pt idx="1565">
                <c:v>-611.39170000000001</c:v>
              </c:pt>
              <c:pt idx="1566">
                <c:v>-611.4511</c:v>
              </c:pt>
              <c:pt idx="1567">
                <c:v>-611.50959999999998</c:v>
              </c:pt>
              <c:pt idx="1568">
                <c:v>-611.56700000000001</c:v>
              </c:pt>
              <c:pt idx="1569">
                <c:v>-611.62739999999997</c:v>
              </c:pt>
              <c:pt idx="1570">
                <c:v>-611.68590000000006</c:v>
              </c:pt>
              <c:pt idx="1571">
                <c:v>-611.74540000000002</c:v>
              </c:pt>
              <c:pt idx="1572">
                <c:v>-611.80280000000005</c:v>
              </c:pt>
              <c:pt idx="1573">
                <c:v>-611.86119999999994</c:v>
              </c:pt>
              <c:pt idx="1574">
                <c:v>-611.9206999999999</c:v>
              </c:pt>
              <c:pt idx="1575">
                <c:v>-611.97820000000002</c:v>
              </c:pt>
              <c:pt idx="1576">
                <c:v>-612.0376</c:v>
              </c:pt>
              <c:pt idx="1577">
                <c:v>-612.09699999999998</c:v>
              </c:pt>
              <c:pt idx="1578">
                <c:v>-612.15440000000001</c:v>
              </c:pt>
              <c:pt idx="1579">
                <c:v>-612.21389999999997</c:v>
              </c:pt>
              <c:pt idx="1580">
                <c:v>-612.27229999999997</c:v>
              </c:pt>
              <c:pt idx="1581">
                <c:v>-612.33069999999998</c:v>
              </c:pt>
              <c:pt idx="1582">
                <c:v>-612.38909999999998</c:v>
              </c:pt>
              <c:pt idx="1583">
                <c:v>-612.44760000000008</c:v>
              </c:pt>
              <c:pt idx="1584">
                <c:v>-612.50689999999997</c:v>
              </c:pt>
              <c:pt idx="1585">
                <c:v>-612.56539999999995</c:v>
              </c:pt>
              <c:pt idx="1586">
                <c:v>-612.62379999999996</c:v>
              </c:pt>
              <c:pt idx="1587">
                <c:v>-612.68330000000003</c:v>
              </c:pt>
              <c:pt idx="1588">
                <c:v>-612.74149999999997</c:v>
              </c:pt>
              <c:pt idx="1589">
                <c:v>-612.79999999999995</c:v>
              </c:pt>
              <c:pt idx="1590">
                <c:v>-612.85839999999996</c:v>
              </c:pt>
              <c:pt idx="1591">
                <c:v>-612.91689999999994</c:v>
              </c:pt>
              <c:pt idx="1592">
                <c:v>-612.97519999999997</c:v>
              </c:pt>
              <c:pt idx="1593">
                <c:v>-613.03470000000004</c:v>
              </c:pt>
              <c:pt idx="1594">
                <c:v>-613.09310000000005</c:v>
              </c:pt>
              <c:pt idx="1595">
                <c:v>-613.15250000000003</c:v>
              </c:pt>
              <c:pt idx="1596">
                <c:v>-613.20990000000006</c:v>
              </c:pt>
              <c:pt idx="1597">
                <c:v>-613.26929999999993</c:v>
              </c:pt>
              <c:pt idx="1598">
                <c:v>-613.32779999999991</c:v>
              </c:pt>
              <c:pt idx="1599">
                <c:v>-613.38510000000008</c:v>
              </c:pt>
              <c:pt idx="1600">
                <c:v>-613.44460000000004</c:v>
              </c:pt>
              <c:pt idx="1601">
                <c:v>-613.50390000000004</c:v>
              </c:pt>
              <c:pt idx="1602">
                <c:v>-613.56129999999996</c:v>
              </c:pt>
              <c:pt idx="1603">
                <c:v>-613.62069999999994</c:v>
              </c:pt>
              <c:pt idx="1604">
                <c:v>-613.67910000000006</c:v>
              </c:pt>
              <c:pt idx="1605">
                <c:v>-613.73850000000004</c:v>
              </c:pt>
              <c:pt idx="1606">
                <c:v>-613.79599999999994</c:v>
              </c:pt>
              <c:pt idx="1607">
                <c:v>-613.85429999999997</c:v>
              </c:pt>
              <c:pt idx="1608">
                <c:v>-613.91380000000004</c:v>
              </c:pt>
              <c:pt idx="1609">
                <c:v>-613.97209999999995</c:v>
              </c:pt>
              <c:pt idx="1610">
                <c:v>-614.03039999999999</c:v>
              </c:pt>
              <c:pt idx="1611">
                <c:v>-614.08989999999994</c:v>
              </c:pt>
              <c:pt idx="1612">
                <c:v>-614.14729999999997</c:v>
              </c:pt>
              <c:pt idx="1613">
                <c:v>-614.20659999999998</c:v>
              </c:pt>
              <c:pt idx="1614">
                <c:v>-614.26509999999996</c:v>
              </c:pt>
              <c:pt idx="1615">
                <c:v>-614.32339999999999</c:v>
              </c:pt>
              <c:pt idx="1616">
                <c:v>-614.38180000000011</c:v>
              </c:pt>
              <c:pt idx="1617">
                <c:v>-614.44119999999998</c:v>
              </c:pt>
              <c:pt idx="1618">
                <c:v>-614.49959999999999</c:v>
              </c:pt>
              <c:pt idx="1619">
                <c:v>-614.55799999999999</c:v>
              </c:pt>
              <c:pt idx="1620">
                <c:v>-614.61620000000005</c:v>
              </c:pt>
              <c:pt idx="1621">
                <c:v>-614.67570000000001</c:v>
              </c:pt>
              <c:pt idx="1622">
                <c:v>-614.73309999999992</c:v>
              </c:pt>
              <c:pt idx="1623">
                <c:v>-614.79139999999995</c:v>
              </c:pt>
              <c:pt idx="1624">
                <c:v>-614.85079999999994</c:v>
              </c:pt>
              <c:pt idx="1625">
                <c:v>-614.90819999999997</c:v>
              </c:pt>
              <c:pt idx="1626">
                <c:v>-614.96760000000006</c:v>
              </c:pt>
              <c:pt idx="1627">
                <c:v>-615.02689999999996</c:v>
              </c:pt>
              <c:pt idx="1628">
                <c:v>-615.08540000000005</c:v>
              </c:pt>
              <c:pt idx="1629">
                <c:v>-615.14369999999997</c:v>
              </c:pt>
              <c:pt idx="1630">
                <c:v>-615.202</c:v>
              </c:pt>
              <c:pt idx="1631">
                <c:v>-615.2604</c:v>
              </c:pt>
              <c:pt idx="1632">
                <c:v>-615.31880000000001</c:v>
              </c:pt>
              <c:pt idx="1633">
                <c:v>-615.37710000000004</c:v>
              </c:pt>
              <c:pt idx="1634">
                <c:v>-615.43550000000005</c:v>
              </c:pt>
              <c:pt idx="1635">
                <c:v>-615.49490000000003</c:v>
              </c:pt>
              <c:pt idx="1636">
                <c:v>-615.55309999999997</c:v>
              </c:pt>
              <c:pt idx="1637">
                <c:v>-615.61160000000007</c:v>
              </c:pt>
              <c:pt idx="1638">
                <c:v>-615.66999999999996</c:v>
              </c:pt>
              <c:pt idx="1639">
                <c:v>-615.72820000000002</c:v>
              </c:pt>
              <c:pt idx="1640">
                <c:v>-615.7876</c:v>
              </c:pt>
              <c:pt idx="1641">
                <c:v>-615.84610000000009</c:v>
              </c:pt>
              <c:pt idx="1642">
                <c:v>-615.90329999999994</c:v>
              </c:pt>
              <c:pt idx="1643">
                <c:v>-615.96270000000004</c:v>
              </c:pt>
              <c:pt idx="1644">
                <c:v>-616.02210000000002</c:v>
              </c:pt>
              <c:pt idx="1645">
                <c:v>-616.07929999999999</c:v>
              </c:pt>
              <c:pt idx="1646">
                <c:v>-616.13880000000006</c:v>
              </c:pt>
              <c:pt idx="1647">
                <c:v>-616.19720000000007</c:v>
              </c:pt>
              <c:pt idx="1648">
                <c:v>-616.25440000000003</c:v>
              </c:pt>
              <c:pt idx="1649">
                <c:v>-616.31380000000001</c:v>
              </c:pt>
              <c:pt idx="1650">
                <c:v>-616.37220000000002</c:v>
              </c:pt>
              <c:pt idx="1651">
                <c:v>-616.42939999999999</c:v>
              </c:pt>
              <c:pt idx="1652">
                <c:v>-616.48890000000006</c:v>
              </c:pt>
              <c:pt idx="1653">
                <c:v>-616.54729999999995</c:v>
              </c:pt>
              <c:pt idx="1654">
                <c:v>-616.60649999999998</c:v>
              </c:pt>
              <c:pt idx="1655">
                <c:v>-616.66489999999999</c:v>
              </c:pt>
              <c:pt idx="1656">
                <c:v>-616.72319999999991</c:v>
              </c:pt>
              <c:pt idx="1657">
                <c:v>-616.78150000000005</c:v>
              </c:pt>
              <c:pt idx="1658">
                <c:v>-616.83360000000005</c:v>
              </c:pt>
              <c:pt idx="1659">
                <c:v>-616.88660000000004</c:v>
              </c:pt>
              <c:pt idx="1660">
                <c:v>-616.93859999999995</c:v>
              </c:pt>
              <c:pt idx="1661">
                <c:v>-616.99160000000006</c:v>
              </c:pt>
              <c:pt idx="1662">
                <c:v>-617.04460000000006</c:v>
              </c:pt>
              <c:pt idx="1663">
                <c:v>-617.09670000000006</c:v>
              </c:pt>
              <c:pt idx="1664">
                <c:v>-617.14859999999999</c:v>
              </c:pt>
              <c:pt idx="1665">
                <c:v>-617.20180000000005</c:v>
              </c:pt>
              <c:pt idx="1666">
                <c:v>-617.25469999999996</c:v>
              </c:pt>
              <c:pt idx="1667">
                <c:v>-617.30679999999995</c:v>
              </c:pt>
              <c:pt idx="1668">
                <c:v>-617.35970000000009</c:v>
              </c:pt>
              <c:pt idx="1669">
                <c:v>-617.4117</c:v>
              </c:pt>
              <c:pt idx="1670">
                <c:v>-617.46469999999999</c:v>
              </c:pt>
              <c:pt idx="1671">
                <c:v>-617.51779999999997</c:v>
              </c:pt>
              <c:pt idx="1672">
                <c:v>-617.56979999999999</c:v>
              </c:pt>
              <c:pt idx="1673">
                <c:v>-617.62279999999998</c:v>
              </c:pt>
              <c:pt idx="1674">
                <c:v>-617.6748</c:v>
              </c:pt>
              <c:pt idx="1675">
                <c:v>-617.7278</c:v>
              </c:pt>
              <c:pt idx="1676">
                <c:v>-617.78070000000002</c:v>
              </c:pt>
              <c:pt idx="1677">
                <c:v>-617.83279999999991</c:v>
              </c:pt>
              <c:pt idx="1678">
                <c:v>-617.88480000000004</c:v>
              </c:pt>
              <c:pt idx="1679">
                <c:v>-617.93870000000004</c:v>
              </c:pt>
              <c:pt idx="1680">
                <c:v>-617.99080000000004</c:v>
              </c:pt>
              <c:pt idx="1681">
                <c:v>-618.04269999999997</c:v>
              </c:pt>
              <c:pt idx="1682">
                <c:v>-618.09580000000005</c:v>
              </c:pt>
              <c:pt idx="1683">
                <c:v>-618.14769999999987</c:v>
              </c:pt>
              <c:pt idx="1684">
                <c:v>-618.20069999999998</c:v>
              </c:pt>
              <c:pt idx="1685">
                <c:v>-618.21979999999996</c:v>
              </c:pt>
              <c:pt idx="1686">
                <c:v>-618.23900000000003</c:v>
              </c:pt>
              <c:pt idx="1687">
                <c:v>-618.2582000000001</c:v>
              </c:pt>
              <c:pt idx="1688">
                <c:v>-618.27629999999999</c:v>
              </c:pt>
              <c:pt idx="1689">
                <c:v>-618.29450000000008</c:v>
              </c:pt>
              <c:pt idx="1690">
                <c:v>-618.31369999999993</c:v>
              </c:pt>
              <c:pt idx="1691">
                <c:v>-618.33090000000004</c:v>
              </c:pt>
              <c:pt idx="1692">
                <c:v>-618.35010000000011</c:v>
              </c:pt>
              <c:pt idx="1693">
                <c:v>-618.3682</c:v>
              </c:pt>
              <c:pt idx="1694">
                <c:v>-618.38650000000007</c:v>
              </c:pt>
              <c:pt idx="1695">
                <c:v>-618.36289999999997</c:v>
              </c:pt>
              <c:pt idx="1696">
                <c:v>-618.33789999999999</c:v>
              </c:pt>
              <c:pt idx="1697">
                <c:v>-618.31299999999999</c:v>
              </c:pt>
              <c:pt idx="1698">
                <c:v>-618.28909999999996</c:v>
              </c:pt>
              <c:pt idx="1699">
                <c:v>-618.26400000000001</c:v>
              </c:pt>
              <c:pt idx="1700">
                <c:v>-618.24009999999998</c:v>
              </c:pt>
              <c:pt idx="1701">
                <c:v>-618.21440000000007</c:v>
              </c:pt>
              <c:pt idx="1702">
                <c:v>-618.15829999999994</c:v>
              </c:pt>
              <c:pt idx="1703">
                <c:v>-618.10109999999997</c:v>
              </c:pt>
              <c:pt idx="1704">
                <c:v>-618.04599999999994</c:v>
              </c:pt>
              <c:pt idx="1705">
                <c:v>-617.98979999999995</c:v>
              </c:pt>
              <c:pt idx="1706">
                <c:v>-617.93359999999996</c:v>
              </c:pt>
              <c:pt idx="1707">
                <c:v>-617.87850000000003</c:v>
              </c:pt>
              <c:pt idx="1708">
                <c:v>-617.82230000000004</c:v>
              </c:pt>
              <c:pt idx="1709">
                <c:v>-617.76260000000002</c:v>
              </c:pt>
              <c:pt idx="1710">
                <c:v>-617.67370000000005</c:v>
              </c:pt>
              <c:pt idx="1711">
                <c:v>-617.58270000000005</c:v>
              </c:pt>
              <c:pt idx="1712">
                <c:v>-617.49180000000001</c:v>
              </c:pt>
              <c:pt idx="1713">
                <c:v>-617.40089999999998</c:v>
              </c:pt>
              <c:pt idx="1714">
                <c:v>-617.30999999999995</c:v>
              </c:pt>
              <c:pt idx="1715">
                <c:v>-617.21899999999994</c:v>
              </c:pt>
              <c:pt idx="1716">
                <c:v>-617.12900000000002</c:v>
              </c:pt>
              <c:pt idx="1717">
                <c:v>-617.03920000000005</c:v>
              </c:pt>
              <c:pt idx="1718">
                <c:v>-616.94809999999995</c:v>
              </c:pt>
              <c:pt idx="1719">
                <c:v>-616.85730000000001</c:v>
              </c:pt>
              <c:pt idx="1720">
                <c:v>-616.76620000000003</c:v>
              </c:pt>
              <c:pt idx="1721">
                <c:v>-616.67530000000011</c:v>
              </c:pt>
              <c:pt idx="1722">
                <c:v>-616.58429999999998</c:v>
              </c:pt>
              <c:pt idx="1723">
                <c:v>-616.49430000000007</c:v>
              </c:pt>
              <c:pt idx="1724">
                <c:v>-616.40440000000001</c:v>
              </c:pt>
              <c:pt idx="1725">
                <c:v>-616.31330000000003</c:v>
              </c:pt>
              <c:pt idx="1726">
                <c:v>-616.22249999999997</c:v>
              </c:pt>
              <c:pt idx="1727">
                <c:v>-616.13170000000002</c:v>
              </c:pt>
              <c:pt idx="1728">
                <c:v>-616.04089999999997</c:v>
              </c:pt>
              <c:pt idx="1729">
                <c:v>-615.95029999999997</c:v>
              </c:pt>
              <c:pt idx="1730">
                <c:v>-615.85839999999996</c:v>
              </c:pt>
              <c:pt idx="1731">
                <c:v>-615.76769999999999</c:v>
              </c:pt>
              <c:pt idx="1732">
                <c:v>-615.67779999999993</c:v>
              </c:pt>
              <c:pt idx="1733">
                <c:v>-615.58710000000008</c:v>
              </c:pt>
              <c:pt idx="1734">
                <c:v>-615.49620000000004</c:v>
              </c:pt>
              <c:pt idx="1735">
                <c:v>-615.40549999999996</c:v>
              </c:pt>
              <c:pt idx="1736">
                <c:v>-615.31470000000002</c:v>
              </c:pt>
              <c:pt idx="1737">
                <c:v>-615.22289999999998</c:v>
              </c:pt>
              <c:pt idx="1738">
                <c:v>-615.13200000000006</c:v>
              </c:pt>
              <c:pt idx="1739">
                <c:v>-615.04129999999998</c:v>
              </c:pt>
              <c:pt idx="1740">
                <c:v>-614.95040000000006</c:v>
              </c:pt>
              <c:pt idx="1741">
                <c:v>-614.8596</c:v>
              </c:pt>
              <c:pt idx="1742">
                <c:v>-614.76959999999997</c:v>
              </c:pt>
              <c:pt idx="1743">
                <c:v>-614.67790000000002</c:v>
              </c:pt>
              <c:pt idx="1744">
                <c:v>-614.58600000000001</c:v>
              </c:pt>
              <c:pt idx="1745">
                <c:v>-614.49519999999995</c:v>
              </c:pt>
              <c:pt idx="1746">
                <c:v>-614.40430000000003</c:v>
              </c:pt>
              <c:pt idx="1747">
                <c:v>-614.31309999999996</c:v>
              </c:pt>
              <c:pt idx="1748">
                <c:v>-614.22300000000007</c:v>
              </c:pt>
              <c:pt idx="1749">
                <c:v>-614.13</c:v>
              </c:pt>
              <c:pt idx="1750">
                <c:v>-613.95849999999996</c:v>
              </c:pt>
              <c:pt idx="1751">
                <c:v>-613.78809999999999</c:v>
              </c:pt>
              <c:pt idx="1752">
                <c:v>-613.6146</c:v>
              </c:pt>
              <c:pt idx="1753">
                <c:v>-613.44299999999998</c:v>
              </c:pt>
              <c:pt idx="1754">
                <c:v>-613.27250000000004</c:v>
              </c:pt>
              <c:pt idx="1755">
                <c:v>-613.101</c:v>
              </c:pt>
              <c:pt idx="1756">
                <c:v>-612.92939999999999</c:v>
              </c:pt>
              <c:pt idx="1757">
                <c:v>-612.75789999999995</c:v>
              </c:pt>
              <c:pt idx="1758">
                <c:v>-612.57780000000002</c:v>
              </c:pt>
              <c:pt idx="1759">
                <c:v>-612.3472999999999</c:v>
              </c:pt>
              <c:pt idx="1760">
                <c:v>-612.11770000000001</c:v>
              </c:pt>
              <c:pt idx="1761">
                <c:v>-611.88719999999989</c:v>
              </c:pt>
              <c:pt idx="1762">
                <c:v>-611.65759999999989</c:v>
              </c:pt>
              <c:pt idx="1763">
                <c:v>-611.42800000000011</c:v>
              </c:pt>
              <c:pt idx="1764">
                <c:v>-611.19849999999997</c:v>
              </c:pt>
              <c:pt idx="1765">
                <c:v>-610.96690000000001</c:v>
              </c:pt>
              <c:pt idx="1766">
                <c:v>-610.7373</c:v>
              </c:pt>
              <c:pt idx="1767">
                <c:v>-610.5077</c:v>
              </c:pt>
              <c:pt idx="1768">
                <c:v>-610.27610000000004</c:v>
              </c:pt>
              <c:pt idx="1769">
                <c:v>-610.04759999999999</c:v>
              </c:pt>
              <c:pt idx="1770">
                <c:v>-609.81690000000003</c:v>
              </c:pt>
              <c:pt idx="1771">
                <c:v>-609.58640000000003</c:v>
              </c:pt>
              <c:pt idx="1772">
                <c:v>-609.35669999999993</c:v>
              </c:pt>
              <c:pt idx="1773">
                <c:v>-609.09770000000003</c:v>
              </c:pt>
              <c:pt idx="1774">
                <c:v>-608.7663</c:v>
              </c:pt>
              <c:pt idx="1775">
                <c:v>-608.43579999999997</c:v>
              </c:pt>
              <c:pt idx="1776">
                <c:v>-608.10350000000005</c:v>
              </c:pt>
              <c:pt idx="1777">
                <c:v>-607.77209999999991</c:v>
              </c:pt>
              <c:pt idx="1778">
                <c:v>-607.44060000000002</c:v>
              </c:pt>
              <c:pt idx="1779">
                <c:v>-607.10919999999999</c:v>
              </c:pt>
              <c:pt idx="1780">
                <c:v>-606.77760000000001</c:v>
              </c:pt>
              <c:pt idx="1781">
                <c:v>-606.44719999999995</c:v>
              </c:pt>
              <c:pt idx="1782">
                <c:v>-606.11390000000006</c:v>
              </c:pt>
              <c:pt idx="1783">
                <c:v>-605.70969999999988</c:v>
              </c:pt>
              <c:pt idx="1784">
                <c:v>-605.30020000000002</c:v>
              </c:pt>
              <c:pt idx="1785">
                <c:v>-604.88959999999997</c:v>
              </c:pt>
              <c:pt idx="1786">
                <c:v>-604.48099999999999</c:v>
              </c:pt>
              <c:pt idx="1787">
                <c:v>-604.06939999999997</c:v>
              </c:pt>
              <c:pt idx="1788">
                <c:v>-603.66090000000008</c:v>
              </c:pt>
              <c:pt idx="1789">
                <c:v>-603.25130000000001</c:v>
              </c:pt>
              <c:pt idx="1790">
                <c:v>-602.84070000000008</c:v>
              </c:pt>
              <c:pt idx="1791">
                <c:v>-602.43209999999999</c:v>
              </c:pt>
              <c:pt idx="1792">
                <c:v>-602.0204</c:v>
              </c:pt>
              <c:pt idx="1793">
                <c:v>-601.61180000000002</c:v>
              </c:pt>
              <c:pt idx="1794">
                <c:v>-601.20119999999997</c:v>
              </c:pt>
              <c:pt idx="1795">
                <c:v>-600.79160000000002</c:v>
              </c:pt>
              <c:pt idx="1796">
                <c:v>-600.3809</c:v>
              </c:pt>
              <c:pt idx="1797">
                <c:v>-599.97119999999995</c:v>
              </c:pt>
              <c:pt idx="1798">
                <c:v>-599.56060000000002</c:v>
              </c:pt>
              <c:pt idx="1799">
                <c:v>-599.15090000000009</c:v>
              </c:pt>
              <c:pt idx="1800">
                <c:v>-598.74020000000007</c:v>
              </c:pt>
              <c:pt idx="1801">
                <c:v>-598.3306</c:v>
              </c:pt>
              <c:pt idx="1802">
                <c:v>-597.91980000000001</c:v>
              </c:pt>
              <c:pt idx="1803">
                <c:v>-597.51109999999994</c:v>
              </c:pt>
              <c:pt idx="1804">
                <c:v>-597.09940000000006</c:v>
              </c:pt>
              <c:pt idx="1805">
                <c:v>-596.69069999999999</c:v>
              </c:pt>
              <c:pt idx="1806">
                <c:v>-596.27890000000002</c:v>
              </c:pt>
              <c:pt idx="1807">
                <c:v>-595.86920000000009</c:v>
              </c:pt>
              <c:pt idx="1808">
                <c:v>-595.45849999999996</c:v>
              </c:pt>
              <c:pt idx="1809">
                <c:v>-595.04769999999996</c:v>
              </c:pt>
              <c:pt idx="1810">
                <c:v>-594.63800000000003</c:v>
              </c:pt>
              <c:pt idx="1811">
                <c:v>-594.22619999999995</c:v>
              </c:pt>
              <c:pt idx="1812">
                <c:v>-593.81729999999993</c:v>
              </c:pt>
              <c:pt idx="1813">
                <c:v>-593.40559999999994</c:v>
              </c:pt>
              <c:pt idx="1814">
                <c:v>-592.99479999999994</c:v>
              </c:pt>
              <c:pt idx="1815">
                <c:v>-592.58489999999995</c:v>
              </c:pt>
              <c:pt idx="1816">
                <c:v>-592.17420000000004</c:v>
              </c:pt>
              <c:pt idx="1817">
                <c:v>-591.76329999999996</c:v>
              </c:pt>
              <c:pt idx="1818">
                <c:v>-591.35339999999997</c:v>
              </c:pt>
              <c:pt idx="1819">
                <c:v>-590.94169999999997</c:v>
              </c:pt>
              <c:pt idx="1820">
                <c:v>-590.5308</c:v>
              </c:pt>
              <c:pt idx="1821">
                <c:v>-590.12100000000009</c:v>
              </c:pt>
              <c:pt idx="1822">
                <c:v>-589.70910000000003</c:v>
              </c:pt>
              <c:pt idx="1823">
                <c:v>-589.29919999999993</c:v>
              </c:pt>
              <c:pt idx="1824">
                <c:v>-588.88840000000005</c:v>
              </c:pt>
              <c:pt idx="1825">
                <c:v>-588.47649999999999</c:v>
              </c:pt>
              <c:pt idx="1826">
                <c:v>-588.06650000000002</c:v>
              </c:pt>
              <c:pt idx="1827">
                <c:v>-587.65560000000005</c:v>
              </c:pt>
              <c:pt idx="1828">
                <c:v>-587.24369999999999</c:v>
              </c:pt>
              <c:pt idx="1829">
                <c:v>-586.8338</c:v>
              </c:pt>
              <c:pt idx="1830">
                <c:v>-586.42189999999994</c:v>
              </c:pt>
              <c:pt idx="1831">
                <c:v>-586.01100000000008</c:v>
              </c:pt>
              <c:pt idx="1832">
                <c:v>-585.601</c:v>
              </c:pt>
              <c:pt idx="1833">
                <c:v>-585.18899999999996</c:v>
              </c:pt>
              <c:pt idx="1834">
                <c:v>-584.77710000000002</c:v>
              </c:pt>
              <c:pt idx="1835">
                <c:v>-584.36709999999994</c:v>
              </c:pt>
              <c:pt idx="1836">
                <c:v>-583.95609999999999</c:v>
              </c:pt>
              <c:pt idx="1837">
                <c:v>-583.54409999999996</c:v>
              </c:pt>
              <c:pt idx="1838">
                <c:v>-583.13310000000001</c:v>
              </c:pt>
              <c:pt idx="1839">
                <c:v>-582.72109999999998</c:v>
              </c:pt>
              <c:pt idx="1840">
                <c:v>-582.31110000000001</c:v>
              </c:pt>
              <c:pt idx="1841">
                <c:v>-581.89909999999998</c:v>
              </c:pt>
              <c:pt idx="1842">
                <c:v>-581.48800000000006</c:v>
              </c:pt>
              <c:pt idx="1843">
                <c:v>-581.07590000000005</c:v>
              </c:pt>
              <c:pt idx="1844">
                <c:v>-580.66489999999999</c:v>
              </c:pt>
              <c:pt idx="1845">
                <c:v>-580.25289999999995</c:v>
              </c:pt>
              <c:pt idx="1846">
                <c:v>-579.84170000000006</c:v>
              </c:pt>
              <c:pt idx="1847">
                <c:v>-579.4307</c:v>
              </c:pt>
              <c:pt idx="1848">
                <c:v>-579.01869999999997</c:v>
              </c:pt>
              <c:pt idx="1849">
                <c:v>-578.60659999999996</c:v>
              </c:pt>
              <c:pt idx="1850">
                <c:v>-578.19640000000004</c:v>
              </c:pt>
              <c:pt idx="1851">
                <c:v>-577.78430000000003</c:v>
              </c:pt>
              <c:pt idx="1852">
                <c:v>-577.37220000000002</c:v>
              </c:pt>
              <c:pt idx="1853">
                <c:v>-576.96</c:v>
              </c:pt>
              <c:pt idx="1854">
                <c:v>-576.54800000000012</c:v>
              </c:pt>
              <c:pt idx="1855">
                <c:v>-576.13589999999999</c:v>
              </c:pt>
              <c:pt idx="1856">
                <c:v>-575.72559999999999</c:v>
              </c:pt>
              <c:pt idx="1857">
                <c:v>-575.31349999999998</c:v>
              </c:pt>
              <c:pt idx="1858">
                <c:v>-574.90240000000006</c:v>
              </c:pt>
              <c:pt idx="1859">
                <c:v>-574.49009999999998</c:v>
              </c:pt>
              <c:pt idx="1860">
                <c:v>-574.07799999999997</c:v>
              </c:pt>
              <c:pt idx="1861">
                <c:v>-573.66579999999999</c:v>
              </c:pt>
              <c:pt idx="1862">
                <c:v>-573.25360000000001</c:v>
              </c:pt>
              <c:pt idx="1863">
                <c:v>-572.84229999999991</c:v>
              </c:pt>
              <c:pt idx="1864">
                <c:v>-572.42999999999995</c:v>
              </c:pt>
              <c:pt idx="1865">
                <c:v>-572.01890000000003</c:v>
              </c:pt>
              <c:pt idx="1866">
                <c:v>-571.60670000000005</c:v>
              </c:pt>
              <c:pt idx="1867">
                <c:v>-571.1943</c:v>
              </c:pt>
              <c:pt idx="1868">
                <c:v>-570.78219999999999</c:v>
              </c:pt>
              <c:pt idx="1869">
                <c:v>-570.36990000000003</c:v>
              </c:pt>
              <c:pt idx="1870">
                <c:v>-569.95760000000007</c:v>
              </c:pt>
              <c:pt idx="1871">
                <c:v>-569.54430000000002</c:v>
              </c:pt>
              <c:pt idx="1872">
                <c:v>-569.13199999999995</c:v>
              </c:pt>
              <c:pt idx="1873">
                <c:v>-568.71969999999988</c:v>
              </c:pt>
              <c:pt idx="1874">
                <c:v>-568.30840000000001</c:v>
              </c:pt>
              <c:pt idx="1875">
                <c:v>-567.89609999999993</c:v>
              </c:pt>
              <c:pt idx="1876">
                <c:v>-567.41600000000005</c:v>
              </c:pt>
              <c:pt idx="1877">
                <c:v>-566.87739999999997</c:v>
              </c:pt>
              <c:pt idx="1878">
                <c:v>-566.28030000000001</c:v>
              </c:pt>
              <c:pt idx="1879">
                <c:v>-565.64919999999995</c:v>
              </c:pt>
              <c:pt idx="1880">
                <c:v>-564.99549999999999</c:v>
              </c:pt>
              <c:pt idx="1881">
                <c:v>-564.28769999999997</c:v>
              </c:pt>
              <c:pt idx="1882">
                <c:v>-563.57380000000001</c:v>
              </c:pt>
              <c:pt idx="1883">
                <c:v>-562.86189999999999</c:v>
              </c:pt>
              <c:pt idx="1884">
                <c:v>-562.14909999999998</c:v>
              </c:pt>
              <c:pt idx="1885">
                <c:v>-561.43719999999996</c:v>
              </c:pt>
              <c:pt idx="1886">
                <c:v>-560.72429999999997</c:v>
              </c:pt>
              <c:pt idx="1887">
                <c:v>-560.01030000000003</c:v>
              </c:pt>
              <c:pt idx="1888">
                <c:v>-559.29840000000002</c:v>
              </c:pt>
              <c:pt idx="1889">
                <c:v>-558.58529999999996</c:v>
              </c:pt>
              <c:pt idx="1890">
                <c:v>-557.87139999999999</c:v>
              </c:pt>
              <c:pt idx="1891">
                <c:v>-557.15940000000001</c:v>
              </c:pt>
              <c:pt idx="1892">
                <c:v>-556.44629999999995</c:v>
              </c:pt>
              <c:pt idx="1893">
                <c:v>-555.73239999999998</c:v>
              </c:pt>
              <c:pt idx="1894">
                <c:v>-555.0204</c:v>
              </c:pt>
              <c:pt idx="1895">
                <c:v>-554.30629999999996</c:v>
              </c:pt>
              <c:pt idx="1896">
                <c:v>-553.59320000000002</c:v>
              </c:pt>
              <c:pt idx="1897">
                <c:v>-552.87920000000008</c:v>
              </c:pt>
              <c:pt idx="1898">
                <c:v>-552.16700000000003</c:v>
              </c:pt>
              <c:pt idx="1899">
                <c:v>-551.4529</c:v>
              </c:pt>
              <c:pt idx="1900">
                <c:v>-550.7396</c:v>
              </c:pt>
              <c:pt idx="1901">
                <c:v>-550.02559999999994</c:v>
              </c:pt>
              <c:pt idx="1902">
                <c:v>-549.31240000000003</c:v>
              </c:pt>
              <c:pt idx="1903">
                <c:v>-548.59819999999991</c:v>
              </c:pt>
              <c:pt idx="1904">
                <c:v>-547.88499999999999</c:v>
              </c:pt>
              <c:pt idx="1905">
                <c:v>-547.16980000000001</c:v>
              </c:pt>
              <c:pt idx="1906">
                <c:v>-546.45659999999998</c:v>
              </c:pt>
              <c:pt idx="1907">
                <c:v>-545.7423</c:v>
              </c:pt>
              <c:pt idx="1908">
                <c:v>-545.02859999999998</c:v>
              </c:pt>
              <c:pt idx="1909">
                <c:v>-544.31380000000001</c:v>
              </c:pt>
              <c:pt idx="1910">
                <c:v>-543.60079999999994</c:v>
              </c:pt>
              <c:pt idx="1911">
                <c:v>-542.88589999999999</c:v>
              </c:pt>
              <c:pt idx="1912">
                <c:v>-542.17089999999996</c:v>
              </c:pt>
              <c:pt idx="1913">
                <c:v>-541.45800000000008</c:v>
              </c:pt>
              <c:pt idx="1914">
                <c:v>-540.74289999999996</c:v>
              </c:pt>
              <c:pt idx="1915">
                <c:v>-540.02790000000005</c:v>
              </c:pt>
              <c:pt idx="1916">
                <c:v>-539.31269999999995</c:v>
              </c:pt>
              <c:pt idx="1917">
                <c:v>-538.59960000000001</c:v>
              </c:pt>
              <c:pt idx="1918">
                <c:v>-537.8845</c:v>
              </c:pt>
              <c:pt idx="1919">
                <c:v>-537.1694</c:v>
              </c:pt>
              <c:pt idx="1920">
                <c:v>-536.45420000000001</c:v>
              </c:pt>
              <c:pt idx="1921">
                <c:v>-535.73990000000003</c:v>
              </c:pt>
              <c:pt idx="1922">
                <c:v>-535.02560000000005</c:v>
              </c:pt>
              <c:pt idx="1923">
                <c:v>-534.31039999999996</c:v>
              </c:pt>
              <c:pt idx="1924">
                <c:v>-533.59500000000003</c:v>
              </c:pt>
              <c:pt idx="1925">
                <c:v>-532.87959999999998</c:v>
              </c:pt>
              <c:pt idx="1926">
                <c:v>-532.16539999999998</c:v>
              </c:pt>
              <c:pt idx="1927">
                <c:v>-531.44979999999998</c:v>
              </c:pt>
              <c:pt idx="1928">
                <c:v>-530.73440000000005</c:v>
              </c:pt>
              <c:pt idx="1929">
                <c:v>-530.01890000000003</c:v>
              </c:pt>
              <c:pt idx="1930">
                <c:v>-529.30340000000001</c:v>
              </c:pt>
              <c:pt idx="1931">
                <c:v>-528.58780000000002</c:v>
              </c:pt>
              <c:pt idx="1932">
                <c:v>-527.8723</c:v>
              </c:pt>
              <c:pt idx="1933">
                <c:v>-527.15660000000003</c:v>
              </c:pt>
              <c:pt idx="1934">
                <c:v>-526.44090000000006</c:v>
              </c:pt>
              <c:pt idx="1935">
                <c:v>-525.72519999999997</c:v>
              </c:pt>
              <c:pt idx="1936">
                <c:v>-525.00959999999986</c:v>
              </c:pt>
              <c:pt idx="1937">
                <c:v>-524.29390000000001</c:v>
              </c:pt>
              <c:pt idx="1938">
                <c:v>-523.57809999999995</c:v>
              </c:pt>
              <c:pt idx="1939">
                <c:v>-522.86239999999998</c:v>
              </c:pt>
              <c:pt idx="1940">
                <c:v>-522.14650000000006</c:v>
              </c:pt>
              <c:pt idx="1941">
                <c:v>-521.43060000000003</c:v>
              </c:pt>
              <c:pt idx="1942">
                <c:v>-520.71469999999999</c:v>
              </c:pt>
              <c:pt idx="1943">
                <c:v>-519.9976999999999</c:v>
              </c:pt>
              <c:pt idx="1944">
                <c:v>-519.28189999999995</c:v>
              </c:pt>
              <c:pt idx="1945">
                <c:v>-518.56479999999999</c:v>
              </c:pt>
              <c:pt idx="1946">
                <c:v>-517.84879999999998</c:v>
              </c:pt>
              <c:pt idx="1947">
                <c:v>-517.13280000000009</c:v>
              </c:pt>
              <c:pt idx="1948">
                <c:v>-516.41579999999999</c:v>
              </c:pt>
              <c:pt idx="1949">
                <c:v>-515.69970000000001</c:v>
              </c:pt>
              <c:pt idx="1950">
                <c:v>-514.98359999999991</c:v>
              </c:pt>
              <c:pt idx="1951">
                <c:v>-514.26629999999989</c:v>
              </c:pt>
              <c:pt idx="1952">
                <c:v>-513.54920000000004</c:v>
              </c:pt>
              <c:pt idx="1953">
                <c:v>-512.8329</c:v>
              </c:pt>
              <c:pt idx="1954">
                <c:v>-512.11659999999995</c:v>
              </c:pt>
              <c:pt idx="1955">
                <c:v>-511.39839999999992</c:v>
              </c:pt>
              <c:pt idx="1956">
                <c:v>-510.68200000000002</c:v>
              </c:pt>
              <c:pt idx="1957">
                <c:v>-509.96559999999999</c:v>
              </c:pt>
              <c:pt idx="1958">
                <c:v>-509.24739999999997</c:v>
              </c:pt>
              <c:pt idx="1959">
                <c:v>-508.5308</c:v>
              </c:pt>
              <c:pt idx="1960">
                <c:v>-507.81439999999998</c:v>
              </c:pt>
              <c:pt idx="1961">
                <c:v>-507.096</c:v>
              </c:pt>
              <c:pt idx="1962">
                <c:v>-506.37939999999998</c:v>
              </c:pt>
              <c:pt idx="1963">
                <c:v>-505.66089999999997</c:v>
              </c:pt>
              <c:pt idx="1964">
                <c:v>-504.94420000000002</c:v>
              </c:pt>
              <c:pt idx="1965">
                <c:v>-504.22670000000005</c:v>
              </c:pt>
              <c:pt idx="1966">
                <c:v>-503.50900000000001</c:v>
              </c:pt>
              <c:pt idx="1967">
                <c:v>-502.79140000000007</c:v>
              </c:pt>
              <c:pt idx="1968">
                <c:v>-502.07380000000001</c:v>
              </c:pt>
              <c:pt idx="1969">
                <c:v>-501.35599999999999</c:v>
              </c:pt>
              <c:pt idx="1970">
                <c:v>-500.63809999999995</c:v>
              </c:pt>
              <c:pt idx="1971">
                <c:v>-499.92040000000003</c:v>
              </c:pt>
              <c:pt idx="1972">
                <c:v>-499.20159999999998</c:v>
              </c:pt>
              <c:pt idx="1973">
                <c:v>-498.48469999999998</c:v>
              </c:pt>
              <c:pt idx="1974">
                <c:v>-497.76590000000004</c:v>
              </c:pt>
              <c:pt idx="1975">
                <c:v>-497.04789999999997</c:v>
              </c:pt>
              <c:pt idx="1976">
                <c:v>-496.32990000000001</c:v>
              </c:pt>
              <c:pt idx="1977">
                <c:v>-495.61099999999999</c:v>
              </c:pt>
              <c:pt idx="1978">
                <c:v>-494.89400000000006</c:v>
              </c:pt>
              <c:pt idx="1979">
                <c:v>-494.17490000000004</c:v>
              </c:pt>
              <c:pt idx="1980">
                <c:v>-493.45580000000001</c:v>
              </c:pt>
              <c:pt idx="1981">
                <c:v>-492.73870000000005</c:v>
              </c:pt>
              <c:pt idx="1982">
                <c:v>-492.0197</c:v>
              </c:pt>
              <c:pt idx="1983">
                <c:v>-491.30050000000006</c:v>
              </c:pt>
              <c:pt idx="1984">
                <c:v>-490.5822</c:v>
              </c:pt>
              <c:pt idx="1985">
                <c:v>-489.86399999999998</c:v>
              </c:pt>
              <c:pt idx="1986">
                <c:v>-489.14480000000003</c:v>
              </c:pt>
              <c:pt idx="1987">
                <c:v>-488.42550000000006</c:v>
              </c:pt>
              <c:pt idx="1988">
                <c:v>-487.70709999999997</c:v>
              </c:pt>
              <c:pt idx="1989">
                <c:v>-486.98779999999999</c:v>
              </c:pt>
              <c:pt idx="1990">
                <c:v>-486.26839999999999</c:v>
              </c:pt>
              <c:pt idx="1991">
                <c:v>-485.54989999999998</c:v>
              </c:pt>
              <c:pt idx="1992">
                <c:v>-484.8306</c:v>
              </c:pt>
              <c:pt idx="1993">
                <c:v>-484.11110000000002</c:v>
              </c:pt>
              <c:pt idx="1994">
                <c:v>-483.39249999999998</c:v>
              </c:pt>
              <c:pt idx="1995">
                <c:v>-482.673</c:v>
              </c:pt>
              <c:pt idx="1996">
                <c:v>-481.95339999999999</c:v>
              </c:pt>
              <c:pt idx="1997">
                <c:v>-481.23379999999997</c:v>
              </c:pt>
              <c:pt idx="1998">
                <c:v>-480.51419999999996</c:v>
              </c:pt>
              <c:pt idx="1999">
                <c:v>-479.7944</c:v>
              </c:pt>
              <c:pt idx="2000">
                <c:v>-479.07470000000001</c:v>
              </c:pt>
              <c:pt idx="2001">
                <c:v>-478.35500000000002</c:v>
              </c:pt>
              <c:pt idx="2002">
                <c:v>-477.63530000000003</c:v>
              </c:pt>
              <c:pt idx="2003">
                <c:v>-476.91549999999995</c:v>
              </c:pt>
              <c:pt idx="2004">
                <c:v>-476.19569999999999</c:v>
              </c:pt>
              <c:pt idx="2005">
                <c:v>-475.47589999999997</c:v>
              </c:pt>
              <c:pt idx="2006">
                <c:v>-474.7559</c:v>
              </c:pt>
              <c:pt idx="2007">
                <c:v>-474.03610000000003</c:v>
              </c:pt>
              <c:pt idx="2008">
                <c:v>-473.31600000000003</c:v>
              </c:pt>
              <c:pt idx="2009">
                <c:v>-472.5951</c:v>
              </c:pt>
              <c:pt idx="2010">
                <c:v>-471.875</c:v>
              </c:pt>
              <c:pt idx="2011">
                <c:v>-471.15509999999995</c:v>
              </c:pt>
              <c:pt idx="2012">
                <c:v>-470.43389999999999</c:v>
              </c:pt>
              <c:pt idx="2013">
                <c:v>-469.71390000000002</c:v>
              </c:pt>
              <c:pt idx="2014">
                <c:v>-468.99369999999999</c:v>
              </c:pt>
              <c:pt idx="2015">
                <c:v>-468.27260000000001</c:v>
              </c:pt>
              <c:pt idx="2016">
                <c:v>-467.5523</c:v>
              </c:pt>
              <c:pt idx="2017">
                <c:v>-466.83210000000003</c:v>
              </c:pt>
              <c:pt idx="2018">
                <c:v>-466.11090000000002</c:v>
              </c:pt>
              <c:pt idx="2019">
                <c:v>-465.38950000000006</c:v>
              </c:pt>
              <c:pt idx="2020">
                <c:v>-464.66919999999993</c:v>
              </c:pt>
              <c:pt idx="2021">
                <c:v>-463.94889999999998</c:v>
              </c:pt>
              <c:pt idx="2022">
                <c:v>-463.22640000000001</c:v>
              </c:pt>
              <c:pt idx="2023">
                <c:v>-462.50599999999997</c:v>
              </c:pt>
              <c:pt idx="2024">
                <c:v>-461.78550000000001</c:v>
              </c:pt>
              <c:pt idx="2025">
                <c:v>-461.06319999999999</c:v>
              </c:pt>
              <c:pt idx="2026">
                <c:v>-460.34269999999998</c:v>
              </c:pt>
              <c:pt idx="2027">
                <c:v>-459.62100000000004</c:v>
              </c:pt>
              <c:pt idx="2028">
                <c:v>-458.89949999999999</c:v>
              </c:pt>
              <c:pt idx="2029">
                <c:v>-458.17879999999997</c:v>
              </c:pt>
              <c:pt idx="2030">
                <c:v>-457.4572</c:v>
              </c:pt>
              <c:pt idx="2031">
                <c:v>-456.73559999999998</c:v>
              </c:pt>
              <c:pt idx="2032">
                <c:v>-456.0138</c:v>
              </c:pt>
              <c:pt idx="2033">
                <c:v>-455.29210000000006</c:v>
              </c:pt>
              <c:pt idx="2034">
                <c:v>-454.57029999999997</c:v>
              </c:pt>
              <c:pt idx="2035">
                <c:v>-453.84850000000006</c:v>
              </c:pt>
              <c:pt idx="2036">
                <c:v>-453.12659999999994</c:v>
              </c:pt>
              <c:pt idx="2037">
                <c:v>-452.40479999999997</c:v>
              </c:pt>
              <c:pt idx="2038">
                <c:v>-451.68290000000002</c:v>
              </c:pt>
              <c:pt idx="2039">
                <c:v>-450.96000000000004</c:v>
              </c:pt>
              <c:pt idx="2040">
                <c:v>-450.23899999999998</c:v>
              </c:pt>
              <c:pt idx="2041">
                <c:v>-449.51610000000005</c:v>
              </c:pt>
              <c:pt idx="2042">
                <c:v>-448.79499999999996</c:v>
              </c:pt>
              <c:pt idx="2043">
                <c:v>-448.07190000000003</c:v>
              </c:pt>
              <c:pt idx="2044">
                <c:v>-447.34889999999996</c:v>
              </c:pt>
              <c:pt idx="2045">
                <c:v>-446.62789999999995</c:v>
              </c:pt>
              <c:pt idx="2046">
                <c:v>-445.90469999999999</c:v>
              </c:pt>
              <c:pt idx="2047">
                <c:v>-445.18139999999994</c:v>
              </c:pt>
              <c:pt idx="2048">
                <c:v>-444.46025000000003</c:v>
              </c:pt>
              <c:pt idx="2049">
                <c:v>-443.73707999999993</c:v>
              </c:pt>
              <c:pt idx="2050">
                <c:v>-443.01371000000006</c:v>
              </c:pt>
              <c:pt idx="2051">
                <c:v>-442.29145000000005</c:v>
              </c:pt>
              <c:pt idx="2052">
                <c:v>-441.56908000000004</c:v>
              </c:pt>
              <c:pt idx="2053">
                <c:v>-440.84572000000003</c:v>
              </c:pt>
              <c:pt idx="2054">
                <c:v>-440.12226000000004</c:v>
              </c:pt>
              <c:pt idx="2055">
                <c:v>-439.4</c:v>
              </c:pt>
              <c:pt idx="2056">
                <c:v>-438.67644999999999</c:v>
              </c:pt>
              <c:pt idx="2057">
                <c:v>-437.95289000000002</c:v>
              </c:pt>
              <c:pt idx="2058">
                <c:v>-437.23033999999996</c:v>
              </c:pt>
              <c:pt idx="2059">
                <c:v>-436.50678999999997</c:v>
              </c:pt>
              <c:pt idx="2060">
                <c:v>-435.78424000000001</c:v>
              </c:pt>
              <c:pt idx="2061">
                <c:v>-435.06060000000002</c:v>
              </c:pt>
              <c:pt idx="2062">
                <c:v>-434.33696000000003</c:v>
              </c:pt>
              <c:pt idx="2063">
                <c:v>-433.61341000000004</c:v>
              </c:pt>
              <c:pt idx="2064">
                <c:v>-432.88958000000008</c:v>
              </c:pt>
              <c:pt idx="2065">
                <c:v>-432.16593999999998</c:v>
              </c:pt>
              <c:pt idx="2066">
                <c:v>-431.44209999999998</c:v>
              </c:pt>
              <c:pt idx="2067">
                <c:v>-430.71826999999996</c:v>
              </c:pt>
              <c:pt idx="2068">
                <c:v>-429.99444</c:v>
              </c:pt>
              <c:pt idx="2069">
                <c:v>-429.27061000000003</c:v>
              </c:pt>
              <c:pt idx="2070">
                <c:v>-428.54669000000001</c:v>
              </c:pt>
              <c:pt idx="2071">
                <c:v>-427.82275999999996</c:v>
              </c:pt>
              <c:pt idx="2072">
                <c:v>-427.09874000000002</c:v>
              </c:pt>
              <c:pt idx="2073">
                <c:v>-426.37482</c:v>
              </c:pt>
              <c:pt idx="2074">
                <c:v>-425.65069999999997</c:v>
              </c:pt>
              <c:pt idx="2075">
                <c:v>-424.92669000000001</c:v>
              </c:pt>
              <c:pt idx="2076">
                <c:v>-424.20158000000004</c:v>
              </c:pt>
              <c:pt idx="2077">
                <c:v>-423.47736000000003</c:v>
              </c:pt>
              <c:pt idx="2078">
                <c:v>-422.75325999999995</c:v>
              </c:pt>
              <c:pt idx="2079">
                <c:v>-422.02914999999996</c:v>
              </c:pt>
              <c:pt idx="2080">
                <c:v>-421.30394000000001</c:v>
              </c:pt>
              <c:pt idx="2081">
                <c:v>-420.57873999999993</c:v>
              </c:pt>
              <c:pt idx="2082">
                <c:v>-419.85443999999995</c:v>
              </c:pt>
              <c:pt idx="2083">
                <c:v>-419.12993999999998</c:v>
              </c:pt>
              <c:pt idx="2084">
                <c:v>-418.40564999999998</c:v>
              </c:pt>
              <c:pt idx="2085">
                <c:v>-417.67935</c:v>
              </c:pt>
              <c:pt idx="2086">
                <c:v>-416.95486</c:v>
              </c:pt>
              <c:pt idx="2087">
                <c:v>-416.23047000000008</c:v>
              </c:pt>
              <c:pt idx="2088">
                <c:v>-415.50599</c:v>
              </c:pt>
              <c:pt idx="2089">
                <c:v>-414.77940000000001</c:v>
              </c:pt>
              <c:pt idx="2090">
                <c:v>-414.05502000000001</c:v>
              </c:pt>
              <c:pt idx="2091">
                <c:v>-413.33044000000001</c:v>
              </c:pt>
              <c:pt idx="2092">
                <c:v>-412.60386000000005</c:v>
              </c:pt>
              <c:pt idx="2093">
                <c:v>-411.87918000000002</c:v>
              </c:pt>
              <c:pt idx="2094">
                <c:v>-411.15341000000001</c:v>
              </c:pt>
              <c:pt idx="2095">
                <c:v>-410.42782999999997</c:v>
              </c:pt>
              <c:pt idx="2096">
                <c:v>-409.70306000000005</c:v>
              </c:pt>
              <c:pt idx="2097">
                <c:v>-408.97630000000004</c:v>
              </c:pt>
              <c:pt idx="2098">
                <c:v>-408.25153</c:v>
              </c:pt>
              <c:pt idx="2099">
                <c:v>-407.52566999999999</c:v>
              </c:pt>
              <c:pt idx="2100">
                <c:v>-406.79980999999998</c:v>
              </c:pt>
              <c:pt idx="2101">
                <c:v>-406.07395000000002</c:v>
              </c:pt>
              <c:pt idx="2102">
                <c:v>-405.34809000000001</c:v>
              </c:pt>
              <c:pt idx="2103">
                <c:v>-404.62212999999997</c:v>
              </c:pt>
              <c:pt idx="2104">
                <c:v>-403.89517999999993</c:v>
              </c:pt>
              <c:pt idx="2105">
                <c:v>-403.17012999999997</c:v>
              </c:pt>
              <c:pt idx="2106">
                <c:v>-402.44298000000003</c:v>
              </c:pt>
              <c:pt idx="2107">
                <c:v>-401.71804000000003</c:v>
              </c:pt>
              <c:pt idx="2108">
                <c:v>-400.99088999999998</c:v>
              </c:pt>
              <c:pt idx="2109">
                <c:v>-400.26375000000002</c:v>
              </c:pt>
              <c:pt idx="2110">
                <c:v>-399.53851000000003</c:v>
              </c:pt>
              <c:pt idx="2111">
                <c:v>-398.81137000000001</c:v>
              </c:pt>
              <c:pt idx="2112">
                <c:v>-398.08514000000002</c:v>
              </c:pt>
              <c:pt idx="2113">
                <c:v>-397.35879999999997</c:v>
              </c:pt>
              <c:pt idx="2114">
                <c:v>-396.63147000000004</c:v>
              </c:pt>
              <c:pt idx="2115">
                <c:v>-395.90523999999999</c:v>
              </c:pt>
              <c:pt idx="2116">
                <c:v>-395.17892000000001</c:v>
              </c:pt>
              <c:pt idx="2117">
                <c:v>-394.45159000000001</c:v>
              </c:pt>
              <c:pt idx="2118">
                <c:v>-393.72396999999995</c:v>
              </c:pt>
              <c:pt idx="2119">
                <c:v>-392.99765000000002</c:v>
              </c:pt>
              <c:pt idx="2120">
                <c:v>-392.27002999999996</c:v>
              </c:pt>
              <c:pt idx="2121">
                <c:v>-391.54362000000003</c:v>
              </c:pt>
              <c:pt idx="2122">
                <c:v>-390.81599999999997</c:v>
              </c:pt>
              <c:pt idx="2123">
                <c:v>-390.08949000000001</c:v>
              </c:pt>
              <c:pt idx="2124">
                <c:v>-389.36187999999993</c:v>
              </c:pt>
              <c:pt idx="2125">
                <c:v>-388.63418000000001</c:v>
              </c:pt>
              <c:pt idx="2126">
                <c:v>-387.90646999999996</c:v>
              </c:pt>
              <c:pt idx="2127">
                <c:v>-387.17876999999999</c:v>
              </c:pt>
              <c:pt idx="2128">
                <c:v>-386.45157</c:v>
              </c:pt>
              <c:pt idx="2129">
                <c:v>-385.72386999999998</c:v>
              </c:pt>
              <c:pt idx="2130">
                <c:v>-384.99717000000004</c:v>
              </c:pt>
              <c:pt idx="2131">
                <c:v>-384.26927999999998</c:v>
              </c:pt>
              <c:pt idx="2132">
                <c:v>-383.54149000000001</c:v>
              </c:pt>
              <c:pt idx="2133">
                <c:v>-382.81350000000003</c:v>
              </c:pt>
              <c:pt idx="2134">
                <c:v>-382.08560999999997</c:v>
              </c:pt>
              <c:pt idx="2135">
                <c:v>-381.35762</c:v>
              </c:pt>
              <c:pt idx="2136">
                <c:v>-380.62954000000002</c:v>
              </c:pt>
              <c:pt idx="2137">
                <c:v>-379.90145999999999</c:v>
              </c:pt>
              <c:pt idx="2138">
                <c:v>-379.17338000000007</c:v>
              </c:pt>
              <c:pt idx="2139">
                <c:v>-378.44511</c:v>
              </c:pt>
              <c:pt idx="2140">
                <c:v>-377.71702999999997</c:v>
              </c:pt>
              <c:pt idx="2141">
                <c:v>-376.98866000000004</c:v>
              </c:pt>
              <c:pt idx="2142">
                <c:v>-376.26038999999997</c:v>
              </c:pt>
              <c:pt idx="2143">
                <c:v>-375.53092000000004</c:v>
              </c:pt>
              <c:pt idx="2144">
                <c:v>-374.80266000000006</c:v>
              </c:pt>
              <c:pt idx="2145">
                <c:v>-374.07409000000001</c:v>
              </c:pt>
              <c:pt idx="2146">
                <c:v>-373.34563000000003</c:v>
              </c:pt>
              <c:pt idx="2147">
                <c:v>-372.61707000000001</c:v>
              </c:pt>
              <c:pt idx="2148">
                <c:v>-371.88842</c:v>
              </c:pt>
              <c:pt idx="2149">
                <c:v>-371.15876000000003</c:v>
              </c:pt>
              <c:pt idx="2150">
                <c:v>-370.43001000000004</c:v>
              </c:pt>
              <c:pt idx="2151">
                <c:v>-369.70135999999997</c:v>
              </c:pt>
              <c:pt idx="2152">
                <c:v>-368.97240999999997</c:v>
              </c:pt>
              <c:pt idx="2153">
                <c:v>-368.24376000000001</c:v>
              </c:pt>
              <c:pt idx="2154">
                <c:v>-367.51382000000007</c:v>
              </c:pt>
              <c:pt idx="2155">
                <c:v>-366.78487999999993</c:v>
              </c:pt>
              <c:pt idx="2156">
                <c:v>-366.05584000000005</c:v>
              </c:pt>
              <c:pt idx="2157">
                <c:v>-365.32589999999999</c:v>
              </c:pt>
              <c:pt idx="2158">
                <c:v>-364.59676999999999</c:v>
              </c:pt>
              <c:pt idx="2159">
                <c:v>-363.86753999999996</c:v>
              </c:pt>
              <c:pt idx="2160">
                <c:v>-363.13751000000002</c:v>
              </c:pt>
              <c:pt idx="2161">
                <c:v>-362.40818000000002</c:v>
              </c:pt>
              <c:pt idx="2162">
                <c:v>-361.67895000000004</c:v>
              </c:pt>
              <c:pt idx="2163">
                <c:v>-360.94873000000007</c:v>
              </c:pt>
              <c:pt idx="2164">
                <c:v>-360.21931000000001</c:v>
              </c:pt>
              <c:pt idx="2165">
                <c:v>-359.48898999999994</c:v>
              </c:pt>
              <c:pt idx="2166">
                <c:v>-358.75947000000002</c:v>
              </c:pt>
              <c:pt idx="2167">
                <c:v>-358.02896000000004</c:v>
              </c:pt>
              <c:pt idx="2168">
                <c:v>-357.29944</c:v>
              </c:pt>
              <c:pt idx="2169">
                <c:v>-356.56882999999999</c:v>
              </c:pt>
              <c:pt idx="2170">
                <c:v>-355.83922000000001</c:v>
              </c:pt>
              <c:pt idx="2171">
                <c:v>-355.10852000000006</c:v>
              </c:pt>
              <c:pt idx="2172">
                <c:v>-354.37851000000001</c:v>
              </c:pt>
              <c:pt idx="2173">
                <c:v>-353.64810999999997</c:v>
              </c:pt>
              <c:pt idx="2174">
                <c:v>-352.91781000000003</c:v>
              </c:pt>
              <c:pt idx="2175">
                <c:v>-352.18732000000006</c:v>
              </c:pt>
              <c:pt idx="2176">
                <c:v>-351.45681999999999</c:v>
              </c:pt>
              <c:pt idx="2177">
                <c:v>-350.72622999999999</c:v>
              </c:pt>
              <c:pt idx="2178">
                <c:v>-349.99749999999995</c:v>
              </c:pt>
              <c:pt idx="2179">
                <c:v>-349.39168000000001</c:v>
              </c:pt>
              <c:pt idx="2180">
                <c:v>-348.80423000000002</c:v>
              </c:pt>
              <c:pt idx="2181">
                <c:v>-348.30640999999997</c:v>
              </c:pt>
              <c:pt idx="2182">
                <c:v>-347.80849000000001</c:v>
              </c:pt>
              <c:pt idx="2183">
                <c:v>-347.31057000000004</c:v>
              </c:pt>
              <c:pt idx="2184">
                <c:v>-346.81265000000002</c:v>
              </c:pt>
              <c:pt idx="2185">
                <c:v>-346.31462999999997</c:v>
              </c:pt>
              <c:pt idx="2186">
                <c:v>-345.81671999999998</c:v>
              </c:pt>
              <c:pt idx="2187">
                <c:v>-345.47719000000001</c:v>
              </c:pt>
              <c:pt idx="2188">
                <c:v>-345.20448000000005</c:v>
              </c:pt>
              <c:pt idx="2189">
                <c:v>-345.05759999999998</c:v>
              </c:pt>
              <c:pt idx="2190">
                <c:v>-344.91073</c:v>
              </c:pt>
              <c:pt idx="2191">
                <c:v>-344.76386000000002</c:v>
              </c:pt>
              <c:pt idx="2192">
                <c:v>-344.61689000000001</c:v>
              </c:pt>
              <c:pt idx="2193">
                <c:v>-344.47001</c:v>
              </c:pt>
              <c:pt idx="2194">
                <c:v>-344.32324000000006</c:v>
              </c:pt>
              <c:pt idx="2195">
                <c:v>-344.17646999999999</c:v>
              </c:pt>
              <c:pt idx="2196">
                <c:v>-344.02940000000001</c:v>
              </c:pt>
              <c:pt idx="2197">
                <c:v>-343.88263000000001</c:v>
              </c:pt>
              <c:pt idx="2198">
                <c:v>-343.73566</c:v>
              </c:pt>
              <c:pt idx="2199">
                <c:v>-343.62967000000003</c:v>
              </c:pt>
              <c:pt idx="2200">
                <c:v>-343.60014999999999</c:v>
              </c:pt>
              <c:pt idx="2201">
                <c:v>-343.57071999999999</c:v>
              </c:pt>
              <c:pt idx="2202">
                <c:v>-343.54109000000005</c:v>
              </c:pt>
              <c:pt idx="2203">
                <c:v>-343.51166000000001</c:v>
              </c:pt>
              <c:pt idx="2204">
                <c:v>-343.48203999999998</c:v>
              </c:pt>
              <c:pt idx="2205">
                <c:v>-343.45251000000002</c:v>
              </c:pt>
              <c:pt idx="2206">
                <c:v>-343.42298</c:v>
              </c:pt>
              <c:pt idx="2207">
                <c:v>-343.39335</c:v>
              </c:pt>
              <c:pt idx="2208">
                <c:v>-343.36392999999998</c:v>
              </c:pt>
              <c:pt idx="2209">
                <c:v>-343.33429999999998</c:v>
              </c:pt>
              <c:pt idx="2210">
                <c:v>-343.30486999999994</c:v>
              </c:pt>
              <c:pt idx="2211">
                <c:v>-343.27524</c:v>
              </c:pt>
              <c:pt idx="2212">
                <c:v>-343.24572000000001</c:v>
              </c:pt>
              <c:pt idx="2213">
                <c:v>-343.21628999999996</c:v>
              </c:pt>
              <c:pt idx="2214">
                <c:v>-343.18675999999994</c:v>
              </c:pt>
              <c:pt idx="2215">
                <c:v>-343.15723000000003</c:v>
              </c:pt>
              <c:pt idx="2216">
                <c:v>-343.12751000000003</c:v>
              </c:pt>
              <c:pt idx="2217">
                <c:v>-343.09807999999998</c:v>
              </c:pt>
              <c:pt idx="2218">
                <c:v>-343.06855000000002</c:v>
              </c:pt>
              <c:pt idx="2219">
                <c:v>-343.03903000000003</c:v>
              </c:pt>
              <c:pt idx="2220">
                <c:v>-343.00940000000003</c:v>
              </c:pt>
              <c:pt idx="2221">
                <c:v>-342.97987000000001</c:v>
              </c:pt>
              <c:pt idx="2222">
                <c:v>-342.95034999999996</c:v>
              </c:pt>
              <c:pt idx="2223">
                <c:v>-342.92091999999997</c:v>
              </c:pt>
              <c:pt idx="2224">
                <c:v>-342.89148999999998</c:v>
              </c:pt>
              <c:pt idx="2225">
                <c:v>-342.86177000000004</c:v>
              </c:pt>
              <c:pt idx="2226">
                <c:v>-342.83234000000004</c:v>
              </c:pt>
              <c:pt idx="2227">
                <c:v>-342.80261000000002</c:v>
              </c:pt>
              <c:pt idx="2228">
                <c:v>-342.77319</c:v>
              </c:pt>
              <c:pt idx="2229">
                <c:v>-342.74355999999995</c:v>
              </c:pt>
              <c:pt idx="2230">
                <c:v>-342.71413000000001</c:v>
              </c:pt>
              <c:pt idx="2231">
                <c:v>-342.68461000000002</c:v>
              </c:pt>
              <c:pt idx="2232">
                <c:v>-342.65508</c:v>
              </c:pt>
              <c:pt idx="2233">
                <c:v>-342.62564999999995</c:v>
              </c:pt>
              <c:pt idx="2234">
                <c:v>-342.59592999999995</c:v>
              </c:pt>
              <c:pt idx="2235">
                <c:v>-342.56640000000004</c:v>
              </c:pt>
              <c:pt idx="2236">
                <c:v>-342.53687000000002</c:v>
              </c:pt>
              <c:pt idx="2237">
                <c:v>-342.50745000000001</c:v>
              </c:pt>
              <c:pt idx="2238">
                <c:v>-342.47771999999998</c:v>
              </c:pt>
              <c:pt idx="2239">
                <c:v>-342.44828999999999</c:v>
              </c:pt>
              <c:pt idx="2240">
                <c:v>-342.41876999999999</c:v>
              </c:pt>
              <c:pt idx="2241">
                <c:v>-342.38923999999997</c:v>
              </c:pt>
              <c:pt idx="2242">
                <c:v>-342.35971999999998</c:v>
              </c:pt>
              <c:pt idx="2243">
                <c:v>-342.33019000000002</c:v>
              </c:pt>
              <c:pt idx="2244">
                <c:v>-342.30055999999996</c:v>
              </c:pt>
              <c:pt idx="2245">
                <c:v>-342.27103999999997</c:v>
              </c:pt>
              <c:pt idx="2246">
                <c:v>-342.24161000000004</c:v>
              </c:pt>
              <c:pt idx="2247">
                <c:v>-342.21199000000001</c:v>
              </c:pt>
              <c:pt idx="2248">
                <c:v>-342.18256000000002</c:v>
              </c:pt>
              <c:pt idx="2249">
                <c:v>-342.15282999999999</c:v>
              </c:pt>
              <c:pt idx="2250">
                <c:v>-342.12341000000004</c:v>
              </c:pt>
              <c:pt idx="2251">
                <c:v>-342.09388000000001</c:v>
              </c:pt>
              <c:pt idx="2252">
                <c:v>-342.06435999999997</c:v>
              </c:pt>
              <c:pt idx="2253">
                <c:v>-342.03493000000003</c:v>
              </c:pt>
              <c:pt idx="2254">
                <c:v>-342.00529999999998</c:v>
              </c:pt>
              <c:pt idx="2255">
                <c:v>-341.97577999999999</c:v>
              </c:pt>
              <c:pt idx="2256">
                <c:v>-341.94604999999996</c:v>
              </c:pt>
              <c:pt idx="2257">
                <c:v>-341.91663</c:v>
              </c:pt>
              <c:pt idx="2258">
                <c:v>-341.88710000000003</c:v>
              </c:pt>
              <c:pt idx="2259">
                <c:v>-341.85768000000002</c:v>
              </c:pt>
              <c:pt idx="2260">
                <c:v>-341.82805000000002</c:v>
              </c:pt>
              <c:pt idx="2261">
                <c:v>-341.79852999999997</c:v>
              </c:pt>
              <c:pt idx="2262">
                <c:v>-341.76900000000001</c:v>
              </c:pt>
              <c:pt idx="2263">
                <c:v>-341.73937000000001</c:v>
              </c:pt>
              <c:pt idx="2264">
                <c:v>-341.70994999999999</c:v>
              </c:pt>
              <c:pt idx="2265">
                <c:v>-341.68032000000005</c:v>
              </c:pt>
              <c:pt idx="2266">
                <c:v>-341.65090000000004</c:v>
              </c:pt>
              <c:pt idx="2267">
                <c:v>-341.62126999999998</c:v>
              </c:pt>
              <c:pt idx="2268">
                <c:v>-341.59185000000002</c:v>
              </c:pt>
              <c:pt idx="2269">
                <c:v>-341.56221999999997</c:v>
              </c:pt>
              <c:pt idx="2270">
                <c:v>-341.53269999999998</c:v>
              </c:pt>
              <c:pt idx="2271">
                <c:v>-341.50317000000001</c:v>
              </c:pt>
              <c:pt idx="2272">
                <c:v>-341.47354999999999</c:v>
              </c:pt>
              <c:pt idx="2273">
                <c:v>-341.44401999999997</c:v>
              </c:pt>
              <c:pt idx="2274">
                <c:v>-341.41449999999998</c:v>
              </c:pt>
              <c:pt idx="2275">
                <c:v>-341.38507000000004</c:v>
              </c:pt>
              <c:pt idx="2276">
                <c:v>-341.35555000000005</c:v>
              </c:pt>
              <c:pt idx="2277">
                <c:v>-341.32601999999997</c:v>
              </c:pt>
              <c:pt idx="2278">
                <c:v>-341.29629999999997</c:v>
              </c:pt>
              <c:pt idx="2279">
                <c:v>-341.26686999999998</c:v>
              </c:pt>
              <c:pt idx="2280">
                <c:v>-341.23734999999999</c:v>
              </c:pt>
              <c:pt idx="2281">
                <c:v>-341.20782000000003</c:v>
              </c:pt>
              <c:pt idx="2282">
                <c:v>-341.17830000000004</c:v>
              </c:pt>
              <c:pt idx="2283">
                <c:v>-341.14877000000001</c:v>
              </c:pt>
              <c:pt idx="2284">
                <c:v>-341.11914999999999</c:v>
              </c:pt>
              <c:pt idx="2285">
                <c:v>-341.08961999999997</c:v>
              </c:pt>
              <c:pt idx="2286">
                <c:v>-341.06009999999998</c:v>
              </c:pt>
              <c:pt idx="2287">
                <c:v>-341.03056999999995</c:v>
              </c:pt>
              <c:pt idx="2288">
                <c:v>-341.00115000000005</c:v>
              </c:pt>
              <c:pt idx="2289">
                <c:v>-340.97153000000003</c:v>
              </c:pt>
              <c:pt idx="2290">
                <c:v>-340.94209999999998</c:v>
              </c:pt>
              <c:pt idx="2291">
                <c:v>-340.91228000000001</c:v>
              </c:pt>
              <c:pt idx="2292">
                <c:v>-340.88285000000002</c:v>
              </c:pt>
              <c:pt idx="2293">
                <c:v>-340.85343</c:v>
              </c:pt>
              <c:pt idx="2294">
                <c:v>-340.82390000000004</c:v>
              </c:pt>
              <c:pt idx="2295">
                <c:v>-340.79428000000001</c:v>
              </c:pt>
              <c:pt idx="2296">
                <c:v>-340.76474999999999</c:v>
              </c:pt>
              <c:pt idx="2297">
                <c:v>-340.73533000000003</c:v>
              </c:pt>
              <c:pt idx="2298">
                <c:v>-340.70570999999995</c:v>
              </c:pt>
              <c:pt idx="2299">
                <c:v>-340.67617999999999</c:v>
              </c:pt>
              <c:pt idx="2300">
                <c:v>-340.64656000000002</c:v>
              </c:pt>
              <c:pt idx="2301">
                <c:v>-340.61703</c:v>
              </c:pt>
              <c:pt idx="2302">
                <c:v>-340.58760999999998</c:v>
              </c:pt>
              <c:pt idx="2303">
                <c:v>-340.55808999999999</c:v>
              </c:pt>
              <c:pt idx="2304">
                <c:v>-340.52855999999997</c:v>
              </c:pt>
              <c:pt idx="2305">
                <c:v>-340.49893999999995</c:v>
              </c:pt>
              <c:pt idx="2306">
                <c:v>-340.46951000000001</c:v>
              </c:pt>
              <c:pt idx="2307">
                <c:v>-340.43989000000005</c:v>
              </c:pt>
              <c:pt idx="2308">
                <c:v>-340.41037</c:v>
              </c:pt>
              <c:pt idx="2309">
                <c:v>-340.38074</c:v>
              </c:pt>
              <c:pt idx="2310">
                <c:v>-340.35131999999999</c:v>
              </c:pt>
              <c:pt idx="2311">
                <c:v>-340.32189</c:v>
              </c:pt>
              <c:pt idx="2312">
                <c:v>-340.29206999999997</c:v>
              </c:pt>
              <c:pt idx="2313">
                <c:v>-340.26265000000001</c:v>
              </c:pt>
              <c:pt idx="2314">
                <c:v>-340.23311999999999</c:v>
              </c:pt>
              <c:pt idx="2315">
                <c:v>-340.20369999999997</c:v>
              </c:pt>
              <c:pt idx="2316">
                <c:v>-340.17408</c:v>
              </c:pt>
              <c:pt idx="2317">
                <c:v>-340.14465000000001</c:v>
              </c:pt>
              <c:pt idx="2318">
                <c:v>-340.11483000000004</c:v>
              </c:pt>
              <c:pt idx="2319">
                <c:v>-340.08540999999997</c:v>
              </c:pt>
              <c:pt idx="2320">
                <c:v>-340.05588</c:v>
              </c:pt>
              <c:pt idx="2321">
                <c:v>-340.02636000000001</c:v>
              </c:pt>
              <c:pt idx="2322">
                <c:v>-339.99694</c:v>
              </c:pt>
              <c:pt idx="2323">
                <c:v>-339.96741000000003</c:v>
              </c:pt>
              <c:pt idx="2324">
                <c:v>-339.93788999999998</c:v>
              </c:pt>
              <c:pt idx="2325">
                <c:v>-339.90816999999998</c:v>
              </c:pt>
              <c:pt idx="2326">
                <c:v>-339.87873999999999</c:v>
              </c:pt>
              <c:pt idx="2327">
                <c:v>-339.84911999999997</c:v>
              </c:pt>
              <c:pt idx="2328">
                <c:v>-339.81970000000001</c:v>
              </c:pt>
              <c:pt idx="2329">
                <c:v>-339.79007000000001</c:v>
              </c:pt>
              <c:pt idx="2330">
                <c:v>-339.76055000000002</c:v>
              </c:pt>
              <c:pt idx="2331">
                <c:v>-339.73113000000001</c:v>
              </c:pt>
              <c:pt idx="2332">
                <c:v>-339.70150000000001</c:v>
              </c:pt>
              <c:pt idx="2333">
                <c:v>-339.67198000000002</c:v>
              </c:pt>
              <c:pt idx="2334">
                <c:v>-339.64245999999997</c:v>
              </c:pt>
              <c:pt idx="2335">
                <c:v>-339.61293999999998</c:v>
              </c:pt>
              <c:pt idx="2336">
                <c:v>-339.58330999999998</c:v>
              </c:pt>
              <c:pt idx="2337">
                <c:v>-339.55379000000005</c:v>
              </c:pt>
              <c:pt idx="2338">
                <c:v>-339.52427</c:v>
              </c:pt>
              <c:pt idx="2339">
                <c:v>-339.49473999999998</c:v>
              </c:pt>
              <c:pt idx="2340">
                <c:v>-339.46532000000002</c:v>
              </c:pt>
              <c:pt idx="2341">
                <c:v>-339.43559999999997</c:v>
              </c:pt>
              <c:pt idx="2342">
                <c:v>-339.40618000000006</c:v>
              </c:pt>
              <c:pt idx="2343">
                <c:v>-339.37664999999998</c:v>
              </c:pt>
              <c:pt idx="2344">
                <c:v>-339.34722999999997</c:v>
              </c:pt>
              <c:pt idx="2345">
                <c:v>-339.31741</c:v>
              </c:pt>
              <c:pt idx="2346">
                <c:v>-339.28789</c:v>
              </c:pt>
              <c:pt idx="2347">
                <c:v>-339.25835999999998</c:v>
              </c:pt>
              <c:pt idx="2348">
                <c:v>-339.22894000000002</c:v>
              </c:pt>
              <c:pt idx="2349">
                <c:v>-339.19942000000003</c:v>
              </c:pt>
              <c:pt idx="2350">
                <c:v>-339.16990000000004</c:v>
              </c:pt>
              <c:pt idx="2351">
                <c:v>-339.14046999999999</c:v>
              </c:pt>
              <c:pt idx="2352">
                <c:v>-339.11074999999994</c:v>
              </c:pt>
              <c:pt idx="2353">
                <c:v>-339.08123000000001</c:v>
              </c:pt>
              <c:pt idx="2354">
                <c:v>-339.05160999999998</c:v>
              </c:pt>
              <c:pt idx="2355">
                <c:v>-339.02217999999999</c:v>
              </c:pt>
              <c:pt idx="2356">
                <c:v>-338.99266</c:v>
              </c:pt>
              <c:pt idx="2357">
                <c:v>-338.96323999999998</c:v>
              </c:pt>
              <c:pt idx="2358">
                <c:v>-338.93351999999999</c:v>
              </c:pt>
              <c:pt idx="2359">
                <c:v>-338.904</c:v>
              </c:pt>
              <c:pt idx="2360">
                <c:v>-338.87457000000006</c:v>
              </c:pt>
              <c:pt idx="2361">
                <c:v>-338.84505000000001</c:v>
              </c:pt>
              <c:pt idx="2362">
                <c:v>-338.81543000000005</c:v>
              </c:pt>
              <c:pt idx="2363">
                <c:v>-338.78591</c:v>
              </c:pt>
              <c:pt idx="2364">
                <c:v>-338.75639000000001</c:v>
              </c:pt>
              <c:pt idx="2365">
                <c:v>-338.72676000000001</c:v>
              </c:pt>
              <c:pt idx="2366">
                <c:v>-338.69723999999997</c:v>
              </c:pt>
              <c:pt idx="2367">
                <c:v>-338.66782000000006</c:v>
              </c:pt>
              <c:pt idx="2368">
                <c:v>-338.63830000000002</c:v>
              </c:pt>
              <c:pt idx="2369">
                <c:v>-338.60877999999997</c:v>
              </c:pt>
              <c:pt idx="2370">
                <c:v>-338.57916</c:v>
              </c:pt>
              <c:pt idx="2371">
                <c:v>-338.54953</c:v>
              </c:pt>
              <c:pt idx="2372">
                <c:v>-338.52000999999996</c:v>
              </c:pt>
              <c:pt idx="2373">
                <c:v>-338.49059</c:v>
              </c:pt>
              <c:pt idx="2374">
                <c:v>-338.46097000000003</c:v>
              </c:pt>
              <c:pt idx="2375">
                <c:v>-338.43144999999998</c:v>
              </c:pt>
              <c:pt idx="2376">
                <c:v>-338.40203000000002</c:v>
              </c:pt>
              <c:pt idx="2377">
                <c:v>-338.3725</c:v>
              </c:pt>
              <c:pt idx="2378">
                <c:v>-338.34287999999998</c:v>
              </c:pt>
              <c:pt idx="2379">
                <c:v>-338.31335999999999</c:v>
              </c:pt>
              <c:pt idx="2380">
                <c:v>-338.28384000000005</c:v>
              </c:pt>
              <c:pt idx="2381">
                <c:v>-338.25422000000003</c:v>
              </c:pt>
              <c:pt idx="2382">
                <c:v>-338.22469999999998</c:v>
              </c:pt>
              <c:pt idx="2383">
                <c:v>-338.19517999999999</c:v>
              </c:pt>
              <c:pt idx="2384">
                <c:v>-338.16566</c:v>
              </c:pt>
              <c:pt idx="2385">
                <c:v>-338.13623000000001</c:v>
              </c:pt>
              <c:pt idx="2386">
                <c:v>-338.10650999999996</c:v>
              </c:pt>
              <c:pt idx="2387">
                <c:v>-338.07709000000006</c:v>
              </c:pt>
              <c:pt idx="2388">
                <c:v>-338.04747000000003</c:v>
              </c:pt>
              <c:pt idx="2389">
                <c:v>-338.01804999999996</c:v>
              </c:pt>
              <c:pt idx="2390">
                <c:v>-337.98842999999999</c:v>
              </c:pt>
              <c:pt idx="2391">
                <c:v>-337.95890999999995</c:v>
              </c:pt>
              <c:pt idx="2392">
                <c:v>-337.92929000000004</c:v>
              </c:pt>
              <c:pt idx="2393">
                <c:v>-337.89987000000002</c:v>
              </c:pt>
              <c:pt idx="2394">
                <c:v>-337.87035000000003</c:v>
              </c:pt>
              <c:pt idx="2395">
                <c:v>-337.84082000000001</c:v>
              </c:pt>
              <c:pt idx="2396">
                <c:v>-337.81139999999999</c:v>
              </c:pt>
              <c:pt idx="2397">
                <c:v>-337.78167999999999</c:v>
              </c:pt>
              <c:pt idx="2398">
                <c:v>-337.75206000000003</c:v>
              </c:pt>
              <c:pt idx="2399">
                <c:v>-337.72254000000004</c:v>
              </c:pt>
              <c:pt idx="2400">
                <c:v>-337.69312000000002</c:v>
              </c:pt>
              <c:pt idx="2401">
                <c:v>-337.66370000000001</c:v>
              </c:pt>
              <c:pt idx="2402">
                <c:v>-337.63407999999998</c:v>
              </c:pt>
              <c:pt idx="2403">
                <c:v>-337.60446000000002</c:v>
              </c:pt>
              <c:pt idx="2404">
                <c:v>-337.57494000000003</c:v>
              </c:pt>
              <c:pt idx="2405">
                <c:v>-337.54552000000001</c:v>
              </c:pt>
              <c:pt idx="2406">
                <c:v>-337.51580000000001</c:v>
              </c:pt>
              <c:pt idx="2407">
                <c:v>-337.48638</c:v>
              </c:pt>
              <c:pt idx="2408">
                <c:v>-337.45686000000001</c:v>
              </c:pt>
              <c:pt idx="2409">
                <c:v>-337.42723999999998</c:v>
              </c:pt>
              <c:pt idx="2410">
                <c:v>-337.39771999999999</c:v>
              </c:pt>
              <c:pt idx="2411">
                <c:v>-337.36820000000006</c:v>
              </c:pt>
              <c:pt idx="2412">
                <c:v>-337.33877999999999</c:v>
              </c:pt>
              <c:pt idx="2413">
                <c:v>-337.30916000000002</c:v>
              </c:pt>
              <c:pt idx="2414">
                <c:v>-337.27964000000003</c:v>
              </c:pt>
              <c:pt idx="2415">
                <c:v>-337.25001999999995</c:v>
              </c:pt>
              <c:pt idx="2416">
                <c:v>-337.22050000000002</c:v>
              </c:pt>
              <c:pt idx="2417">
                <c:v>-337.19087999999999</c:v>
              </c:pt>
              <c:pt idx="2418">
                <c:v>-337.16146000000003</c:v>
              </c:pt>
              <c:pt idx="2419">
                <c:v>-337.13204000000002</c:v>
              </c:pt>
              <c:pt idx="2420">
                <c:v>-337.10251999999997</c:v>
              </c:pt>
              <c:pt idx="2421">
                <c:v>-337.0729</c:v>
              </c:pt>
              <c:pt idx="2422">
                <c:v>-337.04327999999998</c:v>
              </c:pt>
              <c:pt idx="2423">
                <c:v>-337.01376000000005</c:v>
              </c:pt>
              <c:pt idx="2424">
                <c:v>-336.98424</c:v>
              </c:pt>
              <c:pt idx="2425">
                <c:v>-336.95472000000001</c:v>
              </c:pt>
              <c:pt idx="2426">
                <c:v>-336.92510000000004</c:v>
              </c:pt>
              <c:pt idx="2427">
                <c:v>-336.89567999999997</c:v>
              </c:pt>
              <c:pt idx="2428">
                <c:v>-336.86616000000004</c:v>
              </c:pt>
              <c:pt idx="2429">
                <c:v>-336.83653999999996</c:v>
              </c:pt>
              <c:pt idx="2430">
                <c:v>-336.80712000000005</c:v>
              </c:pt>
              <c:pt idx="2431">
                <c:v>-336.77750000000003</c:v>
              </c:pt>
              <c:pt idx="2432">
                <c:v>-336.74797999999998</c:v>
              </c:pt>
              <c:pt idx="2433">
                <c:v>-336.71836000000002</c:v>
              </c:pt>
              <c:pt idx="2434">
                <c:v>-336.68884000000003</c:v>
              </c:pt>
              <c:pt idx="2435">
                <c:v>-336.65931999999998</c:v>
              </c:pt>
              <c:pt idx="2436">
                <c:v>-336.62990000000002</c:v>
              </c:pt>
              <c:pt idx="2437">
                <c:v>-336.60037999999997</c:v>
              </c:pt>
              <c:pt idx="2438">
                <c:v>-336.57076000000001</c:v>
              </c:pt>
              <c:pt idx="2439">
                <c:v>-336.54133999999999</c:v>
              </c:pt>
              <c:pt idx="2440">
                <c:v>-336.51152999999999</c:v>
              </c:pt>
              <c:pt idx="2441">
                <c:v>-336.48210999999998</c:v>
              </c:pt>
              <c:pt idx="2442">
                <c:v>-336.45258999999999</c:v>
              </c:pt>
              <c:pt idx="2443">
                <c:v>-336.42307</c:v>
              </c:pt>
              <c:pt idx="2444">
                <c:v>-336.39355</c:v>
              </c:pt>
              <c:pt idx="2445">
                <c:v>-336.36403000000001</c:v>
              </c:pt>
              <c:pt idx="2446">
                <c:v>-336.33461</c:v>
              </c:pt>
              <c:pt idx="2447">
                <c:v>-336.30498999999998</c:v>
              </c:pt>
              <c:pt idx="2448">
                <c:v>-336.27537000000001</c:v>
              </c:pt>
              <c:pt idx="2449">
                <c:v>-336.24575000000004</c:v>
              </c:pt>
              <c:pt idx="2450">
                <c:v>-336.21634</c:v>
              </c:pt>
              <c:pt idx="2451">
                <c:v>-336.18682000000001</c:v>
              </c:pt>
              <c:pt idx="2452">
                <c:v>-336.15730000000002</c:v>
              </c:pt>
              <c:pt idx="2453">
                <c:v>-336.12778000000003</c:v>
              </c:pt>
              <c:pt idx="2454">
                <c:v>-336.09825999999998</c:v>
              </c:pt>
              <c:pt idx="2455">
                <c:v>-336.06874000000005</c:v>
              </c:pt>
              <c:pt idx="2456">
                <c:v>-336.03912000000003</c:v>
              </c:pt>
              <c:pt idx="2457">
                <c:v>-336.00960000000003</c:v>
              </c:pt>
              <c:pt idx="2458">
                <c:v>-335.98009000000002</c:v>
              </c:pt>
              <c:pt idx="2459">
                <c:v>-335.95056999999997</c:v>
              </c:pt>
              <c:pt idx="2460">
                <c:v>-335.92084999999997</c:v>
              </c:pt>
              <c:pt idx="2461">
                <c:v>-335.89142999999996</c:v>
              </c:pt>
              <c:pt idx="2462">
                <c:v>-335.86201</c:v>
              </c:pt>
              <c:pt idx="2463">
                <c:v>-335.83239000000003</c:v>
              </c:pt>
              <c:pt idx="2464">
                <c:v>-335.80297000000002</c:v>
              </c:pt>
              <c:pt idx="2465">
                <c:v>-335.77326000000005</c:v>
              </c:pt>
              <c:pt idx="2466">
                <c:v>-335.74374</c:v>
              </c:pt>
              <c:pt idx="2467">
                <c:v>-335.71411999999998</c:v>
              </c:pt>
              <c:pt idx="2468">
                <c:v>-335.68470000000002</c:v>
              </c:pt>
              <c:pt idx="2469">
                <c:v>-335.65517999999997</c:v>
              </c:pt>
              <c:pt idx="2470">
                <c:v>-335.62576999999999</c:v>
              </c:pt>
              <c:pt idx="2471">
                <c:v>-335.59615000000002</c:v>
              </c:pt>
              <c:pt idx="2472">
                <c:v>-335.56653</c:v>
              </c:pt>
              <c:pt idx="2473">
                <c:v>-335.53700999999995</c:v>
              </c:pt>
              <c:pt idx="2474">
                <c:v>-335.50749000000002</c:v>
              </c:pt>
              <c:pt idx="2475">
                <c:v>-335.47797000000003</c:v>
              </c:pt>
              <c:pt idx="2476">
                <c:v>-335.44846000000001</c:v>
              </c:pt>
              <c:pt idx="2477">
                <c:v>-335.41883999999999</c:v>
              </c:pt>
              <c:pt idx="2478">
                <c:v>-335.38932</c:v>
              </c:pt>
              <c:pt idx="2479">
                <c:v>-335.35980000000001</c:v>
              </c:pt>
              <c:pt idx="2480">
                <c:v>-335.33039000000002</c:v>
              </c:pt>
              <c:pt idx="2481">
                <c:v>-335.30077000000006</c:v>
              </c:pt>
              <c:pt idx="2482">
                <c:v>-335.27115000000003</c:v>
              </c:pt>
              <c:pt idx="2483">
                <c:v>-335.24153000000001</c:v>
              </c:pt>
              <c:pt idx="2484">
                <c:v>-335.21210999999994</c:v>
              </c:pt>
              <c:pt idx="2485">
                <c:v>-335.18259999999992</c:v>
              </c:pt>
              <c:pt idx="2486">
                <c:v>-335.15307999999999</c:v>
              </c:pt>
              <c:pt idx="2487">
                <c:v>-335.12365999999997</c:v>
              </c:pt>
              <c:pt idx="2488">
                <c:v>-335.09404000000001</c:v>
              </c:pt>
              <c:pt idx="2489">
                <c:v>-335.06443000000002</c:v>
              </c:pt>
              <c:pt idx="2490">
                <c:v>-335.03480999999999</c:v>
              </c:pt>
              <c:pt idx="2491">
                <c:v>-335.00538999999998</c:v>
              </c:pt>
              <c:pt idx="2492">
                <c:v>-334.97586999999999</c:v>
              </c:pt>
              <c:pt idx="2493">
                <c:v>-334.94636000000003</c:v>
              </c:pt>
              <c:pt idx="2494">
                <c:v>-334.91663999999997</c:v>
              </c:pt>
              <c:pt idx="2495">
                <c:v>-334.88722000000001</c:v>
              </c:pt>
              <c:pt idx="2496">
                <c:v>-334.85781000000003</c:v>
              </c:pt>
              <c:pt idx="2497">
                <c:v>-334.82819000000001</c:v>
              </c:pt>
              <c:pt idx="2498">
                <c:v>-334.79867000000002</c:v>
              </c:pt>
              <c:pt idx="2499">
                <c:v>-334.76914999999997</c:v>
              </c:pt>
              <c:pt idx="2500">
                <c:v>-334.73954000000003</c:v>
              </c:pt>
              <c:pt idx="2501">
                <c:v>-334.70991999999995</c:v>
              </c:pt>
              <c:pt idx="2502">
                <c:v>-334.68050000000005</c:v>
              </c:pt>
              <c:pt idx="2503">
                <c:v>-334.65109000000001</c:v>
              </c:pt>
              <c:pt idx="2504">
                <c:v>-334.62147000000004</c:v>
              </c:pt>
              <c:pt idx="2505">
                <c:v>-334.59204999999997</c:v>
              </c:pt>
              <c:pt idx="2506">
                <c:v>-334.56223</c:v>
              </c:pt>
              <c:pt idx="2507">
                <c:v>-334.53282000000007</c:v>
              </c:pt>
              <c:pt idx="2508">
                <c:v>-334.50319999999994</c:v>
              </c:pt>
              <c:pt idx="2509">
                <c:v>-334.47378000000003</c:v>
              </c:pt>
              <c:pt idx="2510">
                <c:v>-334.44427000000002</c:v>
              </c:pt>
              <c:pt idx="2511">
                <c:v>-334.41474999999997</c:v>
              </c:pt>
              <c:pt idx="2512">
                <c:v>-334.38513</c:v>
              </c:pt>
              <c:pt idx="2513">
                <c:v>-334.35561999999999</c:v>
              </c:pt>
              <c:pt idx="2514">
                <c:v>-334.3261</c:v>
              </c:pt>
              <c:pt idx="2515">
                <c:v>-334.29647999999997</c:v>
              </c:pt>
              <c:pt idx="2516">
                <c:v>-334.26707000000005</c:v>
              </c:pt>
              <c:pt idx="2517">
                <c:v>-334.23734999999999</c:v>
              </c:pt>
              <c:pt idx="2518">
                <c:v>-334.20792999999998</c:v>
              </c:pt>
              <c:pt idx="2519">
                <c:v>-334.17842000000002</c:v>
              </c:pt>
              <c:pt idx="2520">
                <c:v>-334.14890000000003</c:v>
              </c:pt>
              <c:pt idx="2521">
                <c:v>-334.11949000000004</c:v>
              </c:pt>
              <c:pt idx="2522">
                <c:v>-334.08976999999999</c:v>
              </c:pt>
              <c:pt idx="2523">
                <c:v>-334.06015000000002</c:v>
              </c:pt>
              <c:pt idx="2524">
                <c:v>-334.03064000000001</c:v>
              </c:pt>
              <c:pt idx="2525">
                <c:v>-334.00121999999999</c:v>
              </c:pt>
              <c:pt idx="2526">
                <c:v>-333.97160000000002</c:v>
              </c:pt>
              <c:pt idx="2527">
                <c:v>-333.94218999999998</c:v>
              </c:pt>
              <c:pt idx="2528">
                <c:v>-333.91266999999999</c:v>
              </c:pt>
              <c:pt idx="2529">
                <c:v>-333.88306</c:v>
              </c:pt>
              <c:pt idx="2530">
                <c:v>-333.85344000000003</c:v>
              </c:pt>
              <c:pt idx="2531">
                <c:v>-333.82391999999999</c:v>
              </c:pt>
              <c:pt idx="2532">
                <c:v>-333.79451</c:v>
              </c:pt>
              <c:pt idx="2533">
                <c:v>-333.76489000000004</c:v>
              </c:pt>
              <c:pt idx="2534">
                <c:v>-333.73537999999996</c:v>
              </c:pt>
              <c:pt idx="2535">
                <c:v>-333.70586000000003</c:v>
              </c:pt>
              <c:pt idx="2536">
                <c:v>-333.67633999999998</c:v>
              </c:pt>
              <c:pt idx="2537">
                <c:v>-333.64682999999997</c:v>
              </c:pt>
              <c:pt idx="2538">
                <c:v>-333.61721</c:v>
              </c:pt>
              <c:pt idx="2539">
                <c:v>-333.58780000000002</c:v>
              </c:pt>
              <c:pt idx="2540">
                <c:v>-333.55808000000002</c:v>
              </c:pt>
              <c:pt idx="2541">
                <c:v>-333.52856999999995</c:v>
              </c:pt>
              <c:pt idx="2542">
                <c:v>-333.49905000000001</c:v>
              </c:pt>
              <c:pt idx="2543">
                <c:v>-333.46963000000005</c:v>
              </c:pt>
              <c:pt idx="2544">
                <c:v>-333.44011999999998</c:v>
              </c:pt>
              <c:pt idx="2545">
                <c:v>-333.41050000000001</c:v>
              </c:pt>
              <c:pt idx="2546">
                <c:v>-333.38089000000002</c:v>
              </c:pt>
              <c:pt idx="2547">
                <c:v>-333.35136999999997</c:v>
              </c:pt>
              <c:pt idx="2548">
                <c:v>-333.32185999999996</c:v>
              </c:pt>
              <c:pt idx="2549">
                <c:v>-333.29234000000002</c:v>
              </c:pt>
              <c:pt idx="2550">
                <c:v>-333.26292999999998</c:v>
              </c:pt>
              <c:pt idx="2551">
                <c:v>-333.23321000000004</c:v>
              </c:pt>
              <c:pt idx="2552">
                <c:v>-333.20369999999997</c:v>
              </c:pt>
              <c:pt idx="2553">
                <c:v>-333.17428000000001</c:v>
              </c:pt>
              <c:pt idx="2554">
                <c:v>-333.14465999999993</c:v>
              </c:pt>
              <c:pt idx="2555">
                <c:v>-333.11514999999997</c:v>
              </c:pt>
              <c:pt idx="2556">
                <c:v>-333.08563000000004</c:v>
              </c:pt>
              <c:pt idx="2557">
                <c:v>-333.05601999999999</c:v>
              </c:pt>
              <c:pt idx="2558">
                <c:v>-333.02640000000002</c:v>
              </c:pt>
              <c:pt idx="2559">
                <c:v>-332.98313000000002</c:v>
              </c:pt>
              <c:pt idx="2560">
                <c:v>-332.93849</c:v>
              </c:pt>
              <c:pt idx="2561">
                <c:v>-332.89416</c:v>
              </c:pt>
              <c:pt idx="2562">
                <c:v>-332.84952000000004</c:v>
              </c:pt>
              <c:pt idx="2563">
                <c:v>-332.78941999999995</c:v>
              </c:pt>
              <c:pt idx="2564">
                <c:v>-332.72912000000002</c:v>
              </c:pt>
              <c:pt idx="2565">
                <c:v>-332.66900999999996</c:v>
              </c:pt>
              <c:pt idx="2566">
                <c:v>-332.60881000000001</c:v>
              </c:pt>
              <c:pt idx="2567">
                <c:v>-332.54849999999999</c:v>
              </c:pt>
              <c:pt idx="2568">
                <c:v>-332.48384999999996</c:v>
              </c:pt>
              <c:pt idx="2569">
                <c:v>-332.41096999999996</c:v>
              </c:pt>
              <c:pt idx="2570">
                <c:v>-332.33798999999999</c:v>
              </c:pt>
              <c:pt idx="2571">
                <c:v>-332.26510999999999</c:v>
              </c:pt>
              <c:pt idx="2572">
                <c:v>-332.19222000000002</c:v>
              </c:pt>
              <c:pt idx="2573">
                <c:v>-332.10785999999996</c:v>
              </c:pt>
              <c:pt idx="2574">
                <c:v>-332.02175</c:v>
              </c:pt>
              <c:pt idx="2575">
                <c:v>-331.93573999999995</c:v>
              </c:pt>
              <c:pt idx="2576">
                <c:v>-331.84962999999999</c:v>
              </c:pt>
              <c:pt idx="2577">
                <c:v>-331.76371</c:v>
              </c:pt>
              <c:pt idx="2578">
                <c:v>-331.67770000000002</c:v>
              </c:pt>
              <c:pt idx="2579">
                <c:v>-331.59138999999999</c:v>
              </c:pt>
              <c:pt idx="2580">
                <c:v>-331.50547999999992</c:v>
              </c:pt>
              <c:pt idx="2581">
                <c:v>-331.41926999999998</c:v>
              </c:pt>
              <c:pt idx="2582">
                <c:v>-331.33326</c:v>
              </c:pt>
              <c:pt idx="2583">
                <c:v>-331.24724999999995</c:v>
              </c:pt>
              <c:pt idx="2584">
                <c:v>-331.16113999999999</c:v>
              </c:pt>
              <c:pt idx="2585">
                <c:v>-331.07513</c:v>
              </c:pt>
              <c:pt idx="2586">
                <c:v>-330.98901999999998</c:v>
              </c:pt>
              <c:pt idx="2587">
                <c:v>-330.90310999999997</c:v>
              </c:pt>
              <c:pt idx="2588">
                <c:v>-330.81690000000003</c:v>
              </c:pt>
              <c:pt idx="2589">
                <c:v>-330.73079000000001</c:v>
              </c:pt>
              <c:pt idx="2590">
                <c:v>-330.64487999999994</c:v>
              </c:pt>
              <c:pt idx="2591">
                <c:v>-330.55867000000001</c:v>
              </c:pt>
              <c:pt idx="2592">
                <c:v>-330.47275999999999</c:v>
              </c:pt>
              <c:pt idx="2593">
                <c:v>-330.38675000000001</c:v>
              </c:pt>
              <c:pt idx="2594">
                <c:v>-330.30054999999999</c:v>
              </c:pt>
              <c:pt idx="2595">
                <c:v>-330.21454</c:v>
              </c:pt>
              <c:pt idx="2596">
                <c:v>-330.12833000000001</c:v>
              </c:pt>
              <c:pt idx="2597">
                <c:v>-330.04232000000002</c:v>
              </c:pt>
              <c:pt idx="2598">
                <c:v>-329.95621</c:v>
              </c:pt>
              <c:pt idx="2599">
                <c:v>-329.87019999999995</c:v>
              </c:pt>
              <c:pt idx="2600">
                <c:v>-329.7842</c:v>
              </c:pt>
              <c:pt idx="2601">
                <c:v>-329.69808999999998</c:v>
              </c:pt>
              <c:pt idx="2602">
                <c:v>-329.61217999999997</c:v>
              </c:pt>
              <c:pt idx="2603">
                <c:v>-329.52597000000003</c:v>
              </c:pt>
              <c:pt idx="2604">
                <c:v>-329.43997000000002</c:v>
              </c:pt>
              <c:pt idx="2605">
                <c:v>-329.35396000000003</c:v>
              </c:pt>
              <c:pt idx="2606">
                <c:v>-329.25507000000005</c:v>
              </c:pt>
              <c:pt idx="2607">
                <c:v>-329.15212000000002</c:v>
              </c:pt>
              <c:pt idx="2608">
                <c:v>-329.04917</c:v>
              </c:pt>
              <c:pt idx="2609">
                <c:v>-328.94622000000004</c:v>
              </c:pt>
              <c:pt idx="2610">
                <c:v>-328.83490000000006</c:v>
              </c:pt>
              <c:pt idx="2611">
                <c:v>-328.71788000000004</c:v>
              </c:pt>
              <c:pt idx="2612">
                <c:v>-328.60095999999999</c:v>
              </c:pt>
              <c:pt idx="2613">
                <c:v>-328.48392999999999</c:v>
              </c:pt>
              <c:pt idx="2614">
                <c:v>-328.36671000000001</c:v>
              </c:pt>
              <c:pt idx="2615">
                <c:v>-328.24978999999996</c:v>
              </c:pt>
              <c:pt idx="2616">
                <c:v>-328.13297</c:v>
              </c:pt>
              <c:pt idx="2617">
                <c:v>-328.01585</c:v>
              </c:pt>
              <c:pt idx="2618">
                <c:v>-327.89873</c:v>
              </c:pt>
              <c:pt idx="2619">
                <c:v>-327.78180999999995</c:v>
              </c:pt>
              <c:pt idx="2620">
                <c:v>-327.66479000000004</c:v>
              </c:pt>
              <c:pt idx="2621">
                <c:v>-327.54766999999998</c:v>
              </c:pt>
              <c:pt idx="2622">
                <c:v>-327.43074999999999</c:v>
              </c:pt>
              <c:pt idx="2623">
                <c:v>-327.31372999999996</c:v>
              </c:pt>
              <c:pt idx="2624">
                <c:v>-327.19671</c:v>
              </c:pt>
              <c:pt idx="2625">
                <c:v>-327.07969000000003</c:v>
              </c:pt>
              <c:pt idx="2626">
                <c:v>-326.96257000000003</c:v>
              </c:pt>
              <c:pt idx="2627">
                <c:v>-326.84555</c:v>
              </c:pt>
              <c:pt idx="2628">
                <c:v>-326.72853000000003</c:v>
              </c:pt>
              <c:pt idx="2629">
                <c:v>-326.61171000000002</c:v>
              </c:pt>
              <c:pt idx="2630">
                <c:v>-326.49459999999999</c:v>
              </c:pt>
              <c:pt idx="2631">
                <c:v>-326.37758000000002</c:v>
              </c:pt>
              <c:pt idx="2632">
                <c:v>-326.26056</c:v>
              </c:pt>
              <c:pt idx="2633">
                <c:v>-326.14353999999997</c:v>
              </c:pt>
              <c:pt idx="2634">
                <c:v>-326.02643</c:v>
              </c:pt>
              <c:pt idx="2635">
                <c:v>-325.90595999999999</c:v>
              </c:pt>
              <c:pt idx="2636">
                <c:v>-325.77054000000004</c:v>
              </c:pt>
              <c:pt idx="2637">
                <c:v>-325.63523000000004</c:v>
              </c:pt>
              <c:pt idx="2638">
                <c:v>-325.49960999999996</c:v>
              </c:pt>
              <c:pt idx="2639">
                <c:v>-325.34949999999998</c:v>
              </c:pt>
              <c:pt idx="2640">
                <c:v>-325.19899000000004</c:v>
              </c:pt>
              <c:pt idx="2641">
                <c:v>-325.04868999999997</c:v>
              </c:pt>
              <c:pt idx="2642">
                <c:v>-324.89837999999997</c:v>
              </c:pt>
              <c:pt idx="2643">
                <c:v>-324.74796999999995</c:v>
              </c:pt>
              <c:pt idx="2644">
                <c:v>-324.59766999999999</c:v>
              </c:pt>
              <c:pt idx="2645">
                <c:v>-324.44736</c:v>
              </c:pt>
              <c:pt idx="2646">
                <c:v>-324.29696000000001</c:v>
              </c:pt>
              <c:pt idx="2647">
                <c:v>-324.14665000000002</c:v>
              </c:pt>
              <c:pt idx="2648">
                <c:v>-323.99644999999998</c:v>
              </c:pt>
              <c:pt idx="2649">
                <c:v>-323.84594999999996</c:v>
              </c:pt>
              <c:pt idx="2650">
                <c:v>-323.69574</c:v>
              </c:pt>
              <c:pt idx="2651">
                <c:v>-323.54534000000001</c:v>
              </c:pt>
              <c:pt idx="2652">
                <c:v>-323.39494000000002</c:v>
              </c:pt>
              <c:pt idx="2653">
                <c:v>-323.24473</c:v>
              </c:pt>
              <c:pt idx="2654">
                <c:v>-323.09401000000003</c:v>
              </c:pt>
              <c:pt idx="2655">
                <c:v>-322.93584000000004</c:v>
              </c:pt>
              <c:pt idx="2656">
                <c:v>-322.77410999999995</c:v>
              </c:pt>
              <c:pt idx="2657">
                <c:v>-322.60802999999999</c:v>
              </c:pt>
              <c:pt idx="2658">
                <c:v>-322.44204999999999</c:v>
              </c:pt>
              <c:pt idx="2659">
                <c:v>-322.27596999999997</c:v>
              </c:pt>
              <c:pt idx="2660">
                <c:v>-322.10998999999998</c:v>
              </c:pt>
              <c:pt idx="2661">
                <c:v>-321.94391999999999</c:v>
              </c:pt>
              <c:pt idx="2662">
                <c:v>-321.77784000000003</c:v>
              </c:pt>
              <c:pt idx="2663">
                <c:v>-321.61176</c:v>
              </c:pt>
              <c:pt idx="2664">
                <c:v>-321.44578999999999</c:v>
              </c:pt>
              <c:pt idx="2665">
                <c:v>-321.27970999999997</c:v>
              </c:pt>
              <c:pt idx="2666">
                <c:v>-321.11363999999998</c:v>
              </c:pt>
              <c:pt idx="2667">
                <c:v>-320.94765999999998</c:v>
              </c:pt>
              <c:pt idx="2668">
                <c:v>-320.78148999999996</c:v>
              </c:pt>
              <c:pt idx="2669">
                <c:v>-320.61561</c:v>
              </c:pt>
              <c:pt idx="2670">
                <c:v>-320.44934000000001</c:v>
              </c:pt>
              <c:pt idx="2671">
                <c:v>-320.28336999999999</c:v>
              </c:pt>
              <c:pt idx="2672">
                <c:v>-320.11728999999997</c:v>
              </c:pt>
              <c:pt idx="2673">
                <c:v>-319.95132000000001</c:v>
              </c:pt>
              <c:pt idx="2674">
                <c:v>-319.78514999999999</c:v>
              </c:pt>
              <c:pt idx="2675">
                <c:v>-319.61917999999997</c:v>
              </c:pt>
              <c:pt idx="2676">
                <c:v>-319.45311000000004</c:v>
              </c:pt>
              <c:pt idx="2677">
                <c:v>-319.28712999999999</c:v>
              </c:pt>
              <c:pt idx="2678">
                <c:v>-319.12095999999997</c:v>
              </c:pt>
              <c:pt idx="2679">
                <c:v>-318.95499000000001</c:v>
              </c:pt>
              <c:pt idx="2680">
                <c:v>-318.78902000000005</c:v>
              </c:pt>
              <c:pt idx="2681">
                <c:v>-318.62284999999997</c:v>
              </c:pt>
              <c:pt idx="2682">
                <c:v>-318.45668999999998</c:v>
              </c:pt>
              <c:pt idx="2683">
                <c:v>-318.29051000000004</c:v>
              </c:pt>
              <c:pt idx="2684">
                <c:v>-318.11784</c:v>
              </c:pt>
              <c:pt idx="2685">
                <c:v>-317.94526999999999</c:v>
              </c:pt>
              <c:pt idx="2686">
                <c:v>-317.76666000000006</c:v>
              </c:pt>
              <c:pt idx="2687">
                <c:v>-317.58732999999995</c:v>
              </c:pt>
              <c:pt idx="2688">
                <c:v>-317.40801000000005</c:v>
              </c:pt>
              <c:pt idx="2689">
                <c:v>-317.22868</c:v>
              </c:pt>
              <c:pt idx="2690">
                <c:v>-317.04926</c:v>
              </c:pt>
              <c:pt idx="2691">
                <c:v>-316.87004000000002</c:v>
              </c:pt>
              <c:pt idx="2692">
                <c:v>-316.69060999999999</c:v>
              </c:pt>
              <c:pt idx="2693">
                <c:v>-316.51119</c:v>
              </c:pt>
              <c:pt idx="2694">
                <c:v>-316.33206999999999</c:v>
              </c:pt>
              <c:pt idx="2695">
                <c:v>-316.15264999999999</c:v>
              </c:pt>
              <c:pt idx="2696">
                <c:v>-315.97312999999997</c:v>
              </c:pt>
              <c:pt idx="2697">
                <c:v>-315.79400999999996</c:v>
              </c:pt>
              <c:pt idx="2698">
                <c:v>-315.61448999999999</c:v>
              </c:pt>
              <c:pt idx="2699">
                <c:v>-315.43536999999998</c:v>
              </c:pt>
              <c:pt idx="2700">
                <c:v>-315.25594999999998</c:v>
              </c:pt>
              <c:pt idx="2701">
                <c:v>-315.07663000000002</c:v>
              </c:pt>
              <c:pt idx="2702">
                <c:v>-314.89721000000003</c:v>
              </c:pt>
              <c:pt idx="2703">
                <c:v>-314.71789000000001</c:v>
              </c:pt>
              <c:pt idx="2704">
                <c:v>-314.53857999999997</c:v>
              </c:pt>
              <c:pt idx="2705">
                <c:v>-314.35926000000001</c:v>
              </c:pt>
              <c:pt idx="2706">
                <c:v>-314.17993999999993</c:v>
              </c:pt>
              <c:pt idx="2707">
                <c:v>-314.00042999999999</c:v>
              </c:pt>
              <c:pt idx="2708">
                <c:v>-313.82121000000001</c:v>
              </c:pt>
              <c:pt idx="2709">
                <c:v>-313.64179999999999</c:v>
              </c:pt>
              <c:pt idx="2710">
                <c:v>-313.46258</c:v>
              </c:pt>
              <c:pt idx="2711">
                <c:v>-313.28317000000004</c:v>
              </c:pt>
              <c:pt idx="2712">
                <c:v>-313.10375000000005</c:v>
              </c:pt>
              <c:pt idx="2713">
                <c:v>-312.92453999999998</c:v>
              </c:pt>
              <c:pt idx="2714">
                <c:v>-312.74523000000005</c:v>
              </c:pt>
              <c:pt idx="2715">
                <c:v>-312.56582000000003</c:v>
              </c:pt>
              <c:pt idx="2716">
                <c:v>-312.38649999999996</c:v>
              </c:pt>
              <c:pt idx="2717">
                <c:v>-312.20708999999999</c:v>
              </c:pt>
              <c:pt idx="2718">
                <c:v>-312.02778000000001</c:v>
              </c:pt>
              <c:pt idx="2719">
                <c:v>-311.84846999999996</c:v>
              </c:pt>
              <c:pt idx="2720">
                <c:v>-311.66916000000003</c:v>
              </c:pt>
              <c:pt idx="2721">
                <c:v>-311.48985000000005</c:v>
              </c:pt>
              <c:pt idx="2722">
                <c:v>-311.31034</c:v>
              </c:pt>
              <c:pt idx="2723">
                <c:v>-311.13112999999998</c:v>
              </c:pt>
              <c:pt idx="2724">
                <c:v>-310.95182</c:v>
              </c:pt>
              <c:pt idx="2725">
                <c:v>-310.77242000000001</c:v>
              </c:pt>
              <c:pt idx="2726">
                <c:v>-310.59311000000002</c:v>
              </c:pt>
              <c:pt idx="2727">
                <c:v>-310.41359999999997</c:v>
              </c:pt>
              <c:pt idx="2728">
                <c:v>-310.23449999999997</c:v>
              </c:pt>
              <c:pt idx="2729">
                <c:v>-310.05509000000001</c:v>
              </c:pt>
              <c:pt idx="2730">
                <c:v>-309.87567999999999</c:v>
              </c:pt>
              <c:pt idx="2731">
                <c:v>-309.69638000000003</c:v>
              </c:pt>
              <c:pt idx="2732">
                <c:v>-309.51687000000004</c:v>
              </c:pt>
              <c:pt idx="2733">
                <c:v>-309.33776999999998</c:v>
              </c:pt>
              <c:pt idx="2734">
                <c:v>-309.15836999999999</c:v>
              </c:pt>
              <c:pt idx="2735">
                <c:v>-308.97906</c:v>
              </c:pt>
              <c:pt idx="2736">
                <c:v>-308.79965999999996</c:v>
              </c:pt>
              <c:pt idx="2737">
                <c:v>-308.62025999999992</c:v>
              </c:pt>
              <c:pt idx="2738">
                <c:v>-308.44105999999999</c:v>
              </c:pt>
              <c:pt idx="2739">
                <c:v>-308.26164999999997</c:v>
              </c:pt>
              <c:pt idx="2740">
                <c:v>-308.08234999999996</c:v>
              </c:pt>
              <c:pt idx="2741">
                <c:v>-307.90294999999998</c:v>
              </c:pt>
              <c:pt idx="2742">
                <c:v>-307.72354999999999</c:v>
              </c:pt>
              <c:pt idx="2743">
                <c:v>-307.54435000000001</c:v>
              </c:pt>
              <c:pt idx="2744">
                <c:v>-307.36495000000002</c:v>
              </c:pt>
              <c:pt idx="2745">
                <c:v>-307.18565999999998</c:v>
              </c:pt>
              <c:pt idx="2746">
                <c:v>-307.00626</c:v>
              </c:pt>
              <c:pt idx="2747">
                <c:v>-306.82686000000001</c:v>
              </c:pt>
              <c:pt idx="2748">
                <c:v>-306.64765999999997</c:v>
              </c:pt>
              <c:pt idx="2749">
                <c:v>-306.46825999999999</c:v>
              </c:pt>
              <c:pt idx="2750">
                <c:v>-306.28886999999997</c:v>
              </c:pt>
              <c:pt idx="2751">
                <c:v>-306.10957000000002</c:v>
              </c:pt>
              <c:pt idx="2752">
                <c:v>-305.93008000000003</c:v>
              </c:pt>
              <c:pt idx="2753">
                <c:v>-305.75088</c:v>
              </c:pt>
              <c:pt idx="2754">
                <c:v>-305.57148999999998</c:v>
              </c:pt>
              <c:pt idx="2755">
                <c:v>-305.39219000000003</c:v>
              </c:pt>
              <c:pt idx="2756">
                <c:v>-305.21289999999999</c:v>
              </c:pt>
              <c:pt idx="2757">
                <c:v>-305.0335</c:v>
              </c:pt>
              <c:pt idx="2758">
                <c:v>-304.85401000000002</c:v>
              </c:pt>
              <c:pt idx="2759">
                <c:v>-304.67481999999995</c:v>
              </c:pt>
              <c:pt idx="2760">
                <c:v>-304.49552999999997</c:v>
              </c:pt>
              <c:pt idx="2761">
                <c:v>-304.31614000000002</c:v>
              </c:pt>
              <c:pt idx="2762">
                <c:v>-304.13684000000001</c:v>
              </c:pt>
              <c:pt idx="2763">
                <c:v>-303.95735000000002</c:v>
              </c:pt>
              <c:pt idx="2764">
                <c:v>-303.77816000000001</c:v>
              </c:pt>
              <c:pt idx="2765">
                <c:v>-303.59877</c:v>
              </c:pt>
              <c:pt idx="2766">
                <c:v>-303.41937999999999</c:v>
              </c:pt>
              <c:pt idx="2767">
                <c:v>-303.24020000000002</c:v>
              </c:pt>
              <c:pt idx="2768">
                <c:v>-303.06070999999997</c:v>
              </c:pt>
              <c:pt idx="2769">
                <c:v>-302.88132000000002</c:v>
              </c:pt>
              <c:pt idx="2770">
                <c:v>-302.70213000000001</c:v>
              </c:pt>
              <c:pt idx="2771">
                <c:v>-302.52274</c:v>
              </c:pt>
              <c:pt idx="2772">
                <c:v>-302.34336000000002</c:v>
              </c:pt>
              <c:pt idx="2773">
                <c:v>-302.16407000000004</c:v>
              </c:pt>
              <c:pt idx="2774">
                <c:v>-301.98469</c:v>
              </c:pt>
              <c:pt idx="2775">
                <c:v>-301.80540000000002</c:v>
              </c:pt>
              <c:pt idx="2776">
                <c:v>-301.62612000000001</c:v>
              </c:pt>
              <c:pt idx="2777">
                <c:v>-301.44662999999997</c:v>
              </c:pt>
              <c:pt idx="2778">
                <c:v>-301.26734999999996</c:v>
              </c:pt>
              <c:pt idx="2779">
                <c:v>-301.08796000000001</c:v>
              </c:pt>
              <c:pt idx="2780">
                <c:v>-300.90858000000003</c:v>
              </c:pt>
              <c:pt idx="2781">
                <c:v>-300.72929999999997</c:v>
              </c:pt>
              <c:pt idx="2782">
                <c:v>-300.55002000000002</c:v>
              </c:pt>
              <c:pt idx="2783">
                <c:v>-300.37053000000003</c:v>
              </c:pt>
              <c:pt idx="2784">
                <c:v>-300.19135</c:v>
              </c:pt>
              <c:pt idx="2785">
                <c:v>-300.01196999999996</c:v>
              </c:pt>
              <c:pt idx="2786">
                <c:v>-299.83258999999998</c:v>
              </c:pt>
              <c:pt idx="2787">
                <c:v>-299.65330999999998</c:v>
              </c:pt>
              <c:pt idx="2788">
                <c:v>-299.47393</c:v>
              </c:pt>
              <c:pt idx="2789">
                <c:v>-299.29464999999999</c:v>
              </c:pt>
              <c:pt idx="2790">
                <c:v>-299.11517000000003</c:v>
              </c:pt>
              <c:pt idx="2791">
                <c:v>-298.9359</c:v>
              </c:pt>
              <c:pt idx="2792">
                <c:v>-298.75662</c:v>
              </c:pt>
              <c:pt idx="2793">
                <c:v>-298.57723999999996</c:v>
              </c:pt>
              <c:pt idx="2794">
                <c:v>-298.39777000000004</c:v>
              </c:pt>
              <c:pt idx="2795">
                <c:v>-298.21859000000001</c:v>
              </c:pt>
              <c:pt idx="2796">
                <c:v>-298.03910999999999</c:v>
              </c:pt>
              <c:pt idx="2797">
                <c:v>-297.85984000000002</c:v>
              </c:pt>
              <c:pt idx="2798">
                <c:v>-297.68056000000001</c:v>
              </c:pt>
              <c:pt idx="2799">
                <c:v>-297.50109000000003</c:v>
              </c:pt>
              <c:pt idx="2800">
                <c:v>-297.32171</c:v>
              </c:pt>
              <c:pt idx="2801">
                <c:v>-297.14233999999999</c:v>
              </c:pt>
              <c:pt idx="2802">
                <c:v>-296.96316999999999</c:v>
              </c:pt>
              <c:pt idx="2803">
                <c:v>-296.78368999999998</c:v>
              </c:pt>
              <c:pt idx="2804">
                <c:v>-296.60451999999998</c:v>
              </c:pt>
              <c:pt idx="2805">
                <c:v>-296.42514999999997</c:v>
              </c:pt>
              <c:pt idx="2806">
                <c:v>-296.24577999999997</c:v>
              </c:pt>
              <c:pt idx="2807">
                <c:v>-296.06650999999999</c:v>
              </c:pt>
              <c:pt idx="2808">
                <c:v>-295.88713999999999</c:v>
              </c:pt>
              <c:pt idx="2809">
                <c:v>-295.70776999999998</c:v>
              </c:pt>
              <c:pt idx="2810">
                <c:v>-295.52850000000001</c:v>
              </c:pt>
              <c:pt idx="2811">
                <c:v>-295.34902999999997</c:v>
              </c:pt>
              <c:pt idx="2812">
                <c:v>-295.16976</c:v>
              </c:pt>
              <c:pt idx="2813">
                <c:v>-294.99049000000002</c:v>
              </c:pt>
              <c:pt idx="2814">
                <c:v>-294.81112999999999</c:v>
              </c:pt>
              <c:pt idx="2815">
                <c:v>-294.63166000000001</c:v>
              </c:pt>
              <c:pt idx="2816">
                <c:v>-294.45238999999998</c:v>
              </c:pt>
              <c:pt idx="2817">
                <c:v>-294.27302000000003</c:v>
              </c:pt>
              <c:pt idx="2818">
                <c:v>-294.09375999999997</c:v>
              </c:pt>
              <c:pt idx="2819">
                <c:v>-293.91418999999996</c:v>
              </c:pt>
              <c:pt idx="2820">
                <c:v>-293.73502999999994</c:v>
              </c:pt>
              <c:pt idx="2821">
                <c:v>-293.55556000000001</c:v>
              </c:pt>
              <c:pt idx="2822">
                <c:v>-293.37619999999998</c:v>
              </c:pt>
              <c:pt idx="2823">
                <c:v>-293.19694000000004</c:v>
              </c:pt>
              <c:pt idx="2824">
                <c:v>-293.01767000000001</c:v>
              </c:pt>
              <c:pt idx="2825">
                <c:v>-292.83820999999995</c:v>
              </c:pt>
              <c:pt idx="2826">
                <c:v>-292.65895</c:v>
              </c:pt>
              <c:pt idx="2827">
                <c:v>-292.47949</c:v>
              </c:pt>
              <c:pt idx="2828">
                <c:v>-292.30022000000002</c:v>
              </c:pt>
              <c:pt idx="2829">
                <c:v>-292.12096000000003</c:v>
              </c:pt>
              <c:pt idx="2830">
                <c:v>-291.94159999999999</c:v>
              </c:pt>
              <c:pt idx="2831">
                <c:v>-291.76213999999999</c:v>
              </c:pt>
              <c:pt idx="2832">
                <c:v>-291.58287999999999</c:v>
              </c:pt>
              <c:pt idx="2833">
                <c:v>-291.40351999999996</c:v>
              </c:pt>
              <c:pt idx="2834">
                <c:v>-291.22426999999999</c:v>
              </c:pt>
              <c:pt idx="2835">
                <c:v>-291.04480999999998</c:v>
              </c:pt>
              <c:pt idx="2836">
                <c:v>-290.86554999999998</c:v>
              </c:pt>
              <c:pt idx="2837">
                <c:v>-290.68619000000001</c:v>
              </c:pt>
              <c:pt idx="2838">
                <c:v>-290.50682999999998</c:v>
              </c:pt>
              <c:pt idx="2839">
                <c:v>-290.32738000000006</c:v>
              </c:pt>
              <c:pt idx="2840">
                <c:v>-290.14812000000001</c:v>
              </c:pt>
              <c:pt idx="2841">
                <c:v>-289.96877000000001</c:v>
              </c:pt>
              <c:pt idx="2842">
                <c:v>-289.78940999999998</c:v>
              </c:pt>
              <c:pt idx="2843">
                <c:v>-289.61005999999998</c:v>
              </c:pt>
              <c:pt idx="2844">
                <c:v>-289.4307</c:v>
              </c:pt>
              <c:pt idx="2845">
                <c:v>-289.25135</c:v>
              </c:pt>
              <c:pt idx="2846">
                <c:v>-289.07220000000001</c:v>
              </c:pt>
              <c:pt idx="2847">
                <c:v>-288.89274</c:v>
              </c:pt>
              <c:pt idx="2848">
                <c:v>-288.71339</c:v>
              </c:pt>
              <c:pt idx="2849">
                <c:v>-288.53404</c:v>
              </c:pt>
              <c:pt idx="2850">
                <c:v>-288.35458999999997</c:v>
              </c:pt>
              <c:pt idx="2851">
                <c:v>-288.17534000000001</c:v>
              </c:pt>
              <c:pt idx="2852">
                <c:v>-287.99599000000001</c:v>
              </c:pt>
              <c:pt idx="2853">
                <c:v>-287.81663000000003</c:v>
              </c:pt>
              <c:pt idx="2854">
                <c:v>-287.63729000000001</c:v>
              </c:pt>
              <c:pt idx="2855">
                <c:v>-287.45783999999998</c:v>
              </c:pt>
              <c:pt idx="2856">
                <c:v>-287.27869000000004</c:v>
              </c:pt>
              <c:pt idx="2857">
                <c:v>-287.09943999999996</c:v>
              </c:pt>
              <c:pt idx="2858">
                <c:v>-286.91989000000001</c:v>
              </c:pt>
              <c:pt idx="2859">
                <c:v>-286.74054000000001</c:v>
              </c:pt>
              <c:pt idx="2860">
                <c:v>-286.56119999999999</c:v>
              </c:pt>
              <c:pt idx="2861">
                <c:v>-286.38195000000002</c:v>
              </c:pt>
              <c:pt idx="2862">
                <c:v>-286.20260000000002</c:v>
              </c:pt>
              <c:pt idx="2863">
                <c:v>-286.02326000000005</c:v>
              </c:pt>
              <c:pt idx="2864">
                <c:v>-285.84390999999999</c:v>
              </c:pt>
              <c:pt idx="2865">
                <c:v>-285.66446999999999</c:v>
              </c:pt>
              <c:pt idx="2866">
                <c:v>-285.48502000000002</c:v>
              </c:pt>
              <c:pt idx="2867">
                <c:v>-285.30588</c:v>
              </c:pt>
              <c:pt idx="2868">
                <c:v>-285.12654000000003</c:v>
              </c:pt>
              <c:pt idx="2869">
                <c:v>-284.94719000000003</c:v>
              </c:pt>
              <c:pt idx="2870">
                <c:v>-284.76785000000001</c:v>
              </c:pt>
              <c:pt idx="2871">
                <c:v>-284.58841000000001</c:v>
              </c:pt>
              <c:pt idx="2872">
                <c:v>-284.40907000000004</c:v>
              </c:pt>
              <c:pt idx="2873">
                <c:v>-284.22982999999999</c:v>
              </c:pt>
              <c:pt idx="2874">
                <c:v>-284.05049000000002</c:v>
              </c:pt>
              <c:pt idx="2875">
                <c:v>-283.87115</c:v>
              </c:pt>
              <c:pt idx="2876">
                <c:v>-283.69171</c:v>
              </c:pt>
              <c:pt idx="2877">
                <c:v>-283.51227</c:v>
              </c:pt>
              <c:pt idx="2878">
                <c:v>-283.33292999999998</c:v>
              </c:pt>
              <c:pt idx="2879">
                <c:v>-283.15378999999996</c:v>
              </c:pt>
              <c:pt idx="2880">
                <c:v>-282.97444999999999</c:v>
              </c:pt>
              <c:pt idx="2881">
                <c:v>-282.79510999999997</c:v>
              </c:pt>
              <c:pt idx="2882">
                <c:v>-282.61568</c:v>
              </c:pt>
              <c:pt idx="2883">
                <c:v>-282.43633999999997</c:v>
              </c:pt>
              <c:pt idx="2884">
                <c:v>-282.25689999999997</c:v>
              </c:pt>
              <c:pt idx="2885">
                <c:v>-282.07766999999996</c:v>
              </c:pt>
              <c:pt idx="2886">
                <c:v>-281.89832999999999</c:v>
              </c:pt>
              <c:pt idx="2887">
                <c:v>-281.71899999999999</c:v>
              </c:pt>
              <c:pt idx="2888">
                <c:v>-281.53955999999999</c:v>
              </c:pt>
              <c:pt idx="2889">
                <c:v>-281.36023</c:v>
              </c:pt>
              <c:pt idx="2890">
                <c:v>-281.18110000000001</c:v>
              </c:pt>
              <c:pt idx="2891">
                <c:v>-281.00156000000004</c:v>
              </c:pt>
              <c:pt idx="2892">
                <c:v>-280.82222999999999</c:v>
              </c:pt>
              <c:pt idx="2893">
                <c:v>-280.64280000000002</c:v>
              </c:pt>
              <c:pt idx="2894">
                <c:v>-280.46366999999998</c:v>
              </c:pt>
              <c:pt idx="2895">
                <c:v>-280.28413999999998</c:v>
              </c:pt>
              <c:pt idx="2896">
                <c:v>-280.10489999999999</c:v>
              </c:pt>
              <c:pt idx="2897">
                <c:v>-279.92556999999999</c:v>
              </c:pt>
              <c:pt idx="2898">
                <c:v>-279.74624</c:v>
              </c:pt>
              <c:pt idx="2899">
                <c:v>-279.56680999999998</c:v>
              </c:pt>
              <c:pt idx="2900">
                <c:v>-279.38738999999998</c:v>
              </c:pt>
              <c:pt idx="2901">
                <c:v>-279.20805999999999</c:v>
              </c:pt>
              <c:pt idx="2902">
                <c:v>-279.02882999999997</c:v>
              </c:pt>
              <c:pt idx="2903">
                <c:v>-278.84949999999998</c:v>
              </c:pt>
              <c:pt idx="2904">
                <c:v>-278.67016999999998</c:v>
              </c:pt>
              <c:pt idx="2905">
                <c:v>-278.49075000000005</c:v>
              </c:pt>
              <c:pt idx="2906">
                <c:v>-278.31142</c:v>
              </c:pt>
              <c:pt idx="2907">
                <c:v>-278.13200000000001</c:v>
              </c:pt>
              <c:pt idx="2908">
                <c:v>-277.95276999999999</c:v>
              </c:pt>
              <c:pt idx="2909">
                <c:v>-277.77345000000003</c:v>
              </c:pt>
              <c:pt idx="2910">
                <c:v>-277.59391999999997</c:v>
              </c:pt>
              <c:pt idx="2911">
                <c:v>-277.41469999999998</c:v>
              </c:pt>
              <c:pt idx="2912">
                <c:v>-277.23527000000001</c:v>
              </c:pt>
              <c:pt idx="2913">
                <c:v>-277.05605000000003</c:v>
              </c:pt>
              <c:pt idx="2914">
                <c:v>-276.87662999999998</c:v>
              </c:pt>
              <c:pt idx="2915">
                <c:v>-276.69740999999999</c:v>
              </c:pt>
              <c:pt idx="2916">
                <c:v>-276.51808</c:v>
              </c:pt>
              <c:pt idx="2917">
                <c:v>-276.33855999999997</c:v>
              </c:pt>
              <c:pt idx="2918">
                <c:v>-276.15924000000001</c:v>
              </c:pt>
              <c:pt idx="2919">
                <c:v>-275.97991999999999</c:v>
              </c:pt>
              <c:pt idx="2920">
                <c:v>-275.80060000000003</c:v>
              </c:pt>
              <c:pt idx="2921">
                <c:v>-275.62128000000001</c:v>
              </c:pt>
              <c:pt idx="2922">
                <c:v>-275.44186000000002</c:v>
              </c:pt>
              <c:pt idx="2923">
                <c:v>-275.26243999999997</c:v>
              </c:pt>
              <c:pt idx="2924">
                <c:v>-275.08312999999998</c:v>
              </c:pt>
              <c:pt idx="2925">
                <c:v>-274.90391</c:v>
              </c:pt>
              <c:pt idx="2926">
                <c:v>-274.72459000000003</c:v>
              </c:pt>
              <c:pt idx="2927">
                <c:v>-274.54516999999998</c:v>
              </c:pt>
              <c:pt idx="2928">
                <c:v>-274.36586</c:v>
              </c:pt>
              <c:pt idx="2929">
                <c:v>-274.18644</c:v>
              </c:pt>
              <c:pt idx="2930">
                <c:v>-274.00713000000002</c:v>
              </c:pt>
              <c:pt idx="2931">
                <c:v>-273.82790999999997</c:v>
              </c:pt>
              <c:pt idx="2932">
                <c:v>-273.64839999999998</c:v>
              </c:pt>
              <c:pt idx="2933">
                <c:v>-273.46908000000002</c:v>
              </c:pt>
              <c:pt idx="2934">
                <c:v>-273.28976999999998</c:v>
              </c:pt>
              <c:pt idx="2935">
                <c:v>-273.11035999999996</c:v>
              </c:pt>
              <c:pt idx="2936">
                <c:v>-272.93104000000005</c:v>
              </c:pt>
              <c:pt idx="2937">
                <c:v>-272.75173000000001</c:v>
              </c:pt>
              <c:pt idx="2938">
                <c:v>-272.57241999999997</c:v>
              </c:pt>
              <c:pt idx="2939">
                <c:v>-272.39301</c:v>
              </c:pt>
              <c:pt idx="2940">
                <c:v>-272.21370000000002</c:v>
              </c:pt>
              <c:pt idx="2941">
                <c:v>-272.03429</c:v>
              </c:pt>
              <c:pt idx="2942">
                <c:v>-271.85488000000004</c:v>
              </c:pt>
              <c:pt idx="2943">
                <c:v>-271.67566999999997</c:v>
              </c:pt>
              <c:pt idx="2944">
                <c:v>-271.49635999999998</c:v>
              </c:pt>
              <c:pt idx="2945">
                <c:v>-271.31695000000002</c:v>
              </c:pt>
              <c:pt idx="2946">
                <c:v>-271.13754</c:v>
              </c:pt>
              <c:pt idx="2947">
                <c:v>-270.95823000000001</c:v>
              </c:pt>
              <c:pt idx="2948">
                <c:v>-270.77892000000003</c:v>
              </c:pt>
              <c:pt idx="2949">
                <c:v>-270.59971999999999</c:v>
              </c:pt>
              <c:pt idx="2950">
                <c:v>-270.42031000000003</c:v>
              </c:pt>
              <c:pt idx="2951">
                <c:v>-270.24090999999999</c:v>
              </c:pt>
              <c:pt idx="2952">
                <c:v>-270.0616</c:v>
              </c:pt>
              <c:pt idx="2953">
                <c:v>-269.88220000000001</c:v>
              </c:pt>
              <c:pt idx="2954">
                <c:v>-269.70289000000002</c:v>
              </c:pt>
              <c:pt idx="2955">
                <c:v>-269.52359000000001</c:v>
              </c:pt>
              <c:pt idx="2956">
                <c:v>-269.34417999999999</c:v>
              </c:pt>
              <c:pt idx="2957">
                <c:v>-269.16488000000004</c:v>
              </c:pt>
              <c:pt idx="2958">
                <c:v>-268.98538000000002</c:v>
              </c:pt>
              <c:pt idx="2959">
                <c:v>-268.80616999999995</c:v>
              </c:pt>
              <c:pt idx="2960">
                <c:v>-268.62676999999996</c:v>
              </c:pt>
              <c:pt idx="2961">
                <c:v>-268.44747000000001</c:v>
              </c:pt>
              <c:pt idx="2962">
                <c:v>-268.26817</c:v>
              </c:pt>
              <c:pt idx="2963">
                <c:v>-268.08877000000001</c:v>
              </c:pt>
              <c:pt idx="2964">
                <c:v>-267.90947</c:v>
              </c:pt>
              <c:pt idx="2965">
                <c:v>-267.73007000000001</c:v>
              </c:pt>
              <c:pt idx="2966">
                <c:v>-267.55067000000003</c:v>
              </c:pt>
              <c:pt idx="2967">
                <c:v>-267.37136999999996</c:v>
              </c:pt>
              <c:pt idx="2968">
                <c:v>-267.19207</c:v>
              </c:pt>
              <c:pt idx="2969">
                <c:v>-267.01257000000004</c:v>
              </c:pt>
              <c:pt idx="2970">
                <c:v>-266.83338000000003</c:v>
              </c:pt>
              <c:pt idx="2971">
                <c:v>-266.65408000000002</c:v>
              </c:pt>
              <c:pt idx="2972">
                <c:v>-266.47458</c:v>
              </c:pt>
              <c:pt idx="2973">
                <c:v>-266.29539</c:v>
              </c:pt>
              <c:pt idx="2974">
                <c:v>-266.11599000000001</c:v>
              </c:pt>
              <c:pt idx="2975">
                <c:v>-265.93669999999997</c:v>
              </c:pt>
              <c:pt idx="2976">
                <c:v>-265.75729999999999</c:v>
              </c:pt>
              <c:pt idx="2977">
                <c:v>-265.57801000000001</c:v>
              </c:pt>
              <c:pt idx="2978">
                <c:v>-265.39850999999999</c:v>
              </c:pt>
              <c:pt idx="2979">
                <c:v>-265.21911999999998</c:v>
              </c:pt>
              <c:pt idx="2980">
                <c:v>-265.03983000000005</c:v>
              </c:pt>
              <c:pt idx="2981">
                <c:v>-264.86053999999996</c:v>
              </c:pt>
              <c:pt idx="2982">
                <c:v>-264.68114000000003</c:v>
              </c:pt>
              <c:pt idx="2983">
                <c:v>-264.50175000000002</c:v>
              </c:pt>
              <c:pt idx="2984">
                <c:v>-264.32236</c:v>
              </c:pt>
              <c:pt idx="2985">
                <c:v>-264.14307000000002</c:v>
              </c:pt>
              <c:pt idx="2986">
                <c:v>-263.96368000000001</c:v>
              </c:pt>
              <c:pt idx="2987">
                <c:v>-263.78439000000003</c:v>
              </c:pt>
              <c:pt idx="2988">
                <c:v>-263.60509999999999</c:v>
              </c:pt>
              <c:pt idx="2989">
                <c:v>-263.42571000000004</c:v>
              </c:pt>
              <c:pt idx="2990">
                <c:v>-263.24631999999997</c:v>
              </c:pt>
              <c:pt idx="2991">
                <c:v>-263.06703999999996</c:v>
              </c:pt>
              <c:pt idx="2992">
                <c:v>-262.88764999999995</c:v>
              </c:pt>
              <c:pt idx="2993">
                <c:v>-262.70836000000003</c:v>
              </c:pt>
              <c:pt idx="2994">
                <c:v>-262.52907000000005</c:v>
              </c:pt>
              <c:pt idx="2995">
                <c:v>-262.34969000000001</c:v>
              </c:pt>
              <c:pt idx="2996">
                <c:v>-262.1703</c:v>
              </c:pt>
              <c:pt idx="2997">
                <c:v>-261.99092000000002</c:v>
              </c:pt>
              <c:pt idx="2998">
                <c:v>-261.81173000000001</c:v>
              </c:pt>
              <c:pt idx="2999">
                <c:v>-261.63225</c:v>
              </c:pt>
              <c:pt idx="3000">
                <c:v>-261.45296000000002</c:v>
              </c:pt>
              <c:pt idx="3001">
                <c:v>-261.27357999999998</c:v>
              </c:pt>
              <c:pt idx="3002">
                <c:v>-261.0942</c:v>
              </c:pt>
              <c:pt idx="3003">
                <c:v>-260.91482000000002</c:v>
              </c:pt>
              <c:pt idx="3004">
                <c:v>-260.73552999999998</c:v>
              </c:pt>
              <c:pt idx="3005">
                <c:v>-260.55615</c:v>
              </c:pt>
              <c:pt idx="3006">
                <c:v>-260.37687</c:v>
              </c:pt>
              <c:pt idx="3007">
                <c:v>-260.19759000000005</c:v>
              </c:pt>
              <c:pt idx="3008">
                <c:v>-260.01810999999998</c:v>
              </c:pt>
              <c:pt idx="3009">
                <c:v>-259.83883000000003</c:v>
              </c:pt>
              <c:pt idx="3010">
                <c:v>-259.65944999999999</c:v>
              </c:pt>
              <c:pt idx="3011">
                <c:v>-259.48016999999999</c:v>
              </c:pt>
              <c:pt idx="3012">
                <c:v>-259.30079000000001</c:v>
              </c:pt>
              <c:pt idx="3013">
                <c:v>-259.12130999999999</c:v>
              </c:pt>
              <c:pt idx="3014">
                <c:v>-258.94193999999999</c:v>
              </c:pt>
              <c:pt idx="3015">
                <c:v>-258.76265999999998</c:v>
              </c:pt>
              <c:pt idx="3016">
                <c:v>-258.58338000000003</c:v>
              </c:pt>
              <c:pt idx="3017">
                <c:v>-258.40411</c:v>
              </c:pt>
              <c:pt idx="3018">
                <c:v>-258.22473000000002</c:v>
              </c:pt>
              <c:pt idx="3019">
                <c:v>-258.04535999999996</c:v>
              </c:pt>
              <c:pt idx="3020">
                <c:v>-257.86597999999998</c:v>
              </c:pt>
              <c:pt idx="3021">
                <c:v>-257.68660999999997</c:v>
              </c:pt>
              <c:pt idx="3022">
                <c:v>-257.50733000000002</c:v>
              </c:pt>
              <c:pt idx="3023">
                <c:v>-257.32785999999999</c:v>
              </c:pt>
              <c:pt idx="3024">
                <c:v>-257.14858999999996</c:v>
              </c:pt>
              <c:pt idx="3025">
                <c:v>-256.96921000000003</c:v>
              </c:pt>
              <c:pt idx="3026">
                <c:v>-256.78994</c:v>
              </c:pt>
              <c:pt idx="3027">
                <c:v>-256.61047000000002</c:v>
              </c:pt>
              <c:pt idx="3028">
                <c:v>-256.43109999999996</c:v>
              </c:pt>
              <c:pt idx="3029">
                <c:v>-256.25182999999998</c:v>
              </c:pt>
              <c:pt idx="3030">
                <c:v>-256.07266000000004</c:v>
              </c:pt>
              <c:pt idx="3031">
                <c:v>-255.89319</c:v>
              </c:pt>
              <c:pt idx="3032">
                <c:v>-255.71382</c:v>
              </c:pt>
              <c:pt idx="3033">
                <c:v>-255.53444999999999</c:v>
              </c:pt>
              <c:pt idx="3034">
                <c:v>-255.35507999999999</c:v>
              </c:pt>
              <c:pt idx="3035">
                <c:v>-255.17570999999998</c:v>
              </c:pt>
              <c:pt idx="3036">
                <c:v>-254.99633999999998</c:v>
              </c:pt>
              <c:pt idx="3037">
                <c:v>-254.81717999999998</c:v>
              </c:pt>
              <c:pt idx="3038">
                <c:v>-254.63771000000003</c:v>
              </c:pt>
              <c:pt idx="3039">
                <c:v>-254.45833999999996</c:v>
              </c:pt>
              <c:pt idx="3040">
                <c:v>-254.27908000000002</c:v>
              </c:pt>
              <c:pt idx="3041">
                <c:v>-254.09960999999998</c:v>
              </c:pt>
              <c:pt idx="3042">
                <c:v>-253.92025000000001</c:v>
              </c:pt>
              <c:pt idx="3043">
                <c:v>-253.74108000000001</c:v>
              </c:pt>
              <c:pt idx="3044">
                <c:v>-253.56171999999998</c:v>
              </c:pt>
              <c:pt idx="3045">
                <c:v>-253.38225999999997</c:v>
              </c:pt>
              <c:pt idx="3046">
                <c:v>-253.20289</c:v>
              </c:pt>
              <c:pt idx="3047">
                <c:v>-253.02352999999999</c:v>
              </c:pt>
              <c:pt idx="3048">
                <c:v>-252.84426999999999</c:v>
              </c:pt>
              <c:pt idx="3049">
                <c:v>-252.66481000000002</c:v>
              </c:pt>
              <c:pt idx="3050">
                <c:v>-252.48563999999999</c:v>
              </c:pt>
              <c:pt idx="3051">
                <c:v>-252.30627999999999</c:v>
              </c:pt>
              <c:pt idx="3052">
                <c:v>-252.12682000000001</c:v>
              </c:pt>
              <c:pt idx="3053">
                <c:v>-251.94746000000004</c:v>
              </c:pt>
              <c:pt idx="3054">
                <c:v>-251.7681</c:v>
              </c:pt>
              <c:pt idx="3055">
                <c:v>-251.58874</c:v>
              </c:pt>
              <c:pt idx="3056">
                <c:v>-251.40948999999998</c:v>
              </c:pt>
              <c:pt idx="3057">
                <c:v>-251.23013</c:v>
              </c:pt>
              <c:pt idx="3058">
                <c:v>-251.05087000000003</c:v>
              </c:pt>
              <c:pt idx="3059">
                <c:v>-250.87140999999997</c:v>
              </c:pt>
              <c:pt idx="3060">
                <c:v>-250.69206000000003</c:v>
              </c:pt>
              <c:pt idx="3061">
                <c:v>-250.5127</c:v>
              </c:pt>
              <c:pt idx="3062">
                <c:v>-250.33333999999996</c:v>
              </c:pt>
              <c:pt idx="3063">
                <c:v>-250.15419</c:v>
              </c:pt>
              <c:pt idx="3064">
                <c:v>-249.97463000000002</c:v>
              </c:pt>
              <c:pt idx="3065">
                <c:v>-249.79527999999999</c:v>
              </c:pt>
              <c:pt idx="3066">
                <c:v>-249.61592000000002</c:v>
              </c:pt>
              <c:pt idx="3067">
                <c:v>-249.43657000000002</c:v>
              </c:pt>
              <c:pt idx="3068">
                <c:v>-249.25721999999999</c:v>
              </c:pt>
              <c:pt idx="3069">
                <c:v>-249.07787000000002</c:v>
              </c:pt>
              <c:pt idx="3070">
                <c:v>-248.89861000000002</c:v>
              </c:pt>
              <c:pt idx="3071">
                <c:v>-248.71926000000002</c:v>
              </c:pt>
              <c:pt idx="3072">
                <c:v>-248.53991000000002</c:v>
              </c:pt>
              <c:pt idx="3073">
                <c:v>-248.36055999999996</c:v>
              </c:pt>
              <c:pt idx="3074">
                <c:v>-248.18121000000002</c:v>
              </c:pt>
              <c:pt idx="3075">
                <c:v>-248.00175999999999</c:v>
              </c:pt>
              <c:pt idx="3076">
                <c:v>-247.82250999999999</c:v>
              </c:pt>
              <c:pt idx="3077">
                <c:v>-247.64316000000002</c:v>
              </c:pt>
              <c:pt idx="3078">
                <c:v>-247.46381000000002</c:v>
              </c:pt>
              <c:pt idx="3079">
                <c:v>-247.28435999999999</c:v>
              </c:pt>
              <c:pt idx="3080">
                <c:v>-247.10501000000002</c:v>
              </c:pt>
              <c:pt idx="3081">
                <c:v>-246.92566999999997</c:v>
              </c:pt>
              <c:pt idx="3082">
                <c:v>-246.74642</c:v>
              </c:pt>
              <c:pt idx="3083">
                <c:v>-246.56716999999998</c:v>
              </c:pt>
              <c:pt idx="3084">
                <c:v>-246.38773</c:v>
              </c:pt>
              <c:pt idx="3085">
                <c:v>-246.20837999999998</c:v>
              </c:pt>
              <c:pt idx="3086">
                <c:v>-246.02903999999995</c:v>
              </c:pt>
              <c:pt idx="3087">
                <c:v>-245.84969000000001</c:v>
              </c:pt>
              <c:pt idx="3088">
                <c:v>-245.67024999999998</c:v>
              </c:pt>
              <c:pt idx="3089">
                <c:v>-245.49090000000001</c:v>
              </c:pt>
              <c:pt idx="3090">
                <c:v>-245.31165999999996</c:v>
              </c:pt>
              <c:pt idx="3091">
                <c:v>-245.13232000000002</c:v>
              </c:pt>
              <c:pt idx="3092">
                <c:v>-244.95287999999996</c:v>
              </c:pt>
              <c:pt idx="3093">
                <c:v>-244.77343000000002</c:v>
              </c:pt>
              <c:pt idx="3094">
                <c:v>-244.59408999999999</c:v>
              </c:pt>
              <c:pt idx="3095">
                <c:v>-244.41484999999997</c:v>
              </c:pt>
              <c:pt idx="3096">
                <c:v>-244.23551</c:v>
              </c:pt>
              <c:pt idx="3097">
                <c:v>-244.05606999999998</c:v>
              </c:pt>
              <c:pt idx="3098">
                <c:v>-243.87682999999998</c:v>
              </c:pt>
              <c:pt idx="3099">
                <c:v>-243.69748999999999</c:v>
              </c:pt>
              <c:pt idx="3100">
                <c:v>-243.51825000000002</c:v>
              </c:pt>
              <c:pt idx="3101">
                <c:v>-243.33880999999997</c:v>
              </c:pt>
              <c:pt idx="3102">
                <c:v>-243.15938</c:v>
              </c:pt>
              <c:pt idx="3103">
                <c:v>-242.98004</c:v>
              </c:pt>
              <c:pt idx="3104">
                <c:v>-242.80080000000001</c:v>
              </c:pt>
              <c:pt idx="3105">
                <c:v>-242.62146999999999</c:v>
              </c:pt>
              <c:pt idx="3106">
                <c:v>-242.44193000000001</c:v>
              </c:pt>
              <c:pt idx="3107">
                <c:v>-242.26268999999999</c:v>
              </c:pt>
              <c:pt idx="3108">
                <c:v>-242.08336</c:v>
              </c:pt>
              <c:pt idx="3109">
                <c:v>-241.90391999999997</c:v>
              </c:pt>
              <c:pt idx="3110">
                <c:v>-241.72449</c:v>
              </c:pt>
              <c:pt idx="3111">
                <c:v>-241.54526000000001</c:v>
              </c:pt>
              <c:pt idx="3112">
                <c:v>-241.36591999999999</c:v>
              </c:pt>
              <c:pt idx="3113">
                <c:v>-241.18649000000002</c:v>
              </c:pt>
              <c:pt idx="3114">
                <c:v>-241.00716</c:v>
              </c:pt>
              <c:pt idx="3115">
                <c:v>-240.82783000000001</c:v>
              </c:pt>
              <c:pt idx="3116">
                <c:v>-240.64849000000001</c:v>
              </c:pt>
              <c:pt idx="3117">
                <c:v>-240.46906000000001</c:v>
              </c:pt>
              <c:pt idx="3118">
                <c:v>-240.28982999999999</c:v>
              </c:pt>
              <c:pt idx="3119">
                <c:v>-240.1105</c:v>
              </c:pt>
              <c:pt idx="3120">
                <c:v>-239.93107000000001</c:v>
              </c:pt>
              <c:pt idx="3121">
                <c:v>-239.75174000000001</c:v>
              </c:pt>
              <c:pt idx="3122">
                <c:v>-239.57240999999999</c:v>
              </c:pt>
              <c:pt idx="3123">
                <c:v>-239.39309</c:v>
              </c:pt>
              <c:pt idx="3124">
                <c:v>-239.21376000000001</c:v>
              </c:pt>
              <c:pt idx="3125">
                <c:v>-239.03443000000001</c:v>
              </c:pt>
              <c:pt idx="3126">
                <c:v>-238.85509999999999</c:v>
              </c:pt>
              <c:pt idx="3127">
                <c:v>-238.67567999999997</c:v>
              </c:pt>
              <c:pt idx="3128">
                <c:v>-238.49635000000001</c:v>
              </c:pt>
              <c:pt idx="3129">
                <c:v>-238.31702000000001</c:v>
              </c:pt>
              <c:pt idx="3130">
                <c:v>-238.13760000000002</c:v>
              </c:pt>
              <c:pt idx="3131">
                <c:v>-237.95817</c:v>
              </c:pt>
              <c:pt idx="3132">
                <c:v>-237.77895000000004</c:v>
              </c:pt>
              <c:pt idx="3133">
                <c:v>-237.59963000000002</c:v>
              </c:pt>
              <c:pt idx="3134">
                <c:v>-237.42019999999999</c:v>
              </c:pt>
              <c:pt idx="3135">
                <c:v>-237.24078000000003</c:v>
              </c:pt>
              <c:pt idx="3136">
                <c:v>-237.06145999999998</c:v>
              </c:pt>
              <c:pt idx="3137">
                <c:v>-236.88204000000002</c:v>
              </c:pt>
              <c:pt idx="3138">
                <c:v>-236.70281</c:v>
              </c:pt>
              <c:pt idx="3139">
                <c:v>-236.52358999999998</c:v>
              </c:pt>
              <c:pt idx="3140">
                <c:v>-236.34416999999999</c:v>
              </c:pt>
              <c:pt idx="3141">
                <c:v>-236.16475</c:v>
              </c:pt>
              <c:pt idx="3142">
                <c:v>-235.98542999999998</c:v>
              </c:pt>
              <c:pt idx="3143">
                <c:v>-235.80610999999999</c:v>
              </c:pt>
              <c:pt idx="3144">
                <c:v>-235.62669</c:v>
              </c:pt>
              <c:pt idx="3145">
                <c:v>-235.44736999999998</c:v>
              </c:pt>
              <c:pt idx="3146">
                <c:v>-235.26795999999999</c:v>
              </c:pt>
              <c:pt idx="3147">
                <c:v>-235.08864</c:v>
              </c:pt>
              <c:pt idx="3148">
                <c:v>-234.90931999999998</c:v>
              </c:pt>
              <c:pt idx="3149">
                <c:v>-234.73000999999996</c:v>
              </c:pt>
              <c:pt idx="3150">
                <c:v>-234.55059</c:v>
              </c:pt>
              <c:pt idx="3151">
                <c:v>-234.37126999999998</c:v>
              </c:pt>
              <c:pt idx="3152">
                <c:v>-234.19186000000002</c:v>
              </c:pt>
              <c:pt idx="3153">
                <c:v>-234.01243999999997</c:v>
              </c:pt>
              <c:pt idx="3154">
                <c:v>-233.83323000000001</c:v>
              </c:pt>
              <c:pt idx="3155">
                <c:v>-233.65380999999999</c:v>
              </c:pt>
              <c:pt idx="3156">
                <c:v>-233.47449999999998</c:v>
              </c:pt>
              <c:pt idx="3157">
                <c:v>-233.29518999999999</c:v>
              </c:pt>
              <c:pt idx="3158">
                <c:v>-233.11568</c:v>
              </c:pt>
              <c:pt idx="3159">
                <c:v>-232.93636000000004</c:v>
              </c:pt>
              <c:pt idx="3160">
                <c:v>-232.75704999999999</c:v>
              </c:pt>
              <c:pt idx="3161">
                <c:v>-232.57774000000001</c:v>
              </c:pt>
              <c:pt idx="3162">
                <c:v>-232.39842999999999</c:v>
              </c:pt>
              <c:pt idx="3163">
                <c:v>-232.21912</c:v>
              </c:pt>
              <c:pt idx="3164">
                <c:v>-232.03970999999999</c:v>
              </c:pt>
              <c:pt idx="3165">
                <c:v>-231.8603</c:v>
              </c:pt>
              <c:pt idx="3166">
                <c:v>-231.68098999999998</c:v>
              </c:pt>
              <c:pt idx="3167">
                <c:v>-231.50157999999999</c:v>
              </c:pt>
              <c:pt idx="3168">
                <c:v>-231.32227</c:v>
              </c:pt>
              <c:pt idx="3169">
                <c:v>-231.14296999999999</c:v>
              </c:pt>
              <c:pt idx="3170">
                <c:v>-230.96366</c:v>
              </c:pt>
              <c:pt idx="3171">
                <c:v>-230.78424999999999</c:v>
              </c:pt>
              <c:pt idx="3172">
                <c:v>-230.60485</c:v>
              </c:pt>
              <c:pt idx="3173">
                <c:v>-230.42553999999996</c:v>
              </c:pt>
              <c:pt idx="3174">
                <c:v>-230.24613999999997</c:v>
              </c:pt>
              <c:pt idx="3175">
                <c:v>-230.06672999999998</c:v>
              </c:pt>
              <c:pt idx="3176">
                <c:v>-229.88753</c:v>
              </c:pt>
              <c:pt idx="3177">
                <c:v>-229.70812000000001</c:v>
              </c:pt>
              <c:pt idx="3178">
                <c:v>-229.52872000000002</c:v>
              </c:pt>
              <c:pt idx="3179">
                <c:v>-229.34941999999998</c:v>
              </c:pt>
              <c:pt idx="3180">
                <c:v>-229.17000999999999</c:v>
              </c:pt>
              <c:pt idx="3181">
                <c:v>-228.99071000000001</c:v>
              </c:pt>
              <c:pt idx="3182">
                <c:v>-228.81141000000002</c:v>
              </c:pt>
              <c:pt idx="3183">
                <c:v>-228.63200999999998</c:v>
              </c:pt>
              <c:pt idx="3184">
                <c:v>-228.45281000000003</c:v>
              </c:pt>
              <c:pt idx="3185">
                <c:v>-228.27331000000001</c:v>
              </c:pt>
              <c:pt idx="3186">
                <c:v>-228.09401</c:v>
              </c:pt>
              <c:pt idx="3187">
                <c:v>-227.91471000000001</c:v>
              </c:pt>
              <c:pt idx="3188">
                <c:v>-227.73521</c:v>
              </c:pt>
              <c:pt idx="3189">
                <c:v>-227.55590999999998</c:v>
              </c:pt>
              <c:pt idx="3190">
                <c:v>-227.37651000000002</c:v>
              </c:pt>
              <c:pt idx="3191">
                <c:v>-227.19731000000002</c:v>
              </c:pt>
              <c:pt idx="3192">
                <c:v>-227.01792</c:v>
              </c:pt>
              <c:pt idx="3193">
                <c:v>-226.83852000000002</c:v>
              </c:pt>
              <c:pt idx="3194">
                <c:v>-226.65922</c:v>
              </c:pt>
              <c:pt idx="3195">
                <c:v>-226.47983000000002</c:v>
              </c:pt>
              <c:pt idx="3196">
                <c:v>-226.30052999999998</c:v>
              </c:pt>
              <c:pt idx="3197">
                <c:v>-226.12103999999999</c:v>
              </c:pt>
              <c:pt idx="3198">
                <c:v>-225.94163999999998</c:v>
              </c:pt>
              <c:pt idx="3199">
                <c:v>-225.76245000000003</c:v>
              </c:pt>
              <c:pt idx="3200">
                <c:v>-225.58304999999999</c:v>
              </c:pt>
              <c:pt idx="3201">
                <c:v>-225.40366</c:v>
              </c:pt>
              <c:pt idx="3202">
                <c:v>-225.22426999999999</c:v>
              </c:pt>
              <c:pt idx="3203">
                <c:v>-225.04497999999998</c:v>
              </c:pt>
              <c:pt idx="3204">
                <c:v>-224.86558000000002</c:v>
              </c:pt>
              <c:pt idx="3205">
                <c:v>-224.68619000000001</c:v>
              </c:pt>
              <c:pt idx="3206">
                <c:v>-224.50690000000003</c:v>
              </c:pt>
              <c:pt idx="3207">
                <c:v>-224.32760999999996</c:v>
              </c:pt>
              <c:pt idx="3208">
                <c:v>-224.14832000000001</c:v>
              </c:pt>
              <c:pt idx="3209">
                <c:v>-223.96883</c:v>
              </c:pt>
              <c:pt idx="3210">
                <c:v>-223.78953999999999</c:v>
              </c:pt>
              <c:pt idx="3211">
                <c:v>-223.61015</c:v>
              </c:pt>
              <c:pt idx="3212">
                <c:v>-223.43077</c:v>
              </c:pt>
              <c:pt idx="3213">
                <c:v>-223.25138000000001</c:v>
              </c:pt>
              <c:pt idx="3214">
                <c:v>-223.07208999999997</c:v>
              </c:pt>
              <c:pt idx="3215">
                <c:v>-222.8929</c:v>
              </c:pt>
              <c:pt idx="3216">
                <c:v>-222.71351999999996</c:v>
              </c:pt>
              <c:pt idx="3217">
                <c:v>-222.53412999999998</c:v>
              </c:pt>
              <c:pt idx="3218">
                <c:v>-222.35475</c:v>
              </c:pt>
              <c:pt idx="3219">
                <c:v>-222.17526000000001</c:v>
              </c:pt>
              <c:pt idx="3220">
                <c:v>-221.99588</c:v>
              </c:pt>
              <c:pt idx="3221">
                <c:v>-221.81658999999999</c:v>
              </c:pt>
              <c:pt idx="3222">
                <c:v>-221.63720999999998</c:v>
              </c:pt>
              <c:pt idx="3223">
                <c:v>-221.45792</c:v>
              </c:pt>
              <c:pt idx="3224">
                <c:v>-221.27853999999999</c:v>
              </c:pt>
              <c:pt idx="3225">
                <c:v>-221.09926000000002</c:v>
              </c:pt>
              <c:pt idx="3226">
                <c:v>-220.91987999999998</c:v>
              </c:pt>
              <c:pt idx="3227">
                <c:v>-220.7406</c:v>
              </c:pt>
              <c:pt idx="3228">
                <c:v>-220.56121999999999</c:v>
              </c:pt>
              <c:pt idx="3229">
                <c:v>-220.38173</c:v>
              </c:pt>
              <c:pt idx="3230">
                <c:v>-220.20245</c:v>
              </c:pt>
              <c:pt idx="3231">
                <c:v>-220.02317000000002</c:v>
              </c:pt>
              <c:pt idx="3232">
                <c:v>-219.84380000000002</c:v>
              </c:pt>
              <c:pt idx="3233">
                <c:v>-219.66441999999998</c:v>
              </c:pt>
              <c:pt idx="3234">
                <c:v>-219.48514000000003</c:v>
              </c:pt>
              <c:pt idx="3235">
                <c:v>-219.30565999999999</c:v>
              </c:pt>
              <c:pt idx="3236">
                <c:v>-219.12638000000001</c:v>
              </c:pt>
              <c:pt idx="3237">
                <c:v>-218.94691</c:v>
              </c:pt>
              <c:pt idx="3238">
                <c:v>-218.76763000000003</c:v>
              </c:pt>
              <c:pt idx="3239">
                <c:v>-218.58834999999999</c:v>
              </c:pt>
              <c:pt idx="3240">
                <c:v>-218.40907999999999</c:v>
              </c:pt>
              <c:pt idx="3241">
                <c:v>-218.22949999999997</c:v>
              </c:pt>
              <c:pt idx="3242">
                <c:v>-218.05023</c:v>
              </c:pt>
              <c:pt idx="3243">
                <c:v>-217.87084999999999</c:v>
              </c:pt>
              <c:pt idx="3244">
                <c:v>-217.69158000000002</c:v>
              </c:pt>
              <c:pt idx="3245">
                <c:v>-217.51211000000001</c:v>
              </c:pt>
              <c:pt idx="3246">
                <c:v>-217.33282999999997</c:v>
              </c:pt>
              <c:pt idx="3247">
                <c:v>-217.15356</c:v>
              </c:pt>
              <c:pt idx="3248">
                <c:v>-216.97418999999999</c:v>
              </c:pt>
              <c:pt idx="3249">
                <c:v>-216.79472000000001</c:v>
              </c:pt>
              <c:pt idx="3250">
                <c:v>-216.61545000000001</c:v>
              </c:pt>
              <c:pt idx="3251">
                <c:v>-216.43608</c:v>
              </c:pt>
              <c:pt idx="3252">
                <c:v>-216.25670999999997</c:v>
              </c:pt>
              <c:pt idx="3253">
                <c:v>-216.07733999999999</c:v>
              </c:pt>
              <c:pt idx="3254">
                <c:v>-215.89807000000002</c:v>
              </c:pt>
              <c:pt idx="3255">
                <c:v>-215.71870000000001</c:v>
              </c:pt>
              <c:pt idx="3256">
                <c:v>-215.53923</c:v>
              </c:pt>
              <c:pt idx="3257">
                <c:v>-215.35996</c:v>
              </c:pt>
              <c:pt idx="3258">
                <c:v>-215.1806</c:v>
              </c:pt>
              <c:pt idx="3259">
                <c:v>-215.00113000000002</c:v>
              </c:pt>
              <c:pt idx="3260">
                <c:v>-214.82175999999998</c:v>
              </c:pt>
              <c:pt idx="3261">
                <c:v>-214.64250000000001</c:v>
              </c:pt>
              <c:pt idx="3262">
                <c:v>-214.46313000000001</c:v>
              </c:pt>
              <c:pt idx="3263">
                <c:v>-214.28386</c:v>
              </c:pt>
              <c:pt idx="3264">
                <c:v>-214.1045</c:v>
              </c:pt>
              <c:pt idx="3265">
                <c:v>-213.92524000000003</c:v>
              </c:pt>
              <c:pt idx="3266">
                <c:v>-213.74576999999999</c:v>
              </c:pt>
              <c:pt idx="3267">
                <c:v>-213.56650999999999</c:v>
              </c:pt>
              <c:pt idx="3268">
                <c:v>-213.38714999999999</c:v>
              </c:pt>
              <c:pt idx="3269">
                <c:v>-213.20757999999998</c:v>
              </c:pt>
              <c:pt idx="3270">
                <c:v>-213.02832000000001</c:v>
              </c:pt>
              <c:pt idx="3271">
                <c:v>-212.84895999999998</c:v>
              </c:pt>
              <c:pt idx="3272">
                <c:v>-212.66970000000001</c:v>
              </c:pt>
              <c:pt idx="3273">
                <c:v>-212.49023999999997</c:v>
              </c:pt>
              <c:pt idx="3274">
                <c:v>-212.31098</c:v>
              </c:pt>
              <c:pt idx="3275">
                <c:v>-212.13151999999999</c:v>
              </c:pt>
              <c:pt idx="3276">
                <c:v>-211.95226000000002</c:v>
              </c:pt>
              <c:pt idx="3277">
                <c:v>-211.77289999999996</c:v>
              </c:pt>
              <c:pt idx="3278">
                <c:v>-211.59334000000001</c:v>
              </c:pt>
              <c:pt idx="3279">
                <c:v>-211.41408000000001</c:v>
              </c:pt>
              <c:pt idx="3280">
                <c:v>-211.23473000000001</c:v>
              </c:pt>
              <c:pt idx="3281">
                <c:v>-211.05547000000001</c:v>
              </c:pt>
              <c:pt idx="3282">
                <c:v>-210.87610999999998</c:v>
              </c:pt>
              <c:pt idx="3283">
                <c:v>-210.69676000000001</c:v>
              </c:pt>
              <c:pt idx="3284">
                <c:v>-210.51740000000001</c:v>
              </c:pt>
              <c:pt idx="3285">
                <c:v>-210.33804000000001</c:v>
              </c:pt>
              <c:pt idx="3286">
                <c:v>-210.15869000000001</c:v>
              </c:pt>
              <c:pt idx="3287">
                <c:v>-209.97924</c:v>
              </c:pt>
              <c:pt idx="3288">
                <c:v>-209.79988</c:v>
              </c:pt>
              <c:pt idx="3289">
                <c:v>-209.62063000000001</c:v>
              </c:pt>
              <c:pt idx="3290">
                <c:v>-209.44136999999998</c:v>
              </c:pt>
              <c:pt idx="3291">
                <c:v>-209.26192</c:v>
              </c:pt>
              <c:pt idx="3292">
                <c:v>-209.08256999999998</c:v>
              </c:pt>
              <c:pt idx="3293">
                <c:v>-208.90331999999998</c:v>
              </c:pt>
              <c:pt idx="3294">
                <c:v>-208.72387000000001</c:v>
              </c:pt>
              <c:pt idx="3295">
                <c:v>-208.54452000000001</c:v>
              </c:pt>
              <c:pt idx="3296">
                <c:v>-208.36507</c:v>
              </c:pt>
              <c:pt idx="3297">
                <c:v>-208.18572000000003</c:v>
              </c:pt>
              <c:pt idx="3298">
                <c:v>-208.00656999999998</c:v>
              </c:pt>
              <c:pt idx="3299">
                <c:v>-207.82711999999998</c:v>
              </c:pt>
              <c:pt idx="3300">
                <c:v>-207.64787000000001</c:v>
              </c:pt>
              <c:pt idx="3301">
                <c:v>-207.46842000000001</c:v>
              </c:pt>
              <c:pt idx="3302">
                <c:v>-207.28897000000001</c:v>
              </c:pt>
              <c:pt idx="3303">
                <c:v>-207.10963000000001</c:v>
              </c:pt>
              <c:pt idx="3304">
                <c:v>-206.93027999999998</c:v>
              </c:pt>
              <c:pt idx="3305">
                <c:v>-206.75102999999999</c:v>
              </c:pt>
              <c:pt idx="3306">
                <c:v>-206.57168999999999</c:v>
              </c:pt>
              <c:pt idx="3307">
                <c:v>-206.39224000000002</c:v>
              </c:pt>
              <c:pt idx="3308">
                <c:v>-206.21289999999999</c:v>
              </c:pt>
              <c:pt idx="3309">
                <c:v>-206.03354999999999</c:v>
              </c:pt>
              <c:pt idx="3310">
                <c:v>-205.85400999999999</c:v>
              </c:pt>
              <c:pt idx="3311">
                <c:v>-205.67477</c:v>
              </c:pt>
              <c:pt idx="3312">
                <c:v>-205.49531999999999</c:v>
              </c:pt>
              <c:pt idx="3313">
                <c:v>-205.31608</c:v>
              </c:pt>
              <c:pt idx="3314">
                <c:v>-205.13673999999997</c:v>
              </c:pt>
              <c:pt idx="3315">
                <c:v>-204.95739999999998</c:v>
              </c:pt>
              <c:pt idx="3316">
                <c:v>-204.77805999999998</c:v>
              </c:pt>
              <c:pt idx="3317">
                <c:v>-204.59861000000001</c:v>
              </c:pt>
              <c:pt idx="3318">
                <c:v>-204.41927000000001</c:v>
              </c:pt>
              <c:pt idx="3319">
                <c:v>-204.23992999999999</c:v>
              </c:pt>
              <c:pt idx="3320">
                <c:v>-204.06060000000002</c:v>
              </c:pt>
              <c:pt idx="3321">
                <c:v>-203.88115999999999</c:v>
              </c:pt>
              <c:pt idx="3322">
                <c:v>-203.70192</c:v>
              </c:pt>
              <c:pt idx="3323">
                <c:v>-203.52238</c:v>
              </c:pt>
              <c:pt idx="3324">
                <c:v>-203.34324000000001</c:v>
              </c:pt>
              <c:pt idx="3325">
                <c:v>-203.16380000000001</c:v>
              </c:pt>
              <c:pt idx="3326">
                <c:v>-202.98446999999999</c:v>
              </c:pt>
              <c:pt idx="3327">
                <c:v>-202.80512999999999</c:v>
              </c:pt>
              <c:pt idx="3328">
                <c:v>-202.6258</c:v>
              </c:pt>
              <c:pt idx="3329">
                <c:v>-202.44626</c:v>
              </c:pt>
              <c:pt idx="3330">
                <c:v>-202.26703000000001</c:v>
              </c:pt>
              <c:pt idx="3331">
                <c:v>-202.08769000000001</c:v>
              </c:pt>
              <c:pt idx="3332">
                <c:v>-201.90836000000002</c:v>
              </c:pt>
              <c:pt idx="3333">
                <c:v>-201.72901999999999</c:v>
              </c:pt>
              <c:pt idx="3334">
                <c:v>-201.54979</c:v>
              </c:pt>
              <c:pt idx="3335">
                <c:v>-201.37036000000001</c:v>
              </c:pt>
              <c:pt idx="3336">
                <c:v>-201.19103000000001</c:v>
              </c:pt>
              <c:pt idx="3337">
                <c:v>-201.01159000000001</c:v>
              </c:pt>
              <c:pt idx="3338">
                <c:v>-200.83226000000002</c:v>
              </c:pt>
              <c:pt idx="3339">
                <c:v>-200.65293</c:v>
              </c:pt>
              <c:pt idx="3340">
                <c:v>-200.47359999999998</c:v>
              </c:pt>
              <c:pt idx="3341">
                <c:v>-200.29407</c:v>
              </c:pt>
              <c:pt idx="3342">
                <c:v>-200.11473999999998</c:v>
              </c:pt>
              <c:pt idx="3343">
                <c:v>-199.93551000000002</c:v>
              </c:pt>
              <c:pt idx="3344">
                <c:v>-199.75608</c:v>
              </c:pt>
              <c:pt idx="3345">
                <c:v>-199.57685999999998</c:v>
              </c:pt>
              <c:pt idx="3346">
                <c:v>-199.39742999999999</c:v>
              </c:pt>
              <c:pt idx="3347">
                <c:v>-199.21800000000002</c:v>
              </c:pt>
              <c:pt idx="3348">
                <c:v>-199.03856999999999</c:v>
              </c:pt>
              <c:pt idx="3349">
                <c:v>-198.85935000000001</c:v>
              </c:pt>
              <c:pt idx="3350">
                <c:v>-198.67991999999998</c:v>
              </c:pt>
              <c:pt idx="3351">
                <c:v>-198.50049999999999</c:v>
              </c:pt>
              <c:pt idx="3352">
                <c:v>-198.32136999999997</c:v>
              </c:pt>
              <c:pt idx="3353">
                <c:v>-198.14185000000001</c:v>
              </c:pt>
              <c:pt idx="3354">
                <c:v>-197.96252000000001</c:v>
              </c:pt>
              <c:pt idx="3355">
                <c:v>-197.78320000000002</c:v>
              </c:pt>
              <c:pt idx="3356">
                <c:v>-197.60388</c:v>
              </c:pt>
              <c:pt idx="3357">
                <c:v>-197.42445000000001</c:v>
              </c:pt>
              <c:pt idx="3358">
                <c:v>-197.24492999999998</c:v>
              </c:pt>
              <c:pt idx="3359">
                <c:v>-197.06571</c:v>
              </c:pt>
              <c:pt idx="3360">
                <c:v>-196.88629</c:v>
              </c:pt>
              <c:pt idx="3361">
                <c:v>-196.70697000000004</c:v>
              </c:pt>
              <c:pt idx="3362">
                <c:v>-196.52775000000003</c:v>
              </c:pt>
              <c:pt idx="3363">
                <c:v>-196.34823</c:v>
              </c:pt>
              <c:pt idx="3364">
                <c:v>-196.16890999999998</c:v>
              </c:pt>
              <c:pt idx="3365">
                <c:v>-195.98958999999999</c:v>
              </c:pt>
              <c:pt idx="3366">
                <c:v>-195.81037000000001</c:v>
              </c:pt>
              <c:pt idx="3367">
                <c:v>-195.63094999999998</c:v>
              </c:pt>
              <c:pt idx="3368">
                <c:v>-195.45142999999999</c:v>
              </c:pt>
              <c:pt idx="3369">
                <c:v>-195.27222</c:v>
              </c:pt>
              <c:pt idx="3370">
                <c:v>-195.09279999999998</c:v>
              </c:pt>
              <c:pt idx="3371">
                <c:v>-194.91358</c:v>
              </c:pt>
              <c:pt idx="3372">
                <c:v>-194.73417000000001</c:v>
              </c:pt>
              <c:pt idx="3373">
                <c:v>-194.55474999999998</c:v>
              </c:pt>
              <c:pt idx="3374">
                <c:v>-194.37544000000003</c:v>
              </c:pt>
              <c:pt idx="3375">
                <c:v>-194.19601999999998</c:v>
              </c:pt>
              <c:pt idx="3376">
                <c:v>-194.01660999999999</c:v>
              </c:pt>
              <c:pt idx="3377">
                <c:v>-193.83738999999997</c:v>
              </c:pt>
              <c:pt idx="3378">
                <c:v>-193.65788000000001</c:v>
              </c:pt>
              <c:pt idx="3379">
                <c:v>-193.47846999999999</c:v>
              </c:pt>
              <c:pt idx="3380">
                <c:v>-193.29916</c:v>
              </c:pt>
              <c:pt idx="3381">
                <c:v>-193.11993999999999</c:v>
              </c:pt>
              <c:pt idx="3382">
                <c:v>-192.94053000000002</c:v>
              </c:pt>
              <c:pt idx="3383">
                <c:v>-192.76121999999998</c:v>
              </c:pt>
              <c:pt idx="3384">
                <c:v>-192.58180999999999</c:v>
              </c:pt>
              <c:pt idx="3385">
                <c:v>-192.4025</c:v>
              </c:pt>
              <c:pt idx="3386">
                <c:v>-192.22319000000002</c:v>
              </c:pt>
              <c:pt idx="3387">
                <c:v>-192.04378</c:v>
              </c:pt>
              <c:pt idx="3388">
                <c:v>-191.86427000000003</c:v>
              </c:pt>
              <c:pt idx="3389">
                <c:v>-191.68505999999999</c:v>
              </c:pt>
              <c:pt idx="3390">
                <c:v>-191.50566000000001</c:v>
              </c:pt>
              <c:pt idx="3391">
                <c:v>-191.32634999999999</c:v>
              </c:pt>
              <c:pt idx="3392">
                <c:v>-191.14694</c:v>
              </c:pt>
              <c:pt idx="3393">
                <c:v>-190.96763999999999</c:v>
              </c:pt>
              <c:pt idx="3394">
                <c:v>-190.78823000000003</c:v>
              </c:pt>
              <c:pt idx="3395">
                <c:v>-190.60892000000001</c:v>
              </c:pt>
              <c:pt idx="3396">
                <c:v>-190.42952</c:v>
              </c:pt>
              <c:pt idx="3397">
                <c:v>-190.25010999999998</c:v>
              </c:pt>
              <c:pt idx="3398">
                <c:v>-190.07091</c:v>
              </c:pt>
              <c:pt idx="3399">
                <c:v>-189.89150999999998</c:v>
              </c:pt>
              <c:pt idx="3400">
                <c:v>-189.71210000000002</c:v>
              </c:pt>
              <c:pt idx="3401">
                <c:v>-189.53270000000001</c:v>
              </c:pt>
              <c:pt idx="3402">
                <c:v>-189.35340000000002</c:v>
              </c:pt>
              <c:pt idx="3403">
                <c:v>-189.17409999999998</c:v>
              </c:pt>
              <c:pt idx="3404">
                <c:v>-188.99468999999999</c:v>
              </c:pt>
              <c:pt idx="3405">
                <c:v>-188.81539000000001</c:v>
              </c:pt>
              <c:pt idx="3406">
                <c:v>-188.63588999999999</c:v>
              </c:pt>
              <c:pt idx="3407">
                <c:v>-188.45659000000001</c:v>
              </c:pt>
              <c:pt idx="3408">
                <c:v>-188.27718999999999</c:v>
              </c:pt>
              <c:pt idx="3409">
                <c:v>-188.09798999999998</c:v>
              </c:pt>
              <c:pt idx="3410">
                <c:v>-187.91850000000002</c:v>
              </c:pt>
              <c:pt idx="3411">
                <c:v>-187.73910000000001</c:v>
              </c:pt>
              <c:pt idx="3412">
                <c:v>-187.55989999999997</c:v>
              </c:pt>
              <c:pt idx="3413">
                <c:v>-187.38060000000002</c:v>
              </c:pt>
              <c:pt idx="3414">
                <c:v>-187.2011</c:v>
              </c:pt>
              <c:pt idx="3415">
                <c:v>-187.02171000000001</c:v>
              </c:pt>
              <c:pt idx="3416">
                <c:v>-186.84231</c:v>
              </c:pt>
              <c:pt idx="3417">
                <c:v>-186.66301999999999</c:v>
              </c:pt>
              <c:pt idx="3418">
                <c:v>-186.48361999999997</c:v>
              </c:pt>
              <c:pt idx="3419">
                <c:v>-186.30433000000002</c:v>
              </c:pt>
              <c:pt idx="3420">
                <c:v>-186.12493000000001</c:v>
              </c:pt>
              <c:pt idx="3421">
                <c:v>-185.94564000000003</c:v>
              </c:pt>
              <c:pt idx="3422">
                <c:v>-185.76625000000001</c:v>
              </c:pt>
              <c:pt idx="3423">
                <c:v>-185.58695</c:v>
              </c:pt>
              <c:pt idx="3424">
                <c:v>-185.40755999999996</c:v>
              </c:pt>
              <c:pt idx="3425">
                <c:v>-185.22816999999998</c:v>
              </c:pt>
              <c:pt idx="3426">
                <c:v>-185.04877999999999</c:v>
              </c:pt>
              <c:pt idx="3427">
                <c:v>-184.86939000000001</c:v>
              </c:pt>
              <c:pt idx="3428">
                <c:v>-184.68998999999999</c:v>
              </c:pt>
              <c:pt idx="3429">
                <c:v>-184.51079999999999</c:v>
              </c:pt>
              <c:pt idx="3430">
                <c:v>-184.33141000000001</c:v>
              </c:pt>
              <c:pt idx="3431">
                <c:v>-184.15203</c:v>
              </c:pt>
              <c:pt idx="3432">
                <c:v>-183.97263999999998</c:v>
              </c:pt>
              <c:pt idx="3433">
                <c:v>-183.79335</c:v>
              </c:pt>
              <c:pt idx="3434">
                <c:v>-183.61385999999999</c:v>
              </c:pt>
              <c:pt idx="3435">
                <c:v>-183.43457000000001</c:v>
              </c:pt>
              <c:pt idx="3436">
                <c:v>-183.25529</c:v>
              </c:pt>
              <c:pt idx="3437">
                <c:v>-183.07600000000002</c:v>
              </c:pt>
              <c:pt idx="3438">
                <c:v>-182.89650999999998</c:v>
              </c:pt>
              <c:pt idx="3439">
                <c:v>-182.71713</c:v>
              </c:pt>
              <c:pt idx="3440">
                <c:v>-182.53773999999999</c:v>
              </c:pt>
              <c:pt idx="3441">
                <c:v>-182.35846000000001</c:v>
              </c:pt>
              <c:pt idx="3442">
                <c:v>-182.17907</c:v>
              </c:pt>
              <c:pt idx="3443">
                <c:v>-181.99969000000002</c:v>
              </c:pt>
              <c:pt idx="3444">
                <c:v>-181.82041000000001</c:v>
              </c:pt>
              <c:pt idx="3445">
                <c:v>-181.64102000000003</c:v>
              </c:pt>
              <c:pt idx="3446">
                <c:v>-181.46163999999999</c:v>
              </c:pt>
              <c:pt idx="3447">
                <c:v>-181.28236000000001</c:v>
              </c:pt>
              <c:pt idx="3448">
                <c:v>-181.10298</c:v>
              </c:pt>
              <c:pt idx="3449">
                <c:v>-180.92349999999999</c:v>
              </c:pt>
              <c:pt idx="3450">
                <c:v>-180.74422000000001</c:v>
              </c:pt>
              <c:pt idx="3451">
                <c:v>-180.56483000000003</c:v>
              </c:pt>
              <c:pt idx="3452">
                <c:v>-180.38545999999999</c:v>
              </c:pt>
              <c:pt idx="3453">
                <c:v>-180.20608000000001</c:v>
              </c:pt>
              <c:pt idx="3454">
                <c:v>-180.02679999999998</c:v>
              </c:pt>
              <c:pt idx="3455">
                <c:v>-179.84752</c:v>
              </c:pt>
              <c:pt idx="3456">
                <c:v>-179.66803999999999</c:v>
              </c:pt>
              <c:pt idx="3457">
                <c:v>-179.48866000000001</c:v>
              </c:pt>
              <c:pt idx="3458">
                <c:v>-179.30939000000001</c:v>
              </c:pt>
              <c:pt idx="3459">
                <c:v>-179.13001000000003</c:v>
              </c:pt>
              <c:pt idx="3460">
                <c:v>-178.95062999999999</c:v>
              </c:pt>
              <c:pt idx="3461">
                <c:v>-178.77126000000001</c:v>
              </c:pt>
              <c:pt idx="3462">
                <c:v>-178.59197999999998</c:v>
              </c:pt>
              <c:pt idx="3463">
                <c:v>-178.41251</c:v>
              </c:pt>
              <c:pt idx="3464">
                <c:v>-178.23312999999999</c:v>
              </c:pt>
              <c:pt idx="3465">
                <c:v>-178.05376000000001</c:v>
              </c:pt>
              <c:pt idx="3466">
                <c:v>-177.87449000000001</c:v>
              </c:pt>
              <c:pt idx="3467">
                <c:v>-177.69511000000003</c:v>
              </c:pt>
              <c:pt idx="3468">
                <c:v>-177.51584</c:v>
              </c:pt>
              <c:pt idx="3469">
                <c:v>-177.33647000000002</c:v>
              </c:pt>
              <c:pt idx="3470">
                <c:v>-177.15699999999998</c:v>
              </c:pt>
              <c:pt idx="3471">
                <c:v>-176.97762999999998</c:v>
              </c:pt>
              <c:pt idx="3472">
                <c:v>-176.79825</c:v>
              </c:pt>
              <c:pt idx="3473">
                <c:v>-176.61898000000002</c:v>
              </c:pt>
              <c:pt idx="3474">
                <c:v>-176.43960999999999</c:v>
              </c:pt>
              <c:pt idx="3475">
                <c:v>-176.26024000000001</c:v>
              </c:pt>
              <c:pt idx="3476">
                <c:v>-176.08088000000001</c:v>
              </c:pt>
              <c:pt idx="3477">
                <c:v>-175.90141</c:v>
              </c:pt>
              <c:pt idx="3478">
                <c:v>-175.72213999999997</c:v>
              </c:pt>
              <c:pt idx="3479">
                <c:v>-175.54276999999999</c:v>
              </c:pt>
              <c:pt idx="3480">
                <c:v>-175.36349999999999</c:v>
              </c:pt>
              <c:pt idx="3481">
                <c:v>-175.18413999999999</c:v>
              </c:pt>
              <c:pt idx="3482">
                <c:v>-175.00477000000001</c:v>
              </c:pt>
              <c:pt idx="3483">
                <c:v>-174.82541000000001</c:v>
              </c:pt>
              <c:pt idx="3484">
                <c:v>-174.64594</c:v>
              </c:pt>
              <c:pt idx="3485">
                <c:v>-174.46657999999999</c:v>
              </c:pt>
              <c:pt idx="3486">
                <c:v>-174.28730999999999</c:v>
              </c:pt>
              <c:pt idx="3487">
                <c:v>-174.10785000000001</c:v>
              </c:pt>
              <c:pt idx="3488">
                <c:v>-173.92847999999998</c:v>
              </c:pt>
              <c:pt idx="3489">
                <c:v>-173.74912</c:v>
              </c:pt>
              <c:pt idx="3490">
                <c:v>-173.56976</c:v>
              </c:pt>
              <c:pt idx="3491">
                <c:v>-173.3904</c:v>
              </c:pt>
              <c:pt idx="3492">
                <c:v>-173.21113</c:v>
              </c:pt>
              <c:pt idx="3493">
                <c:v>-173.03177000000002</c:v>
              </c:pt>
              <c:pt idx="3494">
                <c:v>-172.85241000000002</c:v>
              </c:pt>
              <c:pt idx="3495">
                <c:v>-172.67304999999999</c:v>
              </c:pt>
              <c:pt idx="3496">
                <c:v>-172.49358999999998</c:v>
              </c:pt>
              <c:pt idx="3497">
                <c:v>-172.31432999999998</c:v>
              </c:pt>
              <c:pt idx="3498">
                <c:v>-172.13497000000001</c:v>
              </c:pt>
              <c:pt idx="3499">
                <c:v>-171.95562000000001</c:v>
              </c:pt>
              <c:pt idx="3500">
                <c:v>-171.77626000000001</c:v>
              </c:pt>
              <c:pt idx="3501">
                <c:v>-171.59690000000001</c:v>
              </c:pt>
              <c:pt idx="3502">
                <c:v>-171.41764000000001</c:v>
              </c:pt>
              <c:pt idx="3503">
                <c:v>-171.23829000000001</c:v>
              </c:pt>
              <c:pt idx="3504">
                <c:v>-171.05893</c:v>
              </c:pt>
              <c:pt idx="3505">
                <c:v>-170.87956999999997</c:v>
              </c:pt>
              <c:pt idx="3506">
                <c:v>-170.70012</c:v>
              </c:pt>
              <c:pt idx="3507">
                <c:v>-170.52076</c:v>
              </c:pt>
              <c:pt idx="3508">
                <c:v>-170.34141</c:v>
              </c:pt>
              <c:pt idx="3509">
                <c:v>-170.16194999999999</c:v>
              </c:pt>
              <c:pt idx="3510">
                <c:v>-169.98259999999999</c:v>
              </c:pt>
              <c:pt idx="3511">
                <c:v>-169.80324999999999</c:v>
              </c:pt>
              <c:pt idx="3512">
                <c:v>-169.62380000000002</c:v>
              </c:pt>
              <c:pt idx="3513">
                <c:v>-169.44454000000002</c:v>
              </c:pt>
              <c:pt idx="3514">
                <c:v>-169.26528999999999</c:v>
              </c:pt>
              <c:pt idx="3515">
                <c:v>-169.08583999999999</c:v>
              </c:pt>
              <c:pt idx="3516">
                <c:v>-168.90648999999999</c:v>
              </c:pt>
              <c:pt idx="3517">
                <c:v>-168.72713999999999</c:v>
              </c:pt>
              <c:pt idx="3518">
                <c:v>-168.54779000000002</c:v>
              </c:pt>
              <c:pt idx="3519">
                <c:v>-168.36843999999999</c:v>
              </c:pt>
              <c:pt idx="3520">
                <c:v>-168.18908999999999</c:v>
              </c:pt>
              <c:pt idx="3521">
                <c:v>-168.00964000000002</c:v>
              </c:pt>
              <c:pt idx="3522">
                <c:v>-167.83028999999999</c:v>
              </c:pt>
              <c:pt idx="3523">
                <c:v>-167.65105</c:v>
              </c:pt>
              <c:pt idx="3524">
                <c:v>-167.4716</c:v>
              </c:pt>
              <c:pt idx="3525">
                <c:v>-167.29224999999997</c:v>
              </c:pt>
              <c:pt idx="3526">
                <c:v>-167.11281</c:v>
              </c:pt>
              <c:pt idx="3527">
                <c:v>-166.93346</c:v>
              </c:pt>
              <c:pt idx="3528">
                <c:v>-166.75421</c:v>
              </c:pt>
              <c:pt idx="3529">
                <c:v>-166.57477</c:v>
              </c:pt>
              <c:pt idx="3530">
                <c:v>-166.39543</c:v>
              </c:pt>
              <c:pt idx="3531">
                <c:v>-166.21608000000001</c:v>
              </c:pt>
              <c:pt idx="3532">
                <c:v>-166.03663999999998</c:v>
              </c:pt>
              <c:pt idx="3533">
                <c:v>-165.85738999999998</c:v>
              </c:pt>
              <c:pt idx="3534">
                <c:v>-165.67804999999998</c:v>
              </c:pt>
              <c:pt idx="3535">
                <c:v>-165.49860999999999</c:v>
              </c:pt>
              <c:pt idx="3536">
                <c:v>-165.31926999999999</c:v>
              </c:pt>
              <c:pt idx="3537">
                <c:v>-165.14003000000002</c:v>
              </c:pt>
              <c:pt idx="3538">
                <c:v>-164.96049000000002</c:v>
              </c:pt>
              <c:pt idx="3539">
                <c:v>-164.78115000000003</c:v>
              </c:pt>
              <c:pt idx="3540">
                <c:v>-164.60191</c:v>
              </c:pt>
              <c:pt idx="3541">
                <c:v>-164.42247</c:v>
              </c:pt>
              <c:pt idx="3542">
                <c:v>-164.24313000000001</c:v>
              </c:pt>
              <c:pt idx="3543">
                <c:v>-164.06369000000001</c:v>
              </c:pt>
              <c:pt idx="3544">
                <c:v>-163.88434999999998</c:v>
              </c:pt>
              <c:pt idx="3545">
                <c:v>-163.70500999999999</c:v>
              </c:pt>
              <c:pt idx="3546">
                <c:v>-163.52557000000002</c:v>
              </c:pt>
              <c:pt idx="3547">
                <c:v>-163.34623999999999</c:v>
              </c:pt>
              <c:pt idx="3548">
                <c:v>-163.1669</c:v>
              </c:pt>
              <c:pt idx="3549">
                <c:v>-162.98747</c:v>
              </c:pt>
              <c:pt idx="3550">
                <c:v>-162.80813000000001</c:v>
              </c:pt>
              <c:pt idx="3551">
                <c:v>-162.62880000000001</c:v>
              </c:pt>
              <c:pt idx="3552">
                <c:v>-162.44945999999999</c:v>
              </c:pt>
              <c:pt idx="3553">
                <c:v>-162.27003000000002</c:v>
              </c:pt>
              <c:pt idx="3554">
                <c:v>-162.09069</c:v>
              </c:pt>
              <c:pt idx="3555">
                <c:v>-161.91146000000001</c:v>
              </c:pt>
              <c:pt idx="3556">
                <c:v>-161.73212999999998</c:v>
              </c:pt>
              <c:pt idx="3557">
                <c:v>-161.55269000000001</c:v>
              </c:pt>
              <c:pt idx="3558">
                <c:v>-161.37335999999999</c:v>
              </c:pt>
              <c:pt idx="3559">
                <c:v>-161.19392999999999</c:v>
              </c:pt>
              <c:pt idx="3560">
                <c:v>-161.0145</c:v>
              </c:pt>
              <c:pt idx="3561">
                <c:v>-160.83517000000001</c:v>
              </c:pt>
              <c:pt idx="3562">
                <c:v>-160.65574000000001</c:v>
              </c:pt>
              <c:pt idx="3563">
                <c:v>-160.47651000000002</c:v>
              </c:pt>
              <c:pt idx="3564">
                <c:v>-160.29717999999997</c:v>
              </c:pt>
              <c:pt idx="3565">
                <c:v>-160.11765</c:v>
              </c:pt>
              <c:pt idx="3566">
                <c:v>-159.93832</c:v>
              </c:pt>
              <c:pt idx="3567">
                <c:v>-159.75899999999999</c:v>
              </c:pt>
              <c:pt idx="3568">
                <c:v>-159.57977</c:v>
              </c:pt>
              <c:pt idx="3569">
                <c:v>-159.40044</c:v>
              </c:pt>
              <c:pt idx="3570">
                <c:v>-159.22092000000001</c:v>
              </c:pt>
              <c:pt idx="3571">
                <c:v>-159.04169000000002</c:v>
              </c:pt>
              <c:pt idx="3572">
                <c:v>-158.86215999999999</c:v>
              </c:pt>
              <c:pt idx="3573">
                <c:v>-158.68284</c:v>
              </c:pt>
              <c:pt idx="3574">
                <c:v>-158.50351000000001</c:v>
              </c:pt>
              <c:pt idx="3575">
                <c:v>-158.32409000000001</c:v>
              </c:pt>
              <c:pt idx="3576">
                <c:v>-158.14476999999999</c:v>
              </c:pt>
              <c:pt idx="3577">
                <c:v>-157.96544</c:v>
              </c:pt>
              <c:pt idx="3578">
                <c:v>-157.78601999999998</c:v>
              </c:pt>
              <c:pt idx="3579">
                <c:v>-157.60669999999999</c:v>
              </c:pt>
              <c:pt idx="3580">
                <c:v>-157.42728</c:v>
              </c:pt>
              <c:pt idx="3581">
                <c:v>-157.24796000000001</c:v>
              </c:pt>
              <c:pt idx="3582">
                <c:v>-157.06862999999998</c:v>
              </c:pt>
              <c:pt idx="3583">
                <c:v>-156.88921000000002</c:v>
              </c:pt>
              <c:pt idx="3584">
                <c:v>-156.70989</c:v>
              </c:pt>
              <c:pt idx="3585">
                <c:v>-156.53047000000001</c:v>
              </c:pt>
              <c:pt idx="3586">
                <c:v>-156.35124999999999</c:v>
              </c:pt>
              <c:pt idx="3587">
                <c:v>-156.17183999999997</c:v>
              </c:pt>
              <c:pt idx="3588">
                <c:v>-155.99242000000001</c:v>
              </c:pt>
              <c:pt idx="3589">
                <c:v>-155.81309999999999</c:v>
              </c:pt>
              <c:pt idx="3590">
                <c:v>-155.63368</c:v>
              </c:pt>
              <c:pt idx="3591">
                <c:v>-155.45427000000001</c:v>
              </c:pt>
              <c:pt idx="3592">
                <c:v>-155.27484999999999</c:v>
              </c:pt>
              <c:pt idx="3593">
                <c:v>-155.09553</c:v>
              </c:pt>
              <c:pt idx="3594">
                <c:v>-154.91631999999998</c:v>
              </c:pt>
              <c:pt idx="3595">
                <c:v>-154.73679999999999</c:v>
              </c:pt>
              <c:pt idx="3596">
                <c:v>-154.55749</c:v>
              </c:pt>
              <c:pt idx="3597">
                <c:v>-154.37827000000001</c:v>
              </c:pt>
              <c:pt idx="3598">
                <c:v>-154.19886000000002</c:v>
              </c:pt>
              <c:pt idx="3599">
                <c:v>-154.01945000000001</c:v>
              </c:pt>
              <c:pt idx="3600">
                <c:v>-153.84002999999998</c:v>
              </c:pt>
              <c:pt idx="3601">
                <c:v>-153.66082</c:v>
              </c:pt>
              <c:pt idx="3602">
                <c:v>-153.48131000000001</c:v>
              </c:pt>
              <c:pt idx="3603">
                <c:v>-153.30199999999999</c:v>
              </c:pt>
              <c:pt idx="3604">
                <c:v>-153.12259</c:v>
              </c:pt>
              <c:pt idx="3605">
                <c:v>-152.94317999999998</c:v>
              </c:pt>
              <c:pt idx="3606">
                <c:v>-152.76387</c:v>
              </c:pt>
              <c:pt idx="3607">
                <c:v>-152.58446000000001</c:v>
              </c:pt>
              <c:pt idx="3608">
                <c:v>-152.40514999999999</c:v>
              </c:pt>
              <c:pt idx="3609">
                <c:v>-152.22574</c:v>
              </c:pt>
              <c:pt idx="3610">
                <c:v>-152.04643000000002</c:v>
              </c:pt>
              <c:pt idx="3611">
                <c:v>-151.86712000000003</c:v>
              </c:pt>
              <c:pt idx="3612">
                <c:v>-151.68762000000001</c:v>
              </c:pt>
              <c:pt idx="3613">
                <c:v>-151.50840999999997</c:v>
              </c:pt>
              <c:pt idx="3614">
                <c:v>-151.32900000000001</c:v>
              </c:pt>
              <c:pt idx="3615">
                <c:v>-151.14969999999997</c:v>
              </c:pt>
              <c:pt idx="3616">
                <c:v>-150.97029000000001</c:v>
              </c:pt>
              <c:pt idx="3617">
                <c:v>-150.79088999999999</c:v>
              </c:pt>
              <c:pt idx="3618">
                <c:v>-150.61158</c:v>
              </c:pt>
              <c:pt idx="3619">
                <c:v>-150.43217999999999</c:v>
              </c:pt>
              <c:pt idx="3620">
                <c:v>-150.25287</c:v>
              </c:pt>
              <c:pt idx="3621">
                <c:v>-150.07346999999999</c:v>
              </c:pt>
              <c:pt idx="3622">
                <c:v>-149.89407</c:v>
              </c:pt>
              <c:pt idx="3623">
                <c:v>-149.71456000000001</c:v>
              </c:pt>
              <c:pt idx="3624">
                <c:v>-149.53526000000002</c:v>
              </c:pt>
              <c:pt idx="3625">
                <c:v>-149.35596000000004</c:v>
              </c:pt>
              <c:pt idx="3626">
                <c:v>-149.17656000000002</c:v>
              </c:pt>
              <c:pt idx="3627">
                <c:v>-148.99725999999998</c:v>
              </c:pt>
              <c:pt idx="3628">
                <c:v>-148.81786</c:v>
              </c:pt>
              <c:pt idx="3629">
                <c:v>-148.63855999999998</c:v>
              </c:pt>
              <c:pt idx="3630">
                <c:v>-148.45916</c:v>
              </c:pt>
              <c:pt idx="3631">
                <c:v>-148.27985999999999</c:v>
              </c:pt>
              <c:pt idx="3632">
                <c:v>-148.10046</c:v>
              </c:pt>
              <c:pt idx="3633">
                <c:v>-147.92106000000001</c:v>
              </c:pt>
              <c:pt idx="3634">
                <c:v>-147.74167</c:v>
              </c:pt>
              <c:pt idx="3635">
                <c:v>-147.56237000000002</c:v>
              </c:pt>
              <c:pt idx="3636">
                <c:v>-147.38307</c:v>
              </c:pt>
              <c:pt idx="3637">
                <c:v>-147.20358000000002</c:v>
              </c:pt>
              <c:pt idx="3638">
                <c:v>-147.02428000000003</c:v>
              </c:pt>
              <c:pt idx="3639">
                <c:v>-146.84479000000002</c:v>
              </c:pt>
              <c:pt idx="3640">
                <c:v>-146.66559000000001</c:v>
              </c:pt>
              <c:pt idx="3641">
                <c:v>-146.4862</c:v>
              </c:pt>
              <c:pt idx="3642">
                <c:v>-146.30669999999998</c:v>
              </c:pt>
              <c:pt idx="3643">
                <c:v>-146.12741</c:v>
              </c:pt>
              <c:pt idx="3644">
                <c:v>-145.94801999999999</c:v>
              </c:pt>
              <c:pt idx="3645">
                <c:v>-145.76862</c:v>
              </c:pt>
              <c:pt idx="3646">
                <c:v>-145.58942999999999</c:v>
              </c:pt>
              <c:pt idx="3647">
                <c:v>-145.41004000000001</c:v>
              </c:pt>
              <c:pt idx="3648">
                <c:v>-145.23065</c:v>
              </c:pt>
              <c:pt idx="3649">
                <c:v>-145.05125999999998</c:v>
              </c:pt>
              <c:pt idx="3650">
                <c:v>-144.87197</c:v>
              </c:pt>
              <c:pt idx="3651">
                <c:v>-144.69248000000002</c:v>
              </c:pt>
              <c:pt idx="3652">
                <c:v>-144.51319000000001</c:v>
              </c:pt>
              <c:pt idx="3653">
                <c:v>-144.33380000000002</c:v>
              </c:pt>
              <c:pt idx="3654">
                <c:v>-144.15441000000001</c:v>
              </c:pt>
              <c:pt idx="3655">
                <c:v>-143.97503</c:v>
              </c:pt>
              <c:pt idx="3656">
                <c:v>-143.79563999999999</c:v>
              </c:pt>
              <c:pt idx="3657">
                <c:v>-143.61635000000001</c:v>
              </c:pt>
              <c:pt idx="3658">
                <c:v>-143.43696</c:v>
              </c:pt>
              <c:pt idx="3659">
                <c:v>-143.25757999999999</c:v>
              </c:pt>
              <c:pt idx="3660">
                <c:v>-143.07808999999997</c:v>
              </c:pt>
              <c:pt idx="3661">
                <c:v>-142.89891</c:v>
              </c:pt>
              <c:pt idx="3662">
                <c:v>-142.71941999999999</c:v>
              </c:pt>
              <c:pt idx="3663">
                <c:v>-142.54004</c:v>
              </c:pt>
              <c:pt idx="3664">
                <c:v>-142.36084999999997</c:v>
              </c:pt>
              <c:pt idx="3665">
                <c:v>-142.18146999999999</c:v>
              </c:pt>
              <c:pt idx="3666">
                <c:v>-142.00208999999998</c:v>
              </c:pt>
              <c:pt idx="3667">
                <c:v>-141.82271</c:v>
              </c:pt>
              <c:pt idx="3668">
                <c:v>-141.64332000000002</c:v>
              </c:pt>
              <c:pt idx="3669">
                <c:v>-141.46393999999998</c:v>
              </c:pt>
              <c:pt idx="3670">
                <c:v>-141.28465999999997</c:v>
              </c:pt>
              <c:pt idx="3671">
                <c:v>-141.10517999999999</c:v>
              </c:pt>
              <c:pt idx="3672">
                <c:v>-140.92580000000001</c:v>
              </c:pt>
              <c:pt idx="3673">
                <c:v>-140.74652</c:v>
              </c:pt>
              <c:pt idx="3674">
                <c:v>-140.56703999999999</c:v>
              </c:pt>
              <c:pt idx="3675">
                <c:v>-140.38765999999998</c:v>
              </c:pt>
              <c:pt idx="3676">
                <c:v>-140.20838000000003</c:v>
              </c:pt>
              <c:pt idx="3677">
                <c:v>-140.029</c:v>
              </c:pt>
              <c:pt idx="3678">
                <c:v>-139.84962999999999</c:v>
              </c:pt>
              <c:pt idx="3679">
                <c:v>-139.67025000000001</c:v>
              </c:pt>
              <c:pt idx="3680">
                <c:v>-139.49087</c:v>
              </c:pt>
              <c:pt idx="3681">
                <c:v>-139.3115</c:v>
              </c:pt>
              <c:pt idx="3682">
                <c:v>-139.13212000000001</c:v>
              </c:pt>
              <c:pt idx="3683">
                <c:v>-138.95285000000001</c:v>
              </c:pt>
              <c:pt idx="3684">
                <c:v>-138.77357000000001</c:v>
              </c:pt>
              <c:pt idx="3685">
                <c:v>-138.59410000000003</c:v>
              </c:pt>
              <c:pt idx="3686">
                <c:v>-138.41472000000002</c:v>
              </c:pt>
              <c:pt idx="3687">
                <c:v>-138.23544999999999</c:v>
              </c:pt>
              <c:pt idx="3688">
                <c:v>-138.05598000000001</c:v>
              </c:pt>
              <c:pt idx="3689">
                <c:v>-137.8766</c:v>
              </c:pt>
              <c:pt idx="3690">
                <c:v>-137.69732999999999</c:v>
              </c:pt>
              <c:pt idx="3691">
                <c:v>-137.51775999999998</c:v>
              </c:pt>
              <c:pt idx="3692">
                <c:v>-137.33859000000001</c:v>
              </c:pt>
              <c:pt idx="3693">
                <c:v>-137.15911999999997</c:v>
              </c:pt>
              <c:pt idx="3694">
                <c:v>-136.97985</c:v>
              </c:pt>
              <c:pt idx="3695">
                <c:v>-136.80037999999999</c:v>
              </c:pt>
              <c:pt idx="3696">
                <c:v>-136.62110999999999</c:v>
              </c:pt>
              <c:pt idx="3697">
                <c:v>-136.44174000000001</c:v>
              </c:pt>
              <c:pt idx="3698">
                <c:v>-136.26226999999997</c:v>
              </c:pt>
              <c:pt idx="3699">
                <c:v>-136.0829</c:v>
              </c:pt>
              <c:pt idx="3700">
                <c:v>-135.90364</c:v>
              </c:pt>
              <c:pt idx="3701">
                <c:v>-135.72416999999999</c:v>
              </c:pt>
              <c:pt idx="3702">
                <c:v>-135.54489999999998</c:v>
              </c:pt>
              <c:pt idx="3703">
                <c:v>-135.36554000000001</c:v>
              </c:pt>
              <c:pt idx="3704">
                <c:v>-135.18616999999998</c:v>
              </c:pt>
              <c:pt idx="3705">
                <c:v>-135.00681</c:v>
              </c:pt>
              <c:pt idx="3706">
                <c:v>-134.82754</c:v>
              </c:pt>
              <c:pt idx="3707">
                <c:v>-134.64798000000002</c:v>
              </c:pt>
              <c:pt idx="3708">
                <c:v>-134.46871000000002</c:v>
              </c:pt>
              <c:pt idx="3709">
                <c:v>-134.28935000000001</c:v>
              </c:pt>
              <c:pt idx="3710">
                <c:v>-134.10989000000001</c:v>
              </c:pt>
              <c:pt idx="3711">
                <c:v>-133.93062</c:v>
              </c:pt>
              <c:pt idx="3712">
                <c:v>-133.75116</c:v>
              </c:pt>
              <c:pt idx="3713">
                <c:v>-133.5718</c:v>
              </c:pt>
              <c:pt idx="3714">
                <c:v>-133.39243999999999</c:v>
              </c:pt>
              <c:pt idx="3715">
                <c:v>-133.21317999999999</c:v>
              </c:pt>
              <c:pt idx="3716">
                <c:v>-133.03371999999999</c:v>
              </c:pt>
              <c:pt idx="3717">
                <c:v>-132.85436000000001</c:v>
              </c:pt>
              <c:pt idx="3718">
                <c:v>-132.67490000000001</c:v>
              </c:pt>
              <c:pt idx="3719">
                <c:v>-132.49563999999998</c:v>
              </c:pt>
              <c:pt idx="3720">
                <c:v>-132.31628000000001</c:v>
              </c:pt>
              <c:pt idx="3721">
                <c:v>-132.13682</c:v>
              </c:pt>
              <c:pt idx="3722">
                <c:v>-131.95746</c:v>
              </c:pt>
              <c:pt idx="3723">
                <c:v>-131.77820999999997</c:v>
              </c:pt>
              <c:pt idx="3724">
                <c:v>-131.59864999999999</c:v>
              </c:pt>
              <c:pt idx="3725">
                <c:v>-131.41959</c:v>
              </c:pt>
              <c:pt idx="3726">
                <c:v>-131.24014</c:v>
              </c:pt>
              <c:pt idx="3727">
                <c:v>-131.06058000000002</c:v>
              </c:pt>
              <c:pt idx="3728">
                <c:v>-130.88142999999999</c:v>
              </c:pt>
              <c:pt idx="3729">
                <c:v>-130.70186999999999</c:v>
              </c:pt>
              <c:pt idx="3730">
                <c:v>-130.52262000000002</c:v>
              </c:pt>
              <c:pt idx="3731">
                <c:v>-130.34327000000002</c:v>
              </c:pt>
              <c:pt idx="3732">
                <c:v>-130.16391000000002</c:v>
              </c:pt>
              <c:pt idx="3733">
                <c:v>-129.98446000000001</c:v>
              </c:pt>
              <c:pt idx="3734">
                <c:v>-129.80510999999998</c:v>
              </c:pt>
              <c:pt idx="3735">
                <c:v>-129.62576000000001</c:v>
              </c:pt>
              <c:pt idx="3736">
                <c:v>-129.44641000000001</c:v>
              </c:pt>
              <c:pt idx="3737">
                <c:v>-129.26704999999998</c:v>
              </c:pt>
              <c:pt idx="3738">
                <c:v>-129.08760000000001</c:v>
              </c:pt>
              <c:pt idx="3739">
                <c:v>-128.90825000000001</c:v>
              </c:pt>
              <c:pt idx="3740">
                <c:v>-128.72890000000001</c:v>
              </c:pt>
              <c:pt idx="3741">
                <c:v>-128.54956000000001</c:v>
              </c:pt>
              <c:pt idx="3742">
                <c:v>-128.37010999999998</c:v>
              </c:pt>
              <c:pt idx="3743">
                <c:v>-128.19076000000001</c:v>
              </c:pt>
              <c:pt idx="3744">
                <c:v>-128.01151000000002</c:v>
              </c:pt>
              <c:pt idx="3745">
                <c:v>-127.83206</c:v>
              </c:pt>
              <c:pt idx="3746">
                <c:v>-127.65261999999998</c:v>
              </c:pt>
              <c:pt idx="3747">
                <c:v>-127.47337</c:v>
              </c:pt>
              <c:pt idx="3748">
                <c:v>-127.29393</c:v>
              </c:pt>
              <c:pt idx="3749">
                <c:v>-127.11448</c:v>
              </c:pt>
              <c:pt idx="3750">
                <c:v>-126.93523999999999</c:v>
              </c:pt>
              <c:pt idx="3751">
                <c:v>-126.75599</c:v>
              </c:pt>
              <c:pt idx="3752">
                <c:v>-126.57655</c:v>
              </c:pt>
              <c:pt idx="3753">
                <c:v>-126.39720000000001</c:v>
              </c:pt>
              <c:pt idx="3754">
                <c:v>-126.21776</c:v>
              </c:pt>
              <c:pt idx="3755">
                <c:v>-126.0384</c:v>
              </c:pt>
              <c:pt idx="3756">
                <c:v>-125.85908000000002</c:v>
              </c:pt>
              <c:pt idx="3757">
                <c:v>-125.67965999999998</c:v>
              </c:pt>
              <c:pt idx="3758">
                <c:v>-125.50034000000002</c:v>
              </c:pt>
              <c:pt idx="3759">
                <c:v>-125.32092999999999</c:v>
              </c:pt>
              <c:pt idx="3760">
                <c:v>-125.14161</c:v>
              </c:pt>
              <c:pt idx="3761">
                <c:v>-124.96218999999999</c:v>
              </c:pt>
              <c:pt idx="3762">
                <c:v>-124.78278</c:v>
              </c:pt>
              <c:pt idx="3763">
                <c:v>-124.60346</c:v>
              </c:pt>
              <c:pt idx="3764">
                <c:v>-124.42404000000001</c:v>
              </c:pt>
              <c:pt idx="3765">
                <c:v>-124.24473999999999</c:v>
              </c:pt>
              <c:pt idx="3766">
                <c:v>-124.06532000000001</c:v>
              </c:pt>
              <c:pt idx="3767">
                <c:v>-123.886</c:v>
              </c:pt>
              <c:pt idx="3768">
                <c:v>-123.70659000000001</c:v>
              </c:pt>
              <c:pt idx="3769">
                <c:v>-123.52728</c:v>
              </c:pt>
              <c:pt idx="3770">
                <c:v>-123.34775999999999</c:v>
              </c:pt>
              <c:pt idx="3771">
                <c:v>-123.16855</c:v>
              </c:pt>
              <c:pt idx="3772">
                <c:v>-122.98913</c:v>
              </c:pt>
              <c:pt idx="3773">
                <c:v>-122.80971999999998</c:v>
              </c:pt>
              <c:pt idx="3774">
                <c:v>-122.63040000000001</c:v>
              </c:pt>
              <c:pt idx="3775">
                <c:v>-122.45098999999999</c:v>
              </c:pt>
              <c:pt idx="3776">
                <c:v>-122.27177999999999</c:v>
              </c:pt>
              <c:pt idx="3777">
                <c:v>-122.09226000000001</c:v>
              </c:pt>
              <c:pt idx="3778">
                <c:v>-121.91305</c:v>
              </c:pt>
              <c:pt idx="3779">
                <c:v>-121.73354</c:v>
              </c:pt>
              <c:pt idx="3780">
                <c:v>-121.55433000000001</c:v>
              </c:pt>
              <c:pt idx="3781">
                <c:v>-121.37482000000001</c:v>
              </c:pt>
              <c:pt idx="3782">
                <c:v>-121.19550000000001</c:v>
              </c:pt>
              <c:pt idx="3783">
                <c:v>-121.01609000000001</c:v>
              </c:pt>
              <c:pt idx="3784">
                <c:v>-120.83678</c:v>
              </c:pt>
              <c:pt idx="3785">
                <c:v>-120.65737</c:v>
              </c:pt>
              <c:pt idx="3786">
                <c:v>-120.47794999999999</c:v>
              </c:pt>
              <c:pt idx="3787">
                <c:v>-120.29854</c:v>
              </c:pt>
              <c:pt idx="3788">
                <c:v>-120.11923</c:v>
              </c:pt>
              <c:pt idx="3789">
                <c:v>-119.93992</c:v>
              </c:pt>
              <c:pt idx="3790">
                <c:v>-119.76050999999998</c:v>
              </c:pt>
              <c:pt idx="3791">
                <c:v>-119.58118999999998</c:v>
              </c:pt>
              <c:pt idx="3792">
                <c:v>-119.40169000000002</c:v>
              </c:pt>
              <c:pt idx="3793">
                <c:v>-119.22247</c:v>
              </c:pt>
              <c:pt idx="3794">
                <c:v>-119.04297</c:v>
              </c:pt>
              <c:pt idx="3795">
                <c:v>-118.86375000000001</c:v>
              </c:pt>
              <c:pt idx="3796">
                <c:v>-118.68424999999999</c:v>
              </c:pt>
              <c:pt idx="3797">
                <c:v>-118.50492999999999</c:v>
              </c:pt>
              <c:pt idx="3798">
                <c:v>-118.32552</c:v>
              </c:pt>
              <c:pt idx="3799">
                <c:v>-118.14622</c:v>
              </c:pt>
              <c:pt idx="3800">
                <c:v>-117.96681000000001</c:v>
              </c:pt>
              <c:pt idx="3801">
                <c:v>-117.78749000000001</c:v>
              </c:pt>
              <c:pt idx="3802">
                <c:v>-117.60798</c:v>
              </c:pt>
              <c:pt idx="3803">
                <c:v>-117.42878</c:v>
              </c:pt>
              <c:pt idx="3804">
                <c:v>-117.24927000000001</c:v>
              </c:pt>
              <c:pt idx="3805">
                <c:v>-117.07005999999998</c:v>
              </c:pt>
              <c:pt idx="3806">
                <c:v>-116.89055</c:v>
              </c:pt>
              <c:pt idx="3807">
                <c:v>-116.71114000000001</c:v>
              </c:pt>
              <c:pt idx="3808">
                <c:v>-116.53193</c:v>
              </c:pt>
              <c:pt idx="3809">
                <c:v>-116.35253</c:v>
              </c:pt>
              <c:pt idx="3810">
                <c:v>-116.17312</c:v>
              </c:pt>
              <c:pt idx="3811">
                <c:v>-115.99381000000001</c:v>
              </c:pt>
              <c:pt idx="3812">
                <c:v>-115.81439999999999</c:v>
              </c:pt>
              <c:pt idx="3813">
                <c:v>-115.63510000000001</c:v>
              </c:pt>
              <c:pt idx="3814">
                <c:v>-115.45568999999999</c:v>
              </c:pt>
              <c:pt idx="3815">
                <c:v>-115.27628999999999</c:v>
              </c:pt>
              <c:pt idx="3816">
                <c:v>-115.09697</c:v>
              </c:pt>
              <c:pt idx="3817">
                <c:v>-114.91757</c:v>
              </c:pt>
              <c:pt idx="3818">
                <c:v>-114.73826</c:v>
              </c:pt>
              <c:pt idx="3819">
                <c:v>-114.55885999999998</c:v>
              </c:pt>
              <c:pt idx="3820">
                <c:v>-114.37944999999999</c:v>
              </c:pt>
              <c:pt idx="3821">
                <c:v>-114.20014</c:v>
              </c:pt>
              <c:pt idx="3822">
                <c:v>-114.02073999999999</c:v>
              </c:pt>
              <c:pt idx="3823">
                <c:v>-113.84133</c:v>
              </c:pt>
              <c:pt idx="3824">
                <c:v>-113.66193000000001</c:v>
              </c:pt>
              <c:pt idx="3825">
                <c:v>-113.48262000000001</c:v>
              </c:pt>
              <c:pt idx="3826">
                <c:v>-113.30312000000001</c:v>
              </c:pt>
              <c:pt idx="3827">
                <c:v>-113.12391000000001</c:v>
              </c:pt>
              <c:pt idx="3828">
                <c:v>-112.94440999999999</c:v>
              </c:pt>
              <c:pt idx="3829">
                <c:v>-112.76519999999999</c:v>
              </c:pt>
              <c:pt idx="3830">
                <c:v>-112.5857</c:v>
              </c:pt>
              <c:pt idx="3831">
                <c:v>-112.40638999999999</c:v>
              </c:pt>
              <c:pt idx="3832">
                <c:v>-112.22698</c:v>
              </c:pt>
              <c:pt idx="3833">
                <c:v>-112.04759</c:v>
              </c:pt>
              <c:pt idx="3834">
                <c:v>-111.86817999999998</c:v>
              </c:pt>
              <c:pt idx="3835">
                <c:v>-111.68886999999999</c:v>
              </c:pt>
              <c:pt idx="3836">
                <c:v>-111.50948000000001</c:v>
              </c:pt>
              <c:pt idx="3837">
                <c:v>-111.33007000000001</c:v>
              </c:pt>
              <c:pt idx="3838">
                <c:v>-111.15076999999999</c:v>
              </c:pt>
              <c:pt idx="3839">
                <c:v>-110.97136</c:v>
              </c:pt>
              <c:pt idx="3840">
                <c:v>-110.79196</c:v>
              </c:pt>
              <c:pt idx="3841">
                <c:v>-110.61265000000002</c:v>
              </c:pt>
              <c:pt idx="3842">
                <c:v>-110.43315</c:v>
              </c:pt>
              <c:pt idx="3843">
                <c:v>-110.25395</c:v>
              </c:pt>
              <c:pt idx="3844">
                <c:v>-110.07445</c:v>
              </c:pt>
              <c:pt idx="3845">
                <c:v>-109.89504000000001</c:v>
              </c:pt>
              <c:pt idx="3846">
                <c:v>-109.71574</c:v>
              </c:pt>
              <c:pt idx="3847">
                <c:v>-109.53644000000001</c:v>
              </c:pt>
              <c:pt idx="3848">
                <c:v>-109.35714</c:v>
              </c:pt>
              <c:pt idx="3849">
                <c:v>-109.17773999999999</c:v>
              </c:pt>
              <c:pt idx="3850">
                <c:v>-108.99844</c:v>
              </c:pt>
              <c:pt idx="3851">
                <c:v>-108.81894000000001</c:v>
              </c:pt>
              <c:pt idx="3852">
                <c:v>-108.63963</c:v>
              </c:pt>
              <c:pt idx="3853">
                <c:v>-108.46023</c:v>
              </c:pt>
              <c:pt idx="3854">
                <c:v>-108.28084</c:v>
              </c:pt>
              <c:pt idx="3855">
                <c:v>-108.10153</c:v>
              </c:pt>
              <c:pt idx="3856">
                <c:v>-107.92213</c:v>
              </c:pt>
              <c:pt idx="3857">
                <c:v>-107.74263999999999</c:v>
              </c:pt>
              <c:pt idx="3858">
                <c:v>-107.56343000000001</c:v>
              </c:pt>
              <c:pt idx="3859">
                <c:v>-107.38392999999999</c:v>
              </c:pt>
              <c:pt idx="3860">
                <c:v>-107.20453000000001</c:v>
              </c:pt>
              <c:pt idx="3861">
                <c:v>-107.02533</c:v>
              </c:pt>
              <c:pt idx="3862">
                <c:v>-106.84583000000001</c:v>
              </c:pt>
              <c:pt idx="3863">
                <c:v>-106.66654</c:v>
              </c:pt>
              <c:pt idx="3864">
                <c:v>-106.48712999999999</c:v>
              </c:pt>
              <c:pt idx="3865">
                <c:v>-106.30774</c:v>
              </c:pt>
              <c:pt idx="3866">
                <c:v>-106.12834000000001</c:v>
              </c:pt>
              <c:pt idx="3867">
                <c:v>-105.94904000000001</c:v>
              </c:pt>
              <c:pt idx="3868">
                <c:v>-105.76965</c:v>
              </c:pt>
              <c:pt idx="3869">
                <c:v>-105.59023999999999</c:v>
              </c:pt>
              <c:pt idx="3870">
                <c:v>-105.41083999999999</c:v>
              </c:pt>
              <c:pt idx="3871">
                <c:v>-105.23154</c:v>
              </c:pt>
              <c:pt idx="3872">
                <c:v>-105.05215000000001</c:v>
              </c:pt>
              <c:pt idx="3873">
                <c:v>-104.87275</c:v>
              </c:pt>
              <c:pt idx="3874">
                <c:v>-104.69346000000002</c:v>
              </c:pt>
              <c:pt idx="3875">
                <c:v>-104.51396</c:v>
              </c:pt>
              <c:pt idx="3876">
                <c:v>-104.33466000000001</c:v>
              </c:pt>
              <c:pt idx="3877">
                <c:v>-104.15526</c:v>
              </c:pt>
              <c:pt idx="3878">
                <c:v>-103.97587</c:v>
              </c:pt>
              <c:pt idx="3879">
                <c:v>-103.79647</c:v>
              </c:pt>
              <c:pt idx="3880">
                <c:v>-103.61717</c:v>
              </c:pt>
              <c:pt idx="3881">
                <c:v>-103.43778</c:v>
              </c:pt>
              <c:pt idx="3882">
                <c:v>-103.25847999999999</c:v>
              </c:pt>
              <c:pt idx="3883">
                <c:v>-103.07908999999999</c:v>
              </c:pt>
              <c:pt idx="3884">
                <c:v>-102.89958</c:v>
              </c:pt>
              <c:pt idx="3885">
                <c:v>-102.72029000000001</c:v>
              </c:pt>
              <c:pt idx="3886">
                <c:v>-102.54089599999999</c:v>
              </c:pt>
              <c:pt idx="3887">
                <c:v>-102.361504</c:v>
              </c:pt>
              <c:pt idx="3888">
                <c:v>-102.18221100000001</c:v>
              </c:pt>
              <c:pt idx="3889">
                <c:v>-102.002809</c:v>
              </c:pt>
              <c:pt idx="3890">
                <c:v>-101.823418</c:v>
              </c:pt>
              <c:pt idx="3891">
                <c:v>-101.64401700000001</c:v>
              </c:pt>
              <c:pt idx="3892">
                <c:v>-101.464726</c:v>
              </c:pt>
              <c:pt idx="3893">
                <c:v>-101.28523599999998</c:v>
              </c:pt>
              <c:pt idx="3894">
                <c:v>-101.105936</c:v>
              </c:pt>
              <c:pt idx="3895">
                <c:v>-100.926647</c:v>
              </c:pt>
              <c:pt idx="3896">
                <c:v>-100.74714800000001</c:v>
              </c:pt>
              <c:pt idx="3897">
                <c:v>-100.56786</c:v>
              </c:pt>
              <c:pt idx="3898">
                <c:v>-100.388362</c:v>
              </c:pt>
              <c:pt idx="3899">
                <c:v>-100.209065</c:v>
              </c:pt>
              <c:pt idx="3900">
                <c:v>-100.029678</c:v>
              </c:pt>
              <c:pt idx="3901">
                <c:v>-99.850280999999995</c:v>
              </c:pt>
              <c:pt idx="3902">
                <c:v>-99.670994999999991</c:v>
              </c:pt>
              <c:pt idx="3903">
                <c:v>-99.491500000000002</c:v>
              </c:pt>
              <c:pt idx="3904">
                <c:v>-99.312204999999992</c:v>
              </c:pt>
              <c:pt idx="3905">
                <c:v>-99.132810000000006</c:v>
              </c:pt>
              <c:pt idx="3906">
                <c:v>-98.953515999999993</c:v>
              </c:pt>
              <c:pt idx="3907">
                <c:v>-98.774232000000012</c:v>
              </c:pt>
              <c:pt idx="3908">
                <c:v>-98.594739000000004</c:v>
              </c:pt>
              <c:pt idx="3909">
                <c:v>-98.415446000000003</c:v>
              </c:pt>
              <c:pt idx="3910">
                <c:v>-98.236053000000013</c:v>
              </c:pt>
              <c:pt idx="3911">
                <c:v>-98.056660999999991</c:v>
              </c:pt>
              <c:pt idx="3912">
                <c:v>-97.877370000000013</c:v>
              </c:pt>
              <c:pt idx="3913">
                <c:v>-97.697879</c:v>
              </c:pt>
              <c:pt idx="3914">
                <c:v>-97.518587999999994</c:v>
              </c:pt>
              <c:pt idx="3915">
                <c:v>-97.339098000000007</c:v>
              </c:pt>
              <c:pt idx="3916">
                <c:v>-97.159807999999998</c:v>
              </c:pt>
              <c:pt idx="3917">
                <c:v>-96.980519000000001</c:v>
              </c:pt>
              <c:pt idx="3918">
                <c:v>-96.801029999999997</c:v>
              </c:pt>
              <c:pt idx="3919">
                <c:v>-96.621632000000005</c:v>
              </c:pt>
              <c:pt idx="3920">
                <c:v>-96.442244000000017</c:v>
              </c:pt>
              <c:pt idx="3921">
                <c:v>-96.262957000000014</c:v>
              </c:pt>
              <c:pt idx="3922">
                <c:v>-96.083570000000009</c:v>
              </c:pt>
              <c:pt idx="3923">
                <c:v>-95.904173</c:v>
              </c:pt>
              <c:pt idx="3924">
                <c:v>-95.724787000000006</c:v>
              </c:pt>
              <c:pt idx="3925">
                <c:v>-95.545400999999998</c:v>
              </c:pt>
              <c:pt idx="3926">
                <c:v>-95.366005999999999</c:v>
              </c:pt>
              <c:pt idx="3927">
                <c:v>-95.186721999999989</c:v>
              </c:pt>
              <c:pt idx="3928">
                <c:v>-95.007326999999989</c:v>
              </c:pt>
              <c:pt idx="3929">
                <c:v>-94.827944000000002</c:v>
              </c:pt>
              <c:pt idx="3930">
                <c:v>-94.648449999999997</c:v>
              </c:pt>
              <c:pt idx="3931">
                <c:v>-94.469166999999999</c:v>
              </c:pt>
              <c:pt idx="3932">
                <c:v>-94.289874999999995</c:v>
              </c:pt>
              <c:pt idx="3933">
                <c:v>-94.110393000000002</c:v>
              </c:pt>
              <c:pt idx="3934">
                <c:v>-93.931100999999998</c:v>
              </c:pt>
              <c:pt idx="3935">
                <c:v>-93.751710000000003</c:v>
              </c:pt>
              <c:pt idx="3936">
                <c:v>-93.572329999999994</c:v>
              </c:pt>
              <c:pt idx="3937">
                <c:v>-93.392938999999984</c:v>
              </c:pt>
              <c:pt idx="3938">
                <c:v>-93.213549999999998</c:v>
              </c:pt>
              <c:pt idx="3939">
                <c:v>-93.034170000000003</c:v>
              </c:pt>
              <c:pt idx="3940">
                <c:v>-92.854882000000003</c:v>
              </c:pt>
              <c:pt idx="3941">
                <c:v>-92.675393000000014</c:v>
              </c:pt>
              <c:pt idx="3942">
                <c:v>-92.496105</c:v>
              </c:pt>
              <c:pt idx="3943">
                <c:v>-92.316717999999995</c:v>
              </c:pt>
              <c:pt idx="3944">
                <c:v>-92.137331000000003</c:v>
              </c:pt>
              <c:pt idx="3945">
                <c:v>-91.957943999999998</c:v>
              </c:pt>
              <c:pt idx="3946">
                <c:v>-91.778558000000004</c:v>
              </c:pt>
              <c:pt idx="3947">
                <c:v>-91.599173000000008</c:v>
              </c:pt>
              <c:pt idx="3948">
                <c:v>-91.419786999999999</c:v>
              </c:pt>
              <c:pt idx="3949">
                <c:v>-91.240403000000001</c:v>
              </c:pt>
              <c:pt idx="3950">
                <c:v>-91.061118000000008</c:v>
              </c:pt>
              <c:pt idx="3951">
                <c:v>-90.881735000000006</c:v>
              </c:pt>
              <c:pt idx="3952">
                <c:v>-90.70225099999999</c:v>
              </c:pt>
              <c:pt idx="3953">
                <c:v>-90.522968000000006</c:v>
              </c:pt>
              <c:pt idx="3954">
                <c:v>-90.343585999999988</c:v>
              </c:pt>
              <c:pt idx="3955">
                <c:v>-90.164193999999995</c:v>
              </c:pt>
              <c:pt idx="3956">
                <c:v>-89.984812000000005</c:v>
              </c:pt>
              <c:pt idx="3957">
                <c:v>-89.805330999999995</c:v>
              </c:pt>
              <c:pt idx="3958">
                <c:v>-89.626150999999993</c:v>
              </c:pt>
              <c:pt idx="3959">
                <c:v>-89.446759999999998</c:v>
              </c:pt>
              <c:pt idx="3960">
                <c:v>-89.267280999999997</c:v>
              </c:pt>
              <c:pt idx="3961">
                <c:v>-89.087891000000013</c:v>
              </c:pt>
              <c:pt idx="3962">
                <c:v>-88.908612000000005</c:v>
              </c:pt>
              <c:pt idx="3963">
                <c:v>-88.729234000000005</c:v>
              </c:pt>
              <c:pt idx="3964">
                <c:v>-88.549845999999988</c:v>
              </c:pt>
              <c:pt idx="3965">
                <c:v>-88.370458999999997</c:v>
              </c:pt>
              <c:pt idx="3966">
                <c:v>-88.190981999999991</c:v>
              </c:pt>
              <c:pt idx="3967">
                <c:v>-88.011695000000003</c:v>
              </c:pt>
              <c:pt idx="3968">
                <c:v>-87.832318999999984</c:v>
              </c:pt>
              <c:pt idx="3969">
                <c:v>-87.652934000000002</c:v>
              </c:pt>
              <c:pt idx="3970">
                <c:v>-87.473549000000006</c:v>
              </c:pt>
              <c:pt idx="3971">
                <c:v>-87.294173999999998</c:v>
              </c:pt>
              <c:pt idx="3972">
                <c:v>-87.114790000000013</c:v>
              </c:pt>
              <c:pt idx="3973">
                <c:v>-86.935506000000018</c:v>
              </c:pt>
              <c:pt idx="3974">
                <c:v>-86.756027999999986</c:v>
              </c:pt>
              <c:pt idx="3975">
                <c:v>-86.576746999999997</c:v>
              </c:pt>
              <c:pt idx="3976">
                <c:v>-86.397364999999994</c:v>
              </c:pt>
              <c:pt idx="3977">
                <c:v>-86.217884999999995</c:v>
              </c:pt>
              <c:pt idx="3978">
                <c:v>-86.038504000000017</c:v>
              </c:pt>
              <c:pt idx="3979">
                <c:v>-85.859223999999998</c:v>
              </c:pt>
              <c:pt idx="3980">
                <c:v>-85.679844000000003</c:v>
              </c:pt>
              <c:pt idx="3981">
                <c:v>-85.500464000000008</c:v>
              </c:pt>
              <c:pt idx="3982">
                <c:v>-85.321083000000002</c:v>
              </c:pt>
              <c:pt idx="3983">
                <c:v>-85.141604000000001</c:v>
              </c:pt>
              <c:pt idx="3984">
                <c:v>-84.962223999999992</c:v>
              </c:pt>
              <c:pt idx="3985">
                <c:v>-84.783045000000001</c:v>
              </c:pt>
              <c:pt idx="3986">
                <c:v>-84.603566000000001</c:v>
              </c:pt>
              <c:pt idx="3987">
                <c:v>-84.424186999999989</c:v>
              </c:pt>
              <c:pt idx="3988">
                <c:v>-84.244808000000006</c:v>
              </c:pt>
              <c:pt idx="3989">
                <c:v>-84.065428999999995</c:v>
              </c:pt>
              <c:pt idx="3990">
                <c:v>-83.886050000000012</c:v>
              </c:pt>
              <c:pt idx="3991">
                <c:v>-83.706772999999998</c:v>
              </c:pt>
              <c:pt idx="3992">
                <c:v>-83.527294000000012</c:v>
              </c:pt>
              <c:pt idx="3993">
                <c:v>-83.347915999999998</c:v>
              </c:pt>
              <c:pt idx="3994">
                <c:v>-83.168637999999987</c:v>
              </c:pt>
              <c:pt idx="3995">
                <c:v>-82.989161199999984</c:v>
              </c:pt>
              <c:pt idx="3996">
                <c:v>-82.809782900000002</c:v>
              </c:pt>
              <c:pt idx="3997">
                <c:v>-82.630405300000007</c:v>
              </c:pt>
              <c:pt idx="3998">
                <c:v>-82.451028500000007</c:v>
              </c:pt>
              <c:pt idx="3999">
                <c:v>-82.271751300000005</c:v>
              </c:pt>
              <c:pt idx="4000">
                <c:v>-82.092375000000004</c:v>
              </c:pt>
              <c:pt idx="4001">
                <c:v>-81.912897999999998</c:v>
              </c:pt>
              <c:pt idx="4002">
                <c:v>-81.733522000000008</c:v>
              </c:pt>
              <c:pt idx="4003">
                <c:v>-81.554146000000003</c:v>
              </c:pt>
              <c:pt idx="4004">
                <c:v>-81.374869000000004</c:v>
              </c:pt>
              <c:pt idx="4005">
                <c:v>-81.195392999999996</c:v>
              </c:pt>
              <c:pt idx="4006">
                <c:v>-81.016117000000008</c:v>
              </c:pt>
              <c:pt idx="4007">
                <c:v>-80.836741000000004</c:v>
              </c:pt>
              <c:pt idx="4008">
                <c:v>-80.657267000000004</c:v>
              </c:pt>
              <c:pt idx="4009">
                <c:v>-80.476118999999997</c:v>
              </c:pt>
              <c:pt idx="4010">
                <c:v>-80.292823999999996</c:v>
              </c:pt>
              <c:pt idx="4011">
                <c:v>-80.109640999999996</c:v>
              </c:pt>
              <c:pt idx="4012">
                <c:v>-79.926457999999997</c:v>
              </c:pt>
              <c:pt idx="4013">
                <c:v>-79.743276000000009</c:v>
              </c:pt>
              <c:pt idx="4014">
                <c:v>-79.559992999999992</c:v>
              </c:pt>
              <c:pt idx="4015">
                <c:v>-79.376712000000012</c:v>
              </c:pt>
              <c:pt idx="4016">
                <c:v>-79.193529999999981</c:v>
              </c:pt>
              <c:pt idx="4017">
                <c:v>-79.010148000000001</c:v>
              </c:pt>
              <c:pt idx="4018">
                <c:v>-78.827067</c:v>
              </c:pt>
              <c:pt idx="4019">
                <c:v>-78.643686000000002</c:v>
              </c:pt>
              <c:pt idx="4020">
                <c:v>-78.460603999999989</c:v>
              </c:pt>
              <c:pt idx="4021">
                <c:v>-78.277323999999993</c:v>
              </c:pt>
              <c:pt idx="4022">
                <c:v>-78.094239000000002</c:v>
              </c:pt>
              <c:pt idx="4023">
                <c:v>-77.91086700000001</c:v>
              </c:pt>
              <c:pt idx="4024">
                <c:v>-77.727784999999983</c:v>
              </c:pt>
              <c:pt idx="4025">
                <c:v>-77.544404</c:v>
              </c:pt>
              <c:pt idx="4026">
                <c:v>-77.361323999999996</c:v>
              </c:pt>
              <c:pt idx="4027">
                <c:v>-77.178044000000014</c:v>
              </c:pt>
              <c:pt idx="4028">
                <c:v>-76.994865000000004</c:v>
              </c:pt>
              <c:pt idx="4029">
                <c:v>-76.811585999999991</c:v>
              </c:pt>
              <c:pt idx="4030">
                <c:v>-76.62840700000001</c:v>
              </c:pt>
              <c:pt idx="4031">
                <c:v>-76.445120000000003</c:v>
              </c:pt>
              <c:pt idx="4032">
                <c:v>-76.262041999999994</c:v>
              </c:pt>
              <c:pt idx="4033">
                <c:v>-76.078766000000002</c:v>
              </c:pt>
              <c:pt idx="4034">
                <c:v>-75.895489000000012</c:v>
              </c:pt>
              <c:pt idx="4035">
                <c:v>-75.712304000000017</c:v>
              </c:pt>
              <c:pt idx="4036">
                <c:v>-75.529028999999994</c:v>
              </c:pt>
              <c:pt idx="4037">
                <c:v>-75.345854000000003</c:v>
              </c:pt>
              <c:pt idx="4038">
                <c:v>-75.162570000000002</c:v>
              </c:pt>
              <c:pt idx="4039">
                <c:v>-74.979396000000008</c:v>
              </c:pt>
              <c:pt idx="4040">
                <c:v>-74.796123000000009</c:v>
              </c:pt>
              <c:pt idx="4041">
                <c:v>-74.612941000000006</c:v>
              </c:pt>
              <c:pt idx="4042">
                <c:v>-74.429659000000001</c:v>
              </c:pt>
              <c:pt idx="4043">
                <c:v>-74.246487000000002</c:v>
              </c:pt>
              <c:pt idx="4044">
                <c:v>-74.063205999999994</c:v>
              </c:pt>
              <c:pt idx="4045">
                <c:v>-73.88003599999999</c:v>
              </c:pt>
              <c:pt idx="4046">
                <c:v>-73.696755999999993</c:v>
              </c:pt>
              <c:pt idx="4047">
                <c:v>-73.513576</c:v>
              </c:pt>
              <c:pt idx="4048">
                <c:v>-73.330306999999991</c:v>
              </c:pt>
              <c:pt idx="4049">
                <c:v>-73.147228999999996</c:v>
              </c:pt>
              <c:pt idx="4050">
                <c:v>-72.963850999999991</c:v>
              </c:pt>
              <c:pt idx="4051">
                <c:v>-72.780006999999998</c:v>
              </c:pt>
              <c:pt idx="4052">
                <c:v>-72.593975999999998</c:v>
              </c:pt>
              <c:pt idx="4053">
                <c:v>-72.407935000000009</c:v>
              </c:pt>
              <c:pt idx="4054">
                <c:v>-72.221906000000004</c:v>
              </c:pt>
              <c:pt idx="4055">
                <c:v>-72.035865999999999</c:v>
              </c:pt>
              <c:pt idx="4056">
                <c:v>-71.850037999999998</c:v>
              </c:pt>
              <c:pt idx="4057">
                <c:v>-71.664000000000001</c:v>
              </c:pt>
              <c:pt idx="4058">
                <c:v>-71.478062000000008</c:v>
              </c:pt>
              <c:pt idx="4059">
                <c:v>-71.292024999999995</c:v>
              </c:pt>
              <c:pt idx="4060">
                <c:v>-71.105998</c:v>
              </c:pt>
              <c:pt idx="4061">
                <c:v>-70.919962999999996</c:v>
              </c:pt>
              <c:pt idx="4062">
                <c:v>-70.734026999999998</c:v>
              </c:pt>
              <c:pt idx="4063">
                <c:v>-70.548091999999997</c:v>
              </c:pt>
              <c:pt idx="4064">
                <c:v>-70.36205799999999</c:v>
              </c:pt>
              <c:pt idx="4065">
                <c:v>-70.176023999999998</c:v>
              </c:pt>
              <c:pt idx="4066">
                <c:v>-69.989991000000003</c:v>
              </c:pt>
              <c:pt idx="4067">
                <c:v>-69.804059000000009</c:v>
              </c:pt>
              <c:pt idx="4068">
                <c:v>-69.617916000000008</c:v>
              </c:pt>
              <c:pt idx="4069">
                <c:v>-69.43218499999999</c:v>
              </c:pt>
              <c:pt idx="4070">
                <c:v>-69.246054000000001</c:v>
              </c:pt>
              <c:pt idx="4071">
                <c:v>-69.060124000000002</c:v>
              </c:pt>
              <c:pt idx="4072">
                <c:v>-68.873984000000007</c:v>
              </c:pt>
              <c:pt idx="4073">
                <c:v>-68.688053999999994</c:v>
              </c:pt>
              <c:pt idx="4074">
                <c:v>-68.502116000000001</c:v>
              </c:pt>
              <c:pt idx="4075">
                <c:v>-68.316186999999999</c:v>
              </c:pt>
              <c:pt idx="4076">
                <c:v>-68.13015</c:v>
              </c:pt>
              <c:pt idx="4077">
                <c:v>-67.944123000000005</c:v>
              </c:pt>
              <c:pt idx="4078">
                <c:v>-67.758085999999992</c:v>
              </c:pt>
              <c:pt idx="4079">
                <c:v>-67.572159999999997</c:v>
              </c:pt>
              <c:pt idx="4080">
                <c:v>-67.386124999999993</c:v>
              </c:pt>
              <c:pt idx="4081">
                <c:v>-67.200189999999992</c:v>
              </c:pt>
              <c:pt idx="4082">
                <c:v>-67.014156</c:v>
              </c:pt>
              <c:pt idx="4083">
                <c:v>-66.828231999999986</c:v>
              </c:pt>
              <c:pt idx="4084">
                <c:v>-66.639778000000007</c:v>
              </c:pt>
              <c:pt idx="4085">
                <c:v>-66.449595000000002</c:v>
              </c:pt>
              <c:pt idx="4086">
                <c:v>-66.259312000000008</c:v>
              </c:pt>
              <c:pt idx="4087">
                <c:v>-66.069130000000015</c:v>
              </c:pt>
              <c:pt idx="4088">
                <c:v>-65.878838999999999</c:v>
              </c:pt>
              <c:pt idx="4089">
                <c:v>-65.688558</c:v>
              </c:pt>
              <c:pt idx="4090">
                <c:v>-65.498378000000002</c:v>
              </c:pt>
              <c:pt idx="4091">
                <c:v>-65.308188000000001</c:v>
              </c:pt>
              <c:pt idx="4092">
                <c:v>-65.117909000000012</c:v>
              </c:pt>
              <c:pt idx="4093">
                <c:v>-64.927721000000005</c:v>
              </c:pt>
              <c:pt idx="4094">
                <c:v>-64.737443999999996</c:v>
              </c:pt>
              <c:pt idx="4095">
                <c:v>-64.547156999999999</c:v>
              </c:pt>
              <c:pt idx="4096">
                <c:v>-64.356971000000016</c:v>
              </c:pt>
              <c:pt idx="4097">
                <c:v>-64.166795000000008</c:v>
              </c:pt>
              <c:pt idx="4098">
                <c:v>-63.973137000000001</c:v>
              </c:pt>
              <c:pt idx="4099">
                <c:v>-63.779034000000003</c:v>
              </c:pt>
              <c:pt idx="4100">
                <c:v>-63.584941000000001</c:v>
              </c:pt>
              <c:pt idx="4101">
                <c:v>-63.390840000000004</c:v>
              </c:pt>
              <c:pt idx="4102">
                <c:v>-63.196849</c:v>
              </c:pt>
              <c:pt idx="4103">
                <c:v>-63.002749000000009</c:v>
              </c:pt>
              <c:pt idx="4104">
                <c:v>-62.808649999999993</c:v>
              </c:pt>
              <c:pt idx="4105">
                <c:v>-62.614562000000006</c:v>
              </c:pt>
              <c:pt idx="4106">
                <c:v>-62.420463999999996</c:v>
              </c:pt>
              <c:pt idx="4107">
                <c:v>-62.226267000000007</c:v>
              </c:pt>
              <c:pt idx="4108">
                <c:v>-62.031051999999995</c:v>
              </c:pt>
              <c:pt idx="4109">
                <c:v>-61.834470000000003</c:v>
              </c:pt>
              <c:pt idx="4110">
                <c:v>-61.637979000000009</c:v>
              </c:pt>
              <c:pt idx="4111">
                <c:v>-61.441389000000001</c:v>
              </c:pt>
              <c:pt idx="4112">
                <c:v>-61.244799999999998</c:v>
              </c:pt>
              <c:pt idx="4113">
                <c:v>-61.048211999999999</c:v>
              </c:pt>
              <c:pt idx="4114">
                <c:v>-60.851724000000004</c:v>
              </c:pt>
              <c:pt idx="4115">
                <c:v>-60.655037000000007</c:v>
              </c:pt>
              <c:pt idx="4116">
                <c:v>-60.458441000000001</c:v>
              </c:pt>
              <c:pt idx="4117">
                <c:v>-60.261955999999998</c:v>
              </c:pt>
              <c:pt idx="4118">
                <c:v>-60.065370999999999</c:v>
              </c:pt>
              <c:pt idx="4119">
                <c:v>-59.868777999999992</c:v>
              </c:pt>
              <c:pt idx="4120">
                <c:v>-59.672194999999995</c:v>
              </c:pt>
              <c:pt idx="4121">
                <c:v>-59.475513000000007</c:v>
              </c:pt>
              <c:pt idx="4122">
                <c:v>-59.278921999999994</c:v>
              </c:pt>
              <c:pt idx="4123">
                <c:v>-59.082431800000002</c:v>
              </c:pt>
              <c:pt idx="4124">
                <c:v>-58.8859523</c:v>
              </c:pt>
              <c:pt idx="4125">
                <c:v>-58.689363700000001</c:v>
              </c:pt>
              <c:pt idx="4126">
                <c:v>-58.492775900000005</c:v>
              </c:pt>
              <c:pt idx="4127">
                <c:v>-58.296088899999994</c:v>
              </c:pt>
              <c:pt idx="4128">
                <c:v>-58.099572700000003</c:v>
              </c:pt>
              <c:pt idx="4129">
                <c:v>-57.903097299999999</c:v>
              </c:pt>
              <c:pt idx="4130">
                <c:v>-57.706512799999999</c:v>
              </c:pt>
              <c:pt idx="4131">
                <c:v>-57.509929</c:v>
              </c:pt>
              <c:pt idx="4132">
                <c:v>-57.313246100000001</c:v>
              </c:pt>
              <c:pt idx="4133">
                <c:v>-57.116764000000003</c:v>
              </c:pt>
              <c:pt idx="4134">
                <c:v>-56.920172799999996</c:v>
              </c:pt>
              <c:pt idx="4135">
                <c:v>-56.723592320000002</c:v>
              </c:pt>
              <c:pt idx="4136">
                <c:v>-56.527102689999992</c:v>
              </c:pt>
              <c:pt idx="4137">
                <c:v>-56.330291699999997</c:v>
              </c:pt>
              <c:pt idx="4138">
                <c:v>-56.130474800000002</c:v>
              </c:pt>
              <c:pt idx="4139">
                <c:v>-55.925038699999995</c:v>
              </c:pt>
              <c:pt idx="4140">
                <c:v>-55.717224700000003</c:v>
              </c:pt>
              <c:pt idx="4141">
                <c:v>-55.509311400000001</c:v>
              </c:pt>
              <c:pt idx="4142">
                <c:v>-55.301479299999997</c:v>
              </c:pt>
              <c:pt idx="4143">
                <c:v>-55.093558299999991</c:v>
              </c:pt>
              <c:pt idx="4144">
                <c:v>-54.885638300000011</c:v>
              </c:pt>
              <c:pt idx="4145">
                <c:v>-54.677719500000009</c:v>
              </c:pt>
              <c:pt idx="4146">
                <c:v>-54.469892000000002</c:v>
              </c:pt>
              <c:pt idx="4147">
                <c:v>-54.261975</c:v>
              </c:pt>
              <c:pt idx="4148">
                <c:v>-54.05415</c:v>
              </c:pt>
              <c:pt idx="4149">
                <c:v>-53.841317000000004</c:v>
              </c:pt>
              <c:pt idx="4150">
                <c:v>-53.618614000000001</c:v>
              </c:pt>
              <c:pt idx="4151">
                <c:v>-53.396021999999988</c:v>
              </c:pt>
              <c:pt idx="4152">
                <c:v>-53.171066000000003</c:v>
              </c:pt>
              <c:pt idx="4153">
                <c:v>-52.942619000000001</c:v>
              </c:pt>
              <c:pt idx="4154">
                <c:v>-52.714283999999999</c:v>
              </c:pt>
              <c:pt idx="4155">
                <c:v>-52.48603</c:v>
              </c:pt>
              <c:pt idx="4156">
                <c:v>-52.257577000000005</c:v>
              </c:pt>
              <c:pt idx="4157">
                <c:v>-52.029226000000001</c:v>
              </c:pt>
              <c:pt idx="4158">
                <c:v>-51.800867000000004</c:v>
              </c:pt>
              <c:pt idx="4159">
                <c:v>-51.572409000000007</c:v>
              </c:pt>
              <c:pt idx="4160">
                <c:v>-51.344163000000009</c:v>
              </c:pt>
              <c:pt idx="4161">
                <c:v>-51.115798000000005</c:v>
              </c:pt>
              <c:pt idx="4162">
                <c:v>-50.887435000000004</c:v>
              </c:pt>
              <c:pt idx="4163">
                <c:v>-50.658973000000003</c:v>
              </c:pt>
              <c:pt idx="4164">
                <c:v>-50.430713000000004</c:v>
              </c:pt>
              <c:pt idx="4165">
                <c:v>-50.202343999999997</c:v>
              </c:pt>
              <c:pt idx="4166">
                <c:v>-49.973866999999998</c:v>
              </c:pt>
              <c:pt idx="4167">
                <c:v>-49.738948000000008</c:v>
              </c:pt>
              <c:pt idx="4168">
                <c:v>-49.438704000000001</c:v>
              </c:pt>
              <c:pt idx="4169">
                <c:v>-49.138352000000005</c:v>
              </c:pt>
              <c:pt idx="4170">
                <c:v>-48.838091000000006</c:v>
              </c:pt>
              <c:pt idx="4171">
                <c:v>-48.537712999999997</c:v>
              </c:pt>
              <c:pt idx="4172">
                <c:v>-48.237466999999995</c:v>
              </c:pt>
              <c:pt idx="4173">
                <c:v>-47.937182</c:v>
              </c:pt>
              <c:pt idx="4174">
                <c:v>-47.636809000000007</c:v>
              </c:pt>
              <c:pt idx="4175">
                <c:v>-47.336528999999999</c:v>
              </c:pt>
              <c:pt idx="4176">
                <c:v>-47.036160000000002</c:v>
              </c:pt>
              <c:pt idx="4177">
                <c:v>-46.735872999999998</c:v>
              </c:pt>
              <c:pt idx="4178">
                <c:v>-46.435577999999992</c:v>
              </c:pt>
              <c:pt idx="4179">
                <c:v>-46.135294999999999</c:v>
              </c:pt>
              <c:pt idx="4180">
                <c:v>-45.835003999999998</c:v>
              </c:pt>
              <c:pt idx="4181">
                <c:v>-45.534694000000002</c:v>
              </c:pt>
              <c:pt idx="4182">
                <c:v>-45.234386999999998</c:v>
              </c:pt>
              <c:pt idx="4183">
                <c:v>-44.933991999999996</c:v>
              </c:pt>
              <c:pt idx="4184">
                <c:v>-44.633768000000003</c:v>
              </c:pt>
              <c:pt idx="4185">
                <c:v>-44.333456000000005</c:v>
              </c:pt>
              <c:pt idx="4186">
                <c:v>-44.033127</c:v>
              </c:pt>
              <c:pt idx="4187">
                <c:v>-43.732809000000003</c:v>
              </c:pt>
              <c:pt idx="4188">
                <c:v>-43.432580000000002</c:v>
              </c:pt>
              <c:pt idx="4189">
                <c:v>-43.132249999999999</c:v>
              </c:pt>
              <c:pt idx="4190">
                <c:v>-42.831919999999997</c:v>
              </c:pt>
              <c:pt idx="4191">
                <c:v>-42.531680000000001</c:v>
              </c:pt>
              <c:pt idx="4192">
                <c:v>-42.231340000000003</c:v>
              </c:pt>
              <c:pt idx="4193">
                <c:v>-41.931080000000001</c:v>
              </c:pt>
              <c:pt idx="4194">
                <c:v>-41.630740000000003</c:v>
              </c:pt>
              <c:pt idx="4195">
                <c:v>-41.330379999999998</c:v>
              </c:pt>
              <c:pt idx="4196">
                <c:v>-41.030119999999997</c:v>
              </c:pt>
              <c:pt idx="4197">
                <c:v>-40.729770000000009</c:v>
              </c:pt>
              <c:pt idx="4198">
                <c:v>-40.429490000000001</c:v>
              </c:pt>
              <c:pt idx="4199">
                <c:v>-40.12910999999999</c:v>
              </c:pt>
              <c:pt idx="4200">
                <c:v>-39.828859999999999</c:v>
              </c:pt>
              <c:pt idx="4201">
                <c:v>-39.528580000000005</c:v>
              </c:pt>
              <c:pt idx="4202">
                <c:v>-39.228290000000001</c:v>
              </c:pt>
              <c:pt idx="4203">
                <c:v>-38.927900000000008</c:v>
              </c:pt>
              <c:pt idx="4204">
                <c:v>-38.62762</c:v>
              </c:pt>
              <c:pt idx="4205">
                <c:v>-38.327409999999993</c:v>
              </c:pt>
              <c:pt idx="4206">
                <c:v>-38.027029999999996</c:v>
              </c:pt>
              <c:pt idx="4207">
                <c:v>-37.726719999999993</c:v>
              </c:pt>
              <c:pt idx="4208">
                <c:v>-37.42642</c:v>
              </c:pt>
              <c:pt idx="4209">
                <c:v>-37.126110000000004</c:v>
              </c:pt>
              <c:pt idx="4210">
                <c:v>-36.825790000000005</c:v>
              </c:pt>
              <c:pt idx="4211">
                <c:v>-36.525580000000005</c:v>
              </c:pt>
              <c:pt idx="4212">
                <c:v>-36.225149999999999</c:v>
              </c:pt>
              <c:pt idx="4213">
                <c:v>-35.924930000000003</c:v>
              </c:pt>
              <c:pt idx="4214">
                <c:v>-35.624600000000001</c:v>
              </c:pt>
              <c:pt idx="4215">
                <c:v>-35.324370000000002</c:v>
              </c:pt>
              <c:pt idx="4216">
                <c:v>-35.023940000000003</c:v>
              </c:pt>
              <c:pt idx="4217">
                <c:v>-34.723700000000008</c:v>
              </c:pt>
              <c:pt idx="4218">
                <c:v>-34.423339999999996</c:v>
              </c:pt>
              <c:pt idx="4219">
                <c:v>-34.123100000000001</c:v>
              </c:pt>
              <c:pt idx="4220">
                <c:v>-33.822749999999999</c:v>
              </c:pt>
              <c:pt idx="4221">
                <c:v>-33.522499999999994</c:v>
              </c:pt>
              <c:pt idx="4222">
                <c:v>-33.212409999999998</c:v>
              </c:pt>
              <c:pt idx="4223">
                <c:v>-32.894449999999999</c:v>
              </c:pt>
              <c:pt idx="4224">
                <c:v>-32.57649</c:v>
              </c:pt>
              <c:pt idx="4225">
                <c:v>-32.258420000000001</c:v>
              </c:pt>
              <c:pt idx="4226">
                <c:v>-31.940449999999998</c:v>
              </c:pt>
              <c:pt idx="4227">
                <c:v>-31.601680000000002</c:v>
              </c:pt>
              <c:pt idx="4228">
                <c:v>-31.23179</c:v>
              </c:pt>
              <c:pt idx="4229">
                <c:v>-30.862000000000002</c:v>
              </c:pt>
              <c:pt idx="4230">
                <c:v>-30.491140000000001</c:v>
              </c:pt>
              <c:pt idx="4231">
                <c:v>-30.067299999999992</c:v>
              </c:pt>
              <c:pt idx="4232">
                <c:v>-29.643430000000002</c:v>
              </c:pt>
              <c:pt idx="4233">
                <c:v>-29.06549</c:v>
              </c:pt>
              <c:pt idx="4234">
                <c:v>-28.473909999999997</c:v>
              </c:pt>
              <c:pt idx="4235">
                <c:v>-27.882489999999994</c:v>
              </c:pt>
              <c:pt idx="4236">
                <c:v>-27.291010000000004</c:v>
              </c:pt>
              <c:pt idx="4237">
                <c:v>-26.699510000000007</c:v>
              </c:pt>
              <c:pt idx="4238">
                <c:v>-26.10801</c:v>
              </c:pt>
              <c:pt idx="4239">
                <c:v>-25.51652</c:v>
              </c:pt>
              <c:pt idx="4240">
                <c:v>-24.92502</c:v>
              </c:pt>
              <c:pt idx="4241">
                <c:v>-24.333600000000004</c:v>
              </c:pt>
              <c:pt idx="4242">
                <c:v>-23.742070000000002</c:v>
              </c:pt>
              <c:pt idx="4243">
                <c:v>-23.150640000000003</c:v>
              </c:pt>
              <c:pt idx="4244">
                <c:v>-22.559100000000001</c:v>
              </c:pt>
              <c:pt idx="4245">
                <c:v>-21.967640000000003</c:v>
              </c:pt>
              <c:pt idx="4246">
                <c:v>-21.376180000000005</c:v>
              </c:pt>
              <c:pt idx="4247">
                <c:v>-20.78472</c:v>
              </c:pt>
              <c:pt idx="4248">
                <c:v>-20.193249999999999</c:v>
              </c:pt>
              <c:pt idx="4249">
                <c:v>-19.601779999999998</c:v>
              </c:pt>
              <c:pt idx="4250">
                <c:v>-19.010290000000001</c:v>
              </c:pt>
              <c:pt idx="4251">
                <c:v>-18.418800000000001</c:v>
              </c:pt>
              <c:pt idx="4252">
                <c:v>-17.82741</c:v>
              </c:pt>
              <c:pt idx="4253">
                <c:v>-17.235890000000001</c:v>
              </c:pt>
              <c:pt idx="4254">
                <c:v>-16.644469999999995</c:v>
              </c:pt>
              <c:pt idx="4255">
                <c:v>-16.052940000000003</c:v>
              </c:pt>
              <c:pt idx="4256">
                <c:v>-15.461510000000001</c:v>
              </c:pt>
              <c:pt idx="4257">
                <c:v>-14.870060000000002</c:v>
              </c:pt>
              <c:pt idx="4258">
                <c:v>-14.278609999999999</c:v>
              </c:pt>
              <c:pt idx="4259">
                <c:v>-13.687149999999999</c:v>
              </c:pt>
              <c:pt idx="4260">
                <c:v>-13.146069999999998</c:v>
              </c:pt>
              <c:pt idx="4261">
                <c:v>-12.638110000000001</c:v>
              </c:pt>
              <c:pt idx="4262">
                <c:v>-12.130037999999999</c:v>
              </c:pt>
              <c:pt idx="4263">
                <c:v>-11.621971</c:v>
              </c:pt>
              <c:pt idx="4264">
                <c:v>-11.113895000000001</c:v>
              </c:pt>
              <c:pt idx="4265">
                <c:v>-10.605932000000003</c:v>
              </c:pt>
              <c:pt idx="4266">
                <c:v>-10.221823999999998</c:v>
              </c:pt>
              <c:pt idx="4267">
                <c:v>-9.8575060000000008</c:v>
              </c:pt>
              <c:pt idx="4268">
                <c:v>-9.4932149999999993</c:v>
              </c:pt>
              <c:pt idx="4269">
                <c:v>-9.128893999999999</c:v>
              </c:pt>
              <c:pt idx="4270">
                <c:v>-8.7645710000000001</c:v>
              </c:pt>
              <c:pt idx="4271">
                <c:v>-8.4002599999999994</c:v>
              </c:pt>
              <c:pt idx="4272">
                <c:v>-8.035933</c:v>
              </c:pt>
              <c:pt idx="4273">
                <c:v>-7.6716199000000014</c:v>
              </c:pt>
              <c:pt idx="4274">
                <c:v>-7.3072992900000013</c:v>
              </c:pt>
              <c:pt idx="4275">
                <c:v>-6.9430723999999993</c:v>
              </c:pt>
              <c:pt idx="4276">
                <c:v>-6.5787380000000004</c:v>
              </c:pt>
              <c:pt idx="4277">
                <c:v>-6.2144180000000002</c:v>
              </c:pt>
              <c:pt idx="4278">
                <c:v>-5.8500810000000003</c:v>
              </c:pt>
              <c:pt idx="4279">
                <c:v>-5.4858459999999996</c:v>
              </c:pt>
              <c:pt idx="4280">
                <c:v>-5.1327979999999984</c:v>
              </c:pt>
              <c:pt idx="4281">
                <c:v>-4.7850665000000001</c:v>
              </c:pt>
              <c:pt idx="4282">
                <c:v>-4.4373198999999985</c:v>
              </c:pt>
              <c:pt idx="4283">
                <c:v>-4.100155700000002</c:v>
              </c:pt>
              <c:pt idx="4284">
                <c:v>-3.788659</c:v>
              </c:pt>
              <c:pt idx="4285">
                <c:v>-3.4772790000000011</c:v>
              </c:pt>
              <c:pt idx="4286">
                <c:v>-3.1657830000000011</c:v>
              </c:pt>
              <c:pt idx="4287">
                <c:v>-2.8586119999999999</c:v>
              </c:pt>
              <c:pt idx="4288">
                <c:v>-2.5608639999999969</c:v>
              </c:pt>
              <c:pt idx="4289">
                <c:v>-2.2731589999999979</c:v>
              </c:pt>
              <c:pt idx="4290">
                <c:v>-1.9854340000000015</c:v>
              </c:pt>
              <c:pt idx="4291">
                <c:v>-1.6977179999999983</c:v>
              </c:pt>
              <c:pt idx="4292">
                <c:v>-1.4099800000000027</c:v>
              </c:pt>
              <c:pt idx="4293">
                <c:v>-1.1222599999999998</c:v>
              </c:pt>
              <c:pt idx="4294">
                <c:v>-0.83462800000000126</c:v>
              </c:pt>
              <c:pt idx="4295">
                <c:v>-0.5469040000000005</c:v>
              </c:pt>
              <c:pt idx="4296">
                <c:v>-0.25918799999999909</c:v>
              </c:pt>
              <c:pt idx="4297">
                <c:v>2.8540000000000454E-2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989C-4116-A45A-26B0D3723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7258591"/>
        <c:axId val="1687896831"/>
      </c:scatterChart>
      <c:valAx>
        <c:axId val="1727258591"/>
        <c:scaling>
          <c:orientation val="minMax"/>
          <c:max val="0.1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Roof Displacement (m)</a:t>
                </a:r>
              </a:p>
            </c:rich>
          </c:tx>
          <c:layout>
            <c:manualLayout>
              <c:xMode val="edge"/>
              <c:yMode val="edge"/>
              <c:x val="0.3794367762853173"/>
              <c:y val="0.9148486364032032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896831"/>
        <c:crosses val="autoZero"/>
        <c:crossBetween val="midCat"/>
      </c:valAx>
      <c:valAx>
        <c:axId val="1687896831"/>
        <c:scaling>
          <c:orientation val="maxMin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Base Shear (kN)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258591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608372932823444"/>
          <c:y val="0.71184390608244286"/>
          <c:w val="0.28891061786721317"/>
          <c:h val="0.11978212612191591"/>
        </c:manualLayout>
      </c:layout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Displaced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12726977043916E-2"/>
          <c:y val="6.6603820645921727E-2"/>
          <c:w val="0.75390666605382006"/>
          <c:h val="0.85904680110266629"/>
        </c:manualLayout>
      </c:layout>
      <c:scatterChart>
        <c:scatterStyle val="lineMarker"/>
        <c:varyColors val="0"/>
        <c:ser>
          <c:idx val="0"/>
          <c:order val="1"/>
          <c:tx>
            <c:strRef>
              <c:f>'Post-yield Mechanism'!$H$135:$H$136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Mechanism'!$H$137:$H$143</c:f>
              <c:numCache>
                <c:formatCode>0.0000</c:formatCode>
                <c:ptCount val="7"/>
                <c:pt idx="0">
                  <c:v>5.5160151453768761E-4</c:v>
                </c:pt>
                <c:pt idx="1">
                  <c:v>5.129345250204138E-4</c:v>
                </c:pt>
                <c:pt idx="2">
                  <c:v>4.3870334213667601E-4</c:v>
                </c:pt>
                <c:pt idx="3">
                  <c:v>3.3817327344649168E-4</c:v>
                </c:pt>
                <c:pt idx="4">
                  <c:v>2.2281127454538285E-4</c:v>
                </c:pt>
                <c:pt idx="5">
                  <c:v>1.0287567569342185E-4</c:v>
                </c:pt>
                <c:pt idx="6">
                  <c:v>0</c:v>
                </c:pt>
              </c:numCache>
            </c:numRef>
          </c:xVal>
          <c:yVal>
            <c:numRef>
              <c:f>'Post-yield Mechanism'!$B$137:$B$143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3F-4B30-8305-C5A5593E6419}"/>
            </c:ext>
          </c:extLst>
        </c:ser>
        <c:ser>
          <c:idx val="9"/>
          <c:order val="9"/>
          <c:tx>
            <c:strRef>
              <c:f>'Post-yield Mechanism'!$D$125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'Post-yield Mechanism'!$D$126:$D$132</c:f>
              <c:numCache>
                <c:formatCode>0.0000</c:formatCode>
                <c:ptCount val="7"/>
              </c:numCache>
            </c:numRef>
          </c:xVal>
          <c:yVal>
            <c:numRef>
              <c:f>'Post-yield Mechanism'!$C$126:$C$132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95A-4AC2-A670-819F4B992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Mechanism'!$D$8:$D$11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3.3817710389670428E-4</c:v>
                      </c:pt>
                      <c:pt idx="1">
                        <c:v>2.2281419912253221E-4</c:v>
                      </c:pt>
                      <c:pt idx="2">
                        <c:v>1.0288099750293083E-4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Mechanism'!$B$8:$B$11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8.75</c:v>
                      </c:pt>
                      <c:pt idx="1">
                        <c:v>5.75</c:v>
                      </c:pt>
                      <c:pt idx="2">
                        <c:v>2.75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6E3F-4B30-8305-C5A5593E6419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Mechanism'!$D$135:$D$136</c15:sqref>
                        </c15:formulaRef>
                      </c:ext>
                    </c:extLst>
                    <c:strCache>
                      <c:ptCount val="2"/>
                      <c:pt idx="0">
                        <c:v>LS2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Mechanism'!$D$140:$D$143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3.3817327344649168E-4</c:v>
                      </c:pt>
                      <c:pt idx="1">
                        <c:v>2.2281127454538285E-4</c:v>
                      </c:pt>
                      <c:pt idx="2">
                        <c:v>1.0287567569342185E-4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Mechanism'!$B$140:$B$143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DF1-4FDD-9269-95CE543EFDB1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Mechanism'!$E$135:$E$136</c15:sqref>
                        </c15:formulaRef>
                      </c:ext>
                    </c:extLst>
                    <c:strCache>
                      <c:ptCount val="2"/>
                      <c:pt idx="0">
                        <c:v>LS3 Δi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Mechanism'!$E$140:$E$143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3.3817327344649168E-4</c:v>
                      </c:pt>
                      <c:pt idx="1">
                        <c:v>2.2281127454538285E-4</c:v>
                      </c:pt>
                      <c:pt idx="2">
                        <c:v>1.0287567569342185E-4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Mechanism'!$B$140:$B$143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DF1-4FDD-9269-95CE543EFDB1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Mechanism'!$F$135:$F$136</c15:sqref>
                        </c15:formulaRef>
                      </c:ext>
                    </c:extLst>
                    <c:strCache>
                      <c:ptCount val="2"/>
                      <c:pt idx="0">
                        <c:v>LS4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Mechanism'!$F$140:$F$143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3.3817327344649168E-4</c:v>
                      </c:pt>
                      <c:pt idx="1">
                        <c:v>2.2281127454538285E-4</c:v>
                      </c:pt>
                      <c:pt idx="2">
                        <c:v>1.0287567569342185E-4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Mechanism'!$B$140:$B$143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DF1-4FDD-9269-95CE543EFDB1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Mechanism'!$G$135:$G$136</c15:sqref>
                        </c15:formulaRef>
                      </c:ext>
                    </c:extLst>
                    <c:strCache>
                      <c:ptCount val="2"/>
                      <c:pt idx="0">
                        <c:v>LS5 Δi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Mechanism'!$G$140:$G$143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3.3817327344649168E-4</c:v>
                      </c:pt>
                      <c:pt idx="1">
                        <c:v>2.2281127454538285E-4</c:v>
                      </c:pt>
                      <c:pt idx="2">
                        <c:v>1.0287567569342185E-4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Mechanism'!$B$140:$B$143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DF1-4FDD-9269-95CE543EFDB1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Mechanism'!$H$135:$H$136</c15:sqref>
                        </c15:formulaRef>
                      </c:ext>
                    </c:extLst>
                    <c:strCache>
                      <c:ptCount val="2"/>
                      <c:pt idx="0">
                        <c:v>LS6 Δi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Mechanism'!$H$140:$H$143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3.3817327344649168E-4</c:v>
                      </c:pt>
                      <c:pt idx="1">
                        <c:v>2.2281127454538285E-4</c:v>
                      </c:pt>
                      <c:pt idx="2">
                        <c:v>1.0287567569342185E-4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Mechanism'!$B$140:$B$143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DF1-4FDD-9269-95CE543EFDB1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Mechanism'!$E$129:$E$132</c15:sqref>
                        </c15:formulaRef>
                      </c:ext>
                    </c:extLst>
                    <c:numCache>
                      <c:formatCode>0.0000</c:formatCode>
                      <c:ptCount val="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Mechanism'!$C$129:$C$132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340-48D5-890A-C34C7397433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60000"/>
                      </a:schemeClr>
                    </a:solidFill>
                    <a:ln w="9525">
                      <a:solidFill>
                        <a:schemeClr val="accent3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Mechanism'!$F$129:$F$132</c15:sqref>
                        </c15:formulaRef>
                      </c:ext>
                    </c:extLst>
                    <c:numCache>
                      <c:formatCode>0.0000</c:formatCode>
                      <c:ptCount val="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Mechanism'!$C$129:$C$132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F37-4BD8-AD84-556855AC480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>
                        <a:lumMod val="60000"/>
                      </a:schemeClr>
                    </a:solidFill>
                    <a:ln w="9525">
                      <a:solidFill>
                        <a:schemeClr val="accent5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Mechanism'!$G$129:$G$132</c15:sqref>
                        </c15:formulaRef>
                      </c:ext>
                    </c:extLst>
                    <c:numCache>
                      <c:formatCode>0.0000</c:formatCode>
                      <c:ptCount val="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Mechanism'!$C$129:$C$132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3BC9-4A66-B67D-608ADDB59075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</c:valAx>
      <c:valAx>
        <c:axId val="623435184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Normalized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630260272003602"/>
          <c:y val="9.4647518401836675E-2"/>
          <c:w val="0.73516706434693924"/>
          <c:h val="0.7920426184387479"/>
        </c:manualLayout>
      </c:layout>
      <c:scatterChart>
        <c:scatterStyle val="lineMarker"/>
        <c:varyColors val="0"/>
        <c:ser>
          <c:idx val="0"/>
          <c:order val="0"/>
          <c:tx>
            <c:strRef>
              <c:f>'Post-yield Mechanism'!$D$186:$D$187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Mechanism'!$D$188:$D$194</c:f>
              <c:numCache>
                <c:formatCode>0.000</c:formatCode>
                <c:ptCount val="7"/>
                <c:pt idx="0">
                  <c:v>1</c:v>
                </c:pt>
                <c:pt idx="1">
                  <c:v>0.92990050154289061</c:v>
                </c:pt>
                <c:pt idx="2">
                  <c:v>0.79532657285099251</c:v>
                </c:pt>
                <c:pt idx="3">
                  <c:v>0.61307531711533458</c:v>
                </c:pt>
                <c:pt idx="4">
                  <c:v>0.40393521169376612</c:v>
                </c:pt>
                <c:pt idx="5">
                  <c:v>0.18650361353638556</c:v>
                </c:pt>
                <c:pt idx="6">
                  <c:v>0</c:v>
                </c:pt>
              </c:numCache>
            </c:numRef>
          </c:xVal>
          <c:yVal>
            <c:numRef>
              <c:f>'Post-yield Mechanism'!$C$188:$C$194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7B-4762-879E-6D965EBAE649}"/>
            </c:ext>
          </c:extLst>
        </c:ser>
        <c:ser>
          <c:idx val="1"/>
          <c:order val="1"/>
          <c:tx>
            <c:strRef>
              <c:f>'Post-yield Mechanism'!$E$186</c:f>
              <c:strCache>
                <c:ptCount val="1"/>
                <c:pt idx="0">
                  <c:v>0.00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Mechanism'!$E$191:$E$194</c:f>
              <c:numCache>
                <c:formatCode>0.000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'Post-yield Mechanism'!$C$191:$C$194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7B-4762-879E-6D965EBAE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977199"/>
        <c:axId val="107818447"/>
      </c:scatterChart>
      <c:valAx>
        <c:axId val="2103977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Amplitude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818447"/>
        <c:crosses val="autoZero"/>
        <c:crossBetween val="midCat"/>
      </c:valAx>
      <c:valAx>
        <c:axId val="107818447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  <a:r>
                  <a:rPr lang="en-GB" baseline="0"/>
                  <a:t> No.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9771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5" Type="http://schemas.openxmlformats.org/officeDocument/2006/relationships/image" Target="../media/image3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5" Type="http://schemas.openxmlformats.org/officeDocument/2006/relationships/image" Target="../media/image7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152399</xdr:colOff>
      <xdr:row>1</xdr:row>
      <xdr:rowOff>47625</xdr:rowOff>
    </xdr:from>
    <xdr:to>
      <xdr:col>4</xdr:col>
      <xdr:colOff>414980</xdr:colOff>
      <xdr:row>3</xdr:row>
      <xdr:rowOff>104775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761999" y="247650"/>
          <a:ext cx="2019944" cy="438150"/>
        </a:xfrm>
        <a:prstGeom prst="rect">
          <a:avLst/>
        </a:prstGeom>
      </xdr:spPr>
    </xdr:pic>
    <xdr:clientData/>
  </xdr:twoCellAnchor>
  <xdr:twoCellAnchor>
    <xdr:from>
      <xdr:col>12</xdr:col>
      <xdr:colOff>190499</xdr:colOff>
      <xdr:row>28</xdr:row>
      <xdr:rowOff>166686</xdr:rowOff>
    </xdr:from>
    <xdr:to>
      <xdr:col>23</xdr:col>
      <xdr:colOff>357186</xdr:colOff>
      <xdr:row>32</xdr:row>
      <xdr:rowOff>83343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060155" y="5857874"/>
          <a:ext cx="4155281" cy="714375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400">
              <a:latin typeface="Times New Roman" panose="02020603050405020304" pitchFamily="18" charset="0"/>
              <a:cs typeface="Times New Roman" panose="02020603050405020304" pitchFamily="18" charset="0"/>
            </a:rPr>
            <a:t>Reinforcing steel and contrete strengths are 372 MPa and 19.6 MPa</a:t>
          </a:r>
          <a:r>
            <a:rPr lang="en-GB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, respectively.</a:t>
          </a:r>
          <a:endParaRPr lang="en-GB" sz="14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13</xdr:col>
      <xdr:colOff>337578</xdr:colOff>
      <xdr:row>22</xdr:row>
      <xdr:rowOff>44123</xdr:rowOff>
    </xdr:from>
    <xdr:to>
      <xdr:col>19</xdr:col>
      <xdr:colOff>352985</xdr:colOff>
      <xdr:row>29</xdr:row>
      <xdr:rowOff>120532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814453" y="4497061"/>
          <a:ext cx="3313438" cy="1469441"/>
        </a:xfrm>
        <a:prstGeom prst="rect">
          <a:avLst/>
        </a:prstGeom>
      </xdr:spPr>
    </xdr:pic>
    <xdr:clientData/>
  </xdr:twoCellAnchor>
  <xdr:twoCellAnchor editAs="oneCell">
    <xdr:from>
      <xdr:col>20</xdr:col>
      <xdr:colOff>257033</xdr:colOff>
      <xdr:row>23</xdr:row>
      <xdr:rowOff>50426</xdr:rowOff>
    </xdr:from>
    <xdr:to>
      <xdr:col>22</xdr:col>
      <xdr:colOff>792816</xdr:colOff>
      <xdr:row>27</xdr:row>
      <xdr:rowOff>54490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401033" y="4729582"/>
          <a:ext cx="1404939" cy="7779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59532</xdr:colOff>
      <xdr:row>41</xdr:row>
      <xdr:rowOff>23808</xdr:rowOff>
    </xdr:from>
    <xdr:to>
      <xdr:col>27</xdr:col>
      <xdr:colOff>678656</xdr:colOff>
      <xdr:row>65</xdr:row>
      <xdr:rowOff>166687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6" y="8120058"/>
          <a:ext cx="7584280" cy="47386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23809</xdr:colOff>
      <xdr:row>35</xdr:row>
      <xdr:rowOff>11903</xdr:rowOff>
    </xdr:from>
    <xdr:to>
      <xdr:col>18</xdr:col>
      <xdr:colOff>583405</xdr:colOff>
      <xdr:row>62</xdr:row>
      <xdr:rowOff>153402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1028" y="6977059"/>
          <a:ext cx="12358690" cy="543978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17858</xdr:colOff>
      <xdr:row>40</xdr:row>
      <xdr:rowOff>182165</xdr:rowOff>
    </xdr:from>
    <xdr:to>
      <xdr:col>25</xdr:col>
      <xdr:colOff>261937</xdr:colOff>
      <xdr:row>65</xdr:row>
      <xdr:rowOff>178593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652462</xdr:colOff>
      <xdr:row>21</xdr:row>
      <xdr:rowOff>63501</xdr:rowOff>
    </xdr:from>
    <xdr:to>
      <xdr:col>15</xdr:col>
      <xdr:colOff>774698</xdr:colOff>
      <xdr:row>43</xdr:row>
      <xdr:rowOff>184151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428624</xdr:colOff>
      <xdr:row>21</xdr:row>
      <xdr:rowOff>119063</xdr:rowOff>
    </xdr:from>
    <xdr:to>
      <xdr:col>8</xdr:col>
      <xdr:colOff>607218</xdr:colOff>
      <xdr:row>43</xdr:row>
      <xdr:rowOff>202406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209550</xdr:colOff>
          <xdr:row>65</xdr:row>
          <xdr:rowOff>152400</xdr:rowOff>
        </xdr:from>
        <xdr:to>
          <xdr:col>23</xdr:col>
          <xdr:colOff>628650</xdr:colOff>
          <xdr:row>68</xdr:row>
          <xdr:rowOff>76200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476250</xdr:colOff>
          <xdr:row>65</xdr:row>
          <xdr:rowOff>152400</xdr:rowOff>
        </xdr:from>
        <xdr:to>
          <xdr:col>22</xdr:col>
          <xdr:colOff>171450</xdr:colOff>
          <xdr:row>68</xdr:row>
          <xdr:rowOff>66675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65</xdr:row>
          <xdr:rowOff>142875</xdr:rowOff>
        </xdr:from>
        <xdr:to>
          <xdr:col>25</xdr:col>
          <xdr:colOff>447675</xdr:colOff>
          <xdr:row>68</xdr:row>
          <xdr:rowOff>57150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200025</xdr:colOff>
          <xdr:row>69</xdr:row>
          <xdr:rowOff>19050</xdr:rowOff>
        </xdr:from>
        <xdr:to>
          <xdr:col>23</xdr:col>
          <xdr:colOff>619125</xdr:colOff>
          <xdr:row>71</xdr:row>
          <xdr:rowOff>114300</xdr:rowOff>
        </xdr:to>
        <xdr:sp macro="" textlink="">
          <xdr:nvSpPr>
            <xdr:cNvPr id="5125" name="CommandButton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447675</xdr:colOff>
          <xdr:row>69</xdr:row>
          <xdr:rowOff>19050</xdr:rowOff>
        </xdr:from>
        <xdr:to>
          <xdr:col>22</xdr:col>
          <xdr:colOff>142875</xdr:colOff>
          <xdr:row>71</xdr:row>
          <xdr:rowOff>114300</xdr:rowOff>
        </xdr:to>
        <xdr:sp macro="" textlink="">
          <xdr:nvSpPr>
            <xdr:cNvPr id="5126" name="CommandButton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19050</xdr:rowOff>
        </xdr:from>
        <xdr:to>
          <xdr:col>9</xdr:col>
          <xdr:colOff>9525</xdr:colOff>
          <xdr:row>15</xdr:row>
          <xdr:rowOff>190500</xdr:rowOff>
        </xdr:to>
        <xdr:sp macro="" textlink="">
          <xdr:nvSpPr>
            <xdr:cNvPr id="5139" name="ToggleButton1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4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19050</xdr:rowOff>
        </xdr:from>
        <xdr:to>
          <xdr:col>9</xdr:col>
          <xdr:colOff>9525</xdr:colOff>
          <xdr:row>16</xdr:row>
          <xdr:rowOff>190500</xdr:rowOff>
        </xdr:to>
        <xdr:sp macro="" textlink="">
          <xdr:nvSpPr>
            <xdr:cNvPr id="5140" name="ToggleButton2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4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19050</xdr:rowOff>
        </xdr:from>
        <xdr:to>
          <xdr:col>9</xdr:col>
          <xdr:colOff>9525</xdr:colOff>
          <xdr:row>17</xdr:row>
          <xdr:rowOff>190500</xdr:rowOff>
        </xdr:to>
        <xdr:sp macro="" textlink="">
          <xdr:nvSpPr>
            <xdr:cNvPr id="5141" name="ToggleButton3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4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19050</xdr:rowOff>
        </xdr:from>
        <xdr:to>
          <xdr:col>9</xdr:col>
          <xdr:colOff>9525</xdr:colOff>
          <xdr:row>18</xdr:row>
          <xdr:rowOff>190500</xdr:rowOff>
        </xdr:to>
        <xdr:sp macro="" textlink="">
          <xdr:nvSpPr>
            <xdr:cNvPr id="5142" name="ToggleButton4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4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19050</xdr:rowOff>
        </xdr:from>
        <xdr:to>
          <xdr:col>9</xdr:col>
          <xdr:colOff>9525</xdr:colOff>
          <xdr:row>19</xdr:row>
          <xdr:rowOff>190500</xdr:rowOff>
        </xdr:to>
        <xdr:sp macro="" textlink="">
          <xdr:nvSpPr>
            <xdr:cNvPr id="5143" name="ToggleButton5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4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19050</xdr:rowOff>
        </xdr:from>
        <xdr:to>
          <xdr:col>9</xdr:col>
          <xdr:colOff>9525</xdr:colOff>
          <xdr:row>20</xdr:row>
          <xdr:rowOff>190500</xdr:rowOff>
        </xdr:to>
        <xdr:sp macro="" textlink="">
          <xdr:nvSpPr>
            <xdr:cNvPr id="5144" name="ToggleButton6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4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10923</xdr:colOff>
      <xdr:row>59</xdr:row>
      <xdr:rowOff>-1</xdr:rowOff>
    </xdr:from>
    <xdr:to>
      <xdr:col>7</xdr:col>
      <xdr:colOff>869156</xdr:colOff>
      <xdr:row>79</xdr:row>
      <xdr:rowOff>699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1400</xdr:colOff>
      <xdr:row>82</xdr:row>
      <xdr:rowOff>20310</xdr:rowOff>
    </xdr:from>
    <xdr:to>
      <xdr:col>7</xdr:col>
      <xdr:colOff>885265</xdr:colOff>
      <xdr:row>119</xdr:row>
      <xdr:rowOff>179294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20308</xdr:colOff>
      <xdr:row>144</xdr:row>
      <xdr:rowOff>180694</xdr:rowOff>
    </xdr:from>
    <xdr:to>
      <xdr:col>7</xdr:col>
      <xdr:colOff>881062</xdr:colOff>
      <xdr:row>182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8.xml"/><Relationship Id="rId18" Type="http://schemas.openxmlformats.org/officeDocument/2006/relationships/image" Target="../media/image10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12" Type="http://schemas.openxmlformats.org/officeDocument/2006/relationships/image" Target="../media/image7.emf"/><Relationship Id="rId17" Type="http://schemas.openxmlformats.org/officeDocument/2006/relationships/control" Target="../activeX/activeX10.xml"/><Relationship Id="rId2" Type="http://schemas.openxmlformats.org/officeDocument/2006/relationships/drawing" Target="../drawings/drawing5.xml"/><Relationship Id="rId16" Type="http://schemas.openxmlformats.org/officeDocument/2006/relationships/image" Target="../media/image9.emf"/><Relationship Id="rId20" Type="http://schemas.openxmlformats.org/officeDocument/2006/relationships/image" Target="../media/image11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5" Type="http://schemas.openxmlformats.org/officeDocument/2006/relationships/image" Target="../media/image6.emf"/><Relationship Id="rId15" Type="http://schemas.openxmlformats.org/officeDocument/2006/relationships/control" Target="../activeX/activeX9.xml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1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V36"/>
  <sheetViews>
    <sheetView topLeftCell="M1" zoomScale="80" zoomScaleNormal="80" workbookViewId="0">
      <selection activeCell="H39" sqref="H39"/>
    </sheetView>
  </sheetViews>
  <sheetFormatPr defaultColWidth="9.140625" defaultRowHeight="15" x14ac:dyDescent="0.25"/>
  <cols>
    <col min="1" max="1" width="5.5703125" style="1" customWidth="1"/>
    <col min="2" max="2" width="8.140625" style="1" customWidth="1"/>
    <col min="3" max="7" width="9.140625" style="1" customWidth="1"/>
    <col min="8" max="8" width="10.140625" style="1" customWidth="1"/>
    <col min="9" max="9" width="9.140625" style="1" customWidth="1"/>
    <col min="10" max="13" width="9.140625" style="1"/>
    <col min="14" max="14" width="5.5703125" style="1" bestFit="1" customWidth="1"/>
    <col min="15" max="15" width="12.7109375" style="1" customWidth="1"/>
    <col min="16" max="16" width="5.5703125" style="1" bestFit="1" customWidth="1"/>
    <col min="17" max="17" width="7.5703125" style="1" customWidth="1"/>
    <col min="18" max="18" width="5.5703125" style="1" customWidth="1"/>
    <col min="19" max="19" width="12.7109375" style="1" customWidth="1"/>
    <col min="20" max="20" width="5.5703125" style="1" customWidth="1"/>
    <col min="21" max="21" width="7.5703125" style="1" customWidth="1"/>
    <col min="22" max="22" width="5.5703125" style="1" bestFit="1" customWidth="1"/>
    <col min="23" max="23" width="12.7109375" style="1" customWidth="1"/>
    <col min="24" max="24" width="5.5703125" style="1" bestFit="1" customWidth="1"/>
    <col min="25" max="25" width="8.7109375" style="1" customWidth="1"/>
    <col min="26" max="26" width="5" style="1" bestFit="1" customWidth="1"/>
    <col min="27" max="27" width="8" style="1" customWidth="1"/>
    <col min="28" max="28" width="9.5703125" style="1" customWidth="1"/>
    <col min="29" max="29" width="11.28515625" style="1" customWidth="1"/>
    <col min="30" max="33" width="10.42578125" style="1" bestFit="1" customWidth="1"/>
    <col min="34" max="35" width="10.42578125" style="1" customWidth="1"/>
    <col min="36" max="36" width="10.28515625" style="1" bestFit="1" customWidth="1"/>
    <col min="37" max="37" width="13.140625" style="1" bestFit="1" customWidth="1"/>
    <col min="38" max="38" width="10.5703125" style="1" bestFit="1" customWidth="1"/>
    <col min="39" max="39" width="8.5703125" style="1" bestFit="1" customWidth="1"/>
    <col min="40" max="40" width="10.28515625" style="1" bestFit="1" customWidth="1"/>
    <col min="41" max="41" width="7.140625" style="1" bestFit="1" customWidth="1"/>
    <col min="42" max="42" width="11.85546875" style="1" bestFit="1" customWidth="1"/>
    <col min="43" max="43" width="10.5703125" style="1" bestFit="1" customWidth="1"/>
    <col min="44" max="44" width="9.28515625" style="1" bestFit="1" customWidth="1"/>
    <col min="45" max="45" width="10.28515625" style="1" bestFit="1" customWidth="1"/>
    <col min="46" max="46" width="6.28515625" style="1" customWidth="1"/>
    <col min="47" max="47" width="12.42578125" style="1" bestFit="1" customWidth="1"/>
    <col min="48" max="16384" width="9.140625" style="1"/>
  </cols>
  <sheetData>
    <row r="1" spans="2:48" ht="14.45" thickBot="1" x14ac:dyDescent="0.3"/>
    <row r="2" spans="2:48" ht="15" customHeight="1" x14ac:dyDescent="0.25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719" t="s">
        <v>4</v>
      </c>
      <c r="O2" s="719"/>
      <c r="P2" s="719"/>
      <c r="Q2" s="719"/>
      <c r="R2" s="719"/>
      <c r="S2" s="719"/>
      <c r="T2" s="719"/>
      <c r="U2" s="719"/>
      <c r="V2" s="719"/>
      <c r="W2" s="719"/>
      <c r="X2" s="719"/>
      <c r="Y2" s="4"/>
      <c r="AA2" s="678" t="s">
        <v>27</v>
      </c>
      <c r="AB2" s="679"/>
      <c r="AC2" s="679"/>
      <c r="AD2" s="679"/>
      <c r="AE2" s="679"/>
      <c r="AF2" s="679"/>
      <c r="AG2" s="679"/>
      <c r="AH2" s="679"/>
      <c r="AI2" s="679"/>
      <c r="AJ2" s="679"/>
      <c r="AK2" s="679"/>
      <c r="AL2" s="679"/>
      <c r="AM2" s="680"/>
    </row>
    <row r="3" spans="2:48" ht="15" customHeight="1" thickBot="1" x14ac:dyDescent="0.3"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720"/>
      <c r="O3" s="720"/>
      <c r="P3" s="720"/>
      <c r="Q3" s="720"/>
      <c r="R3" s="720"/>
      <c r="S3" s="720"/>
      <c r="T3" s="720"/>
      <c r="U3" s="720"/>
      <c r="V3" s="720"/>
      <c r="W3" s="720"/>
      <c r="X3" s="720"/>
      <c r="Y3" s="7"/>
      <c r="AA3" s="681"/>
      <c r="AB3" s="682"/>
      <c r="AC3" s="682"/>
      <c r="AD3" s="682"/>
      <c r="AE3" s="682"/>
      <c r="AF3" s="682"/>
      <c r="AG3" s="682"/>
      <c r="AH3" s="682"/>
      <c r="AI3" s="682"/>
      <c r="AJ3" s="682"/>
      <c r="AK3" s="682"/>
      <c r="AL3" s="682"/>
      <c r="AM3" s="683"/>
    </row>
    <row r="4" spans="2:48" ht="15.75" thickBot="1" x14ac:dyDescent="0.3"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14">
        <v>1116</v>
      </c>
      <c r="O4" s="15">
        <v>5116</v>
      </c>
      <c r="P4" s="14">
        <v>1216</v>
      </c>
      <c r="Q4" s="15">
        <v>5216</v>
      </c>
      <c r="R4" s="14">
        <v>1316</v>
      </c>
      <c r="S4" s="15">
        <v>5316</v>
      </c>
      <c r="T4" s="14">
        <v>1416</v>
      </c>
      <c r="U4" s="15">
        <v>5416</v>
      </c>
      <c r="V4" s="14">
        <v>1516</v>
      </c>
      <c r="W4" s="15">
        <v>5516</v>
      </c>
      <c r="X4" s="14">
        <v>1616</v>
      </c>
      <c r="Y4" s="7"/>
      <c r="AA4" s="702" t="s">
        <v>0</v>
      </c>
      <c r="AB4" s="697" t="s">
        <v>2</v>
      </c>
      <c r="AC4" s="697" t="s">
        <v>3</v>
      </c>
      <c r="AD4" s="701" t="s">
        <v>6</v>
      </c>
      <c r="AE4" s="701"/>
      <c r="AF4" s="701"/>
      <c r="AG4" s="701"/>
      <c r="AH4" s="701"/>
      <c r="AI4" s="701"/>
      <c r="AJ4" s="701"/>
      <c r="AK4" s="704"/>
      <c r="AL4" s="697" t="s">
        <v>20</v>
      </c>
      <c r="AM4" s="699" t="s">
        <v>21</v>
      </c>
    </row>
    <row r="5" spans="2:48" ht="15" customHeight="1" x14ac:dyDescent="0.25"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68">
        <v>7116</v>
      </c>
      <c r="O5" s="670"/>
      <c r="P5" s="668">
        <v>7216</v>
      </c>
      <c r="Q5" s="670"/>
      <c r="R5" s="668">
        <v>7316</v>
      </c>
      <c r="S5" s="670"/>
      <c r="T5" s="668">
        <v>7416</v>
      </c>
      <c r="U5" s="670"/>
      <c r="V5" s="668">
        <v>7516</v>
      </c>
      <c r="W5" s="670"/>
      <c r="X5" s="668">
        <v>7616</v>
      </c>
      <c r="Y5" s="7"/>
      <c r="AA5" s="703"/>
      <c r="AB5" s="698"/>
      <c r="AC5" s="698"/>
      <c r="AD5" s="335" t="s">
        <v>396</v>
      </c>
      <c r="AE5" s="335" t="s">
        <v>397</v>
      </c>
      <c r="AF5" s="335" t="s">
        <v>398</v>
      </c>
      <c r="AG5" s="335" t="s">
        <v>399</v>
      </c>
      <c r="AH5" s="335" t="s">
        <v>400</v>
      </c>
      <c r="AI5" s="335" t="s">
        <v>401</v>
      </c>
      <c r="AJ5" s="335" t="s">
        <v>5</v>
      </c>
      <c r="AK5" s="704"/>
      <c r="AL5" s="698"/>
      <c r="AM5" s="700"/>
    </row>
    <row r="6" spans="2:48" ht="18" customHeight="1" thickBot="1" x14ac:dyDescent="0.3"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69"/>
      <c r="O6" s="671"/>
      <c r="P6" s="669"/>
      <c r="Q6" s="671"/>
      <c r="R6" s="669"/>
      <c r="S6" s="671"/>
      <c r="T6" s="669"/>
      <c r="U6" s="671"/>
      <c r="V6" s="669"/>
      <c r="W6" s="671"/>
      <c r="X6" s="669"/>
      <c r="Y6" s="7"/>
      <c r="AA6" s="357">
        <v>6</v>
      </c>
      <c r="AB6" s="366">
        <v>17.75</v>
      </c>
      <c r="AC6" s="351">
        <f t="shared" ref="AC6:AC8" si="0">AB6-AB7</f>
        <v>3</v>
      </c>
      <c r="AD6" s="351">
        <v>6.3072999999999997</v>
      </c>
      <c r="AE6" s="351">
        <v>12.615</v>
      </c>
      <c r="AF6" s="351">
        <v>12.615</v>
      </c>
      <c r="AG6" s="351">
        <v>12.615</v>
      </c>
      <c r="AH6" s="351">
        <v>12.615</v>
      </c>
      <c r="AI6" s="351">
        <v>6.3072999999999997</v>
      </c>
      <c r="AJ6" s="367">
        <f t="shared" ref="AJ6:AJ8" si="1">AG6+AF6+AE6+AD6+AH6+AI6</f>
        <v>63.074599999999997</v>
      </c>
      <c r="AK6" s="704"/>
      <c r="AL6" s="365">
        <v>5</v>
      </c>
      <c r="AM6" s="11">
        <v>4.5</v>
      </c>
    </row>
    <row r="7" spans="2:48" ht="18" customHeight="1" thickBot="1" x14ac:dyDescent="0.3"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14">
        <v>1115</v>
      </c>
      <c r="O7" s="15">
        <v>5115</v>
      </c>
      <c r="P7" s="14">
        <v>1215</v>
      </c>
      <c r="Q7" s="15">
        <v>5215</v>
      </c>
      <c r="R7" s="14">
        <v>1315</v>
      </c>
      <c r="S7" s="15">
        <v>5315</v>
      </c>
      <c r="T7" s="14">
        <v>1415</v>
      </c>
      <c r="U7" s="15">
        <v>5415</v>
      </c>
      <c r="V7" s="14">
        <v>1515</v>
      </c>
      <c r="W7" s="15">
        <v>5515</v>
      </c>
      <c r="X7" s="14">
        <v>1615</v>
      </c>
      <c r="Y7" s="7"/>
      <c r="AA7" s="357">
        <v>5</v>
      </c>
      <c r="AB7" s="366">
        <v>14.75</v>
      </c>
      <c r="AC7" s="351">
        <f t="shared" si="0"/>
        <v>3</v>
      </c>
      <c r="AD7" s="351">
        <v>6.7278000000000002</v>
      </c>
      <c r="AE7" s="351">
        <v>13.4557</v>
      </c>
      <c r="AF7" s="351">
        <v>13.4557</v>
      </c>
      <c r="AG7" s="351">
        <v>13.4557</v>
      </c>
      <c r="AH7" s="351">
        <v>13.4557</v>
      </c>
      <c r="AI7" s="351">
        <v>6.7278000000000002</v>
      </c>
      <c r="AJ7" s="367">
        <f t="shared" si="1"/>
        <v>67.278400000000005</v>
      </c>
      <c r="AK7" s="704"/>
      <c r="AL7" s="364">
        <v>4</v>
      </c>
      <c r="AM7" s="11">
        <v>2</v>
      </c>
    </row>
    <row r="8" spans="2:48" ht="15" customHeight="1" x14ac:dyDescent="0.25">
      <c r="B8" s="5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68">
        <v>7115</v>
      </c>
      <c r="O8" s="670"/>
      <c r="P8" s="668">
        <v>7215</v>
      </c>
      <c r="Q8" s="670"/>
      <c r="R8" s="668">
        <v>7315</v>
      </c>
      <c r="S8" s="670"/>
      <c r="T8" s="668">
        <v>7415</v>
      </c>
      <c r="U8" s="670"/>
      <c r="V8" s="668">
        <v>7515</v>
      </c>
      <c r="W8" s="670"/>
      <c r="X8" s="668">
        <v>7615</v>
      </c>
      <c r="Y8" s="7"/>
      <c r="AA8" s="357">
        <v>4</v>
      </c>
      <c r="AB8" s="366">
        <v>11.75</v>
      </c>
      <c r="AC8" s="351">
        <f t="shared" si="0"/>
        <v>3</v>
      </c>
      <c r="AD8" s="351">
        <v>6.7278000000000002</v>
      </c>
      <c r="AE8" s="351">
        <v>13.4557</v>
      </c>
      <c r="AF8" s="351">
        <v>13.4557</v>
      </c>
      <c r="AG8" s="351">
        <v>13.4557</v>
      </c>
      <c r="AH8" s="351">
        <v>13.4557</v>
      </c>
      <c r="AI8" s="351">
        <v>6.7278000000000002</v>
      </c>
      <c r="AJ8" s="367">
        <f t="shared" si="1"/>
        <v>67.278400000000005</v>
      </c>
      <c r="AK8" s="704"/>
      <c r="AL8" s="364">
        <v>3</v>
      </c>
      <c r="AM8" s="11">
        <v>4.5</v>
      </c>
    </row>
    <row r="9" spans="2:48" ht="18" customHeight="1" thickBot="1" x14ac:dyDescent="0.3"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69"/>
      <c r="O9" s="671"/>
      <c r="P9" s="669"/>
      <c r="Q9" s="671"/>
      <c r="R9" s="669"/>
      <c r="S9" s="671"/>
      <c r="T9" s="669"/>
      <c r="U9" s="671"/>
      <c r="V9" s="669"/>
      <c r="W9" s="671"/>
      <c r="X9" s="669"/>
      <c r="Y9" s="7"/>
      <c r="AA9" s="357">
        <v>3</v>
      </c>
      <c r="AB9" s="366">
        <v>8.75</v>
      </c>
      <c r="AC9" s="351">
        <f>AB9-AB10</f>
        <v>3</v>
      </c>
      <c r="AD9" s="351">
        <v>6.7278000000000002</v>
      </c>
      <c r="AE9" s="351">
        <v>13.4557</v>
      </c>
      <c r="AF9" s="351">
        <v>13.4557</v>
      </c>
      <c r="AG9" s="351">
        <v>13.4557</v>
      </c>
      <c r="AH9" s="351">
        <v>13.4557</v>
      </c>
      <c r="AI9" s="351">
        <v>6.7278000000000002</v>
      </c>
      <c r="AJ9" s="367">
        <f>AG9+AF9+AE9+AD9+AH9+AI9</f>
        <v>67.278400000000005</v>
      </c>
      <c r="AK9" s="704"/>
      <c r="AL9" s="364">
        <v>2</v>
      </c>
      <c r="AM9" s="11">
        <v>2</v>
      </c>
    </row>
    <row r="10" spans="2:48" ht="18" customHeight="1" thickBot="1" x14ac:dyDescent="0.3">
      <c r="B10" s="5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14">
        <v>1114</v>
      </c>
      <c r="O10" s="15">
        <v>5114</v>
      </c>
      <c r="P10" s="14">
        <v>1214</v>
      </c>
      <c r="Q10" s="15">
        <v>5214</v>
      </c>
      <c r="R10" s="14">
        <v>1314</v>
      </c>
      <c r="S10" s="15">
        <v>5314</v>
      </c>
      <c r="T10" s="14">
        <v>1414</v>
      </c>
      <c r="U10" s="15">
        <v>5414</v>
      </c>
      <c r="V10" s="14">
        <v>1514</v>
      </c>
      <c r="W10" s="15">
        <v>5514</v>
      </c>
      <c r="X10" s="14">
        <v>1614</v>
      </c>
      <c r="Y10" s="7"/>
      <c r="AA10" s="357">
        <v>2</v>
      </c>
      <c r="AB10" s="366">
        <v>5.75</v>
      </c>
      <c r="AC10" s="351">
        <f>AB10-AB11</f>
        <v>3</v>
      </c>
      <c r="AD10" s="351">
        <v>6.7278000000000002</v>
      </c>
      <c r="AE10" s="351">
        <v>13.4557</v>
      </c>
      <c r="AF10" s="351">
        <v>13.4557</v>
      </c>
      <c r="AG10" s="351">
        <v>13.4557</v>
      </c>
      <c r="AH10" s="351">
        <v>13.4557</v>
      </c>
      <c r="AI10" s="351">
        <v>6.7278000000000002</v>
      </c>
      <c r="AJ10" s="367">
        <f t="shared" ref="AJ10:AJ12" si="2">AG10+AF10+AE10+AD10+AH10+AI10</f>
        <v>67.278400000000005</v>
      </c>
      <c r="AK10" s="704"/>
      <c r="AL10" s="344">
        <v>1</v>
      </c>
      <c r="AM10" s="379">
        <v>4.5</v>
      </c>
    </row>
    <row r="11" spans="2:48" ht="18" customHeight="1" x14ac:dyDescent="0.25">
      <c r="B11" s="5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68">
        <v>7114</v>
      </c>
      <c r="O11" s="670"/>
      <c r="P11" s="668">
        <v>7214</v>
      </c>
      <c r="Q11" s="670"/>
      <c r="R11" s="668">
        <v>7314</v>
      </c>
      <c r="S11" s="670"/>
      <c r="T11" s="668">
        <v>7414</v>
      </c>
      <c r="U11" s="670"/>
      <c r="V11" s="668">
        <v>7514</v>
      </c>
      <c r="W11" s="670"/>
      <c r="X11" s="668">
        <v>7614</v>
      </c>
      <c r="Y11" s="7"/>
      <c r="AA11" s="357">
        <v>1</v>
      </c>
      <c r="AB11" s="366">
        <v>2.75</v>
      </c>
      <c r="AC11" s="351">
        <f>AB11-AB12</f>
        <v>2.75</v>
      </c>
      <c r="AD11" s="351">
        <v>6.7278000000000002</v>
      </c>
      <c r="AE11" s="351">
        <v>13.4557</v>
      </c>
      <c r="AF11" s="351">
        <v>13.4557</v>
      </c>
      <c r="AG11" s="351">
        <v>13.4557</v>
      </c>
      <c r="AH11" s="351">
        <v>13.4557</v>
      </c>
      <c r="AI11" s="351">
        <v>6.7278000000000002</v>
      </c>
      <c r="AJ11" s="367">
        <f t="shared" si="2"/>
        <v>67.278400000000005</v>
      </c>
      <c r="AK11" s="714"/>
      <c r="AL11" s="704"/>
      <c r="AM11" s="715"/>
    </row>
    <row r="12" spans="2:48" ht="15" customHeight="1" thickBot="1" x14ac:dyDescent="0.3"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69"/>
      <c r="O12" s="671"/>
      <c r="P12" s="669"/>
      <c r="Q12" s="671"/>
      <c r="R12" s="669"/>
      <c r="S12" s="671"/>
      <c r="T12" s="669"/>
      <c r="U12" s="671"/>
      <c r="V12" s="669"/>
      <c r="W12" s="671"/>
      <c r="X12" s="669"/>
      <c r="Y12" s="7"/>
      <c r="AA12" s="358" t="s">
        <v>1</v>
      </c>
      <c r="AB12" s="52">
        <v>0</v>
      </c>
      <c r="AC12" s="352">
        <f>AB12-0</f>
        <v>0</v>
      </c>
      <c r="AD12" s="352">
        <v>0</v>
      </c>
      <c r="AE12" s="352">
        <v>0</v>
      </c>
      <c r="AF12" s="352">
        <v>0</v>
      </c>
      <c r="AG12" s="352">
        <v>0</v>
      </c>
      <c r="AH12" s="352">
        <v>0</v>
      </c>
      <c r="AI12" s="352">
        <v>0</v>
      </c>
      <c r="AJ12" s="161">
        <f t="shared" si="2"/>
        <v>0</v>
      </c>
      <c r="AK12" s="716"/>
      <c r="AL12" s="717"/>
      <c r="AM12" s="718"/>
    </row>
    <row r="13" spans="2:48" ht="18" customHeight="1" thickBot="1" x14ac:dyDescent="0.3">
      <c r="B13" s="5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14">
        <v>1113</v>
      </c>
      <c r="O13" s="15">
        <v>5113</v>
      </c>
      <c r="P13" s="14">
        <v>1213</v>
      </c>
      <c r="Q13" s="15">
        <v>5213</v>
      </c>
      <c r="R13" s="14">
        <v>1313</v>
      </c>
      <c r="S13" s="15">
        <v>5313</v>
      </c>
      <c r="T13" s="14">
        <v>1413</v>
      </c>
      <c r="U13" s="15">
        <v>5413</v>
      </c>
      <c r="V13" s="14">
        <v>1513</v>
      </c>
      <c r="W13" s="15">
        <v>5513</v>
      </c>
      <c r="X13" s="14">
        <v>1613</v>
      </c>
      <c r="Y13" s="7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3"/>
      <c r="AL13" s="13"/>
      <c r="AM13" s="13"/>
    </row>
    <row r="14" spans="2:48" ht="18" customHeight="1" thickBot="1" x14ac:dyDescent="0.3">
      <c r="B14" s="5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68">
        <v>7113</v>
      </c>
      <c r="O14" s="670"/>
      <c r="P14" s="668">
        <v>7213</v>
      </c>
      <c r="Q14" s="670"/>
      <c r="R14" s="668">
        <v>7313</v>
      </c>
      <c r="S14" s="670"/>
      <c r="T14" s="668">
        <v>7413</v>
      </c>
      <c r="U14" s="670"/>
      <c r="V14" s="668">
        <v>7513</v>
      </c>
      <c r="W14" s="670"/>
      <c r="X14" s="668">
        <v>7613</v>
      </c>
      <c r="Y14" s="7"/>
    </row>
    <row r="15" spans="2:48" ht="15.75" customHeight="1" thickBot="1" x14ac:dyDescent="0.3">
      <c r="B15" s="5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69"/>
      <c r="O15" s="671"/>
      <c r="P15" s="669"/>
      <c r="Q15" s="671"/>
      <c r="R15" s="669"/>
      <c r="S15" s="671"/>
      <c r="T15" s="669"/>
      <c r="U15" s="671"/>
      <c r="V15" s="669"/>
      <c r="W15" s="671"/>
      <c r="X15" s="669"/>
      <c r="Y15" s="7"/>
      <c r="AA15" s="713" t="s">
        <v>7</v>
      </c>
      <c r="AB15" s="713"/>
      <c r="AC15" s="713"/>
      <c r="AD15" s="713"/>
      <c r="AE15" s="713"/>
      <c r="AF15" s="713"/>
      <c r="AG15" s="713"/>
      <c r="AH15" s="713"/>
      <c r="AI15" s="713"/>
      <c r="AJ15" s="713"/>
      <c r="AK15" s="713"/>
      <c r="AL15" s="713"/>
      <c r="AM15" s="713"/>
      <c r="AN15" s="713"/>
      <c r="AO15" s="713"/>
      <c r="AQ15" s="672" t="s">
        <v>197</v>
      </c>
      <c r="AR15" s="673"/>
      <c r="AS15" s="673"/>
      <c r="AT15" s="673"/>
      <c r="AU15" s="673"/>
      <c r="AV15" s="674"/>
    </row>
    <row r="16" spans="2:48" ht="18" customHeight="1" thickBot="1" x14ac:dyDescent="0.3">
      <c r="B16" s="5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14">
        <v>1112</v>
      </c>
      <c r="O16" s="15">
        <v>5112</v>
      </c>
      <c r="P16" s="14">
        <v>1212</v>
      </c>
      <c r="Q16" s="15">
        <v>5212</v>
      </c>
      <c r="R16" s="14">
        <v>1312</v>
      </c>
      <c r="S16" s="15">
        <v>5312</v>
      </c>
      <c r="T16" s="14">
        <v>1412</v>
      </c>
      <c r="U16" s="15">
        <v>5412</v>
      </c>
      <c r="V16" s="14">
        <v>1512</v>
      </c>
      <c r="W16" s="15">
        <v>5512</v>
      </c>
      <c r="X16" s="14">
        <v>1612</v>
      </c>
      <c r="Y16" s="7"/>
      <c r="AA16" s="713"/>
      <c r="AB16" s="713"/>
      <c r="AC16" s="713"/>
      <c r="AD16" s="713"/>
      <c r="AE16" s="713"/>
      <c r="AF16" s="713"/>
      <c r="AG16" s="713"/>
      <c r="AH16" s="713"/>
      <c r="AI16" s="713"/>
      <c r="AJ16" s="713"/>
      <c r="AK16" s="713"/>
      <c r="AL16" s="713"/>
      <c r="AM16" s="713"/>
      <c r="AN16" s="713"/>
      <c r="AO16" s="713"/>
      <c r="AQ16" s="675"/>
      <c r="AR16" s="676"/>
      <c r="AS16" s="676"/>
      <c r="AT16" s="676"/>
      <c r="AU16" s="676"/>
      <c r="AV16" s="677"/>
    </row>
    <row r="17" spans="2:48" ht="18" customHeight="1" x14ac:dyDescent="0.25">
      <c r="B17" s="5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68">
        <v>7112</v>
      </c>
      <c r="O17" s="670"/>
      <c r="P17" s="668">
        <v>7212</v>
      </c>
      <c r="Q17" s="670"/>
      <c r="R17" s="668">
        <v>7312</v>
      </c>
      <c r="S17" s="670"/>
      <c r="T17" s="668">
        <v>7412</v>
      </c>
      <c r="U17" s="670"/>
      <c r="V17" s="668">
        <v>7512</v>
      </c>
      <c r="W17" s="670"/>
      <c r="X17" s="668">
        <v>7612</v>
      </c>
      <c r="Y17" s="7"/>
      <c r="AA17" s="712" t="s">
        <v>8</v>
      </c>
      <c r="AB17" s="712"/>
      <c r="AC17" s="712"/>
      <c r="AD17" s="712"/>
      <c r="AE17" s="712"/>
      <c r="AF17" s="712"/>
      <c r="AG17" s="712"/>
      <c r="AH17" s="712"/>
      <c r="AI17" s="712"/>
      <c r="AJ17" s="712"/>
      <c r="AK17" s="712"/>
      <c r="AL17" s="712"/>
      <c r="AM17" s="712"/>
      <c r="AN17" s="712"/>
      <c r="AO17" s="712"/>
      <c r="AQ17" s="690" t="s">
        <v>132</v>
      </c>
      <c r="AR17" s="691"/>
      <c r="AS17" s="691"/>
      <c r="AT17" s="691"/>
      <c r="AU17" s="691"/>
      <c r="AV17" s="692"/>
    </row>
    <row r="18" spans="2:48" ht="15.75" thickBot="1" x14ac:dyDescent="0.3">
      <c r="B18" s="5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69"/>
      <c r="O18" s="671"/>
      <c r="P18" s="669"/>
      <c r="Q18" s="671"/>
      <c r="R18" s="669"/>
      <c r="S18" s="671"/>
      <c r="T18" s="669"/>
      <c r="U18" s="671"/>
      <c r="V18" s="669"/>
      <c r="W18" s="671"/>
      <c r="X18" s="669"/>
      <c r="Y18" s="7"/>
      <c r="AA18" s="708" t="s">
        <v>18</v>
      </c>
      <c r="AB18" s="709"/>
      <c r="AC18" s="696" t="s">
        <v>12</v>
      </c>
      <c r="AD18" s="696"/>
      <c r="AE18" s="696"/>
      <c r="AF18" s="696"/>
      <c r="AG18" s="696" t="s">
        <v>13</v>
      </c>
      <c r="AH18" s="696"/>
      <c r="AI18" s="696"/>
      <c r="AJ18" s="696"/>
      <c r="AK18" s="696"/>
      <c r="AL18" s="696" t="s">
        <v>29</v>
      </c>
      <c r="AM18" s="696"/>
      <c r="AN18" s="696" t="s">
        <v>32</v>
      </c>
      <c r="AO18" s="696"/>
      <c r="AQ18" s="16" t="s">
        <v>123</v>
      </c>
      <c r="AR18" s="17">
        <v>991</v>
      </c>
      <c r="AS18" s="8" t="s">
        <v>127</v>
      </c>
      <c r="AT18" s="17">
        <v>0.55000000000000004</v>
      </c>
      <c r="AU18" s="8" t="s">
        <v>131</v>
      </c>
      <c r="AV18" s="18">
        <v>80</v>
      </c>
    </row>
    <row r="19" spans="2:48" ht="18" customHeight="1" thickBot="1" x14ac:dyDescent="0.3">
      <c r="B19" s="5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14">
        <v>1111</v>
      </c>
      <c r="O19" s="15">
        <v>5111</v>
      </c>
      <c r="P19" s="14">
        <v>1211</v>
      </c>
      <c r="Q19" s="15">
        <v>5211</v>
      </c>
      <c r="R19" s="14">
        <v>1311</v>
      </c>
      <c r="S19" s="15">
        <v>5311</v>
      </c>
      <c r="T19" s="14">
        <v>1411</v>
      </c>
      <c r="U19" s="15">
        <v>5411</v>
      </c>
      <c r="V19" s="14">
        <v>1511</v>
      </c>
      <c r="W19" s="15">
        <v>5511</v>
      </c>
      <c r="X19" s="14">
        <v>1611</v>
      </c>
      <c r="Y19" s="7"/>
      <c r="AA19" s="8" t="s">
        <v>350</v>
      </c>
      <c r="AB19" s="19">
        <v>500</v>
      </c>
      <c r="AC19" s="8" t="s">
        <v>16</v>
      </c>
      <c r="AD19" s="8" t="s">
        <v>14</v>
      </c>
      <c r="AE19" s="8" t="s">
        <v>19</v>
      </c>
      <c r="AF19" s="8" t="s">
        <v>15</v>
      </c>
      <c r="AG19" s="8" t="s">
        <v>16</v>
      </c>
      <c r="AH19" s="298"/>
      <c r="AI19" s="298"/>
      <c r="AJ19" s="8" t="s">
        <v>19</v>
      </c>
      <c r="AK19" s="8" t="s">
        <v>17</v>
      </c>
      <c r="AL19" s="8" t="s">
        <v>31</v>
      </c>
      <c r="AM19" s="19">
        <v>19.600000000000001</v>
      </c>
      <c r="AN19" s="8" t="s">
        <v>33</v>
      </c>
      <c r="AO19" s="19">
        <v>372</v>
      </c>
      <c r="AQ19" s="16" t="s">
        <v>124</v>
      </c>
      <c r="AR19" s="17">
        <v>1873</v>
      </c>
      <c r="AS19" s="8" t="s">
        <v>128</v>
      </c>
      <c r="AT19" s="17">
        <v>0.44</v>
      </c>
      <c r="AU19" s="8" t="s">
        <v>122</v>
      </c>
      <c r="AV19" s="20">
        <v>0</v>
      </c>
    </row>
    <row r="20" spans="2:48" ht="18" customHeight="1" x14ac:dyDescent="0.25"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68">
        <v>7111</v>
      </c>
      <c r="O20" s="670"/>
      <c r="P20" s="668">
        <v>7211</v>
      </c>
      <c r="Q20" s="670"/>
      <c r="R20" s="668">
        <v>7311</v>
      </c>
      <c r="S20" s="670"/>
      <c r="T20" s="668">
        <v>7411</v>
      </c>
      <c r="U20" s="670"/>
      <c r="V20" s="668">
        <v>7511</v>
      </c>
      <c r="W20" s="670"/>
      <c r="X20" s="668">
        <v>7611</v>
      </c>
      <c r="Y20" s="7"/>
      <c r="AA20" s="8" t="s">
        <v>9</v>
      </c>
      <c r="AB20" s="19">
        <v>350</v>
      </c>
      <c r="AC20" s="8" t="s">
        <v>10</v>
      </c>
      <c r="AD20" s="19">
        <v>4</v>
      </c>
      <c r="AE20" s="19">
        <v>16</v>
      </c>
      <c r="AF20" s="17">
        <f>AD20*PI()*(AE20*0.5)^2</f>
        <v>804.24771931898704</v>
      </c>
      <c r="AG20" s="8" t="s">
        <v>22</v>
      </c>
      <c r="AH20" s="298"/>
      <c r="AI20" s="298"/>
      <c r="AJ20" s="19">
        <v>6</v>
      </c>
      <c r="AK20" s="19">
        <v>100</v>
      </c>
      <c r="AL20" s="8" t="s">
        <v>34</v>
      </c>
      <c r="AM20" s="21">
        <f>(2*Fck)/(4700*SQRT(Fck))</f>
        <v>1.8839100954194602E-3</v>
      </c>
      <c r="AN20" s="8" t="s">
        <v>35</v>
      </c>
      <c r="AO20" s="21">
        <f>AO19/200000</f>
        <v>1.8600000000000001E-3</v>
      </c>
      <c r="AQ20" s="16" t="s">
        <v>125</v>
      </c>
      <c r="AR20" s="17">
        <v>1089</v>
      </c>
      <c r="AS20" s="8" t="s">
        <v>129</v>
      </c>
      <c r="AT20" s="17">
        <v>2.02</v>
      </c>
      <c r="AU20" s="8" t="s">
        <v>121</v>
      </c>
      <c r="AV20" s="20">
        <v>0.2</v>
      </c>
    </row>
    <row r="21" spans="2:48" ht="15.75" customHeight="1" thickBot="1" x14ac:dyDescent="0.3"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69"/>
      <c r="O21" s="671"/>
      <c r="P21" s="669"/>
      <c r="Q21" s="671"/>
      <c r="R21" s="669"/>
      <c r="S21" s="671"/>
      <c r="T21" s="669"/>
      <c r="U21" s="671"/>
      <c r="V21" s="669"/>
      <c r="W21" s="671"/>
      <c r="X21" s="669"/>
      <c r="Y21" s="7"/>
      <c r="AA21" s="8" t="s">
        <v>37</v>
      </c>
      <c r="AB21" s="19">
        <v>20</v>
      </c>
      <c r="AC21" s="8" t="s">
        <v>11</v>
      </c>
      <c r="AD21" s="19">
        <v>2</v>
      </c>
      <c r="AE21" s="19">
        <v>16</v>
      </c>
      <c r="AF21" s="17">
        <f>AD21*PI()*(AE21*0.5)^2</f>
        <v>402.12385965949352</v>
      </c>
      <c r="AG21" s="8"/>
      <c r="AH21" s="298"/>
      <c r="AI21" s="298"/>
      <c r="AJ21" s="19"/>
      <c r="AK21" s="19"/>
      <c r="AL21" s="8" t="s">
        <v>30</v>
      </c>
      <c r="AM21" s="19">
        <v>3.8E-3</v>
      </c>
      <c r="AN21" s="8" t="s">
        <v>36</v>
      </c>
      <c r="AO21" s="19"/>
      <c r="AQ21" s="16" t="s">
        <v>163</v>
      </c>
      <c r="AR21" s="620">
        <f>4700*SQRT($AM$19)</f>
        <v>20807.787003907935</v>
      </c>
      <c r="AS21" s="8" t="s">
        <v>130</v>
      </c>
      <c r="AT21" s="17">
        <v>1.18</v>
      </c>
      <c r="AU21" s="8" t="s">
        <v>126</v>
      </c>
      <c r="AV21" s="18">
        <v>6.87</v>
      </c>
    </row>
    <row r="22" spans="2:48" ht="18" customHeight="1" thickBot="1" x14ac:dyDescent="0.3">
      <c r="B22" s="5"/>
      <c r="C22" s="6"/>
      <c r="D22" s="6"/>
      <c r="E22" s="6"/>
      <c r="F22" s="6"/>
      <c r="G22" s="6"/>
      <c r="H22" s="6"/>
      <c r="I22" s="6"/>
      <c r="J22" s="6"/>
      <c r="K22" s="6"/>
      <c r="L22" s="6"/>
      <c r="M22" s="22"/>
      <c r="N22" s="23">
        <v>1110</v>
      </c>
      <c r="O22" s="24"/>
      <c r="P22" s="23">
        <v>1210</v>
      </c>
      <c r="Q22" s="305"/>
      <c r="R22" s="23">
        <v>1310</v>
      </c>
      <c r="S22" s="305"/>
      <c r="T22" s="23">
        <v>1410</v>
      </c>
      <c r="U22" s="24"/>
      <c r="V22" s="23">
        <v>1510</v>
      </c>
      <c r="W22" s="24"/>
      <c r="X22" s="23">
        <v>1610</v>
      </c>
      <c r="Y22" s="25"/>
      <c r="AA22" s="705" t="s">
        <v>23</v>
      </c>
      <c r="AB22" s="705"/>
      <c r="AC22" s="705"/>
      <c r="AD22" s="705"/>
      <c r="AE22" s="705"/>
      <c r="AF22" s="705"/>
      <c r="AG22" s="705"/>
      <c r="AH22" s="705"/>
      <c r="AI22" s="705"/>
      <c r="AJ22" s="705"/>
      <c r="AK22" s="705"/>
      <c r="AL22" s="705"/>
      <c r="AM22" s="705"/>
      <c r="AN22" s="705"/>
      <c r="AO22" s="705"/>
      <c r="AQ22" s="693"/>
      <c r="AR22" s="694"/>
      <c r="AS22" s="694"/>
      <c r="AT22" s="694"/>
      <c r="AU22" s="694"/>
      <c r="AV22" s="695"/>
    </row>
    <row r="23" spans="2:48" ht="18" customHeight="1" x14ac:dyDescent="0.25">
      <c r="B23" s="5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7"/>
      <c r="AA23" s="708" t="s">
        <v>18</v>
      </c>
      <c r="AB23" s="709"/>
      <c r="AC23" s="696" t="s">
        <v>12</v>
      </c>
      <c r="AD23" s="696"/>
      <c r="AE23" s="696"/>
      <c r="AF23" s="696"/>
      <c r="AG23" s="696" t="s">
        <v>13</v>
      </c>
      <c r="AH23" s="696"/>
      <c r="AI23" s="696"/>
      <c r="AJ23" s="696"/>
      <c r="AK23" s="696"/>
      <c r="AL23" s="696" t="s">
        <v>29</v>
      </c>
      <c r="AM23" s="696"/>
      <c r="AN23" s="696" t="s">
        <v>32</v>
      </c>
      <c r="AO23" s="696"/>
      <c r="AQ23" s="687" t="s">
        <v>133</v>
      </c>
      <c r="AR23" s="688"/>
      <c r="AS23" s="688"/>
      <c r="AT23" s="688"/>
      <c r="AU23" s="688"/>
      <c r="AV23" s="689"/>
    </row>
    <row r="24" spans="2:48" ht="13.9" x14ac:dyDescent="0.25">
      <c r="B24" s="5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7"/>
      <c r="AA24" s="8" t="s">
        <v>350</v>
      </c>
      <c r="AB24" s="19">
        <v>250</v>
      </c>
      <c r="AC24" s="8" t="s">
        <v>16</v>
      </c>
      <c r="AD24" s="8" t="s">
        <v>14</v>
      </c>
      <c r="AE24" s="8" t="s">
        <v>19</v>
      </c>
      <c r="AF24" s="8" t="s">
        <v>15</v>
      </c>
      <c r="AG24" s="8" t="s">
        <v>16</v>
      </c>
      <c r="AH24" s="298"/>
      <c r="AI24" s="298"/>
      <c r="AJ24" s="8" t="s">
        <v>19</v>
      </c>
      <c r="AK24" s="8" t="s">
        <v>17</v>
      </c>
      <c r="AL24" s="8" t="s">
        <v>31</v>
      </c>
      <c r="AM24" s="19">
        <v>19.600000000000001</v>
      </c>
      <c r="AN24" s="8" t="s">
        <v>33</v>
      </c>
      <c r="AO24" s="19">
        <v>372</v>
      </c>
      <c r="AQ24" s="16" t="s">
        <v>123</v>
      </c>
      <c r="AR24" s="17">
        <v>991</v>
      </c>
      <c r="AS24" s="8" t="s">
        <v>127</v>
      </c>
      <c r="AT24" s="17">
        <v>0.31</v>
      </c>
      <c r="AU24" s="8" t="s">
        <v>131</v>
      </c>
      <c r="AV24" s="18">
        <v>240</v>
      </c>
    </row>
    <row r="25" spans="2:48" x14ac:dyDescent="0.25">
      <c r="B25" s="5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7"/>
      <c r="AA25" s="8" t="s">
        <v>9</v>
      </c>
      <c r="AB25" s="19">
        <v>250</v>
      </c>
      <c r="AC25" s="8" t="s">
        <v>26</v>
      </c>
      <c r="AD25" s="19">
        <v>4</v>
      </c>
      <c r="AE25" s="19">
        <v>16</v>
      </c>
      <c r="AF25" s="17">
        <f>AD25*PI()*(AE25*0.5)^2</f>
        <v>804.24771931898704</v>
      </c>
      <c r="AG25" s="8" t="s">
        <v>22</v>
      </c>
      <c r="AH25" s="298"/>
      <c r="AI25" s="298"/>
      <c r="AJ25" s="19">
        <v>6</v>
      </c>
      <c r="AK25" s="19">
        <v>100</v>
      </c>
      <c r="AL25" s="8" t="s">
        <v>34</v>
      </c>
      <c r="AM25" s="21">
        <f>(2*Fck)/(4700*SQRT(Fck))</f>
        <v>1.8839100954194602E-3</v>
      </c>
      <c r="AN25" s="8" t="s">
        <v>35</v>
      </c>
      <c r="AO25" s="21">
        <f>AO24/200000</f>
        <v>1.8600000000000001E-3</v>
      </c>
      <c r="AQ25" s="16" t="s">
        <v>124</v>
      </c>
      <c r="AR25" s="17">
        <v>1873</v>
      </c>
      <c r="AS25" s="8" t="s">
        <v>128</v>
      </c>
      <c r="AT25" s="17">
        <v>0.25</v>
      </c>
      <c r="AU25" s="8" t="s">
        <v>122</v>
      </c>
      <c r="AV25" s="20">
        <v>0</v>
      </c>
    </row>
    <row r="26" spans="2:48" x14ac:dyDescent="0.25">
      <c r="B26" s="5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7"/>
      <c r="AA26" s="8" t="s">
        <v>37</v>
      </c>
      <c r="AB26" s="19">
        <v>20</v>
      </c>
      <c r="AC26" s="8"/>
      <c r="AD26" s="19"/>
      <c r="AE26" s="19"/>
      <c r="AF26" s="17">
        <f>AD26*PI()*(AE26*0.5)^2</f>
        <v>0</v>
      </c>
      <c r="AG26" s="8"/>
      <c r="AH26" s="298"/>
      <c r="AI26" s="298"/>
      <c r="AJ26" s="19"/>
      <c r="AK26" s="19"/>
      <c r="AL26" s="8" t="s">
        <v>30</v>
      </c>
      <c r="AM26" s="19">
        <v>3.8E-3</v>
      </c>
      <c r="AN26" s="8" t="s">
        <v>36</v>
      </c>
      <c r="AO26" s="19"/>
      <c r="AQ26" s="16" t="s">
        <v>125</v>
      </c>
      <c r="AR26" s="17">
        <v>1089</v>
      </c>
      <c r="AS26" s="8" t="s">
        <v>129</v>
      </c>
      <c r="AT26" s="17">
        <v>1.5</v>
      </c>
      <c r="AU26" s="8" t="s">
        <v>121</v>
      </c>
      <c r="AV26" s="20">
        <v>0.2</v>
      </c>
    </row>
    <row r="27" spans="2:48" ht="15.6" x14ac:dyDescent="0.25">
      <c r="B27" s="5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7"/>
      <c r="AA27" s="706" t="s">
        <v>24</v>
      </c>
      <c r="AB27" s="706"/>
      <c r="AC27" s="706"/>
      <c r="AD27" s="706"/>
      <c r="AE27" s="706"/>
      <c r="AF27" s="706"/>
      <c r="AG27" s="706"/>
      <c r="AH27" s="706"/>
      <c r="AI27" s="706"/>
      <c r="AJ27" s="706"/>
      <c r="AK27" s="706"/>
      <c r="AL27" s="706"/>
      <c r="AM27" s="706"/>
      <c r="AN27" s="706"/>
      <c r="AO27" s="706"/>
      <c r="AQ27" s="16" t="s">
        <v>163</v>
      </c>
      <c r="AR27" s="620">
        <f>4700*SQRT($AM$19)</f>
        <v>20807.787003907935</v>
      </c>
      <c r="AS27" s="8" t="s">
        <v>130</v>
      </c>
      <c r="AT27" s="17">
        <v>1.1100000000000001</v>
      </c>
      <c r="AU27" s="8" t="s">
        <v>126</v>
      </c>
      <c r="AV27" s="20">
        <v>6.87</v>
      </c>
    </row>
    <row r="28" spans="2:48" ht="13.9" x14ac:dyDescent="0.25"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7"/>
      <c r="AA28" s="708" t="s">
        <v>18</v>
      </c>
      <c r="AB28" s="709"/>
      <c r="AC28" s="696" t="s">
        <v>12</v>
      </c>
      <c r="AD28" s="696"/>
      <c r="AE28" s="696"/>
      <c r="AF28" s="696"/>
      <c r="AG28" s="696" t="s">
        <v>13</v>
      </c>
      <c r="AH28" s="696"/>
      <c r="AI28" s="696"/>
      <c r="AJ28" s="696"/>
      <c r="AK28" s="696"/>
      <c r="AL28" s="696" t="s">
        <v>29</v>
      </c>
      <c r="AM28" s="696"/>
      <c r="AN28" s="696" t="s">
        <v>32</v>
      </c>
      <c r="AO28" s="696"/>
      <c r="AQ28" s="693"/>
      <c r="AR28" s="694"/>
      <c r="AS28" s="694"/>
      <c r="AT28" s="694"/>
      <c r="AU28" s="694"/>
      <c r="AV28" s="695"/>
    </row>
    <row r="29" spans="2:48" ht="15.75" x14ac:dyDescent="0.25">
      <c r="B29" s="710" t="s">
        <v>380</v>
      </c>
      <c r="C29" s="711"/>
      <c r="D29" s="711"/>
      <c r="E29" s="711"/>
      <c r="F29" s="711"/>
      <c r="G29" s="711"/>
      <c r="H29" s="711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7"/>
      <c r="AA29" s="8" t="s">
        <v>350</v>
      </c>
      <c r="AB29" s="19">
        <v>300</v>
      </c>
      <c r="AC29" s="8" t="s">
        <v>16</v>
      </c>
      <c r="AD29" s="8" t="s">
        <v>14</v>
      </c>
      <c r="AE29" s="8" t="s">
        <v>19</v>
      </c>
      <c r="AF29" s="8" t="s">
        <v>15</v>
      </c>
      <c r="AG29" s="8" t="s">
        <v>16</v>
      </c>
      <c r="AH29" s="298"/>
      <c r="AI29" s="298"/>
      <c r="AJ29" s="8" t="s">
        <v>19</v>
      </c>
      <c r="AK29" s="8" t="s">
        <v>17</v>
      </c>
      <c r="AL29" s="8" t="s">
        <v>31</v>
      </c>
      <c r="AM29" s="19">
        <v>19.600000000000001</v>
      </c>
      <c r="AN29" s="8" t="s">
        <v>33</v>
      </c>
      <c r="AO29" s="19">
        <v>372</v>
      </c>
      <c r="AQ29" s="684" t="s">
        <v>134</v>
      </c>
      <c r="AR29" s="685"/>
      <c r="AS29" s="685"/>
      <c r="AT29" s="685"/>
      <c r="AU29" s="685"/>
      <c r="AV29" s="686"/>
    </row>
    <row r="30" spans="2:48" x14ac:dyDescent="0.25">
      <c r="B30" s="710"/>
      <c r="C30" s="711"/>
      <c r="D30" s="711"/>
      <c r="E30" s="711"/>
      <c r="F30" s="711"/>
      <c r="G30" s="711"/>
      <c r="H30" s="711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7"/>
      <c r="AA30" s="8" t="s">
        <v>9</v>
      </c>
      <c r="AB30" s="19">
        <v>300</v>
      </c>
      <c r="AC30" s="8" t="s">
        <v>26</v>
      </c>
      <c r="AD30" s="19">
        <v>4</v>
      </c>
      <c r="AE30" s="19">
        <v>16</v>
      </c>
      <c r="AF30" s="17">
        <f>AD30*PI()*(AE30*0.5)^2</f>
        <v>804.24771931898704</v>
      </c>
      <c r="AG30" s="8" t="s">
        <v>22</v>
      </c>
      <c r="AH30" s="298"/>
      <c r="AI30" s="298"/>
      <c r="AJ30" s="19">
        <v>6</v>
      </c>
      <c r="AK30" s="19">
        <v>150</v>
      </c>
      <c r="AL30" s="8" t="s">
        <v>34</v>
      </c>
      <c r="AM30" s="21">
        <f>(2*Fck)/(4700*SQRT(Fck))</f>
        <v>1.8839100954194602E-3</v>
      </c>
      <c r="AN30" s="8" t="s">
        <v>35</v>
      </c>
      <c r="AO30" s="21">
        <f>AO29/200000</f>
        <v>1.8600000000000001E-3</v>
      </c>
      <c r="AQ30" s="16" t="s">
        <v>123</v>
      </c>
      <c r="AR30" s="17">
        <v>1050</v>
      </c>
      <c r="AS30" s="8" t="s">
        <v>127</v>
      </c>
      <c r="AT30" s="17">
        <v>0.36</v>
      </c>
      <c r="AU30" s="8" t="s">
        <v>131</v>
      </c>
      <c r="AV30" s="18">
        <v>300</v>
      </c>
    </row>
    <row r="31" spans="2:48" x14ac:dyDescent="0.25"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7"/>
      <c r="AA31" s="8" t="s">
        <v>37</v>
      </c>
      <c r="AB31" s="19">
        <v>20</v>
      </c>
      <c r="AC31" s="8"/>
      <c r="AD31" s="19"/>
      <c r="AE31" s="19"/>
      <c r="AF31" s="17">
        <f>AD31*PI()*(AE31*0.5)^2</f>
        <v>0</v>
      </c>
      <c r="AG31" s="8"/>
      <c r="AH31" s="298"/>
      <c r="AI31" s="298"/>
      <c r="AJ31" s="19"/>
      <c r="AK31" s="19"/>
      <c r="AL31" s="8" t="s">
        <v>30</v>
      </c>
      <c r="AM31" s="19">
        <v>3.8E-3</v>
      </c>
      <c r="AN31" s="8" t="s">
        <v>36</v>
      </c>
      <c r="AO31" s="19"/>
      <c r="AQ31" s="16" t="s">
        <v>124</v>
      </c>
      <c r="AR31" s="17">
        <v>3240</v>
      </c>
      <c r="AS31" s="8" t="s">
        <v>128</v>
      </c>
      <c r="AT31" s="17">
        <v>0.3</v>
      </c>
      <c r="AU31" s="8" t="s">
        <v>122</v>
      </c>
      <c r="AV31" s="20">
        <v>0</v>
      </c>
    </row>
    <row r="32" spans="2:48" ht="16.5" thickBot="1" x14ac:dyDescent="0.3">
      <c r="B32" s="26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8"/>
      <c r="AA32" s="707" t="s">
        <v>25</v>
      </c>
      <c r="AB32" s="707"/>
      <c r="AC32" s="707"/>
      <c r="AD32" s="707"/>
      <c r="AE32" s="707"/>
      <c r="AF32" s="707"/>
      <c r="AG32" s="707"/>
      <c r="AH32" s="707"/>
      <c r="AI32" s="707"/>
      <c r="AJ32" s="707"/>
      <c r="AK32" s="707"/>
      <c r="AL32" s="707"/>
      <c r="AM32" s="707"/>
      <c r="AN32" s="707"/>
      <c r="AO32" s="707"/>
      <c r="AQ32" s="16" t="s">
        <v>125</v>
      </c>
      <c r="AR32" s="17">
        <v>1296</v>
      </c>
      <c r="AS32" s="8" t="s">
        <v>129</v>
      </c>
      <c r="AT32" s="17">
        <v>3.51</v>
      </c>
      <c r="AU32" s="8" t="s">
        <v>121</v>
      </c>
      <c r="AV32" s="20">
        <v>0.2</v>
      </c>
    </row>
    <row r="33" spans="27:48" ht="15.75" thickBot="1" x14ac:dyDescent="0.3">
      <c r="AA33" s="708" t="s">
        <v>18</v>
      </c>
      <c r="AB33" s="709"/>
      <c r="AC33" s="696" t="s">
        <v>12</v>
      </c>
      <c r="AD33" s="696"/>
      <c r="AE33" s="696"/>
      <c r="AF33" s="696"/>
      <c r="AG33" s="696" t="s">
        <v>13</v>
      </c>
      <c r="AH33" s="696"/>
      <c r="AI33" s="696"/>
      <c r="AJ33" s="696"/>
      <c r="AK33" s="696"/>
      <c r="AL33" s="696" t="s">
        <v>29</v>
      </c>
      <c r="AM33" s="696"/>
      <c r="AN33" s="696" t="s">
        <v>32</v>
      </c>
      <c r="AO33" s="696"/>
      <c r="AQ33" s="29" t="s">
        <v>163</v>
      </c>
      <c r="AR33" s="620">
        <f>4700*SQRT($AM$19)</f>
        <v>20807.787003907935</v>
      </c>
      <c r="AS33" s="31" t="s">
        <v>130</v>
      </c>
      <c r="AT33" s="30">
        <v>1.5</v>
      </c>
      <c r="AU33" s="31" t="s">
        <v>126</v>
      </c>
      <c r="AV33" s="32">
        <v>7.36</v>
      </c>
    </row>
    <row r="34" spans="27:48" ht="15" customHeight="1" x14ac:dyDescent="0.25">
      <c r="AA34" s="8" t="s">
        <v>350</v>
      </c>
      <c r="AB34" s="19">
        <v>500</v>
      </c>
      <c r="AC34" s="8" t="s">
        <v>16</v>
      </c>
      <c r="AD34" s="8" t="s">
        <v>14</v>
      </c>
      <c r="AE34" s="8" t="s">
        <v>19</v>
      </c>
      <c r="AF34" s="8" t="s">
        <v>15</v>
      </c>
      <c r="AG34" s="8" t="s">
        <v>16</v>
      </c>
      <c r="AH34" s="298"/>
      <c r="AI34" s="298"/>
      <c r="AJ34" s="8" t="s">
        <v>19</v>
      </c>
      <c r="AK34" s="8" t="s">
        <v>17</v>
      </c>
      <c r="AL34" s="8" t="s">
        <v>31</v>
      </c>
      <c r="AM34" s="19">
        <v>19.600000000000001</v>
      </c>
      <c r="AN34" s="8" t="s">
        <v>33</v>
      </c>
      <c r="AO34" s="19">
        <v>372</v>
      </c>
    </row>
    <row r="35" spans="27:48" x14ac:dyDescent="0.25">
      <c r="AA35" s="8" t="s">
        <v>9</v>
      </c>
      <c r="AB35" s="19">
        <v>350</v>
      </c>
      <c r="AC35" s="8" t="s">
        <v>26</v>
      </c>
      <c r="AD35" s="19">
        <v>4</v>
      </c>
      <c r="AE35" s="19">
        <v>18</v>
      </c>
      <c r="AF35" s="17">
        <f>AD35*PI()*(AE35*0.5)^2</f>
        <v>1017.8760197630929</v>
      </c>
      <c r="AG35" s="8" t="s">
        <v>22</v>
      </c>
      <c r="AH35" s="298"/>
      <c r="AI35" s="298"/>
      <c r="AJ35" s="19">
        <v>6</v>
      </c>
      <c r="AK35" s="19">
        <v>150</v>
      </c>
      <c r="AL35" s="8" t="s">
        <v>34</v>
      </c>
      <c r="AM35" s="21">
        <f>(2*Fck)/(4700*SQRT(Fck))</f>
        <v>1.8839100954194602E-3</v>
      </c>
      <c r="AN35" s="8" t="s">
        <v>35</v>
      </c>
      <c r="AO35" s="21">
        <f>AO34/200000</f>
        <v>1.8600000000000001E-3</v>
      </c>
    </row>
    <row r="36" spans="27:48" x14ac:dyDescent="0.25">
      <c r="AA36" s="8" t="s">
        <v>37</v>
      </c>
      <c r="AB36" s="19">
        <v>20</v>
      </c>
      <c r="AC36" s="8"/>
      <c r="AD36" s="19"/>
      <c r="AE36" s="19"/>
      <c r="AF36" s="17">
        <f>AD36*PI()*(AE36*0.5)^2</f>
        <v>0</v>
      </c>
      <c r="AG36" s="8"/>
      <c r="AH36" s="298"/>
      <c r="AI36" s="298"/>
      <c r="AJ36" s="19"/>
      <c r="AK36" s="19"/>
      <c r="AL36" s="8" t="s">
        <v>30</v>
      </c>
      <c r="AM36" s="19">
        <v>3.8E-3</v>
      </c>
      <c r="AN36" s="8" t="s">
        <v>36</v>
      </c>
      <c r="AO36" s="19"/>
    </row>
  </sheetData>
  <mergeCells count="108">
    <mergeCell ref="AK11:AM12"/>
    <mergeCell ref="O14:O15"/>
    <mergeCell ref="W14:W15"/>
    <mergeCell ref="T20:T21"/>
    <mergeCell ref="N2:X3"/>
    <mergeCell ref="U17:U18"/>
    <mergeCell ref="N14:N15"/>
    <mergeCell ref="P14:P15"/>
    <mergeCell ref="P17:P18"/>
    <mergeCell ref="X17:X18"/>
    <mergeCell ref="N17:N18"/>
    <mergeCell ref="Q20:Q21"/>
    <mergeCell ref="S20:S21"/>
    <mergeCell ref="R14:R15"/>
    <mergeCell ref="R17:R18"/>
    <mergeCell ref="R20:R21"/>
    <mergeCell ref="Q14:Q15"/>
    <mergeCell ref="S14:S15"/>
    <mergeCell ref="Q17:Q18"/>
    <mergeCell ref="S17:S18"/>
    <mergeCell ref="T14:T15"/>
    <mergeCell ref="T17:T18"/>
    <mergeCell ref="X14:X15"/>
    <mergeCell ref="S11:S12"/>
    <mergeCell ref="B29:H30"/>
    <mergeCell ref="AL18:AM18"/>
    <mergeCell ref="AN18:AO18"/>
    <mergeCell ref="AA17:AO17"/>
    <mergeCell ref="AA15:AO16"/>
    <mergeCell ref="AL23:AM23"/>
    <mergeCell ref="AN23:AO23"/>
    <mergeCell ref="AA18:AB18"/>
    <mergeCell ref="AC23:AF23"/>
    <mergeCell ref="AG23:AK23"/>
    <mergeCell ref="AC18:AF18"/>
    <mergeCell ref="AG18:AK18"/>
    <mergeCell ref="U14:U15"/>
    <mergeCell ref="V20:V21"/>
    <mergeCell ref="V17:V18"/>
    <mergeCell ref="X20:X21"/>
    <mergeCell ref="N20:N21"/>
    <mergeCell ref="P20:P21"/>
    <mergeCell ref="V14:V15"/>
    <mergeCell ref="W20:W21"/>
    <mergeCell ref="W17:W18"/>
    <mergeCell ref="U20:U21"/>
    <mergeCell ref="O20:O21"/>
    <mergeCell ref="O17:O18"/>
    <mergeCell ref="AL33:AM33"/>
    <mergeCell ref="AN33:AO33"/>
    <mergeCell ref="AA22:AO22"/>
    <mergeCell ref="AA27:AO27"/>
    <mergeCell ref="AA32:AO32"/>
    <mergeCell ref="AA23:AB23"/>
    <mergeCell ref="AA28:AB28"/>
    <mergeCell ref="AA33:AB33"/>
    <mergeCell ref="AC28:AF28"/>
    <mergeCell ref="AG28:AK28"/>
    <mergeCell ref="AC33:AF33"/>
    <mergeCell ref="AG33:AK33"/>
    <mergeCell ref="P5:P6"/>
    <mergeCell ref="Q5:Q6"/>
    <mergeCell ref="R5:R6"/>
    <mergeCell ref="AQ15:AV16"/>
    <mergeCell ref="AA2:AM3"/>
    <mergeCell ref="AQ29:AV29"/>
    <mergeCell ref="AQ23:AV23"/>
    <mergeCell ref="AQ17:AV17"/>
    <mergeCell ref="AQ22:AV22"/>
    <mergeCell ref="AQ28:AV28"/>
    <mergeCell ref="AL28:AM28"/>
    <mergeCell ref="AN28:AO28"/>
    <mergeCell ref="AL4:AL5"/>
    <mergeCell ref="AM4:AM5"/>
    <mergeCell ref="AD4:AJ4"/>
    <mergeCell ref="AA4:AA5"/>
    <mergeCell ref="AB4:AB5"/>
    <mergeCell ref="AC4:AC5"/>
    <mergeCell ref="AK4:AK10"/>
    <mergeCell ref="U11:U12"/>
    <mergeCell ref="V11:V12"/>
    <mergeCell ref="W11:W12"/>
    <mergeCell ref="X11:X12"/>
    <mergeCell ref="T11:T12"/>
    <mergeCell ref="N11:N12"/>
    <mergeCell ref="O11:O12"/>
    <mergeCell ref="P11:P12"/>
    <mergeCell ref="Q11:Q12"/>
    <mergeCell ref="R11:R12"/>
    <mergeCell ref="X5:X6"/>
    <mergeCell ref="N8:N9"/>
    <mergeCell ref="O8:O9"/>
    <mergeCell ref="P8:P9"/>
    <mergeCell ref="Q8:Q9"/>
    <mergeCell ref="R8:R9"/>
    <mergeCell ref="S8:S9"/>
    <mergeCell ref="T8:T9"/>
    <mergeCell ref="U8:U9"/>
    <mergeCell ref="V8:V9"/>
    <mergeCell ref="W8:W9"/>
    <mergeCell ref="X8:X9"/>
    <mergeCell ref="S5:S6"/>
    <mergeCell ref="T5:T6"/>
    <mergeCell ref="U5:U6"/>
    <mergeCell ref="V5:V6"/>
    <mergeCell ref="W5:W6"/>
    <mergeCell ref="N5:N6"/>
    <mergeCell ref="O5:O6"/>
  </mergeCells>
  <phoneticPr fontId="35" type="noConversion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F41AE-1D84-431C-AD05-B0A34A9C3C68}">
  <sheetPr codeName="Sheet2"/>
  <dimension ref="A1:CG148"/>
  <sheetViews>
    <sheetView topLeftCell="BB1" zoomScale="80" zoomScaleNormal="80" workbookViewId="0">
      <selection activeCell="BV17" sqref="BV17"/>
    </sheetView>
  </sheetViews>
  <sheetFormatPr defaultColWidth="9.140625" defaultRowHeight="15" x14ac:dyDescent="0.25"/>
  <cols>
    <col min="1" max="2" width="9.140625" style="1"/>
    <col min="3" max="3" width="8.85546875" style="1" customWidth="1"/>
    <col min="4" max="4" width="10.140625" style="1" bestFit="1" customWidth="1"/>
    <col min="5" max="5" width="12.140625" style="1" bestFit="1" customWidth="1"/>
    <col min="6" max="6" width="11" style="1" customWidth="1"/>
    <col min="7" max="7" width="12" style="1" bestFit="1" customWidth="1"/>
    <col min="8" max="8" width="11.42578125" style="1" bestFit="1" customWidth="1"/>
    <col min="9" max="9" width="12.28515625" style="1" bestFit="1" customWidth="1"/>
    <col min="10" max="10" width="11.7109375" style="1" bestFit="1" customWidth="1"/>
    <col min="11" max="11" width="13.5703125" style="1" bestFit="1" customWidth="1"/>
    <col min="12" max="12" width="13" style="1" bestFit="1" customWidth="1"/>
    <col min="13" max="14" width="12.140625" style="1" customWidth="1"/>
    <col min="15" max="15" width="11.28515625" style="1" customWidth="1"/>
    <col min="16" max="16" width="9.5703125" style="1" bestFit="1" customWidth="1"/>
    <col min="17" max="17" width="8.7109375" style="1" customWidth="1"/>
    <col min="18" max="18" width="9.140625" style="1"/>
    <col min="19" max="19" width="8.85546875" style="1" customWidth="1"/>
    <col min="20" max="20" width="9" style="1" customWidth="1"/>
    <col min="21" max="21" width="9.7109375" style="1" customWidth="1"/>
    <col min="22" max="22" width="9.7109375" style="1" bestFit="1" customWidth="1"/>
    <col min="23" max="24" width="9.7109375" style="1" customWidth="1"/>
    <col min="25" max="25" width="8.85546875" style="1" bestFit="1" customWidth="1"/>
    <col min="26" max="26" width="10.5703125" style="1" bestFit="1" customWidth="1"/>
    <col min="27" max="27" width="10.7109375" style="1" bestFit="1" customWidth="1"/>
    <col min="28" max="28" width="11" style="1" bestFit="1" customWidth="1"/>
    <col min="29" max="32" width="9.140625" style="1"/>
    <col min="33" max="33" width="9.5703125" style="1" customWidth="1"/>
    <col min="34" max="41" width="9.140625" style="1"/>
    <col min="42" max="42" width="9.85546875" style="1" bestFit="1" customWidth="1"/>
    <col min="43" max="43" width="11.42578125" style="1" customWidth="1"/>
    <col min="44" max="44" width="9.85546875" style="1" bestFit="1" customWidth="1"/>
    <col min="45" max="45" width="9" style="1" customWidth="1"/>
    <col min="46" max="51" width="9.140625" style="1"/>
    <col min="52" max="52" width="11" style="1" customWidth="1"/>
    <col min="53" max="53" width="10.28515625" style="1" bestFit="1" customWidth="1"/>
    <col min="54" max="54" width="10.42578125" style="1" customWidth="1"/>
    <col min="55" max="55" width="11.7109375" style="1" customWidth="1"/>
    <col min="56" max="56" width="10.28515625" style="1" bestFit="1" customWidth="1"/>
    <col min="57" max="57" width="12.7109375" style="1" customWidth="1"/>
    <col min="58" max="58" width="11.5703125" style="1" bestFit="1" customWidth="1"/>
    <col min="59" max="59" width="9.28515625" style="1" bestFit="1" customWidth="1"/>
    <col min="60" max="60" width="10.28515625" style="1" bestFit="1" customWidth="1"/>
    <col min="61" max="61" width="11.28515625" style="1" bestFit="1" customWidth="1"/>
    <col min="62" max="62" width="11.5703125" style="1" bestFit="1" customWidth="1"/>
    <col min="63" max="63" width="9.140625" style="1"/>
    <col min="64" max="64" width="9.28515625" style="1" bestFit="1" customWidth="1"/>
    <col min="65" max="67" width="11.7109375" style="1" customWidth="1"/>
    <col min="68" max="68" width="11.5703125" style="1" bestFit="1" customWidth="1"/>
    <col min="69" max="69" width="11.42578125" style="1" bestFit="1" customWidth="1"/>
    <col min="70" max="70" width="12" style="1" bestFit="1" customWidth="1"/>
    <col min="71" max="71" width="12.85546875" style="1" customWidth="1"/>
    <col min="72" max="74" width="10.28515625" style="1" customWidth="1"/>
    <col min="75" max="75" width="9.5703125" style="1" bestFit="1" customWidth="1"/>
    <col min="76" max="76" width="9.140625" style="1"/>
    <col min="77" max="78" width="10.140625" style="1" bestFit="1" customWidth="1"/>
    <col min="79" max="16384" width="9.140625" style="1"/>
  </cols>
  <sheetData>
    <row r="1" spans="2:85" ht="15.75" thickBot="1" x14ac:dyDescent="0.3"/>
    <row r="2" spans="2:85" ht="16.5" thickBot="1" x14ac:dyDescent="0.3">
      <c r="B2" s="738" t="s">
        <v>277</v>
      </c>
      <c r="C2" s="739"/>
      <c r="D2" s="739"/>
      <c r="E2" s="739"/>
      <c r="F2" s="739"/>
      <c r="G2" s="739"/>
      <c r="H2" s="739"/>
      <c r="I2" s="739"/>
      <c r="J2" s="739"/>
      <c r="K2" s="739"/>
      <c r="L2" s="740"/>
      <c r="M2" s="33"/>
      <c r="N2" s="33"/>
      <c r="O2" s="33"/>
      <c r="Q2" s="723" t="s">
        <v>205</v>
      </c>
      <c r="R2" s="724"/>
      <c r="S2" s="724"/>
      <c r="T2" s="724"/>
      <c r="U2" s="724"/>
      <c r="V2" s="724"/>
      <c r="W2" s="724"/>
      <c r="X2" s="724"/>
      <c r="Y2" s="724"/>
      <c r="Z2" s="724"/>
      <c r="AA2" s="724"/>
      <c r="AB2" s="724"/>
      <c r="AC2" s="724"/>
      <c r="AD2" s="724"/>
      <c r="AE2" s="724"/>
      <c r="AF2" s="724"/>
      <c r="AG2" s="724"/>
      <c r="AH2" s="724"/>
      <c r="AI2" s="724"/>
      <c r="AJ2" s="724"/>
      <c r="AK2" s="725"/>
      <c r="AL2" s="725"/>
      <c r="AM2" s="726"/>
      <c r="AO2" s="795" t="s">
        <v>64</v>
      </c>
      <c r="AP2" s="796"/>
      <c r="AQ2" s="796"/>
      <c r="AR2" s="796"/>
      <c r="AS2" s="796"/>
      <c r="AT2" s="796"/>
      <c r="AU2" s="796"/>
      <c r="AV2" s="796"/>
      <c r="AW2" s="796"/>
      <c r="AX2" s="797"/>
      <c r="AY2" s="797"/>
      <c r="AZ2" s="797"/>
      <c r="BA2" s="796"/>
      <c r="BB2" s="796"/>
      <c r="BC2" s="796"/>
      <c r="BD2" s="797"/>
      <c r="BE2" s="797"/>
      <c r="BF2" s="798"/>
      <c r="BI2" s="116"/>
      <c r="BJ2" s="116"/>
      <c r="BK2" s="116"/>
      <c r="BL2" s="116"/>
      <c r="BM2" s="116"/>
      <c r="BN2" s="116"/>
      <c r="BO2" s="116"/>
      <c r="BP2" s="116"/>
      <c r="BQ2" s="116"/>
      <c r="BR2" s="116"/>
      <c r="BS2" s="34"/>
      <c r="BT2" s="34"/>
      <c r="BU2" s="34"/>
      <c r="BV2" s="34"/>
    </row>
    <row r="3" spans="2:85" ht="15" customHeight="1" x14ac:dyDescent="0.25">
      <c r="B3" s="731" t="s">
        <v>55</v>
      </c>
      <c r="C3" s="736" t="s">
        <v>28</v>
      </c>
      <c r="D3" s="727" t="s">
        <v>26</v>
      </c>
      <c r="E3" s="729" t="s">
        <v>199</v>
      </c>
      <c r="F3" s="729" t="s">
        <v>200</v>
      </c>
      <c r="G3" s="736" t="s">
        <v>203</v>
      </c>
      <c r="H3" s="727" t="s">
        <v>204</v>
      </c>
      <c r="I3" s="729" t="s">
        <v>201</v>
      </c>
      <c r="J3" s="729" t="s">
        <v>202</v>
      </c>
      <c r="K3" s="736" t="s">
        <v>280</v>
      </c>
      <c r="L3" s="735" t="s">
        <v>281</v>
      </c>
      <c r="M3" s="33"/>
      <c r="N3" s="33"/>
      <c r="O3" s="33"/>
      <c r="Q3" s="835" t="s">
        <v>5</v>
      </c>
      <c r="R3" s="729"/>
      <c r="S3" s="729">
        <v>1</v>
      </c>
      <c r="T3" s="729"/>
      <c r="U3" s="729"/>
      <c r="V3" s="729"/>
      <c r="W3" s="729"/>
      <c r="X3" s="729"/>
      <c r="Y3" s="735"/>
      <c r="Z3" s="829">
        <v>2</v>
      </c>
      <c r="AA3" s="701"/>
      <c r="AB3" s="701"/>
      <c r="AC3" s="701"/>
      <c r="AD3" s="701"/>
      <c r="AE3" s="701"/>
      <c r="AF3" s="701"/>
      <c r="AG3" s="701">
        <v>3</v>
      </c>
      <c r="AH3" s="701"/>
      <c r="AI3" s="701"/>
      <c r="AJ3" s="701"/>
      <c r="AK3" s="762"/>
      <c r="AL3" s="762"/>
      <c r="AM3" s="763"/>
      <c r="AO3" s="807" t="s">
        <v>57</v>
      </c>
      <c r="AP3" s="802" t="s">
        <v>58</v>
      </c>
      <c r="AQ3" s="801"/>
      <c r="AR3" s="803" t="s">
        <v>59</v>
      </c>
      <c r="AS3" s="802" t="s">
        <v>60</v>
      </c>
      <c r="AT3" s="802" t="s">
        <v>61</v>
      </c>
      <c r="AU3" s="802" t="s">
        <v>62</v>
      </c>
      <c r="AV3" s="734" t="s">
        <v>65</v>
      </c>
      <c r="AW3" s="801" t="s">
        <v>311</v>
      </c>
      <c r="AX3" s="799" t="s">
        <v>63</v>
      </c>
      <c r="AY3" s="805" t="s">
        <v>51</v>
      </c>
      <c r="AZ3" s="809" t="s">
        <v>384</v>
      </c>
      <c r="BA3" s="804" t="s">
        <v>288</v>
      </c>
      <c r="BB3" s="804" t="s">
        <v>51</v>
      </c>
      <c r="BC3" s="804" t="s">
        <v>385</v>
      </c>
      <c r="BD3" s="811" t="s">
        <v>289</v>
      </c>
      <c r="BE3" s="813" t="s">
        <v>51</v>
      </c>
      <c r="BF3" s="815" t="s">
        <v>386</v>
      </c>
      <c r="BH3" s="12"/>
      <c r="BI3" s="116"/>
      <c r="BJ3" s="116"/>
      <c r="BK3" s="116"/>
      <c r="BL3" s="116"/>
      <c r="BM3" s="116"/>
      <c r="BN3" s="116"/>
      <c r="BO3" s="116"/>
      <c r="BP3" s="116"/>
      <c r="BQ3" s="116"/>
      <c r="BR3" s="116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</row>
    <row r="4" spans="2:85" ht="15.75" customHeight="1" thickBot="1" x14ac:dyDescent="0.3">
      <c r="B4" s="732"/>
      <c r="C4" s="737"/>
      <c r="D4" s="728"/>
      <c r="E4" s="730"/>
      <c r="F4" s="730"/>
      <c r="G4" s="737"/>
      <c r="H4" s="728"/>
      <c r="I4" s="730"/>
      <c r="J4" s="730"/>
      <c r="K4" s="737"/>
      <c r="L4" s="741"/>
      <c r="M4" s="33"/>
      <c r="N4" s="33"/>
      <c r="O4" s="33"/>
      <c r="Q4" s="748" t="s">
        <v>38</v>
      </c>
      <c r="R4" s="696"/>
      <c r="S4" s="35" t="s">
        <v>39</v>
      </c>
      <c r="T4" s="35" t="s">
        <v>40</v>
      </c>
      <c r="U4" s="35" t="s">
        <v>41</v>
      </c>
      <c r="V4" s="35" t="s">
        <v>42</v>
      </c>
      <c r="W4" s="35" t="s">
        <v>404</v>
      </c>
      <c r="X4" s="36" t="s">
        <v>405</v>
      </c>
      <c r="Y4" s="37" t="s">
        <v>54</v>
      </c>
      <c r="Z4" s="445" t="s">
        <v>43</v>
      </c>
      <c r="AA4" s="35" t="s">
        <v>44</v>
      </c>
      <c r="AB4" s="35" t="s">
        <v>45</v>
      </c>
      <c r="AC4" s="36" t="s">
        <v>46</v>
      </c>
      <c r="AD4" s="35" t="s">
        <v>402</v>
      </c>
      <c r="AE4" s="35" t="s">
        <v>403</v>
      </c>
      <c r="AF4" s="35" t="s">
        <v>54</v>
      </c>
      <c r="AG4" s="35" t="s">
        <v>47</v>
      </c>
      <c r="AH4" s="35" t="s">
        <v>48</v>
      </c>
      <c r="AI4" s="35" t="s">
        <v>49</v>
      </c>
      <c r="AJ4" s="36" t="s">
        <v>50</v>
      </c>
      <c r="AK4" s="35" t="s">
        <v>406</v>
      </c>
      <c r="AL4" s="35" t="s">
        <v>407</v>
      </c>
      <c r="AM4" s="37" t="s">
        <v>54</v>
      </c>
      <c r="AO4" s="808"/>
      <c r="AP4" s="802"/>
      <c r="AQ4" s="801"/>
      <c r="AR4" s="803"/>
      <c r="AS4" s="802"/>
      <c r="AT4" s="802"/>
      <c r="AU4" s="802"/>
      <c r="AV4" s="734"/>
      <c r="AW4" s="801"/>
      <c r="AX4" s="800"/>
      <c r="AY4" s="806"/>
      <c r="AZ4" s="810"/>
      <c r="BA4" s="804"/>
      <c r="BB4" s="804"/>
      <c r="BC4" s="804"/>
      <c r="BD4" s="812"/>
      <c r="BE4" s="814"/>
      <c r="BF4" s="816"/>
      <c r="BH4" s="12"/>
      <c r="BI4" s="116"/>
      <c r="BJ4" s="116"/>
      <c r="BK4" s="116"/>
      <c r="BL4" s="116"/>
      <c r="BM4" s="116"/>
      <c r="BN4" s="116"/>
      <c r="BO4" s="116"/>
      <c r="BP4" s="116"/>
      <c r="BQ4" s="116"/>
      <c r="BR4" s="116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</row>
    <row r="5" spans="2:85" ht="15" customHeight="1" x14ac:dyDescent="0.25">
      <c r="B5" s="749">
        <v>1</v>
      </c>
      <c r="C5" s="338">
        <v>5111</v>
      </c>
      <c r="D5" s="338" t="s">
        <v>8</v>
      </c>
      <c r="E5" s="39">
        <v>61.6</v>
      </c>
      <c r="F5" s="40">
        <v>120</v>
      </c>
      <c r="G5" s="41">
        <v>66.3</v>
      </c>
      <c r="H5" s="41">
        <v>129.19999999999999</v>
      </c>
      <c r="I5" s="42">
        <v>53.1</v>
      </c>
      <c r="J5" s="43">
        <v>103.4</v>
      </c>
      <c r="K5" s="92">
        <v>6.6</v>
      </c>
      <c r="L5" s="44">
        <v>12.9</v>
      </c>
      <c r="M5" s="33"/>
      <c r="N5" s="33"/>
      <c r="O5" s="33"/>
      <c r="Q5" s="733" t="s">
        <v>53</v>
      </c>
      <c r="R5" s="734"/>
      <c r="S5" s="466">
        <v>30.8</v>
      </c>
      <c r="T5" s="457">
        <v>99.8</v>
      </c>
      <c r="U5" s="457">
        <v>99.8</v>
      </c>
      <c r="V5" s="457">
        <v>99.8</v>
      </c>
      <c r="W5" s="457">
        <v>99.8</v>
      </c>
      <c r="X5" s="461">
        <v>70.2</v>
      </c>
      <c r="Y5" s="47">
        <f>S5+T5+U5+V5+W5+X5</f>
        <v>500.2</v>
      </c>
      <c r="Z5" s="457">
        <v>30.8</v>
      </c>
      <c r="AA5" s="461">
        <v>81.8</v>
      </c>
      <c r="AB5" s="461">
        <v>81.8</v>
      </c>
      <c r="AC5" s="461">
        <v>81.8</v>
      </c>
      <c r="AD5" s="461">
        <v>81.8</v>
      </c>
      <c r="AE5" s="461">
        <v>46.9</v>
      </c>
      <c r="AF5" s="46">
        <f>Z5+AA5+AB5+AC5+AD5+AE5</f>
        <v>404.9</v>
      </c>
      <c r="AG5" s="466">
        <v>30.8</v>
      </c>
      <c r="AH5" s="461">
        <v>76.7</v>
      </c>
      <c r="AI5" s="461">
        <v>76.7</v>
      </c>
      <c r="AJ5" s="461">
        <v>76.7</v>
      </c>
      <c r="AK5" s="461">
        <v>76.7</v>
      </c>
      <c r="AL5" s="461">
        <v>44.4</v>
      </c>
      <c r="AM5" s="47">
        <f>AG5+AH5+AI5+AJ5+AK5+AL5</f>
        <v>381.99999999999994</v>
      </c>
      <c r="AO5" s="751">
        <v>6</v>
      </c>
      <c r="AP5" s="836" t="s">
        <v>38</v>
      </c>
      <c r="AQ5" s="837"/>
      <c r="AR5" s="87">
        <v>1116</v>
      </c>
      <c r="AS5" s="599">
        <v>7116</v>
      </c>
      <c r="AT5" s="607">
        <f t="shared" ref="AT5:AT10" si="0">hstr6</f>
        <v>3</v>
      </c>
      <c r="AU5" s="607">
        <f t="shared" ref="AU5:AU23" si="1">Hcol1/1000</f>
        <v>0.25</v>
      </c>
      <c r="AV5" s="599">
        <f>0.43*AT5</f>
        <v>1.29</v>
      </c>
      <c r="AW5" s="313">
        <f t="shared" ref="AW5:AW23" si="2">(0.08*AV5*1000+0.022*Fyk*Phicol1)/1000</f>
        <v>0.23414400000000002</v>
      </c>
      <c r="AX5" s="491">
        <f>AV5*E118/3</f>
        <v>6.7510000000000001E-3</v>
      </c>
      <c r="AY5" s="492">
        <v>30.6</v>
      </c>
      <c r="AZ5" s="493">
        <f>AY5*AX5</f>
        <v>0.2065806</v>
      </c>
      <c r="BA5" s="506">
        <f>$AW5*G118</f>
        <v>2.1236860800000004E-2</v>
      </c>
      <c r="BB5" s="507">
        <v>32.9</v>
      </c>
      <c r="BC5" s="506">
        <f>BB5*BA5</f>
        <v>0.69869272032000007</v>
      </c>
      <c r="BD5" s="518">
        <f>AW$5*I118</f>
        <v>6.5653977599999996E-2</v>
      </c>
      <c r="BE5" s="511">
        <v>26.4</v>
      </c>
      <c r="BF5" s="512">
        <f>BE5*BD5</f>
        <v>1.7332650086399999</v>
      </c>
      <c r="BH5" s="12"/>
      <c r="BI5" s="116"/>
      <c r="BJ5" s="116"/>
      <c r="BK5" s="116"/>
      <c r="BL5" s="116"/>
      <c r="BM5" s="116"/>
      <c r="BN5" s="116"/>
      <c r="BO5" s="116"/>
      <c r="BP5" s="116"/>
      <c r="BQ5" s="116"/>
      <c r="BR5" s="116"/>
      <c r="BS5" s="12"/>
      <c r="BT5" s="12"/>
      <c r="BU5" s="12"/>
      <c r="BV5" s="12"/>
      <c r="BW5" s="12"/>
      <c r="BX5" s="12"/>
      <c r="BY5" s="12"/>
      <c r="BZ5" s="12"/>
      <c r="CA5" s="12"/>
      <c r="CB5" s="12"/>
      <c r="CC5" s="12"/>
      <c r="CD5" s="12"/>
      <c r="CE5" s="12"/>
      <c r="CF5" s="12"/>
      <c r="CG5" s="12"/>
    </row>
    <row r="6" spans="2:85" ht="15" customHeight="1" thickBot="1" x14ac:dyDescent="0.3">
      <c r="B6" s="750"/>
      <c r="C6" s="338">
        <v>5112</v>
      </c>
      <c r="D6" s="338" t="s">
        <v>8</v>
      </c>
      <c r="E6" s="39">
        <v>61.6</v>
      </c>
      <c r="F6" s="40">
        <v>120</v>
      </c>
      <c r="G6" s="41">
        <v>66.3</v>
      </c>
      <c r="H6" s="41">
        <v>129.19999999999999</v>
      </c>
      <c r="I6" s="42">
        <v>53.1</v>
      </c>
      <c r="J6" s="43">
        <v>103.4</v>
      </c>
      <c r="K6" s="92">
        <v>6.6</v>
      </c>
      <c r="L6" s="44">
        <v>12.9</v>
      </c>
      <c r="M6" s="33"/>
      <c r="N6" s="33"/>
      <c r="O6" s="33"/>
      <c r="Q6" s="764" t="s">
        <v>52</v>
      </c>
      <c r="R6" s="765"/>
      <c r="S6" s="459">
        <v>70.2</v>
      </c>
      <c r="T6" s="460">
        <v>117.1</v>
      </c>
      <c r="U6" s="460">
        <v>117.1</v>
      </c>
      <c r="V6" s="460">
        <v>117.1</v>
      </c>
      <c r="W6" s="460">
        <v>117.1</v>
      </c>
      <c r="X6" s="460">
        <v>70.2</v>
      </c>
      <c r="Y6" s="54">
        <f>S6+T6+U6+V6+W6+X6</f>
        <v>608.80000000000007</v>
      </c>
      <c r="Z6" s="471">
        <v>30.8</v>
      </c>
      <c r="AA6" s="460">
        <v>81.8</v>
      </c>
      <c r="AB6" s="460">
        <v>81.8</v>
      </c>
      <c r="AC6" s="460">
        <v>81.8</v>
      </c>
      <c r="AD6" s="460">
        <v>81.8</v>
      </c>
      <c r="AE6" s="460">
        <v>46.9</v>
      </c>
      <c r="AF6" s="53">
        <f>Z6+AA6+AB6+AC6+AD6+AE6</f>
        <v>404.9</v>
      </c>
      <c r="AG6" s="472">
        <v>30.8</v>
      </c>
      <c r="AH6" s="460">
        <v>76.7</v>
      </c>
      <c r="AI6" s="460">
        <v>76.7</v>
      </c>
      <c r="AJ6" s="460">
        <v>76.7</v>
      </c>
      <c r="AK6" s="460">
        <v>76.7</v>
      </c>
      <c r="AL6" s="460">
        <v>44.4</v>
      </c>
      <c r="AM6" s="54">
        <f>AG6+AH6+AI6+AJ6+AK6+AL6</f>
        <v>381.99999999999994</v>
      </c>
      <c r="AO6" s="750"/>
      <c r="AP6" s="721"/>
      <c r="AQ6" s="722"/>
      <c r="AR6" s="93">
        <v>1216</v>
      </c>
      <c r="AS6" s="597">
        <v>7216</v>
      </c>
      <c r="AT6" s="608">
        <f t="shared" si="0"/>
        <v>3</v>
      </c>
      <c r="AU6" s="608">
        <f t="shared" si="1"/>
        <v>0.25</v>
      </c>
      <c r="AV6" s="597">
        <f>0.43*AT6</f>
        <v>1.29</v>
      </c>
      <c r="AW6" s="261">
        <f t="shared" si="2"/>
        <v>0.23414400000000002</v>
      </c>
      <c r="AX6" s="494">
        <f>AV6*E124/3</f>
        <v>6.7510000000000001E-3</v>
      </c>
      <c r="AY6" s="461">
        <v>35.6</v>
      </c>
      <c r="AZ6" s="495">
        <f>AY6*AX6</f>
        <v>0.24033560000000001</v>
      </c>
      <c r="BA6" s="504">
        <f>$AW6*G124</f>
        <v>2.1236860800000004E-2</v>
      </c>
      <c r="BB6" s="465">
        <v>38.299999999999997</v>
      </c>
      <c r="BC6" s="504">
        <f>BB6*BA6</f>
        <v>0.81337176864000005</v>
      </c>
      <c r="BD6" s="519">
        <f>AW$6*I124</f>
        <v>6.5653977599999996E-2</v>
      </c>
      <c r="BE6" s="469">
        <v>30.6</v>
      </c>
      <c r="BF6" s="513">
        <f>BE6*BD6</f>
        <v>2.0090117145600002</v>
      </c>
      <c r="BH6" s="12"/>
      <c r="BI6" s="116"/>
      <c r="BJ6" s="116"/>
      <c r="BK6" s="116"/>
      <c r="BL6" s="116"/>
      <c r="BM6" s="116"/>
      <c r="BN6" s="116"/>
      <c r="BO6" s="116"/>
      <c r="BP6" s="116"/>
      <c r="BQ6" s="116"/>
      <c r="BR6" s="116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</row>
    <row r="7" spans="2:85" ht="15" customHeight="1" thickBot="1" x14ac:dyDescent="0.3">
      <c r="B7" s="750"/>
      <c r="C7" s="338">
        <v>5113</v>
      </c>
      <c r="D7" s="338" t="s">
        <v>8</v>
      </c>
      <c r="E7" s="39">
        <v>61.6</v>
      </c>
      <c r="F7" s="40">
        <v>120</v>
      </c>
      <c r="G7" s="41">
        <v>66.3</v>
      </c>
      <c r="H7" s="41">
        <v>129.19999999999999</v>
      </c>
      <c r="I7" s="42">
        <v>53.1</v>
      </c>
      <c r="J7" s="43">
        <v>103.4</v>
      </c>
      <c r="K7" s="92">
        <v>6.6</v>
      </c>
      <c r="L7" s="44">
        <v>12.9</v>
      </c>
      <c r="M7" s="33"/>
      <c r="N7" s="33"/>
      <c r="O7" s="33"/>
      <c r="Q7" s="761" t="s">
        <v>5</v>
      </c>
      <c r="R7" s="701"/>
      <c r="S7" s="701">
        <v>4</v>
      </c>
      <c r="T7" s="701"/>
      <c r="U7" s="701"/>
      <c r="V7" s="701"/>
      <c r="W7" s="701"/>
      <c r="X7" s="701"/>
      <c r="Y7" s="701"/>
      <c r="Z7" s="701">
        <v>5</v>
      </c>
      <c r="AA7" s="701"/>
      <c r="AB7" s="701"/>
      <c r="AC7" s="701"/>
      <c r="AD7" s="701"/>
      <c r="AE7" s="701"/>
      <c r="AF7" s="701"/>
      <c r="AG7" s="701">
        <v>6</v>
      </c>
      <c r="AH7" s="701"/>
      <c r="AI7" s="701"/>
      <c r="AJ7" s="701"/>
      <c r="AK7" s="762"/>
      <c r="AL7" s="762"/>
      <c r="AM7" s="763"/>
      <c r="AO7" s="750"/>
      <c r="AP7" s="721"/>
      <c r="AQ7" s="722"/>
      <c r="AR7" s="93">
        <v>1316</v>
      </c>
      <c r="AS7" s="597">
        <v>7316</v>
      </c>
      <c r="AT7" s="608">
        <f t="shared" si="0"/>
        <v>3</v>
      </c>
      <c r="AU7" s="608">
        <f t="shared" si="1"/>
        <v>0.25</v>
      </c>
      <c r="AV7" s="597">
        <f>0.43*AT7</f>
        <v>1.29</v>
      </c>
      <c r="AW7" s="261">
        <f t="shared" si="2"/>
        <v>0.23414400000000002</v>
      </c>
      <c r="AX7" s="494">
        <f>AV7*E130/3</f>
        <v>6.7510000000000001E-3</v>
      </c>
      <c r="AY7" s="461">
        <v>35.6</v>
      </c>
      <c r="AZ7" s="495">
        <f t="shared" ref="AZ7:AZ22" si="3">AY7*AX7</f>
        <v>0.24033560000000001</v>
      </c>
      <c r="BA7" s="504">
        <f>AW$7*G130</f>
        <v>2.1236860800000004E-2</v>
      </c>
      <c r="BB7" s="465">
        <v>38.299999999999997</v>
      </c>
      <c r="BC7" s="504">
        <f t="shared" ref="BC7:BC22" si="4">BB7*BA7</f>
        <v>0.81337176864000005</v>
      </c>
      <c r="BD7" s="519">
        <f>AW$7*I130</f>
        <v>6.5653977599999996E-2</v>
      </c>
      <c r="BE7" s="469">
        <v>30.6</v>
      </c>
      <c r="BF7" s="513">
        <f t="shared" ref="BF7:BF22" si="5">BE7*BD7</f>
        <v>2.0090117145600002</v>
      </c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</row>
    <row r="8" spans="2:85" ht="15" customHeight="1" thickBot="1" x14ac:dyDescent="0.3">
      <c r="B8" s="750"/>
      <c r="C8" s="338">
        <v>5114</v>
      </c>
      <c r="D8" s="338" t="s">
        <v>8</v>
      </c>
      <c r="E8" s="39">
        <v>61.6</v>
      </c>
      <c r="F8" s="40">
        <v>120</v>
      </c>
      <c r="G8" s="41">
        <v>66.3</v>
      </c>
      <c r="H8" s="41">
        <v>129.19999999999999</v>
      </c>
      <c r="I8" s="42">
        <v>53.1</v>
      </c>
      <c r="J8" s="43">
        <v>103.4</v>
      </c>
      <c r="K8" s="92">
        <v>6.6</v>
      </c>
      <c r="L8" s="44">
        <v>12.9</v>
      </c>
      <c r="M8" s="33"/>
      <c r="N8" s="33"/>
      <c r="O8" s="33"/>
      <c r="Q8" s="748" t="s">
        <v>38</v>
      </c>
      <c r="R8" s="696"/>
      <c r="S8" s="35" t="s">
        <v>419</v>
      </c>
      <c r="T8" s="35" t="s">
        <v>420</v>
      </c>
      <c r="U8" s="35" t="s">
        <v>421</v>
      </c>
      <c r="V8" s="36" t="s">
        <v>422</v>
      </c>
      <c r="W8" s="35" t="s">
        <v>423</v>
      </c>
      <c r="X8" s="35" t="s">
        <v>424</v>
      </c>
      <c r="Y8" s="35" t="s">
        <v>54</v>
      </c>
      <c r="Z8" s="35" t="s">
        <v>425</v>
      </c>
      <c r="AA8" s="35" t="s">
        <v>426</v>
      </c>
      <c r="AB8" s="35" t="s">
        <v>427</v>
      </c>
      <c r="AC8" s="36" t="s">
        <v>428</v>
      </c>
      <c r="AD8" s="35" t="s">
        <v>429</v>
      </c>
      <c r="AE8" s="35" t="s">
        <v>430</v>
      </c>
      <c r="AF8" s="35" t="s">
        <v>54</v>
      </c>
      <c r="AG8" s="35" t="s">
        <v>431</v>
      </c>
      <c r="AH8" s="35" t="s">
        <v>432</v>
      </c>
      <c r="AI8" s="35" t="s">
        <v>433</v>
      </c>
      <c r="AJ8" s="36" t="s">
        <v>434</v>
      </c>
      <c r="AK8" s="35" t="s">
        <v>435</v>
      </c>
      <c r="AL8" s="35" t="s">
        <v>436</v>
      </c>
      <c r="AM8" s="37" t="s">
        <v>54</v>
      </c>
      <c r="AO8" s="750"/>
      <c r="AP8" s="721"/>
      <c r="AQ8" s="722"/>
      <c r="AR8" s="93">
        <v>1416</v>
      </c>
      <c r="AS8" s="597">
        <v>7416</v>
      </c>
      <c r="AT8" s="608">
        <f t="shared" si="0"/>
        <v>3</v>
      </c>
      <c r="AU8" s="608">
        <f t="shared" si="1"/>
        <v>0.25</v>
      </c>
      <c r="AV8" s="597">
        <f>0.43*AT8</f>
        <v>1.29</v>
      </c>
      <c r="AW8" s="261">
        <f t="shared" si="2"/>
        <v>0.23414400000000002</v>
      </c>
      <c r="AX8" s="494">
        <f>AV8*E136/3</f>
        <v>6.7510000000000001E-3</v>
      </c>
      <c r="AY8" s="461">
        <v>35.6</v>
      </c>
      <c r="AZ8" s="495">
        <f t="shared" si="3"/>
        <v>0.24033560000000001</v>
      </c>
      <c r="BA8" s="504">
        <f>AW$8*G136</f>
        <v>2.1236860800000004E-2</v>
      </c>
      <c r="BB8" s="465">
        <v>38.299999999999997</v>
      </c>
      <c r="BC8" s="504">
        <f t="shared" si="4"/>
        <v>0.81337176864000005</v>
      </c>
      <c r="BD8" s="519">
        <f>AW$8*I136</f>
        <v>6.5653977599999996E-2</v>
      </c>
      <c r="BE8" s="469">
        <v>30.6</v>
      </c>
      <c r="BF8" s="513">
        <f t="shared" si="5"/>
        <v>2.0090117145600002</v>
      </c>
      <c r="BH8" s="12"/>
      <c r="BI8" s="852" t="s">
        <v>295</v>
      </c>
      <c r="BJ8" s="853"/>
      <c r="BK8" s="853"/>
      <c r="BL8" s="853"/>
      <c r="BM8" s="853"/>
      <c r="BN8" s="853"/>
      <c r="BO8" s="854"/>
      <c r="BP8" s="855" t="s">
        <v>296</v>
      </c>
      <c r="BQ8" s="856"/>
      <c r="BR8" s="856"/>
      <c r="BS8" s="856"/>
      <c r="BT8" s="856"/>
      <c r="BU8" s="856"/>
      <c r="BV8" s="857"/>
      <c r="BW8" s="858" t="s">
        <v>294</v>
      </c>
      <c r="BX8" s="859"/>
      <c r="BY8" s="859"/>
      <c r="BZ8" s="859"/>
      <c r="CA8" s="859"/>
      <c r="CB8" s="859"/>
      <c r="CC8" s="860"/>
      <c r="CD8" s="12"/>
      <c r="CE8" s="12"/>
      <c r="CF8" s="12"/>
      <c r="CG8" s="12"/>
    </row>
    <row r="9" spans="2:85" ht="15.75" customHeight="1" x14ac:dyDescent="0.25">
      <c r="B9" s="750"/>
      <c r="C9" s="338">
        <v>5115</v>
      </c>
      <c r="D9" s="338" t="s">
        <v>8</v>
      </c>
      <c r="E9" s="39">
        <v>61.6</v>
      </c>
      <c r="F9" s="40">
        <v>120</v>
      </c>
      <c r="G9" s="41">
        <v>66.3</v>
      </c>
      <c r="H9" s="41">
        <v>129.19999999999999</v>
      </c>
      <c r="I9" s="42">
        <v>53.1</v>
      </c>
      <c r="J9" s="43">
        <v>103.4</v>
      </c>
      <c r="K9" s="92">
        <v>6.6</v>
      </c>
      <c r="L9" s="44">
        <v>12.9</v>
      </c>
      <c r="M9" s="33"/>
      <c r="N9" s="33"/>
      <c r="O9" s="33"/>
      <c r="Q9" s="733" t="s">
        <v>53</v>
      </c>
      <c r="R9" s="734"/>
      <c r="S9" s="466">
        <v>30.8</v>
      </c>
      <c r="T9" s="461">
        <v>48.7</v>
      </c>
      <c r="U9" s="461">
        <v>48.7</v>
      </c>
      <c r="V9" s="461">
        <v>48.7</v>
      </c>
      <c r="W9" s="461">
        <v>48.7</v>
      </c>
      <c r="X9" s="461">
        <v>40.799999999999997</v>
      </c>
      <c r="Y9" s="46">
        <f>S9+T9+U9+V9+W9+X9</f>
        <v>266.39999999999998</v>
      </c>
      <c r="Z9" s="466">
        <v>31</v>
      </c>
      <c r="AA9" s="461">
        <v>43.9</v>
      </c>
      <c r="AB9" s="461">
        <v>43.9</v>
      </c>
      <c r="AC9" s="461">
        <v>43.9</v>
      </c>
      <c r="AD9" s="461">
        <v>43.9</v>
      </c>
      <c r="AE9" s="461">
        <v>35.9</v>
      </c>
      <c r="AF9" s="46">
        <f>Z9+AA9+AB9+AC9+AD9+AE9</f>
        <v>242.50000000000003</v>
      </c>
      <c r="AG9" s="458">
        <v>30.6</v>
      </c>
      <c r="AH9" s="461">
        <v>35.6</v>
      </c>
      <c r="AI9" s="461">
        <v>35.6</v>
      </c>
      <c r="AJ9" s="461">
        <v>35.6</v>
      </c>
      <c r="AK9" s="461">
        <v>35.6</v>
      </c>
      <c r="AL9" s="461">
        <v>30.6</v>
      </c>
      <c r="AM9" s="47">
        <f>AG9+AH9+AI9+AJ9+AK9+AL9</f>
        <v>203.6</v>
      </c>
      <c r="AO9" s="750"/>
      <c r="AP9" s="721"/>
      <c r="AQ9" s="722"/>
      <c r="AR9" s="93">
        <v>1516</v>
      </c>
      <c r="AS9" s="597">
        <v>7516</v>
      </c>
      <c r="AT9" s="608">
        <f t="shared" si="0"/>
        <v>3</v>
      </c>
      <c r="AU9" s="608">
        <f t="shared" si="1"/>
        <v>0.25</v>
      </c>
      <c r="AV9" s="597">
        <f t="shared" ref="AV9:AV22" si="6">0.43*AT9</f>
        <v>1.29</v>
      </c>
      <c r="AW9" s="261">
        <f t="shared" si="2"/>
        <v>0.23414400000000002</v>
      </c>
      <c r="AX9" s="494">
        <f>AV9*E142/3</f>
        <v>6.7510000000000001E-3</v>
      </c>
      <c r="AY9" s="461">
        <v>35.6</v>
      </c>
      <c r="AZ9" s="495">
        <f t="shared" si="3"/>
        <v>0.24033560000000001</v>
      </c>
      <c r="BA9" s="504">
        <f>AW$9*G142</f>
        <v>2.1236860800000004E-2</v>
      </c>
      <c r="BB9" s="465">
        <v>38.299999999999997</v>
      </c>
      <c r="BC9" s="504">
        <f t="shared" si="4"/>
        <v>0.81337176864000005</v>
      </c>
      <c r="BD9" s="519">
        <f>AW$9*I142</f>
        <v>6.5653977599999996E-2</v>
      </c>
      <c r="BE9" s="469">
        <v>30.6</v>
      </c>
      <c r="BF9" s="513">
        <f t="shared" si="5"/>
        <v>2.0090117145600002</v>
      </c>
      <c r="BH9" s="12"/>
      <c r="BI9" s="771" t="s">
        <v>194</v>
      </c>
      <c r="BJ9" s="773" t="s">
        <v>190</v>
      </c>
      <c r="BK9" s="775" t="s">
        <v>191</v>
      </c>
      <c r="BL9" s="775" t="s">
        <v>192</v>
      </c>
      <c r="BM9" s="775" t="s">
        <v>193</v>
      </c>
      <c r="BN9" s="863" t="s">
        <v>467</v>
      </c>
      <c r="BO9" s="867" t="s">
        <v>501</v>
      </c>
      <c r="BP9" s="777" t="s">
        <v>224</v>
      </c>
      <c r="BQ9" s="779" t="s">
        <v>190</v>
      </c>
      <c r="BR9" s="781" t="s">
        <v>191</v>
      </c>
      <c r="BS9" s="781" t="s">
        <v>192</v>
      </c>
      <c r="BT9" s="781" t="s">
        <v>193</v>
      </c>
      <c r="BU9" s="861" t="s">
        <v>467</v>
      </c>
      <c r="BV9" s="869" t="s">
        <v>501</v>
      </c>
      <c r="BW9" s="783" t="s">
        <v>297</v>
      </c>
      <c r="BX9" s="785" t="s">
        <v>190</v>
      </c>
      <c r="BY9" s="787" t="s">
        <v>191</v>
      </c>
      <c r="BZ9" s="787" t="s">
        <v>192</v>
      </c>
      <c r="CA9" s="787" t="s">
        <v>193</v>
      </c>
      <c r="CB9" s="865" t="s">
        <v>467</v>
      </c>
      <c r="CC9" s="850" t="s">
        <v>501</v>
      </c>
      <c r="CD9" s="12"/>
      <c r="CE9" s="12"/>
      <c r="CF9" s="12"/>
      <c r="CG9" s="12"/>
    </row>
    <row r="10" spans="2:85" ht="15.75" customHeight="1" thickBot="1" x14ac:dyDescent="0.3">
      <c r="B10" s="750"/>
      <c r="C10" s="338">
        <v>5116</v>
      </c>
      <c r="D10" s="338" t="s">
        <v>8</v>
      </c>
      <c r="E10" s="39">
        <v>61.6</v>
      </c>
      <c r="F10" s="40">
        <v>120</v>
      </c>
      <c r="G10" s="41">
        <v>66.3</v>
      </c>
      <c r="H10" s="41">
        <v>129.19999999999999</v>
      </c>
      <c r="I10" s="42">
        <v>53.1</v>
      </c>
      <c r="J10" s="43">
        <v>103.4</v>
      </c>
      <c r="K10" s="92">
        <v>6.6</v>
      </c>
      <c r="L10" s="44">
        <v>12.9</v>
      </c>
      <c r="M10" s="33"/>
      <c r="N10" s="33"/>
      <c r="O10" s="33"/>
      <c r="Q10" s="764" t="s">
        <v>52</v>
      </c>
      <c r="R10" s="765"/>
      <c r="S10" s="472">
        <v>30.8</v>
      </c>
      <c r="T10" s="460">
        <v>48.7</v>
      </c>
      <c r="U10" s="460">
        <v>48.7</v>
      </c>
      <c r="V10" s="460">
        <v>48.7</v>
      </c>
      <c r="W10" s="460">
        <v>48.7</v>
      </c>
      <c r="X10" s="460">
        <v>40.799999999999997</v>
      </c>
      <c r="Y10" s="53">
        <f>S10+T10+U10+V10+W10+X10</f>
        <v>266.39999999999998</v>
      </c>
      <c r="Z10" s="472">
        <v>30.8</v>
      </c>
      <c r="AA10" s="460">
        <v>43.9</v>
      </c>
      <c r="AB10" s="460">
        <v>43.9</v>
      </c>
      <c r="AC10" s="460">
        <v>43.9</v>
      </c>
      <c r="AD10" s="460">
        <v>43.9</v>
      </c>
      <c r="AE10" s="460">
        <v>35.9</v>
      </c>
      <c r="AF10" s="53">
        <f>Z10+AA10+AB10+AC10+AD10+AE10</f>
        <v>242.3</v>
      </c>
      <c r="AG10" s="459">
        <v>30.6</v>
      </c>
      <c r="AH10" s="460">
        <v>35.6</v>
      </c>
      <c r="AI10" s="460">
        <v>35.6</v>
      </c>
      <c r="AJ10" s="460">
        <v>35.6</v>
      </c>
      <c r="AK10" s="460">
        <v>35.6</v>
      </c>
      <c r="AL10" s="460">
        <v>30.6</v>
      </c>
      <c r="AM10" s="54">
        <f>AG10+AH10+AI10+AJ10+AK10+AL10</f>
        <v>203.6</v>
      </c>
      <c r="AO10" s="842"/>
      <c r="AP10" s="840"/>
      <c r="AQ10" s="841"/>
      <c r="AR10" s="306">
        <v>1616</v>
      </c>
      <c r="AS10" s="600">
        <v>7616</v>
      </c>
      <c r="AT10" s="609">
        <f t="shared" si="0"/>
        <v>3</v>
      </c>
      <c r="AU10" s="609">
        <f t="shared" si="1"/>
        <v>0.25</v>
      </c>
      <c r="AV10" s="600">
        <f t="shared" si="6"/>
        <v>1.29</v>
      </c>
      <c r="AW10" s="263">
        <f t="shared" si="2"/>
        <v>0.23414400000000002</v>
      </c>
      <c r="AX10" s="517">
        <f>AV10*E148/3</f>
        <v>6.7510000000000001E-3</v>
      </c>
      <c r="AY10" s="496">
        <v>30.6</v>
      </c>
      <c r="AZ10" s="497">
        <f t="shared" si="3"/>
        <v>0.2065806</v>
      </c>
      <c r="BA10" s="508">
        <f>AW$10*G148</f>
        <v>2.1236860800000004E-2</v>
      </c>
      <c r="BB10" s="509">
        <v>32.9</v>
      </c>
      <c r="BC10" s="508">
        <f t="shared" si="4"/>
        <v>0.69869272032000007</v>
      </c>
      <c r="BD10" s="520">
        <f>AW$10*I148</f>
        <v>6.5653977599999996E-2</v>
      </c>
      <c r="BE10" s="514">
        <v>26.4</v>
      </c>
      <c r="BF10" s="515">
        <f t="shared" si="5"/>
        <v>1.7332650086399999</v>
      </c>
      <c r="BH10" s="12"/>
      <c r="BI10" s="772"/>
      <c r="BJ10" s="774"/>
      <c r="BK10" s="776"/>
      <c r="BL10" s="776"/>
      <c r="BM10" s="776"/>
      <c r="BN10" s="864"/>
      <c r="BO10" s="868"/>
      <c r="BP10" s="778"/>
      <c r="BQ10" s="780"/>
      <c r="BR10" s="782"/>
      <c r="BS10" s="782"/>
      <c r="BT10" s="782"/>
      <c r="BU10" s="862"/>
      <c r="BV10" s="870"/>
      <c r="BW10" s="784"/>
      <c r="BX10" s="786"/>
      <c r="BY10" s="788"/>
      <c r="BZ10" s="788"/>
      <c r="CA10" s="788"/>
      <c r="CB10" s="866"/>
      <c r="CC10" s="851"/>
      <c r="CD10" s="12"/>
      <c r="CE10" s="12"/>
      <c r="CF10" s="12"/>
      <c r="CG10" s="12"/>
    </row>
    <row r="11" spans="2:85" ht="16.5" thickBot="1" x14ac:dyDescent="0.3">
      <c r="B11" s="751">
        <v>2</v>
      </c>
      <c r="C11" s="336">
        <v>5211</v>
      </c>
      <c r="D11" s="337" t="s">
        <v>8</v>
      </c>
      <c r="E11" s="69">
        <v>61.6</v>
      </c>
      <c r="F11" s="68">
        <v>120</v>
      </c>
      <c r="G11" s="69">
        <v>66.3</v>
      </c>
      <c r="H11" s="69">
        <v>129.19999999999999</v>
      </c>
      <c r="I11" s="70">
        <v>53.1</v>
      </c>
      <c r="J11" s="71">
        <v>103.4</v>
      </c>
      <c r="K11" s="307">
        <v>6.6</v>
      </c>
      <c r="L11" s="72">
        <v>12.9</v>
      </c>
      <c r="M11" s="33"/>
      <c r="N11" s="33"/>
      <c r="O11" s="33"/>
      <c r="AO11" s="750">
        <v>5</v>
      </c>
      <c r="AP11" s="721" t="s">
        <v>38</v>
      </c>
      <c r="AQ11" s="722"/>
      <c r="AR11" s="93">
        <v>1115</v>
      </c>
      <c r="AS11" s="597">
        <v>7115</v>
      </c>
      <c r="AT11" s="608">
        <f t="shared" ref="AT11:AT16" si="7">hstr5</f>
        <v>3</v>
      </c>
      <c r="AU11" s="608">
        <f t="shared" si="1"/>
        <v>0.25</v>
      </c>
      <c r="AV11" s="597">
        <f t="shared" si="6"/>
        <v>1.29</v>
      </c>
      <c r="AW11" s="261">
        <f t="shared" si="2"/>
        <v>0.23414400000000002</v>
      </c>
      <c r="AX11" s="489">
        <f t="shared" ref="AX11:AX40" si="8">AV11*epy/AU11</f>
        <v>9.5976000000000013E-3</v>
      </c>
      <c r="AY11" s="457">
        <v>35.9</v>
      </c>
      <c r="AZ11" s="490">
        <f t="shared" si="3"/>
        <v>0.34455384000000006</v>
      </c>
      <c r="BA11" s="501">
        <f t="shared" ref="BA11:BB11" si="9">AX11</f>
        <v>9.5976000000000013E-3</v>
      </c>
      <c r="BB11" s="457">
        <f t="shared" si="9"/>
        <v>35.9</v>
      </c>
      <c r="BC11" s="488">
        <f>BA11*BB11</f>
        <v>0.34455384000000006</v>
      </c>
      <c r="BD11" s="489">
        <f t="shared" ref="BD11:BE11" si="10">AX11</f>
        <v>9.5976000000000013E-3</v>
      </c>
      <c r="BE11" s="457">
        <f t="shared" si="10"/>
        <v>35.9</v>
      </c>
      <c r="BF11" s="500">
        <f>BD11*BE11</f>
        <v>0.34455384000000006</v>
      </c>
      <c r="BH11" s="12"/>
      <c r="BI11" s="77" t="s">
        <v>439</v>
      </c>
      <c r="BJ11" s="484">
        <f>(AM9+AM10)/hstr6</f>
        <v>135.73333333333332</v>
      </c>
      <c r="BK11" s="484">
        <f>(AM19+AM20)/hstr6</f>
        <v>145.99999999999997</v>
      </c>
      <c r="BL11" s="484">
        <f>(AM29+AM30)/hstr6</f>
        <v>116.8</v>
      </c>
      <c r="BM11" s="484">
        <f>(AM39+AM40)/hstr6</f>
        <v>14.533333333333333</v>
      </c>
      <c r="BN11" s="484">
        <f t="shared" ref="BN11:BN16" si="11">BM11</f>
        <v>14.533333333333333</v>
      </c>
      <c r="BO11" s="646">
        <v>0</v>
      </c>
      <c r="BP11" s="77" t="s">
        <v>442</v>
      </c>
      <c r="BQ11" s="484">
        <f>BJ11/(BX11*hstr6)</f>
        <v>5442.9227691252436</v>
      </c>
      <c r="BR11" s="484">
        <f>(BK11-BJ11)/((BY11-BX11)*hstr6)</f>
        <v>262.05835406824224</v>
      </c>
      <c r="BS11" s="484">
        <f>(BL11-BK11)/((BZ11-BY11)*hstr6)</f>
        <v>-299.11321107915705</v>
      </c>
      <c r="BT11" s="484">
        <f t="shared" ref="BT11:BT16" si="12">BS11</f>
        <v>-299.11321107915705</v>
      </c>
      <c r="BU11" s="484">
        <v>0</v>
      </c>
      <c r="BV11" s="646">
        <f t="shared" ref="BV11:BV16" si="13">BQ11*3</f>
        <v>16328.768307375731</v>
      </c>
      <c r="BW11" s="77" t="s">
        <v>445</v>
      </c>
      <c r="BX11" s="58">
        <f>(SUM(AZ5:AZ10)+SUM(AZ11:AZ16))/(SUM(AY5:AY10)+SUM(AY11:AY16))</f>
        <v>8.3125273614190701E-3</v>
      </c>
      <c r="BY11" s="58">
        <f>(SUM(BC5:BC10)+SUM(BC11:BC16))/(SUM(BB5:BB10)+SUM(BB11:BB16))</f>
        <v>2.1371535666611437E-2</v>
      </c>
      <c r="BZ11" s="58">
        <f>(SUM(BF5:BF10)+SUM(BF11:BF16))/(SUM(BE5:BE10)+SUM(BE11:BE16))</f>
        <v>5.391216902151031E-2</v>
      </c>
      <c r="CA11" s="58">
        <f>BY11-((BK11-BM11)/(BS11*hstr6))</f>
        <v>0.16787867944711513</v>
      </c>
      <c r="CB11" s="58">
        <v>0.2</v>
      </c>
      <c r="CC11" s="648">
        <v>0</v>
      </c>
      <c r="CD11" s="12"/>
      <c r="CE11" s="12"/>
      <c r="CF11" s="12"/>
      <c r="CG11" s="12"/>
    </row>
    <row r="12" spans="2:85" ht="15.75" customHeight="1" thickBot="1" x14ac:dyDescent="0.3">
      <c r="B12" s="750"/>
      <c r="C12" s="338">
        <v>5212</v>
      </c>
      <c r="D12" s="339" t="s">
        <v>8</v>
      </c>
      <c r="E12" s="41">
        <v>61.6</v>
      </c>
      <c r="F12" s="40">
        <v>120</v>
      </c>
      <c r="G12" s="41">
        <v>66.3</v>
      </c>
      <c r="H12" s="41">
        <v>129.19999999999999</v>
      </c>
      <c r="I12" s="42">
        <v>53.1</v>
      </c>
      <c r="J12" s="43">
        <v>103.4</v>
      </c>
      <c r="K12" s="92">
        <v>6.6</v>
      </c>
      <c r="L12" s="44">
        <v>12.9</v>
      </c>
      <c r="M12" s="33"/>
      <c r="N12" s="33"/>
      <c r="O12" s="33"/>
      <c r="Q12" s="744" t="s">
        <v>206</v>
      </c>
      <c r="R12" s="745"/>
      <c r="S12" s="745"/>
      <c r="T12" s="745"/>
      <c r="U12" s="745"/>
      <c r="V12" s="745"/>
      <c r="W12" s="745"/>
      <c r="X12" s="745"/>
      <c r="Y12" s="745"/>
      <c r="Z12" s="745"/>
      <c r="AA12" s="745"/>
      <c r="AB12" s="745"/>
      <c r="AC12" s="745"/>
      <c r="AD12" s="745"/>
      <c r="AE12" s="745"/>
      <c r="AF12" s="745"/>
      <c r="AG12" s="745"/>
      <c r="AH12" s="745"/>
      <c r="AI12" s="745"/>
      <c r="AJ12" s="745"/>
      <c r="AK12" s="746"/>
      <c r="AL12" s="746"/>
      <c r="AM12" s="747"/>
      <c r="AO12" s="750"/>
      <c r="AP12" s="721"/>
      <c r="AQ12" s="722"/>
      <c r="AR12" s="93">
        <v>1215</v>
      </c>
      <c r="AS12" s="597">
        <v>7215</v>
      </c>
      <c r="AT12" s="608">
        <f t="shared" si="7"/>
        <v>3</v>
      </c>
      <c r="AU12" s="608">
        <f t="shared" si="1"/>
        <v>0.25</v>
      </c>
      <c r="AV12" s="597">
        <f t="shared" si="6"/>
        <v>1.29</v>
      </c>
      <c r="AW12" s="261">
        <f t="shared" si="2"/>
        <v>0.23414400000000002</v>
      </c>
      <c r="AX12" s="494">
        <f t="shared" si="8"/>
        <v>9.5976000000000013E-3</v>
      </c>
      <c r="AY12" s="461">
        <v>43.9</v>
      </c>
      <c r="AZ12" s="495">
        <f t="shared" si="3"/>
        <v>0.42133464000000004</v>
      </c>
      <c r="BA12" s="504">
        <f>AW$12*G123</f>
        <v>2.3789030400000001E-2</v>
      </c>
      <c r="BB12" s="465">
        <v>47.3</v>
      </c>
      <c r="BC12" s="504">
        <f t="shared" si="4"/>
        <v>1.1252211379199999</v>
      </c>
      <c r="BD12" s="519">
        <f>AW$12*I123</f>
        <v>4.8420979200000006E-2</v>
      </c>
      <c r="BE12" s="469">
        <v>37.799999999999997</v>
      </c>
      <c r="BF12" s="513">
        <f t="shared" si="5"/>
        <v>1.8303130137600001</v>
      </c>
      <c r="BH12" s="12"/>
      <c r="BI12" s="77" t="s">
        <v>438</v>
      </c>
      <c r="BJ12" s="484">
        <f>(AF9+AF10)/hstr5</f>
        <v>161.60000000000002</v>
      </c>
      <c r="BK12" s="484">
        <f>(AF19+AF20)/hstr5</f>
        <v>174.11666666666665</v>
      </c>
      <c r="BL12" s="484">
        <f>(AF29+AF30)/hstr5</f>
        <v>139.21666666666667</v>
      </c>
      <c r="BM12" s="484">
        <f>(AF39+AF40)/hstr5</f>
        <v>17.333333333333332</v>
      </c>
      <c r="BN12" s="484">
        <f t="shared" si="11"/>
        <v>17.333333333333332</v>
      </c>
      <c r="BO12" s="646">
        <v>0</v>
      </c>
      <c r="BP12" s="77" t="s">
        <v>441</v>
      </c>
      <c r="BQ12" s="484">
        <f>BJ12/(BX12*hstr5)</f>
        <v>5612.5142396710289</v>
      </c>
      <c r="BR12" s="484">
        <f>(BK12-BJ12)/((BY12-BX12)*hstr5)</f>
        <v>353.56003811229408</v>
      </c>
      <c r="BS12" s="484">
        <f>(BL12-BK12)/((BZ12-BY12)*hstr5)</f>
        <v>-606.58116436067621</v>
      </c>
      <c r="BT12" s="484">
        <f t="shared" si="12"/>
        <v>-606.58116436067621</v>
      </c>
      <c r="BU12" s="484">
        <v>0</v>
      </c>
      <c r="BV12" s="646">
        <f t="shared" si="13"/>
        <v>16837.542719013087</v>
      </c>
      <c r="BW12" s="77" t="s">
        <v>444</v>
      </c>
      <c r="BX12" s="58">
        <f>(SUM(AZ11:AZ16)+SUM(AZ17:AZ22))/(SUM(AY11:AY16)+SUM(AY17:AY22))</f>
        <v>9.5976000000000013E-3</v>
      </c>
      <c r="BY12" s="58">
        <f>(SUM(BC11:BC16)+SUM(BC17:BC22))/(SUM(BB11:BB16)+SUM(BB17:BB22))</f>
        <v>2.139820462856119E-2</v>
      </c>
      <c r="BZ12" s="58">
        <f>(SUM(BF11:BF16)+SUM(BF17:BF22))/(SUM(BE11:BE16)+SUM(BE17:BE22))</f>
        <v>4.0576731785095327E-2</v>
      </c>
      <c r="CA12" s="58">
        <f>BY12-((BK12-BM12)/(BS12*hstr5))</f>
        <v>0.10755503603329697</v>
      </c>
      <c r="CB12" s="58">
        <v>0.2</v>
      </c>
      <c r="CC12" s="648">
        <v>0</v>
      </c>
      <c r="CD12" s="12"/>
      <c r="CE12" s="12"/>
      <c r="CF12" s="12"/>
      <c r="CG12" s="12"/>
    </row>
    <row r="13" spans="2:85" ht="15.75" customHeight="1" x14ac:dyDescent="0.25">
      <c r="B13" s="750"/>
      <c r="C13" s="338">
        <v>5213</v>
      </c>
      <c r="D13" s="339" t="s">
        <v>8</v>
      </c>
      <c r="E13" s="41">
        <v>61.6</v>
      </c>
      <c r="F13" s="40">
        <v>120</v>
      </c>
      <c r="G13" s="41">
        <v>66.3</v>
      </c>
      <c r="H13" s="41">
        <v>129.19999999999999</v>
      </c>
      <c r="I13" s="42">
        <v>53.1</v>
      </c>
      <c r="J13" s="43">
        <v>103.4</v>
      </c>
      <c r="K13" s="92">
        <v>6.6</v>
      </c>
      <c r="L13" s="44">
        <v>12.9</v>
      </c>
      <c r="M13" s="33"/>
      <c r="N13" s="33"/>
      <c r="O13" s="33"/>
      <c r="Q13" s="761" t="s">
        <v>5</v>
      </c>
      <c r="R13" s="701"/>
      <c r="S13" s="701">
        <v>1</v>
      </c>
      <c r="T13" s="701"/>
      <c r="U13" s="701"/>
      <c r="V13" s="701"/>
      <c r="W13" s="701"/>
      <c r="X13" s="701"/>
      <c r="Y13" s="701"/>
      <c r="Z13" s="701">
        <v>2</v>
      </c>
      <c r="AA13" s="701"/>
      <c r="AB13" s="701"/>
      <c r="AC13" s="701"/>
      <c r="AD13" s="701"/>
      <c r="AE13" s="701"/>
      <c r="AF13" s="701"/>
      <c r="AG13" s="701">
        <v>3</v>
      </c>
      <c r="AH13" s="701"/>
      <c r="AI13" s="701"/>
      <c r="AJ13" s="701"/>
      <c r="AK13" s="762"/>
      <c r="AL13" s="762"/>
      <c r="AM13" s="763"/>
      <c r="AO13" s="750"/>
      <c r="AP13" s="721"/>
      <c r="AQ13" s="722"/>
      <c r="AR13" s="93">
        <v>1315</v>
      </c>
      <c r="AS13" s="597">
        <v>7315</v>
      </c>
      <c r="AT13" s="608">
        <f t="shared" si="7"/>
        <v>3</v>
      </c>
      <c r="AU13" s="608">
        <f t="shared" si="1"/>
        <v>0.25</v>
      </c>
      <c r="AV13" s="597">
        <f t="shared" si="6"/>
        <v>1.29</v>
      </c>
      <c r="AW13" s="261">
        <f t="shared" si="2"/>
        <v>0.23414400000000002</v>
      </c>
      <c r="AX13" s="494">
        <f t="shared" si="8"/>
        <v>9.5976000000000013E-3</v>
      </c>
      <c r="AY13" s="461">
        <v>43.9</v>
      </c>
      <c r="AZ13" s="495">
        <f t="shared" si="3"/>
        <v>0.42133464000000004</v>
      </c>
      <c r="BA13" s="504">
        <f>AW$13*G129</f>
        <v>2.3789030400000001E-2</v>
      </c>
      <c r="BB13" s="465">
        <v>47.3</v>
      </c>
      <c r="BC13" s="504">
        <f t="shared" si="4"/>
        <v>1.1252211379199999</v>
      </c>
      <c r="BD13" s="519">
        <f>AW$13*I129</f>
        <v>4.8420979200000006E-2</v>
      </c>
      <c r="BE13" s="469">
        <v>37.799999999999997</v>
      </c>
      <c r="BF13" s="513">
        <f t="shared" si="5"/>
        <v>1.8303130137600001</v>
      </c>
      <c r="BH13" s="12"/>
      <c r="BI13" s="77" t="s">
        <v>437</v>
      </c>
      <c r="BJ13" s="484">
        <f>(Y9+Y10)/hstr4</f>
        <v>177.6</v>
      </c>
      <c r="BK13" s="484">
        <f>(Y19+Y20)/hstr4</f>
        <v>191.1</v>
      </c>
      <c r="BL13" s="484">
        <f>(Y29+Y30)/hstr4</f>
        <v>152.83333333333334</v>
      </c>
      <c r="BM13" s="484">
        <f>(Y39+Y40)/hstr4</f>
        <v>19</v>
      </c>
      <c r="BN13" s="484">
        <f t="shared" si="11"/>
        <v>19</v>
      </c>
      <c r="BO13" s="646">
        <v>0</v>
      </c>
      <c r="BP13" s="77" t="s">
        <v>440</v>
      </c>
      <c r="BQ13" s="484">
        <f>BJ13/(BX13*hstr4)</f>
        <v>6676.2100167477156</v>
      </c>
      <c r="BR13" s="484">
        <f>(BK13-BJ13)/((BY13-BX13)*hstr4)</f>
        <v>434.75935316333317</v>
      </c>
      <c r="BS13" s="484">
        <f>(BL13-BK13)/((BZ13-BY13)*hstr4)</f>
        <v>-869.24009245256957</v>
      </c>
      <c r="BT13" s="484">
        <f t="shared" si="12"/>
        <v>-869.24009245256957</v>
      </c>
      <c r="BU13" s="484">
        <v>0</v>
      </c>
      <c r="BV13" s="646">
        <f t="shared" si="13"/>
        <v>20028.630050243148</v>
      </c>
      <c r="BW13" s="77" t="s">
        <v>443</v>
      </c>
      <c r="BX13" s="58">
        <f>(SUM(AZ17:AZ22)+SUM(AZ23:AZ28))/(SUM(AY17:AY22)+SUM(AY23:AY28))</f>
        <v>8.8673064285714302E-3</v>
      </c>
      <c r="BY13" s="58">
        <f>(SUM(BC17:BC22)+SUM(BC23:BC28))/(SUM(BB17:BB22)+SUM(BB23:BB28))</f>
        <v>1.9217860056130562E-2</v>
      </c>
      <c r="BZ13" s="58">
        <f>(SUM(BF17:BF22)+SUM(BF23:BF28))/(SUM(BE17:BE22)+SUM(BE23:BE28))</f>
        <v>3.3892235601287048E-2</v>
      </c>
      <c r="CA13" s="58">
        <f>BY13-((BK13-BM13)/(BS13*hstr4))</f>
        <v>8.5214202338049522E-2</v>
      </c>
      <c r="CB13" s="58">
        <v>0.2</v>
      </c>
      <c r="CC13" s="648">
        <v>0</v>
      </c>
      <c r="CD13" s="12"/>
      <c r="CE13" s="12"/>
      <c r="CF13" s="12"/>
      <c r="CG13" s="12"/>
    </row>
    <row r="14" spans="2:85" x14ac:dyDescent="0.25">
      <c r="B14" s="750"/>
      <c r="C14" s="338">
        <v>5214</v>
      </c>
      <c r="D14" s="339" t="s">
        <v>8</v>
      </c>
      <c r="E14" s="41">
        <v>61.6</v>
      </c>
      <c r="F14" s="40">
        <v>120</v>
      </c>
      <c r="G14" s="41">
        <v>66.3</v>
      </c>
      <c r="H14" s="41">
        <v>129.19999999999999</v>
      </c>
      <c r="I14" s="42">
        <v>53.1</v>
      </c>
      <c r="J14" s="43">
        <v>103.4</v>
      </c>
      <c r="K14" s="92">
        <v>6.6</v>
      </c>
      <c r="L14" s="44">
        <v>12.9</v>
      </c>
      <c r="M14" s="92"/>
      <c r="N14" s="92"/>
      <c r="O14" s="12"/>
      <c r="Q14" s="748" t="s">
        <v>38</v>
      </c>
      <c r="R14" s="696"/>
      <c r="S14" s="35" t="s">
        <v>39</v>
      </c>
      <c r="T14" s="35" t="s">
        <v>40</v>
      </c>
      <c r="U14" s="35" t="s">
        <v>41</v>
      </c>
      <c r="V14" s="36" t="s">
        <v>42</v>
      </c>
      <c r="W14" s="35" t="s">
        <v>404</v>
      </c>
      <c r="X14" s="35" t="s">
        <v>405</v>
      </c>
      <c r="Y14" s="35" t="s">
        <v>54</v>
      </c>
      <c r="Z14" s="35" t="s">
        <v>43</v>
      </c>
      <c r="AA14" s="35" t="s">
        <v>44</v>
      </c>
      <c r="AB14" s="35" t="s">
        <v>45</v>
      </c>
      <c r="AC14" s="36" t="s">
        <v>46</v>
      </c>
      <c r="AD14" s="35" t="s">
        <v>402</v>
      </c>
      <c r="AE14" s="35" t="s">
        <v>403</v>
      </c>
      <c r="AF14" s="35" t="s">
        <v>54</v>
      </c>
      <c r="AG14" s="35" t="s">
        <v>47</v>
      </c>
      <c r="AH14" s="35" t="s">
        <v>48</v>
      </c>
      <c r="AI14" s="35" t="s">
        <v>49</v>
      </c>
      <c r="AJ14" s="36" t="s">
        <v>50</v>
      </c>
      <c r="AK14" s="35" t="s">
        <v>406</v>
      </c>
      <c r="AL14" s="35" t="s">
        <v>407</v>
      </c>
      <c r="AM14" s="37" t="s">
        <v>54</v>
      </c>
      <c r="AO14" s="750"/>
      <c r="AP14" s="721"/>
      <c r="AQ14" s="722"/>
      <c r="AR14" s="93">
        <v>1415</v>
      </c>
      <c r="AS14" s="597">
        <v>7415</v>
      </c>
      <c r="AT14" s="608">
        <f t="shared" si="7"/>
        <v>3</v>
      </c>
      <c r="AU14" s="608">
        <f t="shared" si="1"/>
        <v>0.25</v>
      </c>
      <c r="AV14" s="597">
        <f t="shared" si="6"/>
        <v>1.29</v>
      </c>
      <c r="AW14" s="261">
        <f t="shared" si="2"/>
        <v>0.23414400000000002</v>
      </c>
      <c r="AX14" s="494">
        <f t="shared" si="8"/>
        <v>9.5976000000000013E-3</v>
      </c>
      <c r="AY14" s="461">
        <v>43.9</v>
      </c>
      <c r="AZ14" s="495">
        <f t="shared" si="3"/>
        <v>0.42133464000000004</v>
      </c>
      <c r="BA14" s="504">
        <f>AW$14*G135</f>
        <v>2.3789030400000001E-2</v>
      </c>
      <c r="BB14" s="465">
        <v>47.3</v>
      </c>
      <c r="BC14" s="504">
        <f t="shared" si="4"/>
        <v>1.1252211379199999</v>
      </c>
      <c r="BD14" s="519">
        <f>AW$14*I135</f>
        <v>4.8420979200000006E-2</v>
      </c>
      <c r="BE14" s="469">
        <v>37.799999999999997</v>
      </c>
      <c r="BF14" s="513">
        <f t="shared" si="5"/>
        <v>1.8303130137600001</v>
      </c>
      <c r="BH14" s="12"/>
      <c r="BI14" s="77" t="s">
        <v>312</v>
      </c>
      <c r="BJ14" s="484">
        <f>(AM5+AM6)/hstr3</f>
        <v>254.66666666666663</v>
      </c>
      <c r="BK14" s="484">
        <f>(AM15+AM16)/hstr3</f>
        <v>274.23333333333329</v>
      </c>
      <c r="BL14" s="484">
        <f>(AM25+AM26)/hstr3</f>
        <v>219.43333333333331</v>
      </c>
      <c r="BM14" s="484">
        <f>(AM35+AM36)/hstr3</f>
        <v>27.533333333333331</v>
      </c>
      <c r="BN14" s="484">
        <f t="shared" si="11"/>
        <v>27.533333333333331</v>
      </c>
      <c r="BO14" s="646">
        <v>0</v>
      </c>
      <c r="BP14" s="77" t="s">
        <v>381</v>
      </c>
      <c r="BQ14" s="484">
        <f>BJ14/(BX14*hstr3)</f>
        <v>10159.415010041577</v>
      </c>
      <c r="BR14" s="484">
        <f>(BK14-BJ14)/((BY14-BX14)*hstr3)</f>
        <v>631.08178053211793</v>
      </c>
      <c r="BS14" s="484">
        <f>(BL14-BK14)/((BZ14-BY14)*hstr3)</f>
        <v>-2528.3379930082233</v>
      </c>
      <c r="BT14" s="484">
        <f t="shared" si="12"/>
        <v>-2528.3379930082233</v>
      </c>
      <c r="BU14" s="484">
        <v>0</v>
      </c>
      <c r="BV14" s="646">
        <f t="shared" si="13"/>
        <v>30478.24503012473</v>
      </c>
      <c r="BW14" s="77" t="s">
        <v>315</v>
      </c>
      <c r="BX14" s="58">
        <f>(SUM(AZ23:AZ28)+SUM(AZ29:AZ34))/(SUM(AY23:AY28)+SUM(AY29:AY34))</f>
        <v>8.3556867009551838E-3</v>
      </c>
      <c r="BY14" s="58">
        <f>(SUM(BC23:BC28)+SUM(BC29:BC34))/(SUM(BB23:BB28)+SUM(BB29:BB34))</f>
        <v>1.8690674056671252E-2</v>
      </c>
      <c r="BZ14" s="58">
        <f>(SUM(BF23:BF28)+SUM(BF29:BF34))/(SUM(BE23:BE28)+SUM(BE29:BE34))</f>
        <v>2.5915446502910899E-2</v>
      </c>
      <c r="CA14" s="58">
        <f>BY14-((BK14-BM14)/(BS14*hstr3))</f>
        <v>5.1215333956074915E-2</v>
      </c>
      <c r="CB14" s="58">
        <v>0.2</v>
      </c>
      <c r="CC14" s="648">
        <v>0</v>
      </c>
      <c r="CD14" s="12"/>
      <c r="CE14" s="12"/>
      <c r="CF14" s="12"/>
      <c r="CG14" s="12"/>
    </row>
    <row r="15" spans="2:85" x14ac:dyDescent="0.25">
      <c r="B15" s="750"/>
      <c r="C15" s="338">
        <v>5215</v>
      </c>
      <c r="D15" s="339" t="s">
        <v>8</v>
      </c>
      <c r="E15" s="41">
        <v>61.6</v>
      </c>
      <c r="F15" s="40">
        <v>120</v>
      </c>
      <c r="G15" s="41">
        <v>66.3</v>
      </c>
      <c r="H15" s="41">
        <v>129.19999999999999</v>
      </c>
      <c r="I15" s="42">
        <v>53.1</v>
      </c>
      <c r="J15" s="43">
        <v>103.4</v>
      </c>
      <c r="K15" s="92">
        <v>6.6</v>
      </c>
      <c r="L15" s="44">
        <v>12.9</v>
      </c>
      <c r="Q15" s="733" t="s">
        <v>53</v>
      </c>
      <c r="R15" s="734"/>
      <c r="S15" s="466">
        <v>33.15</v>
      </c>
      <c r="T15" s="457">
        <v>107.4</v>
      </c>
      <c r="U15" s="457">
        <v>107.4</v>
      </c>
      <c r="V15" s="457">
        <v>107.4</v>
      </c>
      <c r="W15" s="457">
        <v>107.4</v>
      </c>
      <c r="X15" s="465">
        <v>69.5</v>
      </c>
      <c r="Y15" s="46">
        <f>S15+T15+U15+V15+W15+X15</f>
        <v>532.25</v>
      </c>
      <c r="Z15" s="466">
        <v>33.15</v>
      </c>
      <c r="AA15" s="461">
        <v>87.7</v>
      </c>
      <c r="AB15" s="461">
        <v>87.7</v>
      </c>
      <c r="AC15" s="461">
        <v>87.7</v>
      </c>
      <c r="AD15" s="461">
        <v>87.7</v>
      </c>
      <c r="AE15" s="465">
        <v>50.5</v>
      </c>
      <c r="AF15" s="46">
        <f>Z15+AA15+AB15+AC15+AD15+AE15</f>
        <v>434.45</v>
      </c>
      <c r="AG15" s="466">
        <v>33.15</v>
      </c>
      <c r="AH15" s="465">
        <v>82.6</v>
      </c>
      <c r="AI15" s="465">
        <v>82.6</v>
      </c>
      <c r="AJ15" s="465">
        <v>82.6</v>
      </c>
      <c r="AK15" s="465">
        <v>82.6</v>
      </c>
      <c r="AL15" s="465">
        <v>47.8</v>
      </c>
      <c r="AM15" s="47">
        <f>AG15+AH15+AI15+AJ15+AK15+AL15</f>
        <v>411.34999999999997</v>
      </c>
      <c r="AO15" s="750"/>
      <c r="AP15" s="721"/>
      <c r="AQ15" s="722"/>
      <c r="AR15" s="93">
        <v>1515</v>
      </c>
      <c r="AS15" s="597">
        <v>7515</v>
      </c>
      <c r="AT15" s="608">
        <f t="shared" si="7"/>
        <v>3</v>
      </c>
      <c r="AU15" s="608">
        <f t="shared" si="1"/>
        <v>0.25</v>
      </c>
      <c r="AV15" s="597">
        <f t="shared" si="6"/>
        <v>1.29</v>
      </c>
      <c r="AW15" s="261">
        <f t="shared" si="2"/>
        <v>0.23414400000000002</v>
      </c>
      <c r="AX15" s="494">
        <f t="shared" si="8"/>
        <v>9.5976000000000013E-3</v>
      </c>
      <c r="AY15" s="461">
        <v>43.9</v>
      </c>
      <c r="AZ15" s="495">
        <f t="shared" si="3"/>
        <v>0.42133464000000004</v>
      </c>
      <c r="BA15" s="504">
        <f>AW$15*G141</f>
        <v>2.3789030400000001E-2</v>
      </c>
      <c r="BB15" s="465">
        <v>47.3</v>
      </c>
      <c r="BC15" s="504">
        <f t="shared" si="4"/>
        <v>1.1252211379199999</v>
      </c>
      <c r="BD15" s="519">
        <f>AW$15*I141</f>
        <v>4.8420979200000006E-2</v>
      </c>
      <c r="BE15" s="469">
        <v>37.799999999999997</v>
      </c>
      <c r="BF15" s="513">
        <f t="shared" si="5"/>
        <v>1.8303130137600001</v>
      </c>
      <c r="BH15" s="12"/>
      <c r="BI15" s="77" t="s">
        <v>313</v>
      </c>
      <c r="BJ15" s="484">
        <f>(AF5+AF6)/hstr2</f>
        <v>269.93333333333334</v>
      </c>
      <c r="BK15" s="484">
        <f>(AF15+AF16)/hstr2</f>
        <v>290.16666666666669</v>
      </c>
      <c r="BL15" s="484">
        <f>(AF25+AF26)/hstr2</f>
        <v>256.09999999999997</v>
      </c>
      <c r="BM15" s="484">
        <f>(AF35+AF36)/hstr2</f>
        <v>111.33333333333336</v>
      </c>
      <c r="BN15" s="484">
        <f t="shared" si="11"/>
        <v>111.33333333333336</v>
      </c>
      <c r="BO15" s="646">
        <v>0</v>
      </c>
      <c r="BP15" s="77" t="s">
        <v>382</v>
      </c>
      <c r="BQ15" s="484">
        <f>BJ15/(BX15*hstr2)</f>
        <v>14024.411395852603</v>
      </c>
      <c r="BR15" s="484">
        <f>(BK15-BJ15)/((BY15-BX15)*hstr2)</f>
        <v>1207.7159656741328</v>
      </c>
      <c r="BS15" s="484">
        <f>(BL15-BK15)/((BZ15-BY15)*hstr2)</f>
        <v>-6712.3753809890995</v>
      </c>
      <c r="BT15" s="484">
        <f t="shared" si="12"/>
        <v>-6712.3753809890995</v>
      </c>
      <c r="BU15" s="484">
        <v>0</v>
      </c>
      <c r="BV15" s="646">
        <f t="shared" si="13"/>
        <v>42073.234187557813</v>
      </c>
      <c r="BW15" s="77" t="s">
        <v>316</v>
      </c>
      <c r="BX15" s="58">
        <f>(SUM(AZ29:AZ34)+SUM(AZ35:AZ40))/(SUM(AY29:AY34)+SUM(AY35:AY40))</f>
        <v>6.4157970868129726E-3</v>
      </c>
      <c r="BY15" s="58">
        <f>(SUM(BC29:BC34)+SUM(BC35:BC40))/(SUM(BB29:BB34)+SUM(BB35:BB40))</f>
        <v>1.2000259523458645E-2</v>
      </c>
      <c r="BZ15" s="58">
        <f>(SUM(BF29:BF34)+SUM(BF35:BF40))/(SUM(BE29:BE34)+SUM(BE35:BE40))</f>
        <v>1.3691993806931075E-2</v>
      </c>
      <c r="CA15" s="58">
        <f>BY15-((BK15-BM15)/(BS15*hstr2))</f>
        <v>2.088103685303748E-2</v>
      </c>
      <c r="CB15" s="58">
        <v>0.2</v>
      </c>
      <c r="CC15" s="648">
        <v>0</v>
      </c>
      <c r="CD15" s="12"/>
      <c r="CE15" s="12"/>
      <c r="CF15" s="12"/>
      <c r="CG15" s="12"/>
    </row>
    <row r="16" spans="2:85" ht="15.75" thickBot="1" x14ac:dyDescent="0.3">
      <c r="B16" s="750"/>
      <c r="C16" s="338">
        <v>5216</v>
      </c>
      <c r="D16" s="339" t="s">
        <v>8</v>
      </c>
      <c r="E16" s="41">
        <v>61.6</v>
      </c>
      <c r="F16" s="40">
        <v>120</v>
      </c>
      <c r="G16" s="41">
        <v>66.3</v>
      </c>
      <c r="H16" s="41">
        <v>129.19999999999999</v>
      </c>
      <c r="I16" s="42">
        <v>53.1</v>
      </c>
      <c r="J16" s="43">
        <v>103.4</v>
      </c>
      <c r="K16" s="92">
        <v>6.6</v>
      </c>
      <c r="L16" s="44">
        <v>12.9</v>
      </c>
      <c r="Q16" s="764" t="s">
        <v>52</v>
      </c>
      <c r="R16" s="765"/>
      <c r="S16" s="463">
        <v>75.599999999999994</v>
      </c>
      <c r="T16" s="464">
        <v>126.1</v>
      </c>
      <c r="U16" s="464">
        <v>126.1</v>
      </c>
      <c r="V16" s="464">
        <v>126.1</v>
      </c>
      <c r="W16" s="464">
        <v>126.1</v>
      </c>
      <c r="X16" s="464">
        <v>75.599999999999994</v>
      </c>
      <c r="Y16" s="53">
        <f>S16+T16+U16+V16+W16+X16</f>
        <v>655.6</v>
      </c>
      <c r="Z16" s="472">
        <v>33.15</v>
      </c>
      <c r="AA16" s="464">
        <v>88.1</v>
      </c>
      <c r="AB16" s="464">
        <v>88.1</v>
      </c>
      <c r="AC16" s="464">
        <v>88.1</v>
      </c>
      <c r="AD16" s="464">
        <v>88.1</v>
      </c>
      <c r="AE16" s="464">
        <v>50.5</v>
      </c>
      <c r="AF16" s="53">
        <f>Z16+AA16+AB16+AC16+AD16+AE16</f>
        <v>436.04999999999995</v>
      </c>
      <c r="AG16" s="472">
        <v>33.15</v>
      </c>
      <c r="AH16" s="464">
        <v>82.6</v>
      </c>
      <c r="AI16" s="464">
        <v>82.6</v>
      </c>
      <c r="AJ16" s="464">
        <v>82.6</v>
      </c>
      <c r="AK16" s="464">
        <v>82.6</v>
      </c>
      <c r="AL16" s="464">
        <v>47.8</v>
      </c>
      <c r="AM16" s="54">
        <f>AG16+AH16+AI16+AJ16+AK16+AL16</f>
        <v>411.34999999999997</v>
      </c>
      <c r="AO16" s="750"/>
      <c r="AP16" s="721"/>
      <c r="AQ16" s="722"/>
      <c r="AR16" s="93">
        <v>1615</v>
      </c>
      <c r="AS16" s="597">
        <v>7615</v>
      </c>
      <c r="AT16" s="608">
        <f t="shared" si="7"/>
        <v>3</v>
      </c>
      <c r="AU16" s="608">
        <f t="shared" si="1"/>
        <v>0.25</v>
      </c>
      <c r="AV16" s="597">
        <f t="shared" si="6"/>
        <v>1.29</v>
      </c>
      <c r="AW16" s="261">
        <f t="shared" si="2"/>
        <v>0.23414400000000002</v>
      </c>
      <c r="AX16" s="494">
        <f t="shared" si="8"/>
        <v>9.5976000000000013E-3</v>
      </c>
      <c r="AY16" s="461">
        <v>35.9</v>
      </c>
      <c r="AZ16" s="495">
        <f t="shared" si="3"/>
        <v>0.34455384000000006</v>
      </c>
      <c r="BA16" s="504">
        <f>AW$16*G147</f>
        <v>2.1236860800000004E-2</v>
      </c>
      <c r="BB16" s="465">
        <v>38.700000000000003</v>
      </c>
      <c r="BC16" s="504">
        <f>BB16*BA16</f>
        <v>0.82186651296000024</v>
      </c>
      <c r="BD16" s="519">
        <f>AW$16*I147</f>
        <v>6.5653977599999996E-2</v>
      </c>
      <c r="BE16" s="469">
        <v>31</v>
      </c>
      <c r="BF16" s="513">
        <f t="shared" si="5"/>
        <v>2.0352733056000001</v>
      </c>
      <c r="BH16" s="12"/>
      <c r="BI16" s="88" t="s">
        <v>314</v>
      </c>
      <c r="BJ16" s="485">
        <f>(Y5+Y6)/hstr1</f>
        <v>403.27272727272725</v>
      </c>
      <c r="BK16" s="485">
        <f>(Y15+Y16)/hstr1</f>
        <v>431.94545454545454</v>
      </c>
      <c r="BL16" s="485">
        <f>(Y25+Y26)/hstr1</f>
        <v>347.50909090909096</v>
      </c>
      <c r="BM16" s="485">
        <f>(Y35+Y36)/hstr1</f>
        <v>43.381818181818176</v>
      </c>
      <c r="BN16" s="485">
        <f t="shared" si="11"/>
        <v>43.381818181818176</v>
      </c>
      <c r="BO16" s="647">
        <v>0</v>
      </c>
      <c r="BP16" s="88" t="s">
        <v>383</v>
      </c>
      <c r="BQ16" s="485">
        <f>BJ16/(BX16*hstr1)</f>
        <v>30253.646228516616</v>
      </c>
      <c r="BR16" s="485">
        <f>(BK16-BJ16)/((BY16-BX16)*hstr1)</f>
        <v>1253.8495171254599</v>
      </c>
      <c r="BS16" s="485">
        <f>(BL16-BK16)/((BZ16-BY16)*hstr1)</f>
        <v>-4189.4627072929507</v>
      </c>
      <c r="BT16" s="485">
        <f t="shared" si="12"/>
        <v>-4189.4627072929507</v>
      </c>
      <c r="BU16" s="485">
        <v>0</v>
      </c>
      <c r="BV16" s="647">
        <f t="shared" si="13"/>
        <v>90760.938685549845</v>
      </c>
      <c r="BW16" s="88" t="s">
        <v>317</v>
      </c>
      <c r="BX16" s="89">
        <f>(SUM(AZ35:AZ40)+SUM(AZ41:AZ46))/(SUM(AY35:AY40)+SUM(AY41:AY46))</f>
        <v>4.8471720397440425E-3</v>
      </c>
      <c r="BY16" s="89">
        <f>(SUM(BC35:BC40)+SUM(BC41:BC46))/(SUM(BB35:BB40)+SUM(BB41:BB46))</f>
        <v>1.3162720387918327E-2</v>
      </c>
      <c r="BZ16" s="89">
        <f>(SUM(BF35:BF40)+SUM(BF41:BF46))/(SUM(BE35:BE40)+SUM(BE41:BE46))</f>
        <v>2.0491615374369852E-2</v>
      </c>
      <c r="CA16" s="89">
        <f>BY16-((BK16-BM16)/(BS16*hstr1))</f>
        <v>4.6889209353348053E-2</v>
      </c>
      <c r="CB16" s="89">
        <v>0.2</v>
      </c>
      <c r="CC16" s="649">
        <v>0</v>
      </c>
      <c r="CD16" s="12"/>
      <c r="CE16" s="12"/>
      <c r="CF16" s="12"/>
      <c r="CG16" s="12"/>
    </row>
    <row r="17" spans="2:85" ht="15.75" thickBot="1" x14ac:dyDescent="0.3">
      <c r="B17" s="751">
        <v>3</v>
      </c>
      <c r="C17" s="336">
        <v>5311</v>
      </c>
      <c r="D17" s="336" t="s">
        <v>8</v>
      </c>
      <c r="E17" s="67">
        <v>61.6</v>
      </c>
      <c r="F17" s="68">
        <v>120</v>
      </c>
      <c r="G17" s="69">
        <v>66.3</v>
      </c>
      <c r="H17" s="69">
        <v>129.19999999999999</v>
      </c>
      <c r="I17" s="70">
        <v>53.1</v>
      </c>
      <c r="J17" s="71">
        <v>103.4</v>
      </c>
      <c r="K17" s="307">
        <v>6.6</v>
      </c>
      <c r="L17" s="72">
        <v>12.9</v>
      </c>
      <c r="Q17" s="761" t="s">
        <v>5</v>
      </c>
      <c r="R17" s="701"/>
      <c r="S17" s="701">
        <v>4</v>
      </c>
      <c r="T17" s="701"/>
      <c r="U17" s="701"/>
      <c r="V17" s="701"/>
      <c r="W17" s="701"/>
      <c r="X17" s="701"/>
      <c r="Y17" s="701"/>
      <c r="Z17" s="701">
        <v>5</v>
      </c>
      <c r="AA17" s="701"/>
      <c r="AB17" s="701"/>
      <c r="AC17" s="701"/>
      <c r="AD17" s="701"/>
      <c r="AE17" s="701"/>
      <c r="AF17" s="701"/>
      <c r="AG17" s="701">
        <v>6</v>
      </c>
      <c r="AH17" s="701"/>
      <c r="AI17" s="701"/>
      <c r="AJ17" s="701"/>
      <c r="AK17" s="762"/>
      <c r="AL17" s="762"/>
      <c r="AM17" s="763"/>
      <c r="AO17" s="751">
        <v>4</v>
      </c>
      <c r="AP17" s="836" t="s">
        <v>38</v>
      </c>
      <c r="AQ17" s="837"/>
      <c r="AR17" s="87">
        <v>1114</v>
      </c>
      <c r="AS17" s="599">
        <v>7114</v>
      </c>
      <c r="AT17" s="607">
        <f t="shared" ref="AT17:AT22" si="14">hstr4</f>
        <v>3</v>
      </c>
      <c r="AU17" s="607">
        <f t="shared" si="1"/>
        <v>0.25</v>
      </c>
      <c r="AV17" s="599">
        <f t="shared" si="6"/>
        <v>1.29</v>
      </c>
      <c r="AW17" s="313">
        <f t="shared" si="2"/>
        <v>0.23414400000000002</v>
      </c>
      <c r="AX17" s="486">
        <f t="shared" si="8"/>
        <v>9.5976000000000013E-3</v>
      </c>
      <c r="AY17" s="487">
        <v>40.799999999999997</v>
      </c>
      <c r="AZ17" s="488">
        <f t="shared" si="3"/>
        <v>0.39158208</v>
      </c>
      <c r="BA17" s="499">
        <f t="shared" ref="BA17:BB17" si="15">AX17</f>
        <v>9.5976000000000013E-3</v>
      </c>
      <c r="BB17" s="487">
        <f t="shared" si="15"/>
        <v>40.799999999999997</v>
      </c>
      <c r="BC17" s="488">
        <f>BA17*BB17</f>
        <v>0.39158208</v>
      </c>
      <c r="BD17" s="486">
        <f t="shared" ref="BD17:BE17" si="16">AX17</f>
        <v>9.5976000000000013E-3</v>
      </c>
      <c r="BE17" s="487">
        <f t="shared" si="16"/>
        <v>40.799999999999997</v>
      </c>
      <c r="BF17" s="500">
        <f>BD17*BE17</f>
        <v>0.39158208</v>
      </c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12"/>
      <c r="CF17" s="12"/>
      <c r="CG17" s="12"/>
    </row>
    <row r="18" spans="2:85" ht="16.5" customHeight="1" thickBot="1" x14ac:dyDescent="0.3">
      <c r="B18" s="750"/>
      <c r="C18" s="338">
        <v>5312</v>
      </c>
      <c r="D18" s="338" t="s">
        <v>8</v>
      </c>
      <c r="E18" s="39">
        <v>61.6</v>
      </c>
      <c r="F18" s="40">
        <v>120</v>
      </c>
      <c r="G18" s="41">
        <v>66.3</v>
      </c>
      <c r="H18" s="41">
        <v>129.19999999999999</v>
      </c>
      <c r="I18" s="42">
        <v>53.1</v>
      </c>
      <c r="J18" s="43">
        <v>103.4</v>
      </c>
      <c r="K18" s="92">
        <v>6.6</v>
      </c>
      <c r="L18" s="44">
        <v>12.9</v>
      </c>
      <c r="Q18" s="748" t="s">
        <v>38</v>
      </c>
      <c r="R18" s="696"/>
      <c r="S18" s="35" t="s">
        <v>419</v>
      </c>
      <c r="T18" s="35" t="s">
        <v>420</v>
      </c>
      <c r="U18" s="35" t="s">
        <v>421</v>
      </c>
      <c r="V18" s="36" t="s">
        <v>422</v>
      </c>
      <c r="W18" s="35" t="s">
        <v>423</v>
      </c>
      <c r="X18" s="35" t="s">
        <v>424</v>
      </c>
      <c r="Y18" s="35" t="s">
        <v>54</v>
      </c>
      <c r="Z18" s="35" t="s">
        <v>425</v>
      </c>
      <c r="AA18" s="35" t="s">
        <v>426</v>
      </c>
      <c r="AB18" s="35" t="s">
        <v>427</v>
      </c>
      <c r="AC18" s="36" t="s">
        <v>428</v>
      </c>
      <c r="AD18" s="35" t="s">
        <v>429</v>
      </c>
      <c r="AE18" s="35" t="s">
        <v>430</v>
      </c>
      <c r="AF18" s="35" t="s">
        <v>54</v>
      </c>
      <c r="AG18" s="35" t="s">
        <v>431</v>
      </c>
      <c r="AH18" s="35" t="s">
        <v>432</v>
      </c>
      <c r="AI18" s="35" t="s">
        <v>433</v>
      </c>
      <c r="AJ18" s="36" t="s">
        <v>434</v>
      </c>
      <c r="AK18" s="35" t="s">
        <v>435</v>
      </c>
      <c r="AL18" s="35" t="s">
        <v>436</v>
      </c>
      <c r="AM18" s="37" t="s">
        <v>54</v>
      </c>
      <c r="AO18" s="750"/>
      <c r="AP18" s="721"/>
      <c r="AQ18" s="722"/>
      <c r="AR18" s="93">
        <v>1214</v>
      </c>
      <c r="AS18" s="597">
        <v>7214</v>
      </c>
      <c r="AT18" s="608">
        <f t="shared" si="14"/>
        <v>3</v>
      </c>
      <c r="AU18" s="608">
        <f t="shared" si="1"/>
        <v>0.25</v>
      </c>
      <c r="AV18" s="597">
        <f t="shared" si="6"/>
        <v>1.29</v>
      </c>
      <c r="AW18" s="261">
        <f t="shared" si="2"/>
        <v>0.23414400000000002</v>
      </c>
      <c r="AX18" s="494">
        <f t="shared" si="8"/>
        <v>9.5976000000000013E-3</v>
      </c>
      <c r="AY18" s="461">
        <v>48.7</v>
      </c>
      <c r="AZ18" s="495">
        <f t="shared" si="3"/>
        <v>0.46740312000000012</v>
      </c>
      <c r="BA18" s="504">
        <f>AW$18*G122</f>
        <v>2.2758796800000002E-2</v>
      </c>
      <c r="BB18" s="465">
        <v>52.4</v>
      </c>
      <c r="BC18" s="504">
        <f t="shared" si="4"/>
        <v>1.19256095232</v>
      </c>
      <c r="BD18" s="519">
        <f>AW$18*I122</f>
        <v>3.9640579200000005E-2</v>
      </c>
      <c r="BE18" s="469">
        <v>41.9</v>
      </c>
      <c r="BF18" s="513">
        <f t="shared" si="5"/>
        <v>1.6609402684800001</v>
      </c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766" t="s">
        <v>301</v>
      </c>
      <c r="BX18" s="767"/>
      <c r="BY18" s="767"/>
      <c r="BZ18" s="767"/>
      <c r="CA18" s="767"/>
      <c r="CB18" s="768"/>
      <c r="CC18" s="644"/>
      <c r="CD18" s="12"/>
      <c r="CE18" s="12"/>
      <c r="CF18" s="12"/>
      <c r="CG18" s="12"/>
    </row>
    <row r="19" spans="2:85" x14ac:dyDescent="0.25">
      <c r="B19" s="750"/>
      <c r="C19" s="338">
        <v>5313</v>
      </c>
      <c r="D19" s="338" t="s">
        <v>8</v>
      </c>
      <c r="E19" s="39">
        <v>61.6</v>
      </c>
      <c r="F19" s="40">
        <v>120</v>
      </c>
      <c r="G19" s="41">
        <v>66.3</v>
      </c>
      <c r="H19" s="41">
        <v>129.19999999999999</v>
      </c>
      <c r="I19" s="42">
        <v>53.1</v>
      </c>
      <c r="J19" s="43">
        <v>103.4</v>
      </c>
      <c r="K19" s="92">
        <v>6.6</v>
      </c>
      <c r="L19" s="44">
        <v>12.9</v>
      </c>
      <c r="Q19" s="733" t="s">
        <v>53</v>
      </c>
      <c r="R19" s="734"/>
      <c r="S19" s="466">
        <v>33.15</v>
      </c>
      <c r="T19" s="465">
        <v>52.4</v>
      </c>
      <c r="U19" s="465">
        <v>52.4</v>
      </c>
      <c r="V19" s="465">
        <v>52.4</v>
      </c>
      <c r="W19" s="465">
        <v>52.4</v>
      </c>
      <c r="X19" s="465">
        <v>43.9</v>
      </c>
      <c r="Y19" s="46">
        <f>S19+T19+U19+V19+W19+X19</f>
        <v>286.64999999999998</v>
      </c>
      <c r="Z19" s="466">
        <v>33.4</v>
      </c>
      <c r="AA19" s="465">
        <v>47.3</v>
      </c>
      <c r="AB19" s="465">
        <v>47.3</v>
      </c>
      <c r="AC19" s="465">
        <v>47.3</v>
      </c>
      <c r="AD19" s="465">
        <v>47.3</v>
      </c>
      <c r="AE19" s="465">
        <v>38.700000000000003</v>
      </c>
      <c r="AF19" s="46">
        <f>Z19+AA19+AB19+AC19+AD19+AE19</f>
        <v>261.29999999999995</v>
      </c>
      <c r="AG19" s="462">
        <v>32.9</v>
      </c>
      <c r="AH19" s="465">
        <v>38.299999999999997</v>
      </c>
      <c r="AI19" s="465">
        <v>38.299999999999997</v>
      </c>
      <c r="AJ19" s="465">
        <v>38.299999999999997</v>
      </c>
      <c r="AK19" s="465">
        <v>38.299999999999997</v>
      </c>
      <c r="AL19" s="465">
        <v>32.9</v>
      </c>
      <c r="AM19" s="47">
        <f>AG19+AH19+AI19+AJ19+AK19+AL19</f>
        <v>218.99999999999997</v>
      </c>
      <c r="AO19" s="750"/>
      <c r="AP19" s="721"/>
      <c r="AQ19" s="722"/>
      <c r="AR19" s="93">
        <v>1314</v>
      </c>
      <c r="AS19" s="597">
        <v>7314</v>
      </c>
      <c r="AT19" s="608">
        <f t="shared" si="14"/>
        <v>3</v>
      </c>
      <c r="AU19" s="608">
        <f t="shared" si="1"/>
        <v>0.25</v>
      </c>
      <c r="AV19" s="597">
        <f t="shared" si="6"/>
        <v>1.29</v>
      </c>
      <c r="AW19" s="261">
        <f t="shared" si="2"/>
        <v>0.23414400000000002</v>
      </c>
      <c r="AX19" s="494">
        <f t="shared" si="8"/>
        <v>9.5976000000000013E-3</v>
      </c>
      <c r="AY19" s="461">
        <v>48.7</v>
      </c>
      <c r="AZ19" s="495">
        <f t="shared" si="3"/>
        <v>0.46740312000000012</v>
      </c>
      <c r="BA19" s="504">
        <f>AW$19*G128</f>
        <v>2.2758796800000002E-2</v>
      </c>
      <c r="BB19" s="465">
        <v>52.4</v>
      </c>
      <c r="BC19" s="504">
        <f t="shared" si="4"/>
        <v>1.19256095232</v>
      </c>
      <c r="BD19" s="519">
        <f>AW$19*I128</f>
        <v>3.9640579200000005E-2</v>
      </c>
      <c r="BE19" s="469">
        <v>41.9</v>
      </c>
      <c r="BF19" s="513">
        <f t="shared" si="5"/>
        <v>1.6609402684800001</v>
      </c>
      <c r="BH19" s="12"/>
      <c r="BI19" s="12"/>
      <c r="BJ19" s="12"/>
      <c r="BK19" s="12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789" t="s">
        <v>300</v>
      </c>
      <c r="BX19" s="791" t="s">
        <v>190</v>
      </c>
      <c r="BY19" s="793" t="s">
        <v>191</v>
      </c>
      <c r="BZ19" s="793" t="s">
        <v>192</v>
      </c>
      <c r="CA19" s="793" t="s">
        <v>193</v>
      </c>
      <c r="CB19" s="769" t="s">
        <v>467</v>
      </c>
      <c r="CC19" s="645"/>
      <c r="CD19" s="12"/>
      <c r="CE19" s="12"/>
      <c r="CF19" s="12"/>
      <c r="CG19" s="12"/>
    </row>
    <row r="20" spans="2:85" ht="15.75" thickBot="1" x14ac:dyDescent="0.3">
      <c r="B20" s="750"/>
      <c r="C20" s="338">
        <v>5314</v>
      </c>
      <c r="D20" s="338" t="s">
        <v>8</v>
      </c>
      <c r="E20" s="39">
        <v>61.6</v>
      </c>
      <c r="F20" s="40">
        <v>120</v>
      </c>
      <c r="G20" s="41">
        <v>66.3</v>
      </c>
      <c r="H20" s="41">
        <v>129.19999999999999</v>
      </c>
      <c r="I20" s="42">
        <v>53.1</v>
      </c>
      <c r="J20" s="43">
        <v>103.4</v>
      </c>
      <c r="K20" s="92">
        <v>6.6</v>
      </c>
      <c r="L20" s="44">
        <v>12.9</v>
      </c>
      <c r="Q20" s="764" t="s">
        <v>52</v>
      </c>
      <c r="R20" s="765"/>
      <c r="S20" s="472">
        <v>33.15</v>
      </c>
      <c r="T20" s="464">
        <v>52.4</v>
      </c>
      <c r="U20" s="464">
        <v>52.4</v>
      </c>
      <c r="V20" s="464">
        <v>52.4</v>
      </c>
      <c r="W20" s="464">
        <v>52.4</v>
      </c>
      <c r="X20" s="464">
        <v>43.9</v>
      </c>
      <c r="Y20" s="53">
        <f>S20+T20+U20+V20+W20+X20</f>
        <v>286.64999999999998</v>
      </c>
      <c r="Z20" s="472">
        <v>33.15</v>
      </c>
      <c r="AA20" s="464">
        <v>47.3</v>
      </c>
      <c r="AB20" s="464">
        <v>47.3</v>
      </c>
      <c r="AC20" s="464">
        <v>47.3</v>
      </c>
      <c r="AD20" s="464">
        <v>47.3</v>
      </c>
      <c r="AE20" s="464">
        <v>38.700000000000003</v>
      </c>
      <c r="AF20" s="53">
        <f>Z20+AA20+AB20+AC20+AD20+AE20</f>
        <v>261.04999999999995</v>
      </c>
      <c r="AG20" s="463">
        <v>32.9</v>
      </c>
      <c r="AH20" s="464">
        <v>38.299999999999997</v>
      </c>
      <c r="AI20" s="464">
        <v>38.299999999999997</v>
      </c>
      <c r="AJ20" s="464">
        <v>38.299999999999997</v>
      </c>
      <c r="AK20" s="464">
        <v>38.299999999999997</v>
      </c>
      <c r="AL20" s="464">
        <v>32.9</v>
      </c>
      <c r="AM20" s="54">
        <f>AG20+AH20+AI20+AJ20+AK20+AL20</f>
        <v>218.99999999999997</v>
      </c>
      <c r="AO20" s="750"/>
      <c r="AP20" s="721"/>
      <c r="AQ20" s="722"/>
      <c r="AR20" s="93">
        <v>1414</v>
      </c>
      <c r="AS20" s="597">
        <v>7414</v>
      </c>
      <c r="AT20" s="608">
        <f t="shared" si="14"/>
        <v>3</v>
      </c>
      <c r="AU20" s="608">
        <f t="shared" si="1"/>
        <v>0.25</v>
      </c>
      <c r="AV20" s="597">
        <f t="shared" si="6"/>
        <v>1.29</v>
      </c>
      <c r="AW20" s="261">
        <f t="shared" si="2"/>
        <v>0.23414400000000002</v>
      </c>
      <c r="AX20" s="494">
        <f t="shared" si="8"/>
        <v>9.5976000000000013E-3</v>
      </c>
      <c r="AY20" s="461">
        <v>48.7</v>
      </c>
      <c r="AZ20" s="495">
        <f t="shared" si="3"/>
        <v>0.46740312000000012</v>
      </c>
      <c r="BA20" s="504">
        <f>AW$20*G134</f>
        <v>2.2758796800000002E-2</v>
      </c>
      <c r="BB20" s="465">
        <v>52.4</v>
      </c>
      <c r="BC20" s="504">
        <f t="shared" si="4"/>
        <v>1.19256095232</v>
      </c>
      <c r="BD20" s="519">
        <f>AW$20*I134</f>
        <v>3.9640579200000005E-2</v>
      </c>
      <c r="BE20" s="469">
        <v>41.9</v>
      </c>
      <c r="BF20" s="513">
        <f t="shared" si="5"/>
        <v>1.6609402684800001</v>
      </c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790"/>
      <c r="BX20" s="792"/>
      <c r="BY20" s="794"/>
      <c r="BZ20" s="794"/>
      <c r="CA20" s="794"/>
      <c r="CB20" s="770"/>
      <c r="CC20" s="645"/>
      <c r="CD20" s="12"/>
      <c r="CE20" s="12"/>
      <c r="CF20" s="12"/>
      <c r="CG20" s="12"/>
    </row>
    <row r="21" spans="2:85" ht="15.75" thickBot="1" x14ac:dyDescent="0.3">
      <c r="B21" s="750"/>
      <c r="C21" s="338">
        <v>5315</v>
      </c>
      <c r="D21" s="338" t="s">
        <v>8</v>
      </c>
      <c r="E21" s="39">
        <v>61.6</v>
      </c>
      <c r="F21" s="40">
        <v>120</v>
      </c>
      <c r="G21" s="41">
        <v>66.3</v>
      </c>
      <c r="H21" s="41">
        <v>129.19999999999999</v>
      </c>
      <c r="I21" s="42">
        <v>53.1</v>
      </c>
      <c r="J21" s="43">
        <v>103.4</v>
      </c>
      <c r="K21" s="92">
        <v>6.6</v>
      </c>
      <c r="L21" s="44">
        <v>12.9</v>
      </c>
      <c r="AO21" s="750"/>
      <c r="AP21" s="721"/>
      <c r="AQ21" s="722"/>
      <c r="AR21" s="93">
        <v>1514</v>
      </c>
      <c r="AS21" s="597">
        <v>7514</v>
      </c>
      <c r="AT21" s="608">
        <f t="shared" si="14"/>
        <v>3</v>
      </c>
      <c r="AU21" s="608">
        <f t="shared" si="1"/>
        <v>0.25</v>
      </c>
      <c r="AV21" s="597">
        <f t="shared" si="6"/>
        <v>1.29</v>
      </c>
      <c r="AW21" s="261">
        <f t="shared" si="2"/>
        <v>0.23414400000000002</v>
      </c>
      <c r="AX21" s="494">
        <f t="shared" si="8"/>
        <v>9.5976000000000013E-3</v>
      </c>
      <c r="AY21" s="461">
        <v>48.7</v>
      </c>
      <c r="AZ21" s="495">
        <f t="shared" si="3"/>
        <v>0.46740312000000012</v>
      </c>
      <c r="BA21" s="504">
        <f>AW$21*G140</f>
        <v>2.2758796800000002E-2</v>
      </c>
      <c r="BB21" s="465">
        <v>52.4</v>
      </c>
      <c r="BC21" s="504">
        <f t="shared" si="4"/>
        <v>1.19256095232</v>
      </c>
      <c r="BD21" s="519">
        <f>AW$21*I140</f>
        <v>3.9640579200000005E-2</v>
      </c>
      <c r="BE21" s="469">
        <v>41.9</v>
      </c>
      <c r="BF21" s="513">
        <f t="shared" si="5"/>
        <v>1.6609402684800001</v>
      </c>
      <c r="BH21" s="12"/>
      <c r="BI21" s="12"/>
      <c r="BJ21" s="12"/>
      <c r="BK21" s="12"/>
      <c r="BL21" s="12"/>
      <c r="BM21" s="12"/>
      <c r="BN21" s="12"/>
      <c r="BO21" s="12"/>
      <c r="BP21" s="12"/>
      <c r="BQ21" s="12"/>
      <c r="BR21" s="12"/>
      <c r="BS21" s="12"/>
      <c r="BT21" s="12"/>
      <c r="BU21" s="12"/>
      <c r="BV21" s="12"/>
      <c r="BW21" s="77" t="s">
        <v>448</v>
      </c>
      <c r="BX21" s="608">
        <f t="shared" ref="BX21:CA21" si="17">BX11/$BX11</f>
        <v>1</v>
      </c>
      <c r="BY21" s="608">
        <f t="shared" si="17"/>
        <v>2.5710033468043831</v>
      </c>
      <c r="BZ21" s="608">
        <f t="shared" si="17"/>
        <v>6.4856531205819348</v>
      </c>
      <c r="CA21" s="608">
        <f t="shared" si="17"/>
        <v>20.195864885364514</v>
      </c>
      <c r="CB21" s="612">
        <f t="shared" ref="CB21" si="18">CB11/$BX11</f>
        <v>24.060071179826718</v>
      </c>
      <c r="CC21" s="608"/>
      <c r="CD21" s="12"/>
      <c r="CE21" s="12"/>
      <c r="CF21" s="12"/>
      <c r="CG21" s="12"/>
    </row>
    <row r="22" spans="2:85" ht="15.75" thickBot="1" x14ac:dyDescent="0.3">
      <c r="B22" s="842"/>
      <c r="C22" s="342">
        <v>5316</v>
      </c>
      <c r="D22" s="342" t="s">
        <v>8</v>
      </c>
      <c r="E22" s="61">
        <v>61.6</v>
      </c>
      <c r="F22" s="62">
        <v>120</v>
      </c>
      <c r="G22" s="63">
        <v>66.3</v>
      </c>
      <c r="H22" s="63">
        <v>129.19999999999999</v>
      </c>
      <c r="I22" s="64">
        <v>53.1</v>
      </c>
      <c r="J22" s="65">
        <v>103.4</v>
      </c>
      <c r="K22" s="308">
        <v>6.6</v>
      </c>
      <c r="L22" s="66">
        <v>12.9</v>
      </c>
      <c r="Q22" s="757" t="s">
        <v>207</v>
      </c>
      <c r="R22" s="758"/>
      <c r="S22" s="758"/>
      <c r="T22" s="758"/>
      <c r="U22" s="758"/>
      <c r="V22" s="758"/>
      <c r="W22" s="758"/>
      <c r="X22" s="758"/>
      <c r="Y22" s="758"/>
      <c r="Z22" s="758"/>
      <c r="AA22" s="758"/>
      <c r="AB22" s="758"/>
      <c r="AC22" s="758"/>
      <c r="AD22" s="758"/>
      <c r="AE22" s="758"/>
      <c r="AF22" s="758"/>
      <c r="AG22" s="758"/>
      <c r="AH22" s="758"/>
      <c r="AI22" s="758"/>
      <c r="AJ22" s="758"/>
      <c r="AK22" s="759"/>
      <c r="AL22" s="759"/>
      <c r="AM22" s="760"/>
      <c r="AO22" s="842"/>
      <c r="AP22" s="840"/>
      <c r="AQ22" s="841"/>
      <c r="AR22" s="306">
        <v>1614</v>
      </c>
      <c r="AS22" s="600">
        <v>7614</v>
      </c>
      <c r="AT22" s="609">
        <f t="shared" si="14"/>
        <v>3</v>
      </c>
      <c r="AU22" s="609">
        <f t="shared" si="1"/>
        <v>0.25</v>
      </c>
      <c r="AV22" s="600">
        <f t="shared" si="6"/>
        <v>1.29</v>
      </c>
      <c r="AW22" s="263">
        <f t="shared" si="2"/>
        <v>0.23414400000000002</v>
      </c>
      <c r="AX22" s="517">
        <f t="shared" si="8"/>
        <v>9.5976000000000013E-3</v>
      </c>
      <c r="AY22" s="496">
        <v>40.799999999999997</v>
      </c>
      <c r="AZ22" s="497">
        <f t="shared" si="3"/>
        <v>0.39158208</v>
      </c>
      <c r="BA22" s="508">
        <f>AW$22*G146</f>
        <v>2.5357795200000002E-2</v>
      </c>
      <c r="BB22" s="509">
        <v>43.9</v>
      </c>
      <c r="BC22" s="508">
        <f t="shared" si="4"/>
        <v>1.1132072092800001</v>
      </c>
      <c r="BD22" s="520">
        <f>AW$22*I146</f>
        <v>5.6803334400000009E-2</v>
      </c>
      <c r="BE22" s="514">
        <v>35.1</v>
      </c>
      <c r="BF22" s="515">
        <f t="shared" si="5"/>
        <v>1.9937970374400005</v>
      </c>
      <c r="BH22" s="12"/>
      <c r="BI22" s="12"/>
      <c r="BJ22" s="12"/>
      <c r="BK22" s="12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77" t="s">
        <v>447</v>
      </c>
      <c r="BX22" s="608">
        <f t="shared" ref="BX22:CA22" si="19">BX12/$BX12</f>
        <v>1</v>
      </c>
      <c r="BY22" s="608">
        <f t="shared" si="19"/>
        <v>2.2295370330667237</v>
      </c>
      <c r="BZ22" s="608">
        <f t="shared" si="19"/>
        <v>4.2277998442418232</v>
      </c>
      <c r="CA22" s="608">
        <f t="shared" si="19"/>
        <v>11.206451199601666</v>
      </c>
      <c r="CB22" s="612">
        <f t="shared" ref="CB22" si="20">CB12/$BX12</f>
        <v>20.838542969075601</v>
      </c>
      <c r="CC22" s="608"/>
      <c r="CD22" s="12"/>
      <c r="CE22" s="12"/>
      <c r="CF22" s="12"/>
      <c r="CG22" s="12"/>
    </row>
    <row r="23" spans="2:85" x14ac:dyDescent="0.25">
      <c r="B23" s="751">
        <v>4</v>
      </c>
      <c r="C23" s="336">
        <v>5411</v>
      </c>
      <c r="D23" s="336" t="s">
        <v>8</v>
      </c>
      <c r="E23" s="67">
        <v>61.6</v>
      </c>
      <c r="F23" s="68">
        <v>120</v>
      </c>
      <c r="G23" s="69">
        <v>66.3</v>
      </c>
      <c r="H23" s="69">
        <v>129.19999999999999</v>
      </c>
      <c r="I23" s="70">
        <v>53.1</v>
      </c>
      <c r="J23" s="71">
        <v>103.4</v>
      </c>
      <c r="K23" s="307">
        <v>6.6</v>
      </c>
      <c r="L23" s="72">
        <v>12.9</v>
      </c>
      <c r="Q23" s="761" t="s">
        <v>5</v>
      </c>
      <c r="R23" s="701"/>
      <c r="S23" s="701">
        <v>1</v>
      </c>
      <c r="T23" s="701"/>
      <c r="U23" s="701"/>
      <c r="V23" s="701"/>
      <c r="W23" s="701"/>
      <c r="X23" s="701"/>
      <c r="Y23" s="701"/>
      <c r="Z23" s="701">
        <v>2</v>
      </c>
      <c r="AA23" s="701"/>
      <c r="AB23" s="701"/>
      <c r="AC23" s="701"/>
      <c r="AD23" s="701"/>
      <c r="AE23" s="701"/>
      <c r="AF23" s="701"/>
      <c r="AG23" s="701">
        <v>3</v>
      </c>
      <c r="AH23" s="701"/>
      <c r="AI23" s="701"/>
      <c r="AJ23" s="701"/>
      <c r="AK23" s="762"/>
      <c r="AL23" s="762"/>
      <c r="AM23" s="763"/>
      <c r="AO23" s="750">
        <v>3</v>
      </c>
      <c r="AP23" s="721" t="s">
        <v>38</v>
      </c>
      <c r="AQ23" s="722"/>
      <c r="AR23" s="93">
        <v>1113</v>
      </c>
      <c r="AS23" s="597">
        <v>7113</v>
      </c>
      <c r="AT23" s="608">
        <f t="shared" ref="AT23:AT28" si="21">hstr3</f>
        <v>3</v>
      </c>
      <c r="AU23" s="608">
        <f t="shared" si="1"/>
        <v>0.25</v>
      </c>
      <c r="AV23" s="597">
        <f>0.43*AT23</f>
        <v>1.29</v>
      </c>
      <c r="AW23" s="261">
        <f t="shared" si="2"/>
        <v>0.23414400000000002</v>
      </c>
      <c r="AX23" s="489">
        <f t="shared" si="8"/>
        <v>9.5976000000000013E-3</v>
      </c>
      <c r="AY23" s="457">
        <v>44.4</v>
      </c>
      <c r="AZ23" s="490">
        <f>AY23*AX23</f>
        <v>0.42613344000000003</v>
      </c>
      <c r="BA23" s="501">
        <f t="shared" ref="BA23:BB23" si="22">AX23</f>
        <v>9.5976000000000013E-3</v>
      </c>
      <c r="BB23" s="457">
        <f t="shared" si="22"/>
        <v>44.4</v>
      </c>
      <c r="BC23" s="488">
        <f>BA23*BB23</f>
        <v>0.42613344000000003</v>
      </c>
      <c r="BD23" s="489">
        <f t="shared" ref="BD23:BE23" si="23">AX23</f>
        <v>9.5976000000000013E-3</v>
      </c>
      <c r="BE23" s="457">
        <f t="shared" si="23"/>
        <v>44.4</v>
      </c>
      <c r="BF23" s="500">
        <f>BD23*BE23</f>
        <v>0.42613344000000003</v>
      </c>
      <c r="BH23" s="12"/>
      <c r="BI23" s="12"/>
      <c r="BJ23" s="12"/>
      <c r="BK23" s="12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77" t="s">
        <v>446</v>
      </c>
      <c r="BX23" s="608">
        <f t="shared" ref="BX23:CA23" si="24">BX13/$BX13</f>
        <v>1</v>
      </c>
      <c r="BY23" s="608">
        <f t="shared" si="24"/>
        <v>2.167271449445856</v>
      </c>
      <c r="BZ23" s="608">
        <f t="shared" si="24"/>
        <v>3.8221568042446985</v>
      </c>
      <c r="CA23" s="608">
        <f t="shared" si="24"/>
        <v>9.6099309327441365</v>
      </c>
      <c r="CB23" s="612">
        <f t="shared" ref="CB23" si="25">CB13/$BX13</f>
        <v>22.554763570093638</v>
      </c>
      <c r="CC23" s="608"/>
      <c r="CD23" s="12"/>
      <c r="CE23" s="12"/>
      <c r="CF23" s="12"/>
      <c r="CG23" s="12"/>
    </row>
    <row r="24" spans="2:85" x14ac:dyDescent="0.25">
      <c r="B24" s="750"/>
      <c r="C24" s="338">
        <v>5412</v>
      </c>
      <c r="D24" s="338" t="s">
        <v>8</v>
      </c>
      <c r="E24" s="39">
        <v>61.6</v>
      </c>
      <c r="F24" s="40">
        <v>120</v>
      </c>
      <c r="G24" s="41">
        <v>66.3</v>
      </c>
      <c r="H24" s="41">
        <v>129.19999999999999</v>
      </c>
      <c r="I24" s="42">
        <v>53.1</v>
      </c>
      <c r="J24" s="43">
        <v>103.4</v>
      </c>
      <c r="K24" s="92">
        <v>6.6</v>
      </c>
      <c r="L24" s="44">
        <v>12.9</v>
      </c>
      <c r="Q24" s="748" t="s">
        <v>38</v>
      </c>
      <c r="R24" s="696"/>
      <c r="S24" s="35" t="s">
        <v>39</v>
      </c>
      <c r="T24" s="35" t="s">
        <v>40</v>
      </c>
      <c r="U24" s="35" t="s">
        <v>41</v>
      </c>
      <c r="V24" s="36" t="s">
        <v>42</v>
      </c>
      <c r="W24" s="35" t="s">
        <v>404</v>
      </c>
      <c r="X24" s="35" t="s">
        <v>405</v>
      </c>
      <c r="Y24" s="35" t="s">
        <v>54</v>
      </c>
      <c r="Z24" s="35" t="s">
        <v>43</v>
      </c>
      <c r="AA24" s="35" t="s">
        <v>44</v>
      </c>
      <c r="AB24" s="35" t="s">
        <v>45</v>
      </c>
      <c r="AC24" s="36" t="s">
        <v>46</v>
      </c>
      <c r="AD24" s="35" t="s">
        <v>402</v>
      </c>
      <c r="AE24" s="35" t="s">
        <v>403</v>
      </c>
      <c r="AF24" s="35" t="s">
        <v>54</v>
      </c>
      <c r="AG24" s="35" t="s">
        <v>47</v>
      </c>
      <c r="AH24" s="35" t="s">
        <v>48</v>
      </c>
      <c r="AI24" s="35" t="s">
        <v>49</v>
      </c>
      <c r="AJ24" s="36" t="s">
        <v>50</v>
      </c>
      <c r="AK24" s="35" t="s">
        <v>406</v>
      </c>
      <c r="AL24" s="35" t="s">
        <v>407</v>
      </c>
      <c r="AM24" s="37" t="s">
        <v>54</v>
      </c>
      <c r="AO24" s="750"/>
      <c r="AP24" s="721"/>
      <c r="AQ24" s="722"/>
      <c r="AR24" s="93">
        <v>1213</v>
      </c>
      <c r="AS24" s="597">
        <v>7213</v>
      </c>
      <c r="AT24" s="608">
        <f t="shared" si="21"/>
        <v>3</v>
      </c>
      <c r="AU24" s="608">
        <f>Hcol2/1000</f>
        <v>0.3</v>
      </c>
      <c r="AV24" s="597">
        <f>0.43*AT24</f>
        <v>1.29</v>
      </c>
      <c r="AW24" s="261">
        <f>(0.08*AV24*1000+0.022*Fyk*Phicol2)/1000</f>
        <v>0.23414400000000002</v>
      </c>
      <c r="AX24" s="494">
        <f t="shared" si="8"/>
        <v>7.9980000000000016E-3</v>
      </c>
      <c r="AY24" s="461">
        <v>76.7</v>
      </c>
      <c r="AZ24" s="495">
        <f>AY24*AX24</f>
        <v>0.61344660000000018</v>
      </c>
      <c r="BA24" s="504">
        <f>AW$24*G121</f>
        <v>1.8005673600000001E-2</v>
      </c>
      <c r="BB24" s="465">
        <v>82.6</v>
      </c>
      <c r="BC24" s="504">
        <f>BB24*BA24</f>
        <v>1.4872686393599999</v>
      </c>
      <c r="BD24" s="519">
        <f>AW$24*I121</f>
        <v>3.3014304000000001E-2</v>
      </c>
      <c r="BE24" s="469">
        <v>66.099999999999994</v>
      </c>
      <c r="BF24" s="513">
        <f>BE24*BD24</f>
        <v>2.1822454944</v>
      </c>
      <c r="BH24" s="12"/>
      <c r="BI24" s="12"/>
      <c r="BJ24" s="12"/>
      <c r="BK24" s="12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77" t="s">
        <v>387</v>
      </c>
      <c r="BX24" s="608">
        <f t="shared" ref="BX24:CA26" si="26">BX14/$BX14</f>
        <v>1</v>
      </c>
      <c r="BY24" s="608">
        <f t="shared" si="26"/>
        <v>2.2368806688904002</v>
      </c>
      <c r="BZ24" s="608">
        <f t="shared" si="26"/>
        <v>3.1015340127518618</v>
      </c>
      <c r="CA24" s="608">
        <f t="shared" si="26"/>
        <v>6.1293985508360684</v>
      </c>
      <c r="CB24" s="612">
        <f t="shared" ref="CB24" si="27">CB14/$BX14</f>
        <v>23.93579452627597</v>
      </c>
      <c r="CC24" s="608"/>
      <c r="CD24" s="12"/>
      <c r="CE24" s="12"/>
      <c r="CF24" s="12"/>
      <c r="CG24" s="12"/>
    </row>
    <row r="25" spans="2:85" x14ac:dyDescent="0.25">
      <c r="B25" s="750"/>
      <c r="C25" s="338">
        <v>5413</v>
      </c>
      <c r="D25" s="338" t="s">
        <v>8</v>
      </c>
      <c r="E25" s="39">
        <v>61.6</v>
      </c>
      <c r="F25" s="40">
        <v>120</v>
      </c>
      <c r="G25" s="41">
        <v>66.3</v>
      </c>
      <c r="H25" s="41">
        <v>129.19999999999999</v>
      </c>
      <c r="I25" s="42">
        <v>53.1</v>
      </c>
      <c r="J25" s="43">
        <v>103.4</v>
      </c>
      <c r="K25" s="92">
        <v>6.6</v>
      </c>
      <c r="L25" s="44">
        <v>12.9</v>
      </c>
      <c r="Q25" s="733" t="s">
        <v>53</v>
      </c>
      <c r="R25" s="734"/>
      <c r="S25" s="466">
        <v>26.55</v>
      </c>
      <c r="T25" s="457">
        <v>86</v>
      </c>
      <c r="U25" s="457">
        <v>86</v>
      </c>
      <c r="V25" s="457">
        <v>86</v>
      </c>
      <c r="W25" s="457">
        <v>86</v>
      </c>
      <c r="X25" s="469">
        <v>60.5</v>
      </c>
      <c r="Y25" s="46">
        <f>S25+T25+U25+V25+W25+X25</f>
        <v>431.05</v>
      </c>
      <c r="Z25" s="466">
        <v>26.55</v>
      </c>
      <c r="AA25" s="465">
        <v>88.1</v>
      </c>
      <c r="AB25" s="465">
        <v>88.1</v>
      </c>
      <c r="AC25" s="465">
        <v>88.1</v>
      </c>
      <c r="AD25" s="465">
        <v>88.1</v>
      </c>
      <c r="AE25" s="469">
        <v>40.4</v>
      </c>
      <c r="AF25" s="46">
        <f>Z25+AA25+AB25+AC25+AD25+AE25</f>
        <v>419.35</v>
      </c>
      <c r="AG25" s="466">
        <v>26.55</v>
      </c>
      <c r="AH25" s="469">
        <v>66.099999999999994</v>
      </c>
      <c r="AI25" s="469">
        <v>66.099999999999994</v>
      </c>
      <c r="AJ25" s="469">
        <v>66.099999999999994</v>
      </c>
      <c r="AK25" s="469">
        <v>66.099999999999994</v>
      </c>
      <c r="AL25" s="469">
        <v>38.200000000000003</v>
      </c>
      <c r="AM25" s="47">
        <f>AG25+AH25+AI25+AJ25+AK25+AL25</f>
        <v>329.15</v>
      </c>
      <c r="AO25" s="750"/>
      <c r="AP25" s="721"/>
      <c r="AQ25" s="722"/>
      <c r="AR25" s="93">
        <v>1313</v>
      </c>
      <c r="AS25" s="597">
        <v>7313</v>
      </c>
      <c r="AT25" s="608">
        <f t="shared" si="21"/>
        <v>3</v>
      </c>
      <c r="AU25" s="608">
        <f>Hcol2/1000</f>
        <v>0.3</v>
      </c>
      <c r="AV25" s="597">
        <f>0.43*AT25</f>
        <v>1.29</v>
      </c>
      <c r="AW25" s="261">
        <f>(0.08*AV25*1000+0.022*Fyk*Phicol2)/1000</f>
        <v>0.23414400000000002</v>
      </c>
      <c r="AX25" s="494">
        <f t="shared" si="8"/>
        <v>7.9980000000000016E-3</v>
      </c>
      <c r="AY25" s="461">
        <v>76.7</v>
      </c>
      <c r="AZ25" s="495">
        <f t="shared" ref="AZ25:AZ46" si="28">AY25*AX25</f>
        <v>0.61344660000000018</v>
      </c>
      <c r="BA25" s="504">
        <f>AW$25*G127</f>
        <v>1.8005673600000001E-2</v>
      </c>
      <c r="BB25" s="465">
        <v>82.6</v>
      </c>
      <c r="BC25" s="504">
        <f t="shared" ref="BC25:BC45" si="29">BB25*BA25</f>
        <v>1.4872686393599999</v>
      </c>
      <c r="BD25" s="519">
        <f>AW$25*I127</f>
        <v>3.3014304000000001E-2</v>
      </c>
      <c r="BE25" s="469">
        <v>66.099999999999994</v>
      </c>
      <c r="BF25" s="513">
        <f t="shared" ref="BF25:BF46" si="30">BE25*BD25</f>
        <v>2.1822454944</v>
      </c>
      <c r="BH25" s="12"/>
      <c r="BI25" s="12"/>
      <c r="BJ25" s="12"/>
      <c r="BK25" s="12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77" t="s">
        <v>388</v>
      </c>
      <c r="BX25" s="608">
        <f t="shared" si="26"/>
        <v>1</v>
      </c>
      <c r="BY25" s="608">
        <f t="shared" si="26"/>
        <v>1.8704237931907128</v>
      </c>
      <c r="BZ25" s="608">
        <f t="shared" si="26"/>
        <v>2.1341064285018607</v>
      </c>
      <c r="CA25" s="608">
        <f t="shared" si="26"/>
        <v>3.2546286253279981</v>
      </c>
      <c r="CB25" s="612">
        <f t="shared" ref="CB25" si="31">CB15/$BX15</f>
        <v>31.173055708242387</v>
      </c>
      <c r="CC25" s="608"/>
      <c r="CD25" s="12"/>
      <c r="CE25" s="12"/>
      <c r="CF25" s="12"/>
      <c r="CG25" s="12"/>
    </row>
    <row r="26" spans="2:85" ht="15.75" thickBot="1" x14ac:dyDescent="0.3">
      <c r="B26" s="750"/>
      <c r="C26" s="338">
        <v>5414</v>
      </c>
      <c r="D26" s="338" t="s">
        <v>8</v>
      </c>
      <c r="E26" s="39">
        <v>61.6</v>
      </c>
      <c r="F26" s="40">
        <v>120</v>
      </c>
      <c r="G26" s="41">
        <v>66.3</v>
      </c>
      <c r="H26" s="41">
        <v>129.19999999999999</v>
      </c>
      <c r="I26" s="42">
        <v>53.1</v>
      </c>
      <c r="J26" s="43">
        <v>103.4</v>
      </c>
      <c r="K26" s="92">
        <v>6.6</v>
      </c>
      <c r="L26" s="44">
        <v>12.9</v>
      </c>
      <c r="Q26" s="764" t="s">
        <v>52</v>
      </c>
      <c r="R26" s="765"/>
      <c r="S26" s="467">
        <v>60.5</v>
      </c>
      <c r="T26" s="468">
        <v>100.9</v>
      </c>
      <c r="U26" s="468">
        <v>100.9</v>
      </c>
      <c r="V26" s="468">
        <v>100.9</v>
      </c>
      <c r="W26" s="468">
        <v>100.9</v>
      </c>
      <c r="X26" s="468">
        <v>60.5</v>
      </c>
      <c r="Y26" s="53">
        <f>S26+T26+U26+V26+W26+X26</f>
        <v>524.6</v>
      </c>
      <c r="Z26" s="472">
        <v>26.55</v>
      </c>
      <c r="AA26" s="468">
        <v>70.5</v>
      </c>
      <c r="AB26" s="468">
        <v>70.5</v>
      </c>
      <c r="AC26" s="468">
        <v>70.5</v>
      </c>
      <c r="AD26" s="468">
        <v>70.5</v>
      </c>
      <c r="AE26" s="468">
        <v>40.4</v>
      </c>
      <c r="AF26" s="53">
        <f>Z26+AA26+AB26+AC26+AD26+AE26</f>
        <v>348.95</v>
      </c>
      <c r="AG26" s="472">
        <v>26.55</v>
      </c>
      <c r="AH26" s="468">
        <v>66.099999999999994</v>
      </c>
      <c r="AI26" s="468">
        <v>66.099999999999994</v>
      </c>
      <c r="AJ26" s="468">
        <v>66.099999999999994</v>
      </c>
      <c r="AK26" s="468">
        <v>66.099999999999994</v>
      </c>
      <c r="AL26" s="468">
        <v>38.200000000000003</v>
      </c>
      <c r="AM26" s="54">
        <f>AG26+AH26+AI26+AJ26+AK26+AL26</f>
        <v>329.15</v>
      </c>
      <c r="AO26" s="750"/>
      <c r="AP26" s="721"/>
      <c r="AQ26" s="722"/>
      <c r="AR26" s="93">
        <v>1413</v>
      </c>
      <c r="AS26" s="597">
        <v>7413</v>
      </c>
      <c r="AT26" s="608">
        <f t="shared" si="21"/>
        <v>3</v>
      </c>
      <c r="AU26" s="608">
        <f>Hcol2/1000</f>
        <v>0.3</v>
      </c>
      <c r="AV26" s="597">
        <f>0.43*AT26</f>
        <v>1.29</v>
      </c>
      <c r="AW26" s="261">
        <f>(0.08*AV26*1000+0.022*Fyk*Phicol2)/1000</f>
        <v>0.23414400000000002</v>
      </c>
      <c r="AX26" s="494">
        <f t="shared" si="8"/>
        <v>7.9980000000000016E-3</v>
      </c>
      <c r="AY26" s="461">
        <v>76.7</v>
      </c>
      <c r="AZ26" s="495">
        <f t="shared" si="28"/>
        <v>0.61344660000000018</v>
      </c>
      <c r="BA26" s="504">
        <f>AW$26*G133</f>
        <v>1.8005673600000001E-2</v>
      </c>
      <c r="BB26" s="465">
        <v>82.6</v>
      </c>
      <c r="BC26" s="504">
        <f t="shared" si="29"/>
        <v>1.4872686393599999</v>
      </c>
      <c r="BD26" s="519">
        <f>AW$26*I133</f>
        <v>3.3014304000000001E-2</v>
      </c>
      <c r="BE26" s="469">
        <v>66.099999999999994</v>
      </c>
      <c r="BF26" s="513">
        <f t="shared" si="30"/>
        <v>2.1822454944</v>
      </c>
      <c r="BH26" s="12"/>
      <c r="BI26" s="12"/>
      <c r="BJ26" s="12"/>
      <c r="BK26" s="12"/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88" t="s">
        <v>389</v>
      </c>
      <c r="BX26" s="610">
        <f t="shared" si="26"/>
        <v>1</v>
      </c>
      <c r="BY26" s="610">
        <f t="shared" si="26"/>
        <v>2.7155463598138332</v>
      </c>
      <c r="BZ26" s="610">
        <f t="shared" si="26"/>
        <v>4.2275403485476293</v>
      </c>
      <c r="CA26" s="610">
        <f t="shared" si="26"/>
        <v>9.6735186968573252</v>
      </c>
      <c r="CB26" s="613">
        <f t="shared" ref="CB26" si="32">CB16/$BX16</f>
        <v>41.261172155664006</v>
      </c>
      <c r="CC26" s="608"/>
      <c r="CD26" s="12"/>
      <c r="CE26" s="12"/>
      <c r="CF26" s="12"/>
      <c r="CG26" s="12"/>
    </row>
    <row r="27" spans="2:85" x14ac:dyDescent="0.25">
      <c r="B27" s="750"/>
      <c r="C27" s="338">
        <v>5415</v>
      </c>
      <c r="D27" s="338" t="s">
        <v>8</v>
      </c>
      <c r="E27" s="39">
        <v>61.6</v>
      </c>
      <c r="F27" s="40">
        <v>120</v>
      </c>
      <c r="G27" s="41">
        <v>66.3</v>
      </c>
      <c r="H27" s="41">
        <v>129.19999999999999</v>
      </c>
      <c r="I27" s="42">
        <v>53.1</v>
      </c>
      <c r="J27" s="43">
        <v>103.4</v>
      </c>
      <c r="K27" s="92">
        <v>6.6</v>
      </c>
      <c r="L27" s="44">
        <v>12.9</v>
      </c>
      <c r="Q27" s="761" t="s">
        <v>5</v>
      </c>
      <c r="R27" s="701"/>
      <c r="S27" s="701">
        <v>4</v>
      </c>
      <c r="T27" s="701"/>
      <c r="U27" s="701"/>
      <c r="V27" s="701"/>
      <c r="W27" s="701"/>
      <c r="X27" s="701"/>
      <c r="Y27" s="701"/>
      <c r="Z27" s="701">
        <v>5</v>
      </c>
      <c r="AA27" s="701"/>
      <c r="AB27" s="701"/>
      <c r="AC27" s="701"/>
      <c r="AD27" s="701"/>
      <c r="AE27" s="701"/>
      <c r="AF27" s="701"/>
      <c r="AG27" s="701">
        <v>6</v>
      </c>
      <c r="AH27" s="701"/>
      <c r="AI27" s="701"/>
      <c r="AJ27" s="701"/>
      <c r="AK27" s="762"/>
      <c r="AL27" s="762"/>
      <c r="AM27" s="763"/>
      <c r="AO27" s="750"/>
      <c r="AP27" s="721"/>
      <c r="AQ27" s="722"/>
      <c r="AR27" s="93">
        <v>1513</v>
      </c>
      <c r="AS27" s="597">
        <v>7513</v>
      </c>
      <c r="AT27" s="608">
        <f t="shared" si="21"/>
        <v>3</v>
      </c>
      <c r="AU27" s="608">
        <f>Hcol2/1000</f>
        <v>0.3</v>
      </c>
      <c r="AV27" s="597">
        <f t="shared" ref="AV27:AV40" si="33">0.43*AT27</f>
        <v>1.29</v>
      </c>
      <c r="AW27" s="261">
        <f>(0.08*AV27*1000+0.022*Fyk*Phicol2)/1000</f>
        <v>0.23414400000000002</v>
      </c>
      <c r="AX27" s="494">
        <f t="shared" si="8"/>
        <v>7.9980000000000016E-3</v>
      </c>
      <c r="AY27" s="461">
        <v>76.7</v>
      </c>
      <c r="AZ27" s="495">
        <f t="shared" si="28"/>
        <v>0.61344660000000018</v>
      </c>
      <c r="BA27" s="504">
        <f>AW$27*G139</f>
        <v>1.8005673600000001E-2</v>
      </c>
      <c r="BB27" s="465">
        <v>82.6</v>
      </c>
      <c r="BC27" s="504">
        <f t="shared" si="29"/>
        <v>1.4872686393599999</v>
      </c>
      <c r="BD27" s="519">
        <f>AW$27*I139</f>
        <v>3.3014304000000001E-2</v>
      </c>
      <c r="BE27" s="469">
        <v>66.099999999999994</v>
      </c>
      <c r="BF27" s="513">
        <f t="shared" si="30"/>
        <v>2.1822454944</v>
      </c>
      <c r="BH27" s="12"/>
      <c r="BI27" s="12"/>
      <c r="BJ27" s="12"/>
      <c r="BK27" s="12"/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12"/>
      <c r="BX27" s="12"/>
      <c r="BY27" s="12"/>
      <c r="BZ27" s="12"/>
      <c r="CA27" s="12"/>
      <c r="CB27" s="12"/>
      <c r="CC27" s="12"/>
      <c r="CD27" s="12"/>
      <c r="CE27" s="12"/>
      <c r="CF27" s="12"/>
      <c r="CG27" s="12"/>
    </row>
    <row r="28" spans="2:85" x14ac:dyDescent="0.25">
      <c r="B28" s="750"/>
      <c r="C28" s="338">
        <v>5416</v>
      </c>
      <c r="D28" s="338" t="s">
        <v>8</v>
      </c>
      <c r="E28" s="39">
        <v>61.6</v>
      </c>
      <c r="F28" s="40">
        <v>120</v>
      </c>
      <c r="G28" s="41">
        <v>66.3</v>
      </c>
      <c r="H28" s="41">
        <v>129.19999999999999</v>
      </c>
      <c r="I28" s="42">
        <v>53.1</v>
      </c>
      <c r="J28" s="43">
        <v>103.4</v>
      </c>
      <c r="K28" s="92">
        <v>6.6</v>
      </c>
      <c r="L28" s="44">
        <v>12.9</v>
      </c>
      <c r="Q28" s="748" t="s">
        <v>38</v>
      </c>
      <c r="R28" s="696"/>
      <c r="S28" s="35" t="s">
        <v>419</v>
      </c>
      <c r="T28" s="35" t="s">
        <v>420</v>
      </c>
      <c r="U28" s="35" t="s">
        <v>421</v>
      </c>
      <c r="V28" s="36" t="s">
        <v>422</v>
      </c>
      <c r="W28" s="35" t="s">
        <v>423</v>
      </c>
      <c r="X28" s="35" t="s">
        <v>424</v>
      </c>
      <c r="Y28" s="35" t="s">
        <v>54</v>
      </c>
      <c r="Z28" s="35" t="s">
        <v>425</v>
      </c>
      <c r="AA28" s="35" t="s">
        <v>426</v>
      </c>
      <c r="AB28" s="35" t="s">
        <v>427</v>
      </c>
      <c r="AC28" s="36" t="s">
        <v>428</v>
      </c>
      <c r="AD28" s="35" t="s">
        <v>429</v>
      </c>
      <c r="AE28" s="35" t="s">
        <v>430</v>
      </c>
      <c r="AF28" s="35" t="s">
        <v>54</v>
      </c>
      <c r="AG28" s="35" t="s">
        <v>431</v>
      </c>
      <c r="AH28" s="35" t="s">
        <v>432</v>
      </c>
      <c r="AI28" s="35" t="s">
        <v>433</v>
      </c>
      <c r="AJ28" s="36" t="s">
        <v>434</v>
      </c>
      <c r="AK28" s="35" t="s">
        <v>435</v>
      </c>
      <c r="AL28" s="35" t="s">
        <v>436</v>
      </c>
      <c r="AM28" s="37" t="s">
        <v>54</v>
      </c>
      <c r="AO28" s="750"/>
      <c r="AP28" s="721"/>
      <c r="AQ28" s="722"/>
      <c r="AR28" s="93">
        <v>1613</v>
      </c>
      <c r="AS28" s="597">
        <v>7613</v>
      </c>
      <c r="AT28" s="608">
        <f t="shared" si="21"/>
        <v>3</v>
      </c>
      <c r="AU28" s="608">
        <f>Hcol1/1000</f>
        <v>0.25</v>
      </c>
      <c r="AV28" s="597">
        <f t="shared" si="33"/>
        <v>1.29</v>
      </c>
      <c r="AW28" s="261">
        <f>(0.08*AV28*1000+0.022*Fyk*Phicol1)/1000</f>
        <v>0.23414400000000002</v>
      </c>
      <c r="AX28" s="494">
        <f t="shared" si="8"/>
        <v>9.5976000000000013E-3</v>
      </c>
      <c r="AY28" s="461">
        <v>44.4</v>
      </c>
      <c r="AZ28" s="495">
        <f t="shared" si="28"/>
        <v>0.42613344000000003</v>
      </c>
      <c r="BA28" s="504">
        <f>AW$28*G145</f>
        <v>2.35783008E-2</v>
      </c>
      <c r="BB28" s="465">
        <v>47.8</v>
      </c>
      <c r="BC28" s="504">
        <f t="shared" si="29"/>
        <v>1.1270427782399999</v>
      </c>
      <c r="BD28" s="519">
        <f>AW$28*I145</f>
        <v>4.7882448000000001E-2</v>
      </c>
      <c r="BE28" s="469">
        <v>38.200000000000003</v>
      </c>
      <c r="BF28" s="513">
        <f t="shared" si="30"/>
        <v>1.8291095136000002</v>
      </c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12"/>
      <c r="BX28" s="12"/>
      <c r="BY28" s="12"/>
      <c r="BZ28" s="12"/>
      <c r="CA28" s="12"/>
      <c r="CB28" s="12"/>
      <c r="CC28" s="12"/>
      <c r="CD28" s="12"/>
      <c r="CE28" s="12"/>
      <c r="CF28" s="12"/>
      <c r="CG28" s="12"/>
    </row>
    <row r="29" spans="2:85" ht="15.75" customHeight="1" x14ac:dyDescent="0.25">
      <c r="B29" s="751">
        <v>5</v>
      </c>
      <c r="C29" s="336">
        <v>5511</v>
      </c>
      <c r="D29" s="336" t="s">
        <v>8</v>
      </c>
      <c r="E29" s="67">
        <v>61.6</v>
      </c>
      <c r="F29" s="68">
        <v>120</v>
      </c>
      <c r="G29" s="69">
        <v>66.3</v>
      </c>
      <c r="H29" s="69">
        <v>129.19999999999999</v>
      </c>
      <c r="I29" s="70">
        <v>53.1</v>
      </c>
      <c r="J29" s="71">
        <v>103.4</v>
      </c>
      <c r="K29" s="307">
        <v>6.6</v>
      </c>
      <c r="L29" s="72">
        <v>12.9</v>
      </c>
      <c r="Q29" s="733" t="s">
        <v>53</v>
      </c>
      <c r="R29" s="734"/>
      <c r="S29" s="466">
        <v>26.55</v>
      </c>
      <c r="T29" s="469">
        <v>41.9</v>
      </c>
      <c r="U29" s="469">
        <v>41.9</v>
      </c>
      <c r="V29" s="469">
        <v>41.9</v>
      </c>
      <c r="W29" s="469">
        <v>41.9</v>
      </c>
      <c r="X29" s="469">
        <v>35.1</v>
      </c>
      <c r="Y29" s="46">
        <f>S29+T29+U29+V29+W29+X29</f>
        <v>229.25</v>
      </c>
      <c r="Z29" s="466">
        <v>26.7</v>
      </c>
      <c r="AA29" s="469">
        <v>37.799999999999997</v>
      </c>
      <c r="AB29" s="469">
        <v>37.799999999999997</v>
      </c>
      <c r="AC29" s="469">
        <v>37.799999999999997</v>
      </c>
      <c r="AD29" s="469">
        <v>37.799999999999997</v>
      </c>
      <c r="AE29" s="469">
        <v>31</v>
      </c>
      <c r="AF29" s="46">
        <f>Z29+AA29+AB29+AC29+AD29+AE29</f>
        <v>208.89999999999998</v>
      </c>
      <c r="AG29" s="470">
        <v>26.4</v>
      </c>
      <c r="AH29" s="469">
        <v>30.6</v>
      </c>
      <c r="AI29" s="469">
        <v>30.6</v>
      </c>
      <c r="AJ29" s="469">
        <v>30.6</v>
      </c>
      <c r="AK29" s="469">
        <v>30.6</v>
      </c>
      <c r="AL29" s="469">
        <v>26.4</v>
      </c>
      <c r="AM29" s="47">
        <f>AG29+AH29+AI29+AJ29+AK29+AL29</f>
        <v>175.2</v>
      </c>
      <c r="AO29" s="751">
        <v>2</v>
      </c>
      <c r="AP29" s="836" t="s">
        <v>38</v>
      </c>
      <c r="AQ29" s="837"/>
      <c r="AR29" s="87">
        <v>1112</v>
      </c>
      <c r="AS29" s="599">
        <v>7112</v>
      </c>
      <c r="AT29" s="607">
        <f t="shared" ref="AT29:AT34" si="34">hstr2</f>
        <v>3</v>
      </c>
      <c r="AU29" s="607">
        <f>Hcol1/1000</f>
        <v>0.25</v>
      </c>
      <c r="AV29" s="599">
        <f t="shared" si="33"/>
        <v>1.29</v>
      </c>
      <c r="AW29" s="313">
        <f>(0.08*AV29*1000+0.022*Fyk*Phicol1)/1000</f>
        <v>0.23414400000000002</v>
      </c>
      <c r="AX29" s="486">
        <f t="shared" si="8"/>
        <v>9.5976000000000013E-3</v>
      </c>
      <c r="AY29" s="487">
        <v>46.9</v>
      </c>
      <c r="AZ29" s="499">
        <f t="shared" si="28"/>
        <v>0.45012744000000005</v>
      </c>
      <c r="BA29" s="486">
        <f t="shared" ref="BA29:BB29" si="35">AX29</f>
        <v>9.5976000000000013E-3</v>
      </c>
      <c r="BB29" s="487">
        <f t="shared" si="35"/>
        <v>46.9</v>
      </c>
      <c r="BC29" s="488">
        <f>BA29*BB29</f>
        <v>0.45012744000000005</v>
      </c>
      <c r="BD29" s="499">
        <f t="shared" ref="BD29:BE29" si="36">AX29</f>
        <v>9.5976000000000013E-3</v>
      </c>
      <c r="BE29" s="487">
        <f t="shared" si="36"/>
        <v>46.9</v>
      </c>
      <c r="BF29" s="500">
        <f>BD29*BE29</f>
        <v>0.45012744000000005</v>
      </c>
      <c r="BH29" s="12"/>
      <c r="BI29" s="12"/>
      <c r="BJ29" s="12"/>
      <c r="BK29" s="12"/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12"/>
      <c r="CF29" s="12"/>
      <c r="CG29" s="12"/>
    </row>
    <row r="30" spans="2:85" ht="15.75" customHeight="1" thickBot="1" x14ac:dyDescent="0.3">
      <c r="B30" s="750"/>
      <c r="C30" s="338">
        <v>5512</v>
      </c>
      <c r="D30" s="338" t="s">
        <v>8</v>
      </c>
      <c r="E30" s="39">
        <v>61.6</v>
      </c>
      <c r="F30" s="40">
        <v>120</v>
      </c>
      <c r="G30" s="41">
        <v>66.3</v>
      </c>
      <c r="H30" s="41">
        <v>129.19999999999999</v>
      </c>
      <c r="I30" s="42">
        <v>53.1</v>
      </c>
      <c r="J30" s="43">
        <v>103.4</v>
      </c>
      <c r="K30" s="92">
        <v>6.6</v>
      </c>
      <c r="L30" s="44">
        <v>12.9</v>
      </c>
      <c r="Q30" s="764" t="s">
        <v>52</v>
      </c>
      <c r="R30" s="765"/>
      <c r="S30" s="472">
        <v>26.55</v>
      </c>
      <c r="T30" s="468">
        <v>41.9</v>
      </c>
      <c r="U30" s="468">
        <v>41.9</v>
      </c>
      <c r="V30" s="468">
        <v>41.9</v>
      </c>
      <c r="W30" s="468">
        <v>41.9</v>
      </c>
      <c r="X30" s="468">
        <v>35.1</v>
      </c>
      <c r="Y30" s="53">
        <f>S30+T30+U30+V30+W30+X30</f>
        <v>229.25</v>
      </c>
      <c r="Z30" s="472">
        <v>26.55</v>
      </c>
      <c r="AA30" s="468">
        <v>37.799999999999997</v>
      </c>
      <c r="AB30" s="468">
        <v>37.799999999999997</v>
      </c>
      <c r="AC30" s="468">
        <v>37.799999999999997</v>
      </c>
      <c r="AD30" s="468">
        <v>37.799999999999997</v>
      </c>
      <c r="AE30" s="468">
        <v>31</v>
      </c>
      <c r="AF30" s="53">
        <f>Z30+AA30+AB30+AC30+AD30+AE30</f>
        <v>208.75</v>
      </c>
      <c r="AG30" s="467">
        <v>26.4</v>
      </c>
      <c r="AH30" s="468">
        <v>30.6</v>
      </c>
      <c r="AI30" s="468">
        <v>30.6</v>
      </c>
      <c r="AJ30" s="468">
        <v>30.6</v>
      </c>
      <c r="AK30" s="468">
        <v>30.6</v>
      </c>
      <c r="AL30" s="468">
        <v>26.4</v>
      </c>
      <c r="AM30" s="54">
        <f>AG30+AH30+AI30+AJ30+AK30+AL30</f>
        <v>175.2</v>
      </c>
      <c r="AO30" s="750"/>
      <c r="AP30" s="721"/>
      <c r="AQ30" s="722"/>
      <c r="AR30" s="93">
        <v>1212</v>
      </c>
      <c r="AS30" s="597">
        <v>7212</v>
      </c>
      <c r="AT30" s="608">
        <f t="shared" si="34"/>
        <v>3</v>
      </c>
      <c r="AU30" s="608">
        <f>Hcol2/1000</f>
        <v>0.3</v>
      </c>
      <c r="AV30" s="597">
        <f t="shared" si="33"/>
        <v>1.29</v>
      </c>
      <c r="AW30" s="261">
        <f>(0.08*AV30*1000+0.022*Fyk*Phicol2)/1000</f>
        <v>0.23414400000000002</v>
      </c>
      <c r="AX30" s="494">
        <f t="shared" si="8"/>
        <v>7.9980000000000016E-3</v>
      </c>
      <c r="AY30" s="461">
        <v>81.8</v>
      </c>
      <c r="AZ30" s="503">
        <f t="shared" si="28"/>
        <v>0.65423640000000016</v>
      </c>
      <c r="BA30" s="494">
        <f>AW$30*G120</f>
        <v>2.0862230400000001E-2</v>
      </c>
      <c r="BB30" s="461">
        <v>88.1</v>
      </c>
      <c r="BC30" s="495">
        <f>BA30*BB30</f>
        <v>1.83796249824</v>
      </c>
      <c r="BD30" s="504">
        <f t="shared" ref="BD30:BE33" si="37">BA30</f>
        <v>2.0862230400000001E-2</v>
      </c>
      <c r="BE30" s="465">
        <f t="shared" si="37"/>
        <v>88.1</v>
      </c>
      <c r="BF30" s="505">
        <f>BE30*BD30</f>
        <v>1.83796249824</v>
      </c>
      <c r="BH30" s="12"/>
      <c r="BI30" s="12"/>
      <c r="BJ30" s="12"/>
      <c r="BK30" s="12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12"/>
      <c r="CF30" s="12"/>
      <c r="CG30" s="12"/>
    </row>
    <row r="31" spans="2:85" ht="15" customHeight="1" thickBot="1" x14ac:dyDescent="0.3">
      <c r="B31" s="750"/>
      <c r="C31" s="338">
        <v>5513</v>
      </c>
      <c r="D31" s="338" t="s">
        <v>8</v>
      </c>
      <c r="E31" s="39">
        <v>61.6</v>
      </c>
      <c r="F31" s="40">
        <v>120</v>
      </c>
      <c r="G31" s="41">
        <v>66.3</v>
      </c>
      <c r="H31" s="41">
        <v>129.19999999999999</v>
      </c>
      <c r="I31" s="42">
        <v>53.1</v>
      </c>
      <c r="J31" s="43">
        <v>103.4</v>
      </c>
      <c r="K31" s="92">
        <v>6.6</v>
      </c>
      <c r="L31" s="44">
        <v>12.9</v>
      </c>
      <c r="Q31" s="100"/>
      <c r="R31" s="100"/>
      <c r="S31" s="118"/>
      <c r="T31" s="118"/>
      <c r="U31" s="118"/>
      <c r="V31" s="118"/>
      <c r="W31" s="118"/>
      <c r="X31" s="118"/>
      <c r="Y31" s="118"/>
      <c r="Z31" s="118"/>
      <c r="AA31" s="118"/>
      <c r="AB31" s="118"/>
      <c r="AC31" s="118"/>
      <c r="AD31" s="118"/>
      <c r="AE31" s="118"/>
      <c r="AF31" s="118"/>
      <c r="AG31" s="118"/>
      <c r="AH31" s="118"/>
      <c r="AI31" s="118"/>
      <c r="AJ31" s="118"/>
      <c r="AK31" s="118"/>
      <c r="AL31" s="118"/>
      <c r="AM31" s="118"/>
      <c r="AO31" s="750"/>
      <c r="AP31" s="721"/>
      <c r="AQ31" s="722"/>
      <c r="AR31" s="93">
        <v>1312</v>
      </c>
      <c r="AS31" s="597">
        <v>7312</v>
      </c>
      <c r="AT31" s="608">
        <f t="shared" si="34"/>
        <v>3</v>
      </c>
      <c r="AU31" s="608">
        <f>Hcol2/1000</f>
        <v>0.3</v>
      </c>
      <c r="AV31" s="597">
        <f t="shared" si="33"/>
        <v>1.29</v>
      </c>
      <c r="AW31" s="261">
        <f>(0.08*AV31*1000+0.022*Fyk*Phicol2)/1000</f>
        <v>0.23414400000000002</v>
      </c>
      <c r="AX31" s="494">
        <f t="shared" si="8"/>
        <v>7.9980000000000016E-3</v>
      </c>
      <c r="AY31" s="461">
        <v>81.8</v>
      </c>
      <c r="AZ31" s="503">
        <f t="shared" si="28"/>
        <v>0.65423640000000016</v>
      </c>
      <c r="BA31" s="494">
        <f>AW$31*G126</f>
        <v>2.0862230400000001E-2</v>
      </c>
      <c r="BB31" s="461">
        <v>88.1</v>
      </c>
      <c r="BC31" s="495">
        <f>BA31*BB31</f>
        <v>1.83796249824</v>
      </c>
      <c r="BD31" s="504">
        <f t="shared" si="37"/>
        <v>2.0862230400000001E-2</v>
      </c>
      <c r="BE31" s="465">
        <f t="shared" si="37"/>
        <v>88.1</v>
      </c>
      <c r="BF31" s="505">
        <f>BE31*BD31</f>
        <v>1.83796249824</v>
      </c>
      <c r="BH31" s="12"/>
      <c r="BI31" s="12"/>
      <c r="BJ31" s="12"/>
      <c r="BK31" s="12"/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12"/>
      <c r="CF31" s="12"/>
      <c r="CG31" s="12"/>
    </row>
    <row r="32" spans="2:85" ht="15.75" customHeight="1" thickBot="1" x14ac:dyDescent="0.3">
      <c r="B32" s="750"/>
      <c r="C32" s="338">
        <v>5514</v>
      </c>
      <c r="D32" s="338" t="s">
        <v>8</v>
      </c>
      <c r="E32" s="39">
        <v>61.6</v>
      </c>
      <c r="F32" s="40">
        <v>120</v>
      </c>
      <c r="G32" s="41">
        <v>66.3</v>
      </c>
      <c r="H32" s="41">
        <v>129.19999999999999</v>
      </c>
      <c r="I32" s="42">
        <v>53.1</v>
      </c>
      <c r="J32" s="43">
        <v>103.4</v>
      </c>
      <c r="K32" s="92">
        <v>6.6</v>
      </c>
      <c r="L32" s="44">
        <v>12.9</v>
      </c>
      <c r="Q32" s="753" t="s">
        <v>287</v>
      </c>
      <c r="R32" s="754"/>
      <c r="S32" s="754"/>
      <c r="T32" s="754"/>
      <c r="U32" s="754"/>
      <c r="V32" s="754"/>
      <c r="W32" s="754"/>
      <c r="X32" s="754"/>
      <c r="Y32" s="754"/>
      <c r="Z32" s="754"/>
      <c r="AA32" s="754"/>
      <c r="AB32" s="754"/>
      <c r="AC32" s="754"/>
      <c r="AD32" s="754"/>
      <c r="AE32" s="754"/>
      <c r="AF32" s="754"/>
      <c r="AG32" s="754"/>
      <c r="AH32" s="754"/>
      <c r="AI32" s="754"/>
      <c r="AJ32" s="754"/>
      <c r="AK32" s="755"/>
      <c r="AL32" s="755"/>
      <c r="AM32" s="756"/>
      <c r="AO32" s="750"/>
      <c r="AP32" s="721"/>
      <c r="AQ32" s="722"/>
      <c r="AR32" s="93">
        <v>1412</v>
      </c>
      <c r="AS32" s="597">
        <v>7412</v>
      </c>
      <c r="AT32" s="608">
        <f t="shared" si="34"/>
        <v>3</v>
      </c>
      <c r="AU32" s="608">
        <f>Hcol2/1000</f>
        <v>0.3</v>
      </c>
      <c r="AV32" s="597">
        <f t="shared" si="33"/>
        <v>1.29</v>
      </c>
      <c r="AW32" s="261">
        <f>(0.08*AV32*1000+0.022*Fyk*Phicol2)/1000</f>
        <v>0.23414400000000002</v>
      </c>
      <c r="AX32" s="494">
        <f t="shared" si="8"/>
        <v>7.9980000000000016E-3</v>
      </c>
      <c r="AY32" s="461">
        <v>81.8</v>
      </c>
      <c r="AZ32" s="503">
        <f t="shared" si="28"/>
        <v>0.65423640000000016</v>
      </c>
      <c r="BA32" s="494">
        <f>AW32*G132</f>
        <v>2.0862230400000001E-2</v>
      </c>
      <c r="BB32" s="461">
        <v>88.1</v>
      </c>
      <c r="BC32" s="495">
        <f>BA32*BB32</f>
        <v>1.83796249824</v>
      </c>
      <c r="BD32" s="504">
        <f t="shared" si="37"/>
        <v>2.0862230400000001E-2</v>
      </c>
      <c r="BE32" s="465">
        <f t="shared" si="37"/>
        <v>88.1</v>
      </c>
      <c r="BF32" s="505">
        <f>BE32*BD32</f>
        <v>1.83796249824</v>
      </c>
      <c r="BH32" s="12"/>
      <c r="BI32" s="12"/>
      <c r="BJ32" s="12"/>
      <c r="BK32" s="12"/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12"/>
      <c r="CF32" s="12"/>
      <c r="CG32" s="12"/>
    </row>
    <row r="33" spans="2:85" ht="15.75" customHeight="1" x14ac:dyDescent="0.25">
      <c r="B33" s="750"/>
      <c r="C33" s="338">
        <v>5515</v>
      </c>
      <c r="D33" s="338" t="s">
        <v>8</v>
      </c>
      <c r="E33" s="39">
        <v>61.6</v>
      </c>
      <c r="F33" s="40">
        <v>120</v>
      </c>
      <c r="G33" s="41">
        <v>66.3</v>
      </c>
      <c r="H33" s="41">
        <v>129.19999999999999</v>
      </c>
      <c r="I33" s="42">
        <v>53.1</v>
      </c>
      <c r="J33" s="43">
        <v>103.4</v>
      </c>
      <c r="K33" s="92">
        <v>6.6</v>
      </c>
      <c r="L33" s="44">
        <v>12.9</v>
      </c>
      <c r="Q33" s="761" t="s">
        <v>5</v>
      </c>
      <c r="R33" s="701"/>
      <c r="S33" s="701">
        <v>1</v>
      </c>
      <c r="T33" s="701"/>
      <c r="U33" s="701"/>
      <c r="V33" s="701"/>
      <c r="W33" s="701"/>
      <c r="X33" s="701"/>
      <c r="Y33" s="701"/>
      <c r="Z33" s="701">
        <v>2</v>
      </c>
      <c r="AA33" s="701"/>
      <c r="AB33" s="701"/>
      <c r="AC33" s="701"/>
      <c r="AD33" s="701"/>
      <c r="AE33" s="701"/>
      <c r="AF33" s="701"/>
      <c r="AG33" s="701">
        <v>3</v>
      </c>
      <c r="AH33" s="701"/>
      <c r="AI33" s="701"/>
      <c r="AJ33" s="701"/>
      <c r="AK33" s="762"/>
      <c r="AL33" s="762"/>
      <c r="AM33" s="763"/>
      <c r="AO33" s="750"/>
      <c r="AP33" s="721"/>
      <c r="AQ33" s="722"/>
      <c r="AR33" s="93">
        <v>1512</v>
      </c>
      <c r="AS33" s="597">
        <v>7512</v>
      </c>
      <c r="AT33" s="608">
        <f t="shared" si="34"/>
        <v>3</v>
      </c>
      <c r="AU33" s="608">
        <f>Hcol2/1000</f>
        <v>0.3</v>
      </c>
      <c r="AV33" s="597">
        <f t="shared" si="33"/>
        <v>1.29</v>
      </c>
      <c r="AW33" s="261">
        <f>(0.08*AV33*1000+0.022*Fyk*Phicol2)/1000</f>
        <v>0.23414400000000002</v>
      </c>
      <c r="AX33" s="494">
        <f t="shared" si="8"/>
        <v>7.9980000000000016E-3</v>
      </c>
      <c r="AY33" s="461">
        <v>81.8</v>
      </c>
      <c r="AZ33" s="503">
        <f t="shared" si="28"/>
        <v>0.65423640000000016</v>
      </c>
      <c r="BA33" s="494">
        <f>AW$33*G138</f>
        <v>2.0862230400000001E-2</v>
      </c>
      <c r="BB33" s="461">
        <v>88.1</v>
      </c>
      <c r="BC33" s="495">
        <f>BA33*BB33</f>
        <v>1.83796249824</v>
      </c>
      <c r="BD33" s="504">
        <f t="shared" si="37"/>
        <v>2.0862230400000001E-2</v>
      </c>
      <c r="BE33" s="465">
        <f t="shared" si="37"/>
        <v>88.1</v>
      </c>
      <c r="BF33" s="505">
        <f>BE33*BD33</f>
        <v>1.83796249824</v>
      </c>
      <c r="BH33" s="12"/>
      <c r="BI33" s="12"/>
      <c r="BJ33" s="12"/>
      <c r="BK33" s="12"/>
      <c r="BL33" s="12"/>
      <c r="BM33" s="12"/>
      <c r="BN33" s="12"/>
      <c r="BO33" s="12"/>
      <c r="BP33" s="12"/>
      <c r="BQ33" s="12"/>
      <c r="BR33" s="12"/>
      <c r="BS33" s="12"/>
      <c r="BT33" s="12"/>
      <c r="BU33" s="12"/>
      <c r="BV33" s="12"/>
      <c r="BW33" s="12"/>
      <c r="BX33" s="12"/>
      <c r="BY33" s="12"/>
      <c r="BZ33" s="12"/>
      <c r="CA33" s="12"/>
      <c r="CB33" s="12"/>
      <c r="CC33" s="12"/>
      <c r="CD33" s="12"/>
      <c r="CE33" s="12"/>
      <c r="CF33" s="12"/>
      <c r="CG33" s="12"/>
    </row>
    <row r="34" spans="2:85" ht="15.75" customHeight="1" thickBot="1" x14ac:dyDescent="0.3">
      <c r="B34" s="752"/>
      <c r="C34" s="340">
        <v>5516</v>
      </c>
      <c r="D34" s="340" t="s">
        <v>8</v>
      </c>
      <c r="E34" s="81">
        <v>61.6</v>
      </c>
      <c r="F34" s="82">
        <v>120</v>
      </c>
      <c r="G34" s="83">
        <v>66.3</v>
      </c>
      <c r="H34" s="83">
        <v>129.19999999999999</v>
      </c>
      <c r="I34" s="84">
        <v>53.1</v>
      </c>
      <c r="J34" s="85">
        <v>103.4</v>
      </c>
      <c r="K34" s="312">
        <v>6.6</v>
      </c>
      <c r="L34" s="86">
        <v>12.9</v>
      </c>
      <c r="Q34" s="748" t="s">
        <v>38</v>
      </c>
      <c r="R34" s="696"/>
      <c r="S34" s="35" t="s">
        <v>39</v>
      </c>
      <c r="T34" s="35" t="s">
        <v>40</v>
      </c>
      <c r="U34" s="35" t="s">
        <v>41</v>
      </c>
      <c r="V34" s="36" t="s">
        <v>42</v>
      </c>
      <c r="W34" s="35" t="s">
        <v>404</v>
      </c>
      <c r="X34" s="35" t="s">
        <v>405</v>
      </c>
      <c r="Y34" s="35" t="s">
        <v>54</v>
      </c>
      <c r="Z34" s="35" t="s">
        <v>43</v>
      </c>
      <c r="AA34" s="35" t="s">
        <v>44</v>
      </c>
      <c r="AB34" s="35" t="s">
        <v>45</v>
      </c>
      <c r="AC34" s="36" t="s">
        <v>46</v>
      </c>
      <c r="AD34" s="35" t="s">
        <v>402</v>
      </c>
      <c r="AE34" s="35" t="s">
        <v>403</v>
      </c>
      <c r="AF34" s="35" t="s">
        <v>54</v>
      </c>
      <c r="AG34" s="35" t="s">
        <v>47</v>
      </c>
      <c r="AH34" s="35" t="s">
        <v>48</v>
      </c>
      <c r="AI34" s="35" t="s">
        <v>49</v>
      </c>
      <c r="AJ34" s="36" t="s">
        <v>50</v>
      </c>
      <c r="AK34" s="35" t="s">
        <v>406</v>
      </c>
      <c r="AL34" s="35" t="s">
        <v>407</v>
      </c>
      <c r="AM34" s="37" t="s">
        <v>54</v>
      </c>
      <c r="AO34" s="842"/>
      <c r="AP34" s="840"/>
      <c r="AQ34" s="841"/>
      <c r="AR34" s="306">
        <v>1612</v>
      </c>
      <c r="AS34" s="600">
        <v>7612</v>
      </c>
      <c r="AT34" s="609">
        <f t="shared" si="34"/>
        <v>3</v>
      </c>
      <c r="AU34" s="609">
        <f>Hcol1/1000</f>
        <v>0.25</v>
      </c>
      <c r="AV34" s="600">
        <f t="shared" si="33"/>
        <v>1.29</v>
      </c>
      <c r="AW34" s="263">
        <f>(0.08*AV34*1000+0.022*Fyk*Phicol1)/1000</f>
        <v>0.23414400000000002</v>
      </c>
      <c r="AX34" s="517">
        <f t="shared" si="8"/>
        <v>9.5976000000000013E-3</v>
      </c>
      <c r="AY34" s="496">
        <v>46.9</v>
      </c>
      <c r="AZ34" s="555">
        <f t="shared" si="28"/>
        <v>0.45012744000000005</v>
      </c>
      <c r="BA34" s="557">
        <f>AW$34*G144</f>
        <v>1.9831996800000001E-2</v>
      </c>
      <c r="BB34" s="509">
        <v>50.5</v>
      </c>
      <c r="BC34" s="558">
        <f>BB34*BA34</f>
        <v>1.0015158384</v>
      </c>
      <c r="BD34" s="556">
        <f>AW$34*I144</f>
        <v>3.9640579200000005E-2</v>
      </c>
      <c r="BE34" s="514">
        <v>40.4</v>
      </c>
      <c r="BF34" s="515">
        <f t="shared" si="30"/>
        <v>1.6014793996800001</v>
      </c>
      <c r="BH34" s="12"/>
      <c r="BI34" s="12"/>
      <c r="BJ34" s="12"/>
      <c r="BK34" s="12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12"/>
      <c r="CF34" s="12"/>
      <c r="CG34" s="12"/>
    </row>
    <row r="35" spans="2:85" ht="15" customHeight="1" thickBot="1" x14ac:dyDescent="0.3">
      <c r="Q35" s="733" t="s">
        <v>53</v>
      </c>
      <c r="R35" s="734"/>
      <c r="S35" s="466">
        <v>3.3</v>
      </c>
      <c r="T35" s="457">
        <v>10.7</v>
      </c>
      <c r="U35" s="457">
        <v>10.7</v>
      </c>
      <c r="V35" s="457">
        <v>10.7</v>
      </c>
      <c r="W35" s="457">
        <v>10.7</v>
      </c>
      <c r="X35" s="475">
        <v>7.6</v>
      </c>
      <c r="Y35" s="46">
        <f>S35+T35+U35+V35+W35+X35</f>
        <v>53.699999999999996</v>
      </c>
      <c r="Z35" s="466">
        <v>3.3</v>
      </c>
      <c r="AA35" s="469">
        <v>70.5</v>
      </c>
      <c r="AB35" s="469">
        <v>70.5</v>
      </c>
      <c r="AC35" s="469">
        <v>70.5</v>
      </c>
      <c r="AD35" s="469">
        <v>70.5</v>
      </c>
      <c r="AE35" s="475">
        <v>5.0999999999999996</v>
      </c>
      <c r="AF35" s="46">
        <f>Z35+AA35+AB35+AC35+AD35+AE35</f>
        <v>290.40000000000003</v>
      </c>
      <c r="AG35" s="466">
        <v>3.3</v>
      </c>
      <c r="AH35" s="475">
        <v>8.3000000000000007</v>
      </c>
      <c r="AI35" s="475">
        <v>8.3000000000000007</v>
      </c>
      <c r="AJ35" s="475">
        <v>8.3000000000000007</v>
      </c>
      <c r="AK35" s="475">
        <v>8.3000000000000007</v>
      </c>
      <c r="AL35" s="475">
        <v>4.8</v>
      </c>
      <c r="AM35" s="47">
        <f>AG35+AH35+AI35+AJ35+AK35+AL35</f>
        <v>41.3</v>
      </c>
      <c r="AO35" s="750">
        <v>1</v>
      </c>
      <c r="AP35" s="721" t="s">
        <v>38</v>
      </c>
      <c r="AQ35" s="722"/>
      <c r="AR35" s="93">
        <v>1111</v>
      </c>
      <c r="AS35" s="597">
        <v>7111</v>
      </c>
      <c r="AT35" s="608">
        <f t="shared" ref="AT35:AT46" si="38">hstr1</f>
        <v>2.75</v>
      </c>
      <c r="AU35" s="608">
        <f>Hcol2/1000</f>
        <v>0.3</v>
      </c>
      <c r="AV35" s="597">
        <f t="shared" si="33"/>
        <v>1.1824999999999999</v>
      </c>
      <c r="AW35" s="261">
        <f>(0.08*AV35*1000+0.022*Fyk*Phicol2)/1000</f>
        <v>0.22554399999999999</v>
      </c>
      <c r="AX35" s="489">
        <f t="shared" si="8"/>
        <v>7.3315000000000003E-3</v>
      </c>
      <c r="AY35" s="457">
        <v>70.2</v>
      </c>
      <c r="AZ35" s="490">
        <f t="shared" si="28"/>
        <v>0.51467130000000005</v>
      </c>
      <c r="BA35" s="501">
        <f t="shared" ref="BA35:BB39" si="39">AX35</f>
        <v>7.3315000000000003E-3</v>
      </c>
      <c r="BB35" s="457">
        <f t="shared" si="39"/>
        <v>70.2</v>
      </c>
      <c r="BC35" s="488">
        <f>BA35*BB35</f>
        <v>0.51467130000000005</v>
      </c>
      <c r="BD35" s="489">
        <f t="shared" ref="BD35:BE39" si="40">AX35</f>
        <v>7.3315000000000003E-3</v>
      </c>
      <c r="BE35" s="457">
        <f t="shared" si="40"/>
        <v>70.2</v>
      </c>
      <c r="BF35" s="500">
        <f>BD35*BE35</f>
        <v>0.51467130000000005</v>
      </c>
      <c r="BH35" s="12"/>
      <c r="BI35" s="12"/>
      <c r="BJ35" s="12"/>
      <c r="BK35" s="12"/>
      <c r="BL35" s="12"/>
      <c r="BM35" s="12"/>
      <c r="BN35" s="12"/>
      <c r="BO35" s="12"/>
      <c r="BP35" s="12"/>
      <c r="BQ35" s="12"/>
      <c r="BR35" s="12"/>
      <c r="BS35" s="12"/>
      <c r="BT35" s="12"/>
      <c r="BU35" s="12"/>
      <c r="BV35" s="12"/>
      <c r="BW35" s="12"/>
      <c r="BX35" s="12"/>
      <c r="BY35" s="12"/>
      <c r="BZ35" s="12"/>
      <c r="CA35" s="12"/>
      <c r="CB35" s="12"/>
      <c r="CC35" s="12"/>
      <c r="CD35" s="12"/>
      <c r="CE35" s="12"/>
      <c r="CF35" s="12"/>
      <c r="CG35" s="12"/>
    </row>
    <row r="36" spans="2:85" ht="15" customHeight="1" thickBot="1" x14ac:dyDescent="0.3">
      <c r="B36" s="738" t="s">
        <v>278</v>
      </c>
      <c r="C36" s="739"/>
      <c r="D36" s="739"/>
      <c r="E36" s="739"/>
      <c r="F36" s="739"/>
      <c r="G36" s="739"/>
      <c r="H36" s="739"/>
      <c r="I36" s="739"/>
      <c r="J36" s="739"/>
      <c r="K36" s="739"/>
      <c r="L36" s="739"/>
      <c r="M36" s="739"/>
      <c r="N36" s="739"/>
      <c r="O36" s="740"/>
      <c r="Q36" s="764" t="s">
        <v>52</v>
      </c>
      <c r="R36" s="765"/>
      <c r="S36" s="473">
        <v>7.6</v>
      </c>
      <c r="T36" s="474">
        <v>12.6</v>
      </c>
      <c r="U36" s="474">
        <v>12.6</v>
      </c>
      <c r="V36" s="474">
        <v>12.6</v>
      </c>
      <c r="W36" s="474">
        <v>12.6</v>
      </c>
      <c r="X36" s="474">
        <v>7.6</v>
      </c>
      <c r="Y36" s="53">
        <f>S36+T36+U36+V36+W36+X36</f>
        <v>65.599999999999994</v>
      </c>
      <c r="Z36" s="472">
        <v>3.3</v>
      </c>
      <c r="AA36" s="474">
        <v>8.8000000000000007</v>
      </c>
      <c r="AB36" s="474">
        <v>8.8000000000000007</v>
      </c>
      <c r="AC36" s="474">
        <v>8.8000000000000007</v>
      </c>
      <c r="AD36" s="474">
        <v>8.8000000000000007</v>
      </c>
      <c r="AE36" s="474">
        <v>5.0999999999999996</v>
      </c>
      <c r="AF36" s="53">
        <f>Z36+AA36+AB36+AC36+AD36+AE36</f>
        <v>43.6</v>
      </c>
      <c r="AG36" s="472">
        <v>3.3</v>
      </c>
      <c r="AH36" s="474">
        <v>8.3000000000000007</v>
      </c>
      <c r="AI36" s="474">
        <v>8.3000000000000007</v>
      </c>
      <c r="AJ36" s="474">
        <v>8.3000000000000007</v>
      </c>
      <c r="AK36" s="474">
        <v>8.3000000000000007</v>
      </c>
      <c r="AL36" s="474">
        <v>4.8</v>
      </c>
      <c r="AM36" s="54">
        <f>AG36+AH36+AI36+AJ36+AK36+AL36</f>
        <v>41.3</v>
      </c>
      <c r="AO36" s="750"/>
      <c r="AP36" s="721"/>
      <c r="AQ36" s="722"/>
      <c r="AR36" s="93">
        <v>1211</v>
      </c>
      <c r="AS36" s="597">
        <v>7211</v>
      </c>
      <c r="AT36" s="608">
        <f t="shared" si="38"/>
        <v>2.75</v>
      </c>
      <c r="AU36" s="608">
        <f>Hcol3/1000</f>
        <v>0.5</v>
      </c>
      <c r="AV36" s="597">
        <f t="shared" si="33"/>
        <v>1.1824999999999999</v>
      </c>
      <c r="AW36" s="261">
        <f>(0.08*AV36*1000+0.022*Fyk*Phicol3)/1000</f>
        <v>0.24191199999999999</v>
      </c>
      <c r="AX36" s="489">
        <f t="shared" si="8"/>
        <v>4.3988999999999999E-3</v>
      </c>
      <c r="AY36" s="457">
        <v>117.1</v>
      </c>
      <c r="AZ36" s="490">
        <f t="shared" si="28"/>
        <v>0.51511118999999994</v>
      </c>
      <c r="BA36" s="501">
        <f t="shared" si="39"/>
        <v>4.3988999999999999E-3</v>
      </c>
      <c r="BB36" s="457">
        <f t="shared" si="39"/>
        <v>117.1</v>
      </c>
      <c r="BC36" s="501">
        <f>BA36*BB36</f>
        <v>0.51511118999999994</v>
      </c>
      <c r="BD36" s="489">
        <f t="shared" si="40"/>
        <v>4.3988999999999999E-3</v>
      </c>
      <c r="BE36" s="457">
        <f t="shared" si="40"/>
        <v>117.1</v>
      </c>
      <c r="BF36" s="502">
        <f>BD36*BE36</f>
        <v>0.51511118999999994</v>
      </c>
    </row>
    <row r="37" spans="2:85" ht="15" customHeight="1" x14ac:dyDescent="0.25">
      <c r="B37" s="731" t="s">
        <v>55</v>
      </c>
      <c r="C37" s="736" t="s">
        <v>28</v>
      </c>
      <c r="D37" s="727" t="s">
        <v>26</v>
      </c>
      <c r="E37" s="729" t="s">
        <v>364</v>
      </c>
      <c r="F37" s="729" t="s">
        <v>363</v>
      </c>
      <c r="G37" s="736" t="s">
        <v>362</v>
      </c>
      <c r="H37" s="727" t="s">
        <v>361</v>
      </c>
      <c r="I37" s="729" t="s">
        <v>360</v>
      </c>
      <c r="J37" s="729" t="s">
        <v>359</v>
      </c>
      <c r="K37" s="736" t="s">
        <v>358</v>
      </c>
      <c r="L37" s="727" t="s">
        <v>357</v>
      </c>
      <c r="M37" s="824" t="s">
        <v>299</v>
      </c>
      <c r="N37" s="826" t="s">
        <v>356</v>
      </c>
      <c r="O37" s="742" t="s">
        <v>355</v>
      </c>
      <c r="Q37" s="761" t="s">
        <v>5</v>
      </c>
      <c r="R37" s="701"/>
      <c r="S37" s="701">
        <v>4</v>
      </c>
      <c r="T37" s="701"/>
      <c r="U37" s="701"/>
      <c r="V37" s="701"/>
      <c r="W37" s="701"/>
      <c r="X37" s="701"/>
      <c r="Y37" s="701"/>
      <c r="Z37" s="701">
        <v>5</v>
      </c>
      <c r="AA37" s="701"/>
      <c r="AB37" s="701"/>
      <c r="AC37" s="701"/>
      <c r="AD37" s="701"/>
      <c r="AE37" s="701"/>
      <c r="AF37" s="701"/>
      <c r="AG37" s="701">
        <v>6</v>
      </c>
      <c r="AH37" s="701"/>
      <c r="AI37" s="701"/>
      <c r="AJ37" s="701"/>
      <c r="AK37" s="762"/>
      <c r="AL37" s="762"/>
      <c r="AM37" s="763"/>
      <c r="AO37" s="750"/>
      <c r="AP37" s="721"/>
      <c r="AQ37" s="722"/>
      <c r="AR37" s="93">
        <v>1311</v>
      </c>
      <c r="AS37" s="597">
        <v>7311</v>
      </c>
      <c r="AT37" s="608">
        <f t="shared" si="38"/>
        <v>2.75</v>
      </c>
      <c r="AU37" s="608">
        <f>Hcol3/1000</f>
        <v>0.5</v>
      </c>
      <c r="AV37" s="597">
        <f t="shared" si="33"/>
        <v>1.1824999999999999</v>
      </c>
      <c r="AW37" s="261">
        <f>(0.08*AV37*1000+0.022*Fyk*Phicol3)/1000</f>
        <v>0.24191199999999999</v>
      </c>
      <c r="AX37" s="489">
        <f t="shared" si="8"/>
        <v>4.3988999999999999E-3</v>
      </c>
      <c r="AY37" s="457">
        <v>117.1</v>
      </c>
      <c r="AZ37" s="490">
        <f t="shared" si="28"/>
        <v>0.51511118999999994</v>
      </c>
      <c r="BA37" s="501">
        <f t="shared" si="39"/>
        <v>4.3988999999999999E-3</v>
      </c>
      <c r="BB37" s="457">
        <f t="shared" si="39"/>
        <v>117.1</v>
      </c>
      <c r="BC37" s="501">
        <f>BA37*BB37</f>
        <v>0.51511118999999994</v>
      </c>
      <c r="BD37" s="489">
        <f t="shared" si="40"/>
        <v>4.3988999999999999E-3</v>
      </c>
      <c r="BE37" s="457">
        <f t="shared" si="40"/>
        <v>117.1</v>
      </c>
      <c r="BF37" s="502">
        <f>BD37*BE37</f>
        <v>0.51511118999999994</v>
      </c>
    </row>
    <row r="38" spans="2:85" ht="15" customHeight="1" thickBot="1" x14ac:dyDescent="0.3">
      <c r="B38" s="732"/>
      <c r="C38" s="737"/>
      <c r="D38" s="728"/>
      <c r="E38" s="730"/>
      <c r="F38" s="730"/>
      <c r="G38" s="737"/>
      <c r="H38" s="728"/>
      <c r="I38" s="730"/>
      <c r="J38" s="730"/>
      <c r="K38" s="737"/>
      <c r="L38" s="728"/>
      <c r="M38" s="825"/>
      <c r="N38" s="827"/>
      <c r="O38" s="743"/>
      <c r="Q38" s="748" t="s">
        <v>38</v>
      </c>
      <c r="R38" s="696"/>
      <c r="S38" s="35" t="s">
        <v>419</v>
      </c>
      <c r="T38" s="35" t="s">
        <v>420</v>
      </c>
      <c r="U38" s="35" t="s">
        <v>421</v>
      </c>
      <c r="V38" s="36" t="s">
        <v>422</v>
      </c>
      <c r="W38" s="35" t="s">
        <v>423</v>
      </c>
      <c r="X38" s="35" t="s">
        <v>424</v>
      </c>
      <c r="Y38" s="35" t="s">
        <v>54</v>
      </c>
      <c r="Z38" s="35" t="s">
        <v>425</v>
      </c>
      <c r="AA38" s="35" t="s">
        <v>426</v>
      </c>
      <c r="AB38" s="35" t="s">
        <v>427</v>
      </c>
      <c r="AC38" s="36" t="s">
        <v>428</v>
      </c>
      <c r="AD38" s="35" t="s">
        <v>429</v>
      </c>
      <c r="AE38" s="35" t="s">
        <v>430</v>
      </c>
      <c r="AF38" s="35" t="s">
        <v>54</v>
      </c>
      <c r="AG38" s="35" t="s">
        <v>431</v>
      </c>
      <c r="AH38" s="35" t="s">
        <v>432</v>
      </c>
      <c r="AI38" s="35" t="s">
        <v>433</v>
      </c>
      <c r="AJ38" s="36" t="s">
        <v>434</v>
      </c>
      <c r="AK38" s="35" t="s">
        <v>435</v>
      </c>
      <c r="AL38" s="35" t="s">
        <v>436</v>
      </c>
      <c r="AM38" s="37" t="s">
        <v>54</v>
      </c>
      <c r="AO38" s="750"/>
      <c r="AP38" s="721"/>
      <c r="AQ38" s="722"/>
      <c r="AR38" s="93">
        <v>1411</v>
      </c>
      <c r="AS38" s="597">
        <v>7411</v>
      </c>
      <c r="AT38" s="608">
        <f t="shared" si="38"/>
        <v>2.75</v>
      </c>
      <c r="AU38" s="608">
        <f>Hcol3/1000</f>
        <v>0.5</v>
      </c>
      <c r="AV38" s="597">
        <f t="shared" si="33"/>
        <v>1.1824999999999999</v>
      </c>
      <c r="AW38" s="261">
        <f>(0.08*AV38*1000+0.022*Fyk*Phicol3)/1000</f>
        <v>0.24191199999999999</v>
      </c>
      <c r="AX38" s="489">
        <f t="shared" si="8"/>
        <v>4.3988999999999999E-3</v>
      </c>
      <c r="AY38" s="457">
        <v>117.1</v>
      </c>
      <c r="AZ38" s="490">
        <f t="shared" si="28"/>
        <v>0.51511118999999994</v>
      </c>
      <c r="BA38" s="501">
        <f t="shared" si="39"/>
        <v>4.3988999999999999E-3</v>
      </c>
      <c r="BB38" s="457">
        <f t="shared" si="39"/>
        <v>117.1</v>
      </c>
      <c r="BC38" s="501">
        <f>BA38*BB38</f>
        <v>0.51511118999999994</v>
      </c>
      <c r="BD38" s="489">
        <f t="shared" si="40"/>
        <v>4.3988999999999999E-3</v>
      </c>
      <c r="BE38" s="457">
        <f t="shared" si="40"/>
        <v>117.1</v>
      </c>
      <c r="BF38" s="502">
        <f>BD38*BE38</f>
        <v>0.51511118999999994</v>
      </c>
    </row>
    <row r="39" spans="2:85" ht="15" customHeight="1" x14ac:dyDescent="0.25">
      <c r="B39" s="749">
        <v>1</v>
      </c>
      <c r="C39" s="381">
        <v>5111</v>
      </c>
      <c r="D39" s="381" t="s">
        <v>8</v>
      </c>
      <c r="E39" s="382">
        <v>7.7999999999999996E-3</v>
      </c>
      <c r="F39" s="383">
        <v>7.7999999999999996E-3</v>
      </c>
      <c r="G39" s="384">
        <v>4.53E-2</v>
      </c>
      <c r="H39" s="384">
        <v>4.53E-2</v>
      </c>
      <c r="I39" s="385">
        <v>0.14019999999999999</v>
      </c>
      <c r="J39" s="386">
        <v>0.14019999999999999</v>
      </c>
      <c r="K39" s="387">
        <v>0.47220000000000001</v>
      </c>
      <c r="L39" s="387">
        <v>0.47220000000000001</v>
      </c>
      <c r="M39" s="388">
        <v>0</v>
      </c>
      <c r="N39" s="389">
        <f t="shared" ref="N39:N40" si="41">G39/E39</f>
        <v>5.8076923076923084</v>
      </c>
      <c r="O39" s="390">
        <f t="shared" ref="O39:O40" si="42">I39/E39</f>
        <v>17.974358974358974</v>
      </c>
      <c r="Q39" s="733" t="s">
        <v>53</v>
      </c>
      <c r="R39" s="734"/>
      <c r="S39" s="466">
        <v>3.3</v>
      </c>
      <c r="T39" s="475">
        <v>5.2</v>
      </c>
      <c r="U39" s="475">
        <v>5.2</v>
      </c>
      <c r="V39" s="475">
        <v>5.2</v>
      </c>
      <c r="W39" s="475">
        <v>5.2</v>
      </c>
      <c r="X39" s="475">
        <v>4.4000000000000004</v>
      </c>
      <c r="Y39" s="46">
        <f>S39+T39+U39+V39+W39+X39</f>
        <v>28.5</v>
      </c>
      <c r="Z39" s="466">
        <v>3.3</v>
      </c>
      <c r="AA39" s="475">
        <v>4.7</v>
      </c>
      <c r="AB39" s="475">
        <v>4.7</v>
      </c>
      <c r="AC39" s="475">
        <v>4.7</v>
      </c>
      <c r="AD39" s="475">
        <v>4.7</v>
      </c>
      <c r="AE39" s="475">
        <v>3.9</v>
      </c>
      <c r="AF39" s="46">
        <f>Z39+AA39+AB39+AC39+AD39+AE39</f>
        <v>25.999999999999996</v>
      </c>
      <c r="AG39" s="476">
        <v>3.3</v>
      </c>
      <c r="AH39" s="475">
        <v>3.8</v>
      </c>
      <c r="AI39" s="475">
        <v>3.8</v>
      </c>
      <c r="AJ39" s="475">
        <v>3.8</v>
      </c>
      <c r="AK39" s="475">
        <v>3.8</v>
      </c>
      <c r="AL39" s="475">
        <v>3.3</v>
      </c>
      <c r="AM39" s="47">
        <f>AG39+AH39+AI39+AJ39+AK39+AL39</f>
        <v>21.8</v>
      </c>
      <c r="AO39" s="750"/>
      <c r="AP39" s="721"/>
      <c r="AQ39" s="722"/>
      <c r="AR39" s="93">
        <v>1511</v>
      </c>
      <c r="AS39" s="597">
        <v>7511</v>
      </c>
      <c r="AT39" s="608">
        <f t="shared" si="38"/>
        <v>2.75</v>
      </c>
      <c r="AU39" s="608">
        <f>Hcol3/1000</f>
        <v>0.5</v>
      </c>
      <c r="AV39" s="597">
        <f t="shared" si="33"/>
        <v>1.1824999999999999</v>
      </c>
      <c r="AW39" s="261">
        <f>(0.08*AV39*1000+0.022*Fyk*Phicol3)/1000</f>
        <v>0.24191199999999999</v>
      </c>
      <c r="AX39" s="489">
        <f t="shared" si="8"/>
        <v>4.3988999999999999E-3</v>
      </c>
      <c r="AY39" s="457">
        <v>117.1</v>
      </c>
      <c r="AZ39" s="490">
        <f t="shared" si="28"/>
        <v>0.51511118999999994</v>
      </c>
      <c r="BA39" s="501">
        <f t="shared" si="39"/>
        <v>4.3988999999999999E-3</v>
      </c>
      <c r="BB39" s="457">
        <f t="shared" si="39"/>
        <v>117.1</v>
      </c>
      <c r="BC39" s="501">
        <f>BA39*BB39</f>
        <v>0.51511118999999994</v>
      </c>
      <c r="BD39" s="489">
        <f t="shared" si="40"/>
        <v>4.3988999999999999E-3</v>
      </c>
      <c r="BE39" s="457">
        <f t="shared" si="40"/>
        <v>117.1</v>
      </c>
      <c r="BF39" s="502">
        <f>BD39*BE39</f>
        <v>0.51511118999999994</v>
      </c>
    </row>
    <row r="40" spans="2:85" ht="15" customHeight="1" thickBot="1" x14ac:dyDescent="0.3">
      <c r="B40" s="750"/>
      <c r="C40" s="338">
        <v>5112</v>
      </c>
      <c r="D40" s="338" t="s">
        <v>8</v>
      </c>
      <c r="E40" s="95">
        <v>7.7999999999999996E-3</v>
      </c>
      <c r="F40" s="96">
        <v>7.7999999999999996E-3</v>
      </c>
      <c r="G40" s="120">
        <v>4.53E-2</v>
      </c>
      <c r="H40" s="120">
        <v>4.53E-2</v>
      </c>
      <c r="I40" s="97">
        <v>0.14019999999999999</v>
      </c>
      <c r="J40" s="98">
        <v>0.14019999999999999</v>
      </c>
      <c r="K40" s="121">
        <v>0.47220000000000001</v>
      </c>
      <c r="L40" s="121">
        <v>0.47220000000000001</v>
      </c>
      <c r="M40" s="255">
        <v>0</v>
      </c>
      <c r="N40" s="55">
        <f t="shared" si="41"/>
        <v>5.8076923076923084</v>
      </c>
      <c r="O40" s="59">
        <f t="shared" si="42"/>
        <v>17.974358974358974</v>
      </c>
      <c r="Q40" s="764" t="s">
        <v>52</v>
      </c>
      <c r="R40" s="765"/>
      <c r="S40" s="472">
        <v>3.3</v>
      </c>
      <c r="T40" s="474">
        <v>5.2</v>
      </c>
      <c r="U40" s="474">
        <v>5.2</v>
      </c>
      <c r="V40" s="474">
        <v>5.2</v>
      </c>
      <c r="W40" s="474">
        <v>5.2</v>
      </c>
      <c r="X40" s="474">
        <v>4.4000000000000004</v>
      </c>
      <c r="Y40" s="53">
        <f>S40+T40+U40+V40+W40+X40</f>
        <v>28.5</v>
      </c>
      <c r="Z40" s="472">
        <v>3.3</v>
      </c>
      <c r="AA40" s="474">
        <v>4.7</v>
      </c>
      <c r="AB40" s="474">
        <v>4.7</v>
      </c>
      <c r="AC40" s="474">
        <v>4.7</v>
      </c>
      <c r="AD40" s="474">
        <v>4.7</v>
      </c>
      <c r="AE40" s="474">
        <v>3.9</v>
      </c>
      <c r="AF40" s="53">
        <f>Z40+AA40+AB40+AC40+AD40+AE40</f>
        <v>25.999999999999996</v>
      </c>
      <c r="AG40" s="473">
        <v>3.3</v>
      </c>
      <c r="AH40" s="474">
        <v>3.8</v>
      </c>
      <c r="AI40" s="474">
        <v>3.8</v>
      </c>
      <c r="AJ40" s="474">
        <v>3.8</v>
      </c>
      <c r="AK40" s="474">
        <v>3.8</v>
      </c>
      <c r="AL40" s="474">
        <v>3.3</v>
      </c>
      <c r="AM40" s="54">
        <f>AG40+AH40+AI40+AJ40+AK40+AL40</f>
        <v>21.8</v>
      </c>
      <c r="AO40" s="750"/>
      <c r="AP40" s="721"/>
      <c r="AQ40" s="722"/>
      <c r="AR40" s="93">
        <v>1611</v>
      </c>
      <c r="AS40" s="597">
        <v>7611</v>
      </c>
      <c r="AT40" s="608">
        <f t="shared" si="38"/>
        <v>2.75</v>
      </c>
      <c r="AU40" s="608">
        <f>Hcol2/1000</f>
        <v>0.3</v>
      </c>
      <c r="AV40" s="597">
        <f t="shared" si="33"/>
        <v>1.1824999999999999</v>
      </c>
      <c r="AW40" s="261">
        <f>(0.08*AV40*1000+0.022*Fyk*Phicol2)/1000</f>
        <v>0.22554399999999999</v>
      </c>
      <c r="AX40" s="494">
        <f t="shared" si="8"/>
        <v>7.3315000000000003E-3</v>
      </c>
      <c r="AY40" s="461">
        <v>70.2</v>
      </c>
      <c r="AZ40" s="495">
        <f t="shared" si="28"/>
        <v>0.51467130000000005</v>
      </c>
      <c r="BA40" s="504">
        <f>AW$40*G143</f>
        <v>1.8381835999999999E-2</v>
      </c>
      <c r="BB40" s="465">
        <v>75.599999999999994</v>
      </c>
      <c r="BC40" s="504">
        <f t="shared" si="29"/>
        <v>1.3896668015999998</v>
      </c>
      <c r="BD40" s="519">
        <f>AW$40*I143</f>
        <v>3.7101988000000002E-2</v>
      </c>
      <c r="BE40" s="469">
        <v>60.5</v>
      </c>
      <c r="BF40" s="513">
        <f t="shared" si="30"/>
        <v>2.2446702740000002</v>
      </c>
    </row>
    <row r="41" spans="2:85" ht="15" customHeight="1" x14ac:dyDescent="0.25">
      <c r="B41" s="750"/>
      <c r="C41" s="338">
        <v>5113</v>
      </c>
      <c r="D41" s="338" t="s">
        <v>8</v>
      </c>
      <c r="E41" s="95">
        <v>7.7999999999999996E-3</v>
      </c>
      <c r="F41" s="96">
        <v>7.7999999999999996E-3</v>
      </c>
      <c r="G41" s="120">
        <v>4.53E-2</v>
      </c>
      <c r="H41" s="120">
        <v>4.53E-2</v>
      </c>
      <c r="I41" s="97">
        <v>0.14019999999999999</v>
      </c>
      <c r="J41" s="98">
        <v>0.14019999999999999</v>
      </c>
      <c r="K41" s="121">
        <v>0.47220000000000001</v>
      </c>
      <c r="L41" s="121">
        <v>0.47220000000000001</v>
      </c>
      <c r="M41" s="255">
        <v>0</v>
      </c>
      <c r="N41" s="55">
        <f t="shared" ref="N41:N44" si="43">G41/E41</f>
        <v>5.8076923076923084</v>
      </c>
      <c r="O41" s="59">
        <f t="shared" ref="O41:O44" si="44">I41/E41</f>
        <v>17.974358974358974</v>
      </c>
      <c r="AO41" s="751">
        <v>0</v>
      </c>
      <c r="AP41" s="836" t="s">
        <v>38</v>
      </c>
      <c r="AQ41" s="837"/>
      <c r="AR41" s="87">
        <v>1110</v>
      </c>
      <c r="AS41" s="599">
        <v>7111</v>
      </c>
      <c r="AT41" s="607">
        <f t="shared" si="38"/>
        <v>2.75</v>
      </c>
      <c r="AU41" s="607">
        <f>Hcol2/1000</f>
        <v>0.3</v>
      </c>
      <c r="AV41" s="607">
        <f>hstr1/((S5/S6)+1)</f>
        <v>1.9113861386138613</v>
      </c>
      <c r="AW41" s="313">
        <f>(0.08*AV41*1000+0.022*Fyk*Phicol2)/1000</f>
        <v>0.28385489108910889</v>
      </c>
      <c r="AX41" s="491">
        <f t="shared" ref="AX41:AX46" si="45">0.7*epy*AV41/AU41</f>
        <v>8.2954158415841587E-3</v>
      </c>
      <c r="AY41" s="492">
        <v>70.2</v>
      </c>
      <c r="AZ41" s="493">
        <f>AY41*AX41</f>
        <v>0.58233819207920801</v>
      </c>
      <c r="BA41" s="506">
        <f>AW$41*G113</f>
        <v>2.3134173623762376E-2</v>
      </c>
      <c r="BB41" s="507">
        <v>75.599999999999994</v>
      </c>
      <c r="BC41" s="506">
        <f>BB41*BA41</f>
        <v>1.7489435259564354</v>
      </c>
      <c r="BD41" s="518">
        <f>AW$41*I113</f>
        <v>4.6694129584158417E-2</v>
      </c>
      <c r="BE41" s="511">
        <v>60.5</v>
      </c>
      <c r="BF41" s="512">
        <f>BE41*BD41</f>
        <v>2.8249948398415841</v>
      </c>
    </row>
    <row r="42" spans="2:85" ht="15.75" customHeight="1" x14ac:dyDescent="0.25">
      <c r="B42" s="750"/>
      <c r="C42" s="338">
        <v>5114</v>
      </c>
      <c r="D42" s="338" t="s">
        <v>8</v>
      </c>
      <c r="E42" s="95">
        <v>7.7999999999999996E-3</v>
      </c>
      <c r="F42" s="96">
        <v>7.7999999999999996E-3</v>
      </c>
      <c r="G42" s="120">
        <v>4.53E-2</v>
      </c>
      <c r="H42" s="120">
        <v>4.53E-2</v>
      </c>
      <c r="I42" s="97">
        <v>0.14019999999999999</v>
      </c>
      <c r="J42" s="98">
        <v>0.14019999999999999</v>
      </c>
      <c r="K42" s="121">
        <v>0.47220000000000001</v>
      </c>
      <c r="L42" s="121">
        <v>0.47220000000000001</v>
      </c>
      <c r="M42" s="255">
        <v>0</v>
      </c>
      <c r="N42" s="55">
        <f t="shared" si="43"/>
        <v>5.8076923076923084</v>
      </c>
      <c r="O42" s="59">
        <f t="shared" si="44"/>
        <v>17.974358974358974</v>
      </c>
      <c r="AO42" s="750"/>
      <c r="AP42" s="721"/>
      <c r="AQ42" s="722"/>
      <c r="AR42" s="93">
        <v>1210</v>
      </c>
      <c r="AS42" s="597">
        <v>7211</v>
      </c>
      <c r="AT42" s="608">
        <f t="shared" si="38"/>
        <v>2.75</v>
      </c>
      <c r="AU42" s="608">
        <f>Hcol3/1000</f>
        <v>0.5</v>
      </c>
      <c r="AV42" s="608">
        <f>hstr1/((T5/T6)+1)</f>
        <v>1.4846703550023053</v>
      </c>
      <c r="AW42" s="261">
        <f>(0.08*AV42*1000+0.022*Fyk*Phicol3)/1000</f>
        <v>0.2660856284001844</v>
      </c>
      <c r="AX42" s="494">
        <f t="shared" si="45"/>
        <v>3.8660816044260027E-3</v>
      </c>
      <c r="AY42" s="461">
        <v>117.1</v>
      </c>
      <c r="AZ42" s="495">
        <f>AY42*AX42</f>
        <v>0.4527181558782849</v>
      </c>
      <c r="BA42" s="504">
        <f>AW$42*G119</f>
        <v>1.8865471053573075E-2</v>
      </c>
      <c r="BB42" s="465">
        <v>126.1</v>
      </c>
      <c r="BC42" s="504">
        <f>BB42*BA42</f>
        <v>2.3789358998555645</v>
      </c>
      <c r="BD42" s="519">
        <f>AW$42*I119</f>
        <v>3.2169752473582294E-2</v>
      </c>
      <c r="BE42" s="469">
        <v>100.9</v>
      </c>
      <c r="BF42" s="513">
        <f>BE42*BD42</f>
        <v>3.2459280245844537</v>
      </c>
    </row>
    <row r="43" spans="2:85" x14ac:dyDescent="0.25">
      <c r="B43" s="750"/>
      <c r="C43" s="338">
        <v>5115</v>
      </c>
      <c r="D43" s="338" t="s">
        <v>8</v>
      </c>
      <c r="E43" s="95">
        <v>7.7999999999999996E-3</v>
      </c>
      <c r="F43" s="96">
        <v>7.7999999999999996E-3</v>
      </c>
      <c r="G43" s="120">
        <v>4.53E-2</v>
      </c>
      <c r="H43" s="120">
        <v>4.53E-2</v>
      </c>
      <c r="I43" s="97">
        <v>0.14019999999999999</v>
      </c>
      <c r="J43" s="98">
        <v>0.14019999999999999</v>
      </c>
      <c r="K43" s="121">
        <v>0.47220000000000001</v>
      </c>
      <c r="L43" s="121">
        <v>0.47220000000000001</v>
      </c>
      <c r="M43" s="255">
        <v>0</v>
      </c>
      <c r="N43" s="55">
        <f t="shared" si="43"/>
        <v>5.8076923076923084</v>
      </c>
      <c r="O43" s="59">
        <f t="shared" si="44"/>
        <v>17.974358974358974</v>
      </c>
      <c r="AO43" s="750"/>
      <c r="AP43" s="721"/>
      <c r="AQ43" s="722"/>
      <c r="AR43" s="93">
        <v>1310</v>
      </c>
      <c r="AS43" s="597">
        <v>7311</v>
      </c>
      <c r="AT43" s="608">
        <f t="shared" si="38"/>
        <v>2.75</v>
      </c>
      <c r="AU43" s="608">
        <f>Hcol3/1000</f>
        <v>0.5</v>
      </c>
      <c r="AV43" s="608">
        <f>hstr1/((U5/U6)+1)</f>
        <v>1.4846703550023053</v>
      </c>
      <c r="AW43" s="261">
        <f>(0.08*AV43*1000+0.022*Fyk*Phicol3)/1000</f>
        <v>0.2660856284001844</v>
      </c>
      <c r="AX43" s="494">
        <f t="shared" si="45"/>
        <v>3.8660816044260027E-3</v>
      </c>
      <c r="AY43" s="461">
        <v>117.1</v>
      </c>
      <c r="AZ43" s="495">
        <f t="shared" si="28"/>
        <v>0.4527181558782849</v>
      </c>
      <c r="BA43" s="504">
        <f>AW$43*G125</f>
        <v>1.8865471053573075E-2</v>
      </c>
      <c r="BB43" s="465">
        <v>126.1</v>
      </c>
      <c r="BC43" s="504">
        <f t="shared" si="29"/>
        <v>2.3789358998555645</v>
      </c>
      <c r="BD43" s="519">
        <f>AW$43*I125</f>
        <v>3.2169752473582294E-2</v>
      </c>
      <c r="BE43" s="469">
        <v>100.9</v>
      </c>
      <c r="BF43" s="513">
        <f t="shared" si="30"/>
        <v>3.2459280245844537</v>
      </c>
    </row>
    <row r="44" spans="2:85" x14ac:dyDescent="0.25">
      <c r="B44" s="750"/>
      <c r="C44" s="338">
        <v>5116</v>
      </c>
      <c r="D44" s="338" t="s">
        <v>8</v>
      </c>
      <c r="E44" s="95">
        <v>7.7999999999999996E-3</v>
      </c>
      <c r="F44" s="96">
        <v>7.7999999999999996E-3</v>
      </c>
      <c r="G44" s="120">
        <v>4.53E-2</v>
      </c>
      <c r="H44" s="120">
        <v>4.53E-2</v>
      </c>
      <c r="I44" s="97">
        <v>0.14019999999999999</v>
      </c>
      <c r="J44" s="98">
        <v>0.14019999999999999</v>
      </c>
      <c r="K44" s="121">
        <v>0.47220000000000001</v>
      </c>
      <c r="L44" s="121">
        <v>0.47220000000000001</v>
      </c>
      <c r="M44" s="255">
        <v>0</v>
      </c>
      <c r="N44" s="55">
        <f t="shared" si="43"/>
        <v>5.8076923076923084</v>
      </c>
      <c r="O44" s="59">
        <f t="shared" si="44"/>
        <v>17.974358974358974</v>
      </c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  <c r="AB44" s="100"/>
      <c r="AC44" s="100"/>
      <c r="AD44" s="100"/>
      <c r="AE44" s="100"/>
      <c r="AF44" s="100"/>
      <c r="AG44" s="100"/>
      <c r="AH44" s="100"/>
      <c r="AI44" s="100"/>
      <c r="AJ44" s="100"/>
      <c r="AK44" s="100"/>
      <c r="AL44" s="100"/>
      <c r="AM44" s="100"/>
      <c r="AO44" s="750"/>
      <c r="AP44" s="721"/>
      <c r="AQ44" s="722"/>
      <c r="AR44" s="93">
        <v>1410</v>
      </c>
      <c r="AS44" s="597">
        <v>7411</v>
      </c>
      <c r="AT44" s="608">
        <f t="shared" si="38"/>
        <v>2.75</v>
      </c>
      <c r="AU44" s="608">
        <f>Hcol3/1000</f>
        <v>0.5</v>
      </c>
      <c r="AV44" s="608">
        <f>hstr1/((V5/V6)+1)</f>
        <v>1.4846703550023053</v>
      </c>
      <c r="AW44" s="261">
        <f>(0.08*AV44*1000+0.022*Fyk*Phicol3)/1000</f>
        <v>0.2660856284001844</v>
      </c>
      <c r="AX44" s="494">
        <f t="shared" si="45"/>
        <v>3.8660816044260027E-3</v>
      </c>
      <c r="AY44" s="461">
        <v>117.1</v>
      </c>
      <c r="AZ44" s="495">
        <f t="shared" si="28"/>
        <v>0.4527181558782849</v>
      </c>
      <c r="BA44" s="504">
        <f>AW$44*G131</f>
        <v>1.8865471053573075E-2</v>
      </c>
      <c r="BB44" s="465">
        <v>126.1</v>
      </c>
      <c r="BC44" s="504">
        <f t="shared" si="29"/>
        <v>2.3789358998555645</v>
      </c>
      <c r="BD44" s="519">
        <f>AW$44*I131</f>
        <v>3.2169752473582294E-2</v>
      </c>
      <c r="BE44" s="469">
        <v>100.9</v>
      </c>
      <c r="BF44" s="513">
        <f t="shared" si="30"/>
        <v>3.2459280245844537</v>
      </c>
    </row>
    <row r="45" spans="2:85" x14ac:dyDescent="0.25">
      <c r="B45" s="751">
        <v>2</v>
      </c>
      <c r="C45" s="336">
        <v>5211</v>
      </c>
      <c r="D45" s="336" t="s">
        <v>8</v>
      </c>
      <c r="E45" s="108">
        <v>7.7999999999999996E-3</v>
      </c>
      <c r="F45" s="109">
        <v>7.7999999999999996E-3</v>
      </c>
      <c r="G45" s="123">
        <v>4.53E-2</v>
      </c>
      <c r="H45" s="123">
        <v>4.53E-2</v>
      </c>
      <c r="I45" s="110">
        <v>0.14019999999999999</v>
      </c>
      <c r="J45" s="111">
        <v>0.14019999999999999</v>
      </c>
      <c r="K45" s="309">
        <v>0.47220000000000001</v>
      </c>
      <c r="L45" s="309">
        <v>0.47220000000000001</v>
      </c>
      <c r="M45" s="310">
        <v>0</v>
      </c>
      <c r="N45" s="48">
        <f>G45/E45</f>
        <v>5.8076923076923084</v>
      </c>
      <c r="O45" s="51">
        <f>I45/E45</f>
        <v>17.974358974358974</v>
      </c>
      <c r="AO45" s="750"/>
      <c r="AP45" s="721"/>
      <c r="AQ45" s="722"/>
      <c r="AR45" s="93">
        <v>1510</v>
      </c>
      <c r="AS45" s="597">
        <v>7511</v>
      </c>
      <c r="AT45" s="608">
        <f t="shared" si="38"/>
        <v>2.75</v>
      </c>
      <c r="AU45" s="608">
        <f>Hcol3/1000</f>
        <v>0.5</v>
      </c>
      <c r="AV45" s="608">
        <f>hstr1/((W5/W6)+1)</f>
        <v>1.4846703550023053</v>
      </c>
      <c r="AW45" s="261">
        <f>(0.08*AV45*1000+0.022*Fyk*Phicol3)/1000</f>
        <v>0.2660856284001844</v>
      </c>
      <c r="AX45" s="494">
        <f t="shared" si="45"/>
        <v>3.8660816044260027E-3</v>
      </c>
      <c r="AY45" s="461">
        <v>117.1</v>
      </c>
      <c r="AZ45" s="495">
        <f t="shared" si="28"/>
        <v>0.4527181558782849</v>
      </c>
      <c r="BA45" s="504">
        <f>AW$45*G137</f>
        <v>1.8865471053573075E-2</v>
      </c>
      <c r="BB45" s="465">
        <v>126.1</v>
      </c>
      <c r="BC45" s="504">
        <f t="shared" si="29"/>
        <v>2.3789358998555645</v>
      </c>
      <c r="BD45" s="519">
        <f>AW$45*I137</f>
        <v>3.2169752473582294E-2</v>
      </c>
      <c r="BE45" s="469">
        <v>100.9</v>
      </c>
      <c r="BF45" s="513">
        <f t="shared" si="30"/>
        <v>3.2459280245844537</v>
      </c>
    </row>
    <row r="46" spans="2:85" ht="15.75" thickBot="1" x14ac:dyDescent="0.3">
      <c r="B46" s="750"/>
      <c r="C46" s="338">
        <v>5212</v>
      </c>
      <c r="D46" s="338" t="s">
        <v>8</v>
      </c>
      <c r="E46" s="95">
        <v>7.7999999999999996E-3</v>
      </c>
      <c r="F46" s="96">
        <v>7.7999999999999996E-3</v>
      </c>
      <c r="G46" s="120">
        <v>4.53E-2</v>
      </c>
      <c r="H46" s="120">
        <v>4.53E-2</v>
      </c>
      <c r="I46" s="97">
        <v>0.14019999999999999</v>
      </c>
      <c r="J46" s="98">
        <v>0.14019999999999999</v>
      </c>
      <c r="K46" s="121">
        <v>0.47220000000000001</v>
      </c>
      <c r="L46" s="121">
        <v>0.47220000000000001</v>
      </c>
      <c r="M46" s="255">
        <v>0</v>
      </c>
      <c r="N46" s="55">
        <f>G46/E46</f>
        <v>5.8076923076923084</v>
      </c>
      <c r="O46" s="59">
        <f>I46/E46</f>
        <v>17.974358974358974</v>
      </c>
      <c r="AO46" s="752"/>
      <c r="AP46" s="838"/>
      <c r="AQ46" s="839"/>
      <c r="AR46" s="304">
        <v>1610</v>
      </c>
      <c r="AS46" s="605">
        <v>7611</v>
      </c>
      <c r="AT46" s="610">
        <f t="shared" si="38"/>
        <v>2.75</v>
      </c>
      <c r="AU46" s="610">
        <f>Hcol2/1000</f>
        <v>0.3</v>
      </c>
      <c r="AV46" s="610">
        <f>hstr1/((X5/X6)+1)</f>
        <v>1.375</v>
      </c>
      <c r="AW46" s="201">
        <f>(0.08*AV46*1000+0.022*Fyk*Phicol2)/1000</f>
        <v>0.24094399999999999</v>
      </c>
      <c r="AX46" s="521">
        <f t="shared" si="45"/>
        <v>5.9674999999999997E-3</v>
      </c>
      <c r="AY46" s="460">
        <v>70.2</v>
      </c>
      <c r="AZ46" s="498">
        <f t="shared" si="28"/>
        <v>0.41891849999999997</v>
      </c>
      <c r="BA46" s="510">
        <f>AW$46*G143</f>
        <v>1.9636936000000001E-2</v>
      </c>
      <c r="BB46" s="464">
        <v>75.599999999999994</v>
      </c>
      <c r="BC46" s="510">
        <f>BB46*BA46</f>
        <v>1.4845523616</v>
      </c>
      <c r="BD46" s="522">
        <f>AW$46*I143</f>
        <v>3.9635287999999998E-2</v>
      </c>
      <c r="BE46" s="468">
        <v>60.5</v>
      </c>
      <c r="BF46" s="516">
        <f t="shared" si="30"/>
        <v>2.3979349239999999</v>
      </c>
    </row>
    <row r="47" spans="2:85" ht="15" customHeight="1" x14ac:dyDescent="0.25">
      <c r="B47" s="750"/>
      <c r="C47" s="338">
        <v>5213</v>
      </c>
      <c r="D47" s="338" t="s">
        <v>8</v>
      </c>
      <c r="E47" s="95">
        <v>7.7999999999999996E-3</v>
      </c>
      <c r="F47" s="96">
        <v>7.7999999999999996E-3</v>
      </c>
      <c r="G47" s="120">
        <v>4.53E-2</v>
      </c>
      <c r="H47" s="120">
        <v>4.53E-2</v>
      </c>
      <c r="I47" s="97">
        <v>0.14019999999999999</v>
      </c>
      <c r="J47" s="98">
        <v>0.14019999999999999</v>
      </c>
      <c r="K47" s="121">
        <v>0.47220000000000001</v>
      </c>
      <c r="L47" s="121">
        <v>0.47220000000000001</v>
      </c>
      <c r="M47" s="255">
        <v>0</v>
      </c>
      <c r="N47" s="55">
        <f t="shared" ref="N47:N50" si="46">G47/E47</f>
        <v>5.8076923076923084</v>
      </c>
      <c r="O47" s="59">
        <f t="shared" ref="O47:O50" si="47">I47/E47</f>
        <v>17.974358974358974</v>
      </c>
    </row>
    <row r="48" spans="2:85" x14ac:dyDescent="0.25">
      <c r="B48" s="750"/>
      <c r="C48" s="338">
        <v>5214</v>
      </c>
      <c r="D48" s="338" t="s">
        <v>8</v>
      </c>
      <c r="E48" s="95">
        <v>7.7999999999999996E-3</v>
      </c>
      <c r="F48" s="96">
        <v>7.7999999999999996E-3</v>
      </c>
      <c r="G48" s="120">
        <v>4.53E-2</v>
      </c>
      <c r="H48" s="120">
        <v>4.53E-2</v>
      </c>
      <c r="I48" s="97">
        <v>0.14019999999999999</v>
      </c>
      <c r="J48" s="98">
        <v>0.14019999999999999</v>
      </c>
      <c r="K48" s="121">
        <v>0.47220000000000001</v>
      </c>
      <c r="L48" s="121">
        <v>0.47220000000000001</v>
      </c>
      <c r="M48" s="255">
        <v>0</v>
      </c>
      <c r="N48" s="55">
        <f t="shared" si="46"/>
        <v>5.8076923076923084</v>
      </c>
      <c r="O48" s="59">
        <f t="shared" si="47"/>
        <v>17.974358974358974</v>
      </c>
    </row>
    <row r="49" spans="1:35" x14ac:dyDescent="0.25">
      <c r="B49" s="750"/>
      <c r="C49" s="338">
        <v>5215</v>
      </c>
      <c r="D49" s="338" t="s">
        <v>8</v>
      </c>
      <c r="E49" s="95">
        <v>7.7999999999999996E-3</v>
      </c>
      <c r="F49" s="96">
        <v>7.7999999999999996E-3</v>
      </c>
      <c r="G49" s="120">
        <v>4.53E-2</v>
      </c>
      <c r="H49" s="120">
        <v>4.53E-2</v>
      </c>
      <c r="I49" s="97">
        <v>0.14019999999999999</v>
      </c>
      <c r="J49" s="98">
        <v>0.14019999999999999</v>
      </c>
      <c r="K49" s="121">
        <v>0.47220000000000001</v>
      </c>
      <c r="L49" s="121">
        <v>0.47220000000000001</v>
      </c>
      <c r="M49" s="255">
        <v>0</v>
      </c>
      <c r="N49" s="55">
        <f t="shared" si="46"/>
        <v>5.8076923076923084</v>
      </c>
      <c r="O49" s="59">
        <f t="shared" si="47"/>
        <v>17.974358974358974</v>
      </c>
    </row>
    <row r="50" spans="1:35" x14ac:dyDescent="0.25">
      <c r="B50" s="750"/>
      <c r="C50" s="338">
        <v>5216</v>
      </c>
      <c r="D50" s="338" t="s">
        <v>8</v>
      </c>
      <c r="E50" s="95">
        <v>7.7999999999999996E-3</v>
      </c>
      <c r="F50" s="96">
        <v>7.7999999999999996E-3</v>
      </c>
      <c r="G50" s="120">
        <v>4.53E-2</v>
      </c>
      <c r="H50" s="120">
        <v>4.53E-2</v>
      </c>
      <c r="I50" s="97">
        <v>0.14019999999999999</v>
      </c>
      <c r="J50" s="98">
        <v>0.14019999999999999</v>
      </c>
      <c r="K50" s="121">
        <v>0.47220000000000001</v>
      </c>
      <c r="L50" s="121">
        <v>0.47220000000000001</v>
      </c>
      <c r="M50" s="255">
        <v>0</v>
      </c>
      <c r="N50" s="55">
        <f t="shared" si="46"/>
        <v>5.8076923076923084</v>
      </c>
      <c r="O50" s="59">
        <f t="shared" si="47"/>
        <v>17.974358974358974</v>
      </c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  <c r="AH50" s="122"/>
      <c r="AI50" s="122"/>
    </row>
    <row r="51" spans="1:35" x14ac:dyDescent="0.25">
      <c r="A51" s="12"/>
      <c r="B51" s="751">
        <v>3</v>
      </c>
      <c r="C51" s="336">
        <v>5311</v>
      </c>
      <c r="D51" s="336" t="s">
        <v>8</v>
      </c>
      <c r="E51" s="108">
        <v>7.7999999999999996E-3</v>
      </c>
      <c r="F51" s="109">
        <v>7.7999999999999996E-3</v>
      </c>
      <c r="G51" s="123">
        <v>4.53E-2</v>
      </c>
      <c r="H51" s="123">
        <v>4.53E-2</v>
      </c>
      <c r="I51" s="110">
        <v>0.14019999999999999</v>
      </c>
      <c r="J51" s="111">
        <v>0.14019999999999999</v>
      </c>
      <c r="K51" s="309">
        <v>0.47220000000000001</v>
      </c>
      <c r="L51" s="309">
        <v>0.47220000000000001</v>
      </c>
      <c r="M51" s="310">
        <v>0</v>
      </c>
      <c r="N51" s="48">
        <f>G51/E51</f>
        <v>5.8076923076923084</v>
      </c>
      <c r="O51" s="51">
        <f>I51/E51</f>
        <v>17.974358974358974</v>
      </c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  <c r="AH51" s="122"/>
      <c r="AI51" s="122"/>
    </row>
    <row r="52" spans="1:35" x14ac:dyDescent="0.25">
      <c r="A52" s="12"/>
      <c r="B52" s="750"/>
      <c r="C52" s="338">
        <v>5312</v>
      </c>
      <c r="D52" s="338" t="s">
        <v>8</v>
      </c>
      <c r="E52" s="95">
        <v>7.7999999999999996E-3</v>
      </c>
      <c r="F52" s="96">
        <v>7.7999999999999996E-3</v>
      </c>
      <c r="G52" s="120">
        <v>4.53E-2</v>
      </c>
      <c r="H52" s="120">
        <v>4.53E-2</v>
      </c>
      <c r="I52" s="97">
        <v>0.14019999999999999</v>
      </c>
      <c r="J52" s="98">
        <v>0.14019999999999999</v>
      </c>
      <c r="K52" s="121">
        <v>0.47220000000000001</v>
      </c>
      <c r="L52" s="121">
        <v>0.47220000000000001</v>
      </c>
      <c r="M52" s="255">
        <v>0</v>
      </c>
      <c r="N52" s="55">
        <f t="shared" ref="N52:N55" si="48">G52/E52</f>
        <v>5.8076923076923084</v>
      </c>
      <c r="O52" s="59">
        <f t="shared" ref="O52:O55" si="49">I52/E52</f>
        <v>17.974358974358974</v>
      </c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  <c r="AH52" s="122"/>
      <c r="AI52" s="122"/>
    </row>
    <row r="53" spans="1:35" x14ac:dyDescent="0.25">
      <c r="A53" s="12"/>
      <c r="B53" s="750"/>
      <c r="C53" s="338">
        <v>5313</v>
      </c>
      <c r="D53" s="338" t="s">
        <v>8</v>
      </c>
      <c r="E53" s="95">
        <v>7.7999999999999996E-3</v>
      </c>
      <c r="F53" s="96">
        <v>7.7999999999999996E-3</v>
      </c>
      <c r="G53" s="120">
        <v>4.53E-2</v>
      </c>
      <c r="H53" s="120">
        <v>4.53E-2</v>
      </c>
      <c r="I53" s="97">
        <v>0.14019999999999999</v>
      </c>
      <c r="J53" s="98">
        <v>0.14019999999999999</v>
      </c>
      <c r="K53" s="121">
        <v>0.47220000000000001</v>
      </c>
      <c r="L53" s="121">
        <v>0.47220000000000001</v>
      </c>
      <c r="M53" s="255">
        <v>0</v>
      </c>
      <c r="N53" s="55">
        <f t="shared" si="48"/>
        <v>5.8076923076923084</v>
      </c>
      <c r="O53" s="59">
        <f t="shared" si="49"/>
        <v>17.974358974358974</v>
      </c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  <c r="AH53" s="122"/>
      <c r="AI53" s="122"/>
    </row>
    <row r="54" spans="1:35" x14ac:dyDescent="0.25">
      <c r="A54" s="12"/>
      <c r="B54" s="750"/>
      <c r="C54" s="338">
        <v>5314</v>
      </c>
      <c r="D54" s="338" t="s">
        <v>8</v>
      </c>
      <c r="E54" s="95">
        <v>7.7999999999999996E-3</v>
      </c>
      <c r="F54" s="96">
        <v>7.7999999999999996E-3</v>
      </c>
      <c r="G54" s="120">
        <v>4.53E-2</v>
      </c>
      <c r="H54" s="120">
        <v>4.53E-2</v>
      </c>
      <c r="I54" s="97">
        <v>0.14019999999999999</v>
      </c>
      <c r="J54" s="98">
        <v>0.14019999999999999</v>
      </c>
      <c r="K54" s="121">
        <v>0.47220000000000001</v>
      </c>
      <c r="L54" s="121">
        <v>0.47220000000000001</v>
      </c>
      <c r="M54" s="255">
        <v>0</v>
      </c>
      <c r="N54" s="55">
        <f t="shared" si="48"/>
        <v>5.8076923076923084</v>
      </c>
      <c r="O54" s="59">
        <f t="shared" si="49"/>
        <v>17.974358974358974</v>
      </c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  <c r="AH54" s="122"/>
      <c r="AI54" s="122"/>
    </row>
    <row r="55" spans="1:35" x14ac:dyDescent="0.25">
      <c r="A55" s="12"/>
      <c r="B55" s="750"/>
      <c r="C55" s="338">
        <v>5315</v>
      </c>
      <c r="D55" s="338" t="s">
        <v>8</v>
      </c>
      <c r="E55" s="95">
        <v>7.7999999999999996E-3</v>
      </c>
      <c r="F55" s="96">
        <v>7.7999999999999996E-3</v>
      </c>
      <c r="G55" s="120">
        <v>4.53E-2</v>
      </c>
      <c r="H55" s="120">
        <v>4.53E-2</v>
      </c>
      <c r="I55" s="97">
        <v>0.14019999999999999</v>
      </c>
      <c r="J55" s="98">
        <v>0.14019999999999999</v>
      </c>
      <c r="K55" s="121">
        <v>0.47220000000000001</v>
      </c>
      <c r="L55" s="121">
        <v>0.47220000000000001</v>
      </c>
      <c r="M55" s="255">
        <v>0</v>
      </c>
      <c r="N55" s="55">
        <f t="shared" si="48"/>
        <v>5.8076923076923084</v>
      </c>
      <c r="O55" s="59">
        <f t="shared" si="49"/>
        <v>17.974358974358974</v>
      </c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  <c r="AH55" s="122"/>
      <c r="AI55" s="122"/>
    </row>
    <row r="56" spans="1:35" x14ac:dyDescent="0.25">
      <c r="A56" s="12"/>
      <c r="B56" s="842"/>
      <c r="C56" s="342">
        <v>5316</v>
      </c>
      <c r="D56" s="342" t="s">
        <v>8</v>
      </c>
      <c r="E56" s="101">
        <v>7.7999999999999996E-3</v>
      </c>
      <c r="F56" s="102">
        <v>7.7999999999999996E-3</v>
      </c>
      <c r="G56" s="150">
        <v>4.53E-2</v>
      </c>
      <c r="H56" s="150">
        <v>4.53E-2</v>
      </c>
      <c r="I56" s="103">
        <v>0.14019999999999999</v>
      </c>
      <c r="J56" s="104">
        <v>0.14019999999999999</v>
      </c>
      <c r="K56" s="278">
        <v>0.47220000000000001</v>
      </c>
      <c r="L56" s="278">
        <v>0.47220000000000001</v>
      </c>
      <c r="M56" s="256">
        <v>0</v>
      </c>
      <c r="N56" s="74">
        <f>G56/E56</f>
        <v>5.8076923076923084</v>
      </c>
      <c r="O56" s="76">
        <f>I56/E56</f>
        <v>17.974358974358974</v>
      </c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  <c r="AH56" s="122"/>
      <c r="AI56" s="122"/>
    </row>
    <row r="57" spans="1:35" x14ac:dyDescent="0.25">
      <c r="A57" s="12"/>
      <c r="B57" s="751">
        <v>4</v>
      </c>
      <c r="C57" s="336">
        <v>5411</v>
      </c>
      <c r="D57" s="336" t="s">
        <v>8</v>
      </c>
      <c r="E57" s="108">
        <v>7.7999999999999996E-3</v>
      </c>
      <c r="F57" s="109">
        <v>7.7999999999999996E-3</v>
      </c>
      <c r="G57" s="123">
        <v>4.53E-2</v>
      </c>
      <c r="H57" s="123">
        <v>4.53E-2</v>
      </c>
      <c r="I57" s="110">
        <v>0.14019999999999999</v>
      </c>
      <c r="J57" s="111">
        <v>0.14019999999999999</v>
      </c>
      <c r="K57" s="309">
        <v>0.47220000000000001</v>
      </c>
      <c r="L57" s="309">
        <v>0.47220000000000001</v>
      </c>
      <c r="M57" s="310">
        <v>0</v>
      </c>
      <c r="N57" s="48">
        <f>G57/E57</f>
        <v>5.8076923076923084</v>
      </c>
      <c r="O57" s="51">
        <f>I57/E57</f>
        <v>17.974358974358974</v>
      </c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  <c r="AH57" s="122"/>
      <c r="AI57" s="122"/>
    </row>
    <row r="58" spans="1:35" x14ac:dyDescent="0.25">
      <c r="A58" s="12"/>
      <c r="B58" s="750"/>
      <c r="C58" s="338">
        <v>5412</v>
      </c>
      <c r="D58" s="338" t="s">
        <v>8</v>
      </c>
      <c r="E58" s="95">
        <v>7.7999999999999996E-3</v>
      </c>
      <c r="F58" s="96">
        <v>7.7999999999999996E-3</v>
      </c>
      <c r="G58" s="120">
        <v>4.53E-2</v>
      </c>
      <c r="H58" s="120">
        <v>4.53E-2</v>
      </c>
      <c r="I58" s="97">
        <v>0.14019999999999999</v>
      </c>
      <c r="J58" s="98">
        <v>0.14019999999999999</v>
      </c>
      <c r="K58" s="121">
        <v>0.47220000000000001</v>
      </c>
      <c r="L58" s="121">
        <v>0.47220000000000001</v>
      </c>
      <c r="M58" s="255">
        <v>0</v>
      </c>
      <c r="N58" s="55">
        <f>G58/E58</f>
        <v>5.8076923076923084</v>
      </c>
      <c r="O58" s="59">
        <f>I58/E58</f>
        <v>17.974358974358974</v>
      </c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  <c r="AH58" s="122"/>
      <c r="AI58" s="122"/>
    </row>
    <row r="59" spans="1:35" x14ac:dyDescent="0.25">
      <c r="A59" s="12"/>
      <c r="B59" s="750"/>
      <c r="C59" s="338">
        <v>5413</v>
      </c>
      <c r="D59" s="338" t="s">
        <v>8</v>
      </c>
      <c r="E59" s="95">
        <v>7.7999999999999996E-3</v>
      </c>
      <c r="F59" s="96">
        <v>7.7999999999999996E-3</v>
      </c>
      <c r="G59" s="120">
        <v>4.53E-2</v>
      </c>
      <c r="H59" s="120">
        <v>4.53E-2</v>
      </c>
      <c r="I59" s="97">
        <v>0.14019999999999999</v>
      </c>
      <c r="J59" s="98">
        <v>0.14019999999999999</v>
      </c>
      <c r="K59" s="121">
        <v>0.47220000000000001</v>
      </c>
      <c r="L59" s="121">
        <v>0.47220000000000001</v>
      </c>
      <c r="M59" s="255">
        <v>0</v>
      </c>
      <c r="N59" s="55">
        <f t="shared" ref="N59:N62" si="50">G59/E59</f>
        <v>5.8076923076923084</v>
      </c>
      <c r="O59" s="59">
        <f t="shared" ref="O59:O62" si="51">I59/E59</f>
        <v>17.974358974358974</v>
      </c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  <c r="AH59" s="122"/>
      <c r="AI59" s="122"/>
    </row>
    <row r="60" spans="1:35" x14ac:dyDescent="0.25">
      <c r="A60" s="12"/>
      <c r="B60" s="750"/>
      <c r="C60" s="338">
        <v>5414</v>
      </c>
      <c r="D60" s="338" t="s">
        <v>8</v>
      </c>
      <c r="E60" s="95">
        <v>7.7999999999999996E-3</v>
      </c>
      <c r="F60" s="96">
        <v>7.7999999999999996E-3</v>
      </c>
      <c r="G60" s="120">
        <v>4.53E-2</v>
      </c>
      <c r="H60" s="120">
        <v>4.53E-2</v>
      </c>
      <c r="I60" s="97">
        <v>0.14019999999999999</v>
      </c>
      <c r="J60" s="98">
        <v>0.14019999999999999</v>
      </c>
      <c r="K60" s="121">
        <v>0.47220000000000001</v>
      </c>
      <c r="L60" s="121">
        <v>0.47220000000000001</v>
      </c>
      <c r="M60" s="255">
        <v>0</v>
      </c>
      <c r="N60" s="55">
        <f t="shared" si="50"/>
        <v>5.8076923076923084</v>
      </c>
      <c r="O60" s="59">
        <f t="shared" si="51"/>
        <v>17.974358974358974</v>
      </c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  <c r="AH60" s="122"/>
      <c r="AI60" s="122"/>
    </row>
    <row r="61" spans="1:35" x14ac:dyDescent="0.25">
      <c r="A61" s="12"/>
      <c r="B61" s="750"/>
      <c r="C61" s="338">
        <v>5415</v>
      </c>
      <c r="D61" s="338" t="s">
        <v>8</v>
      </c>
      <c r="E61" s="95">
        <v>7.7999999999999996E-3</v>
      </c>
      <c r="F61" s="96">
        <v>7.7999999999999996E-3</v>
      </c>
      <c r="G61" s="120">
        <v>4.53E-2</v>
      </c>
      <c r="H61" s="120">
        <v>4.53E-2</v>
      </c>
      <c r="I61" s="97">
        <v>0.14019999999999999</v>
      </c>
      <c r="J61" s="98">
        <v>0.14019999999999999</v>
      </c>
      <c r="K61" s="121">
        <v>0.47220000000000001</v>
      </c>
      <c r="L61" s="121">
        <v>0.47220000000000001</v>
      </c>
      <c r="M61" s="255">
        <v>0</v>
      </c>
      <c r="N61" s="55">
        <f t="shared" si="50"/>
        <v>5.8076923076923084</v>
      </c>
      <c r="O61" s="59">
        <f t="shared" si="51"/>
        <v>17.974358974358974</v>
      </c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  <c r="AH61" s="122"/>
      <c r="AI61" s="122"/>
    </row>
    <row r="62" spans="1:35" x14ac:dyDescent="0.25">
      <c r="A62" s="12"/>
      <c r="B62" s="750"/>
      <c r="C62" s="338">
        <v>5416</v>
      </c>
      <c r="D62" s="338" t="s">
        <v>8</v>
      </c>
      <c r="E62" s="95">
        <v>7.7999999999999996E-3</v>
      </c>
      <c r="F62" s="96">
        <v>7.7999999999999996E-3</v>
      </c>
      <c r="G62" s="120">
        <v>4.53E-2</v>
      </c>
      <c r="H62" s="120">
        <v>4.53E-2</v>
      </c>
      <c r="I62" s="97">
        <v>0.14019999999999999</v>
      </c>
      <c r="J62" s="98">
        <v>0.14019999999999999</v>
      </c>
      <c r="K62" s="121">
        <v>0.47220000000000001</v>
      </c>
      <c r="L62" s="121">
        <v>0.47220000000000001</v>
      </c>
      <c r="M62" s="255">
        <v>0</v>
      </c>
      <c r="N62" s="55">
        <f t="shared" si="50"/>
        <v>5.8076923076923084</v>
      </c>
      <c r="O62" s="59">
        <f t="shared" si="51"/>
        <v>17.974358974358974</v>
      </c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  <c r="AH62" s="122"/>
      <c r="AI62" s="122"/>
    </row>
    <row r="63" spans="1:35" x14ac:dyDescent="0.25">
      <c r="A63" s="12"/>
      <c r="B63" s="751">
        <v>5</v>
      </c>
      <c r="C63" s="336">
        <v>5511</v>
      </c>
      <c r="D63" s="337" t="s">
        <v>8</v>
      </c>
      <c r="E63" s="123">
        <v>7.7999999999999996E-3</v>
      </c>
      <c r="F63" s="123">
        <v>7.7999999999999996E-3</v>
      </c>
      <c r="G63" s="108">
        <v>4.53E-2</v>
      </c>
      <c r="H63" s="109">
        <v>4.53E-2</v>
      </c>
      <c r="I63" s="309">
        <v>0.14019999999999999</v>
      </c>
      <c r="J63" s="309">
        <v>0.14019999999999999</v>
      </c>
      <c r="K63" s="110">
        <v>0.47220000000000001</v>
      </c>
      <c r="L63" s="111">
        <v>0.47220000000000001</v>
      </c>
      <c r="M63" s="48">
        <v>0</v>
      </c>
      <c r="N63" s="48">
        <f>G63/E63</f>
        <v>5.8076923076923084</v>
      </c>
      <c r="O63" s="51">
        <f>I63/E63</f>
        <v>17.974358974358974</v>
      </c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  <c r="AH63" s="122"/>
      <c r="AI63" s="122"/>
    </row>
    <row r="64" spans="1:35" x14ac:dyDescent="0.25">
      <c r="A64" s="12"/>
      <c r="B64" s="750"/>
      <c r="C64" s="338">
        <v>5512</v>
      </c>
      <c r="D64" s="339" t="s">
        <v>8</v>
      </c>
      <c r="E64" s="120">
        <v>7.7999999999999996E-3</v>
      </c>
      <c r="F64" s="120">
        <v>7.7999999999999996E-3</v>
      </c>
      <c r="G64" s="95">
        <v>4.53E-2</v>
      </c>
      <c r="H64" s="96">
        <v>4.53E-2</v>
      </c>
      <c r="I64" s="121">
        <v>0.14019999999999999</v>
      </c>
      <c r="J64" s="121">
        <v>0.14019999999999999</v>
      </c>
      <c r="K64" s="97">
        <v>0.47220000000000001</v>
      </c>
      <c r="L64" s="98">
        <v>0.47220000000000001</v>
      </c>
      <c r="M64" s="55">
        <v>0</v>
      </c>
      <c r="N64" s="55">
        <f t="shared" ref="N64:N68" si="52">G64/E64</f>
        <v>5.8076923076923084</v>
      </c>
      <c r="O64" s="59">
        <f t="shared" ref="O64:O68" si="53">I64/E64</f>
        <v>17.974358974358974</v>
      </c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  <c r="AH64" s="122"/>
      <c r="AI64" s="122"/>
    </row>
    <row r="65" spans="1:35" x14ac:dyDescent="0.25">
      <c r="A65" s="12"/>
      <c r="B65" s="750"/>
      <c r="C65" s="338">
        <v>5513</v>
      </c>
      <c r="D65" s="339" t="s">
        <v>8</v>
      </c>
      <c r="E65" s="120">
        <v>7.7999999999999996E-3</v>
      </c>
      <c r="F65" s="120">
        <v>7.7999999999999996E-3</v>
      </c>
      <c r="G65" s="95">
        <v>4.53E-2</v>
      </c>
      <c r="H65" s="96">
        <v>4.53E-2</v>
      </c>
      <c r="I65" s="121">
        <v>0.14019999999999999</v>
      </c>
      <c r="J65" s="121">
        <v>0.14019999999999999</v>
      </c>
      <c r="K65" s="97">
        <v>0.47220000000000001</v>
      </c>
      <c r="L65" s="98">
        <v>0.47220000000000001</v>
      </c>
      <c r="M65" s="55">
        <v>0</v>
      </c>
      <c r="N65" s="55">
        <f t="shared" si="52"/>
        <v>5.8076923076923084</v>
      </c>
      <c r="O65" s="59">
        <f t="shared" si="53"/>
        <v>17.974358974358974</v>
      </c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  <c r="AH65" s="122"/>
      <c r="AI65" s="122"/>
    </row>
    <row r="66" spans="1:35" x14ac:dyDescent="0.25">
      <c r="A66" s="12"/>
      <c r="B66" s="750"/>
      <c r="C66" s="338">
        <v>5514</v>
      </c>
      <c r="D66" s="339" t="s">
        <v>8</v>
      </c>
      <c r="E66" s="120">
        <v>7.7999999999999996E-3</v>
      </c>
      <c r="F66" s="120">
        <v>7.7999999999999996E-3</v>
      </c>
      <c r="G66" s="95">
        <v>4.53E-2</v>
      </c>
      <c r="H66" s="96">
        <v>4.53E-2</v>
      </c>
      <c r="I66" s="121">
        <v>0.14019999999999999</v>
      </c>
      <c r="J66" s="121">
        <v>0.14019999999999999</v>
      </c>
      <c r="K66" s="97">
        <v>0.47220000000000001</v>
      </c>
      <c r="L66" s="98">
        <v>0.47220000000000001</v>
      </c>
      <c r="M66" s="55">
        <v>0</v>
      </c>
      <c r="N66" s="55">
        <f t="shared" si="52"/>
        <v>5.8076923076923084</v>
      </c>
      <c r="O66" s="59">
        <f t="shared" si="53"/>
        <v>17.974358974358974</v>
      </c>
      <c r="AF66" s="122"/>
    </row>
    <row r="67" spans="1:35" x14ac:dyDescent="0.25">
      <c r="A67" s="12"/>
      <c r="B67" s="750"/>
      <c r="C67" s="338">
        <v>5515</v>
      </c>
      <c r="D67" s="339" t="s">
        <v>8</v>
      </c>
      <c r="E67" s="120">
        <v>7.7999999999999996E-3</v>
      </c>
      <c r="F67" s="120">
        <v>7.7999999999999996E-3</v>
      </c>
      <c r="G67" s="95">
        <v>4.53E-2</v>
      </c>
      <c r="H67" s="96">
        <v>4.53E-2</v>
      </c>
      <c r="I67" s="121">
        <v>0.14019999999999999</v>
      </c>
      <c r="J67" s="121">
        <v>0.14019999999999999</v>
      </c>
      <c r="K67" s="97">
        <v>0.47220000000000001</v>
      </c>
      <c r="L67" s="98">
        <v>0.47220000000000001</v>
      </c>
      <c r="M67" s="55">
        <v>0</v>
      </c>
      <c r="N67" s="55">
        <f t="shared" si="52"/>
        <v>5.8076923076923084</v>
      </c>
      <c r="O67" s="59">
        <f t="shared" si="53"/>
        <v>17.974358974358974</v>
      </c>
      <c r="AF67" s="122"/>
    </row>
    <row r="68" spans="1:35" ht="15.75" thickBot="1" x14ac:dyDescent="0.3">
      <c r="A68" s="12"/>
      <c r="B68" s="752"/>
      <c r="C68" s="340">
        <v>5516</v>
      </c>
      <c r="D68" s="341" t="s">
        <v>8</v>
      </c>
      <c r="E68" s="124">
        <v>7.7999999999999996E-3</v>
      </c>
      <c r="F68" s="124">
        <v>7.7999999999999996E-3</v>
      </c>
      <c r="G68" s="112">
        <v>4.53E-2</v>
      </c>
      <c r="H68" s="113">
        <v>4.53E-2</v>
      </c>
      <c r="I68" s="311">
        <v>0.14019999999999999</v>
      </c>
      <c r="J68" s="311">
        <v>0.14019999999999999</v>
      </c>
      <c r="K68" s="114">
        <v>0.47220000000000001</v>
      </c>
      <c r="L68" s="115">
        <v>0.47220000000000001</v>
      </c>
      <c r="M68" s="106">
        <v>0</v>
      </c>
      <c r="N68" s="106">
        <f t="shared" si="52"/>
        <v>5.8076923076923084</v>
      </c>
      <c r="O68" s="107">
        <f t="shared" si="53"/>
        <v>17.974358974358974</v>
      </c>
      <c r="P68" s="12"/>
      <c r="AF68" s="122"/>
    </row>
    <row r="69" spans="1:35" ht="15.75" thickBot="1" x14ac:dyDescent="0.3">
      <c r="A69" s="12"/>
      <c r="C69" s="338"/>
      <c r="D69" s="338"/>
      <c r="E69" s="120"/>
      <c r="F69" s="120"/>
      <c r="G69" s="120"/>
      <c r="H69" s="120"/>
      <c r="I69" s="121"/>
      <c r="J69" s="121"/>
      <c r="K69" s="121"/>
      <c r="L69" s="121"/>
      <c r="M69" s="55"/>
      <c r="N69" s="55"/>
      <c r="O69" s="55"/>
      <c r="P69" s="12"/>
      <c r="AF69" s="122"/>
    </row>
    <row r="70" spans="1:35" ht="16.5" thickBot="1" x14ac:dyDescent="0.3">
      <c r="A70" s="12"/>
      <c r="B70" s="847" t="s">
        <v>276</v>
      </c>
      <c r="C70" s="848"/>
      <c r="D70" s="848"/>
      <c r="E70" s="848"/>
      <c r="F70" s="848"/>
      <c r="G70" s="848"/>
      <c r="H70" s="848"/>
      <c r="I70" s="848"/>
      <c r="J70" s="848"/>
      <c r="K70" s="848"/>
      <c r="L70" s="849"/>
      <c r="AF70" s="122"/>
    </row>
    <row r="71" spans="1:35" x14ac:dyDescent="0.25">
      <c r="A71" s="12"/>
      <c r="B71" s="845" t="s">
        <v>56</v>
      </c>
      <c r="C71" s="736" t="s">
        <v>28</v>
      </c>
      <c r="D71" s="729" t="s">
        <v>26</v>
      </c>
      <c r="E71" s="729" t="s">
        <v>199</v>
      </c>
      <c r="F71" s="729" t="s">
        <v>200</v>
      </c>
      <c r="G71" s="736" t="s">
        <v>203</v>
      </c>
      <c r="H71" s="727" t="s">
        <v>204</v>
      </c>
      <c r="I71" s="729" t="s">
        <v>201</v>
      </c>
      <c r="J71" s="729" t="s">
        <v>202</v>
      </c>
      <c r="K71" s="736" t="s">
        <v>280</v>
      </c>
      <c r="L71" s="735" t="s">
        <v>281</v>
      </c>
      <c r="AF71" s="122"/>
    </row>
    <row r="72" spans="1:35" ht="15.75" thickBot="1" x14ac:dyDescent="0.3">
      <c r="A72" s="12"/>
      <c r="B72" s="846"/>
      <c r="C72" s="737"/>
      <c r="D72" s="730"/>
      <c r="E72" s="730"/>
      <c r="F72" s="730"/>
      <c r="G72" s="737"/>
      <c r="H72" s="728"/>
      <c r="I72" s="730"/>
      <c r="J72" s="730"/>
      <c r="K72" s="737"/>
      <c r="L72" s="741"/>
      <c r="AF72" s="122"/>
    </row>
    <row r="73" spans="1:35" x14ac:dyDescent="0.25">
      <c r="B73" s="750">
        <v>1</v>
      </c>
      <c r="C73" s="372">
        <v>7111</v>
      </c>
      <c r="D73" s="373" t="s">
        <v>24</v>
      </c>
      <c r="E73" s="39">
        <v>70.2</v>
      </c>
      <c r="F73" s="40">
        <v>70.2</v>
      </c>
      <c r="G73" s="41">
        <v>75.599999999999994</v>
      </c>
      <c r="H73" s="41">
        <v>75.599999999999994</v>
      </c>
      <c r="I73" s="39">
        <v>60.5</v>
      </c>
      <c r="J73" s="40">
        <v>60.5</v>
      </c>
      <c r="K73" s="41">
        <v>7.6</v>
      </c>
      <c r="L73" s="117">
        <v>7.6</v>
      </c>
      <c r="AF73" s="122"/>
    </row>
    <row r="74" spans="1:35" x14ac:dyDescent="0.25">
      <c r="B74" s="750"/>
      <c r="C74" s="372">
        <v>7112</v>
      </c>
      <c r="D74" s="373" t="s">
        <v>23</v>
      </c>
      <c r="E74" s="39">
        <v>46.9</v>
      </c>
      <c r="F74" s="40">
        <v>46.9</v>
      </c>
      <c r="G74" s="41">
        <v>50.5</v>
      </c>
      <c r="H74" s="41">
        <v>50.5</v>
      </c>
      <c r="I74" s="39">
        <v>40.4</v>
      </c>
      <c r="J74" s="40">
        <v>40.4</v>
      </c>
      <c r="K74" s="41">
        <v>5.0999999999999996</v>
      </c>
      <c r="L74" s="117">
        <v>5.0999999999999996</v>
      </c>
      <c r="AF74" s="122"/>
    </row>
    <row r="75" spans="1:35" ht="15" customHeight="1" x14ac:dyDescent="0.25">
      <c r="B75" s="750"/>
      <c r="C75" s="372">
        <v>7113</v>
      </c>
      <c r="D75" s="373" t="s">
        <v>23</v>
      </c>
      <c r="E75" s="39">
        <v>44.4</v>
      </c>
      <c r="F75" s="40">
        <v>44.4</v>
      </c>
      <c r="G75" s="41">
        <v>47.8</v>
      </c>
      <c r="H75" s="41">
        <v>47.8</v>
      </c>
      <c r="I75" s="39">
        <v>38.200000000000003</v>
      </c>
      <c r="J75" s="40">
        <v>38.200000000000003</v>
      </c>
      <c r="K75" s="41">
        <v>4.8</v>
      </c>
      <c r="L75" s="117">
        <v>4.8</v>
      </c>
      <c r="AF75" s="122"/>
    </row>
    <row r="76" spans="1:35" ht="15.75" customHeight="1" x14ac:dyDescent="0.25">
      <c r="B76" s="750"/>
      <c r="C76" s="372">
        <v>7114</v>
      </c>
      <c r="D76" s="373" t="s">
        <v>23</v>
      </c>
      <c r="E76" s="42">
        <v>40.799999999999997</v>
      </c>
      <c r="F76" s="43">
        <v>40.799999999999997</v>
      </c>
      <c r="G76" s="92">
        <v>43.9</v>
      </c>
      <c r="H76" s="92">
        <v>43.9</v>
      </c>
      <c r="I76" s="42">
        <v>35.1</v>
      </c>
      <c r="J76" s="43">
        <v>35.1</v>
      </c>
      <c r="K76" s="92">
        <v>4.4000000000000004</v>
      </c>
      <c r="L76" s="44">
        <v>4.4000000000000004</v>
      </c>
      <c r="AF76" s="122"/>
    </row>
    <row r="77" spans="1:35" x14ac:dyDescent="0.25">
      <c r="B77" s="750"/>
      <c r="C77" s="372">
        <v>7115</v>
      </c>
      <c r="D77" s="373" t="s">
        <v>23</v>
      </c>
      <c r="E77" s="42">
        <v>35.9</v>
      </c>
      <c r="F77" s="43">
        <v>35.9</v>
      </c>
      <c r="G77" s="92">
        <v>38.700000000000003</v>
      </c>
      <c r="H77" s="92">
        <v>38.700000000000003</v>
      </c>
      <c r="I77" s="42">
        <v>31</v>
      </c>
      <c r="J77" s="43">
        <v>31</v>
      </c>
      <c r="K77" s="92">
        <v>3.9</v>
      </c>
      <c r="L77" s="44">
        <v>3.9</v>
      </c>
      <c r="AF77" s="122"/>
    </row>
    <row r="78" spans="1:35" x14ac:dyDescent="0.25">
      <c r="B78" s="842"/>
      <c r="C78" s="374">
        <v>7116</v>
      </c>
      <c r="D78" s="375" t="s">
        <v>23</v>
      </c>
      <c r="E78" s="64">
        <v>30.6</v>
      </c>
      <c r="F78" s="65">
        <v>30.6</v>
      </c>
      <c r="G78" s="308">
        <v>32.9</v>
      </c>
      <c r="H78" s="308">
        <v>32.9</v>
      </c>
      <c r="I78" s="64">
        <v>26.4</v>
      </c>
      <c r="J78" s="65">
        <v>26.4</v>
      </c>
      <c r="K78" s="308">
        <v>3.3</v>
      </c>
      <c r="L78" s="66">
        <v>3.3</v>
      </c>
      <c r="AF78" s="122"/>
    </row>
    <row r="79" spans="1:35" x14ac:dyDescent="0.25">
      <c r="A79" s="12"/>
      <c r="B79" s="750">
        <v>2</v>
      </c>
      <c r="C79" s="372">
        <v>7211</v>
      </c>
      <c r="D79" s="373" t="s">
        <v>25</v>
      </c>
      <c r="E79" s="39">
        <v>117.1</v>
      </c>
      <c r="F79" s="40">
        <v>117.1</v>
      </c>
      <c r="G79" s="41">
        <v>126.1</v>
      </c>
      <c r="H79" s="41">
        <v>126.1</v>
      </c>
      <c r="I79" s="39">
        <v>100.9</v>
      </c>
      <c r="J79" s="40">
        <v>100.9</v>
      </c>
      <c r="K79" s="41">
        <v>12.6</v>
      </c>
      <c r="L79" s="117">
        <v>12.6</v>
      </c>
      <c r="P79" s="12"/>
      <c r="AF79" s="122"/>
    </row>
    <row r="80" spans="1:35" x14ac:dyDescent="0.25">
      <c r="A80" s="12"/>
      <c r="B80" s="750"/>
      <c r="C80" s="372">
        <v>7212</v>
      </c>
      <c r="D80" s="373" t="s">
        <v>24</v>
      </c>
      <c r="E80" s="39">
        <v>81.8</v>
      </c>
      <c r="F80" s="40">
        <v>81.8</v>
      </c>
      <c r="G80" s="41">
        <v>88.1</v>
      </c>
      <c r="H80" s="41">
        <v>88.1</v>
      </c>
      <c r="I80" s="39">
        <v>70.5</v>
      </c>
      <c r="J80" s="40">
        <v>70.5</v>
      </c>
      <c r="K80" s="41">
        <v>8.8000000000000007</v>
      </c>
      <c r="L80" s="117">
        <v>8.8000000000000007</v>
      </c>
      <c r="P80" s="12"/>
      <c r="AF80" s="122"/>
    </row>
    <row r="81" spans="1:32" x14ac:dyDescent="0.25">
      <c r="A81" s="12"/>
      <c r="B81" s="750"/>
      <c r="C81" s="372">
        <v>7213</v>
      </c>
      <c r="D81" s="373" t="s">
        <v>24</v>
      </c>
      <c r="E81" s="39">
        <v>76.7</v>
      </c>
      <c r="F81" s="40">
        <v>76.7</v>
      </c>
      <c r="G81" s="41">
        <v>82.6</v>
      </c>
      <c r="H81" s="41">
        <v>82.6</v>
      </c>
      <c r="I81" s="39">
        <v>66.099999999999994</v>
      </c>
      <c r="J81" s="40">
        <v>66.099999999999994</v>
      </c>
      <c r="K81" s="41">
        <v>8.3000000000000007</v>
      </c>
      <c r="L81" s="117">
        <v>8.3000000000000007</v>
      </c>
      <c r="P81" s="12"/>
      <c r="AF81" s="122"/>
    </row>
    <row r="82" spans="1:32" x14ac:dyDescent="0.25">
      <c r="A82" s="12"/>
      <c r="B82" s="750"/>
      <c r="C82" s="372">
        <v>7214</v>
      </c>
      <c r="D82" s="373" t="s">
        <v>23</v>
      </c>
      <c r="E82" s="42">
        <v>48.7</v>
      </c>
      <c r="F82" s="43">
        <v>48.7</v>
      </c>
      <c r="G82" s="92">
        <v>52.4</v>
      </c>
      <c r="H82" s="92">
        <v>52.4</v>
      </c>
      <c r="I82" s="42">
        <v>41.9</v>
      </c>
      <c r="J82" s="43">
        <v>41.9</v>
      </c>
      <c r="K82" s="92">
        <v>5.2</v>
      </c>
      <c r="L82" s="44">
        <v>5.2</v>
      </c>
      <c r="P82" s="12"/>
    </row>
    <row r="83" spans="1:32" x14ac:dyDescent="0.25">
      <c r="A83" s="12"/>
      <c r="B83" s="750"/>
      <c r="C83" s="372">
        <v>7215</v>
      </c>
      <c r="D83" s="373" t="s">
        <v>23</v>
      </c>
      <c r="E83" s="42">
        <v>43.9</v>
      </c>
      <c r="F83" s="43">
        <v>43.9</v>
      </c>
      <c r="G83" s="92">
        <v>47.3</v>
      </c>
      <c r="H83" s="92">
        <v>47.3</v>
      </c>
      <c r="I83" s="42">
        <v>37.799999999999997</v>
      </c>
      <c r="J83" s="43">
        <v>37.799999999999997</v>
      </c>
      <c r="K83" s="92">
        <v>4.7</v>
      </c>
      <c r="L83" s="44">
        <v>4.7</v>
      </c>
      <c r="P83" s="12"/>
    </row>
    <row r="84" spans="1:32" x14ac:dyDescent="0.25">
      <c r="A84" s="12"/>
      <c r="B84" s="750"/>
      <c r="C84" s="372">
        <v>7216</v>
      </c>
      <c r="D84" s="373" t="s">
        <v>23</v>
      </c>
      <c r="E84" s="42">
        <v>35.6</v>
      </c>
      <c r="F84" s="43">
        <v>35.6</v>
      </c>
      <c r="G84" s="92">
        <v>38.299999999999997</v>
      </c>
      <c r="H84" s="92">
        <v>38.299999999999997</v>
      </c>
      <c r="I84" s="42">
        <v>30.6</v>
      </c>
      <c r="J84" s="43">
        <v>30.6</v>
      </c>
      <c r="K84" s="92">
        <v>3.8</v>
      </c>
      <c r="L84" s="44">
        <v>3.8</v>
      </c>
      <c r="P84" s="12"/>
    </row>
    <row r="85" spans="1:32" x14ac:dyDescent="0.25">
      <c r="A85" s="12"/>
      <c r="B85" s="751">
        <v>3</v>
      </c>
      <c r="C85" s="370">
        <v>7311</v>
      </c>
      <c r="D85" s="371" t="s">
        <v>25</v>
      </c>
      <c r="E85" s="67">
        <v>117.1</v>
      </c>
      <c r="F85" s="68">
        <v>117.1</v>
      </c>
      <c r="G85" s="69">
        <v>126.1</v>
      </c>
      <c r="H85" s="69">
        <v>126.1</v>
      </c>
      <c r="I85" s="67">
        <v>100.9</v>
      </c>
      <c r="J85" s="68">
        <v>100.9</v>
      </c>
      <c r="K85" s="69">
        <v>12.6</v>
      </c>
      <c r="L85" s="119">
        <v>12.6</v>
      </c>
      <c r="P85" s="12"/>
    </row>
    <row r="86" spans="1:32" x14ac:dyDescent="0.25">
      <c r="A86" s="12"/>
      <c r="B86" s="750"/>
      <c r="C86" s="372">
        <v>7312</v>
      </c>
      <c r="D86" s="373" t="s">
        <v>24</v>
      </c>
      <c r="E86" s="39">
        <v>81.8</v>
      </c>
      <c r="F86" s="40">
        <v>81.8</v>
      </c>
      <c r="G86" s="41">
        <v>88.1</v>
      </c>
      <c r="H86" s="41">
        <v>88.1</v>
      </c>
      <c r="I86" s="39">
        <v>70.5</v>
      </c>
      <c r="J86" s="40">
        <v>70.5</v>
      </c>
      <c r="K86" s="41">
        <v>8.8000000000000007</v>
      </c>
      <c r="L86" s="117">
        <v>8.8000000000000007</v>
      </c>
      <c r="P86" s="12"/>
    </row>
    <row r="87" spans="1:32" x14ac:dyDescent="0.25">
      <c r="A87" s="12"/>
      <c r="B87" s="750"/>
      <c r="C87" s="372">
        <v>7313</v>
      </c>
      <c r="D87" s="373" t="s">
        <v>24</v>
      </c>
      <c r="E87" s="39">
        <v>76.7</v>
      </c>
      <c r="F87" s="40">
        <v>76.7</v>
      </c>
      <c r="G87" s="41">
        <v>82.6</v>
      </c>
      <c r="H87" s="41">
        <v>82.6</v>
      </c>
      <c r="I87" s="39">
        <v>66.099999999999994</v>
      </c>
      <c r="J87" s="40">
        <v>66.099999999999994</v>
      </c>
      <c r="K87" s="41">
        <v>8.3000000000000007</v>
      </c>
      <c r="L87" s="117">
        <v>8.3000000000000007</v>
      </c>
      <c r="P87" s="12"/>
    </row>
    <row r="88" spans="1:32" x14ac:dyDescent="0.25">
      <c r="A88" s="12"/>
      <c r="B88" s="750"/>
      <c r="C88" s="372">
        <v>7314</v>
      </c>
      <c r="D88" s="373" t="s">
        <v>23</v>
      </c>
      <c r="E88" s="42">
        <v>48.7</v>
      </c>
      <c r="F88" s="43">
        <v>48.7</v>
      </c>
      <c r="G88" s="92">
        <v>52.4</v>
      </c>
      <c r="H88" s="92">
        <v>52.4</v>
      </c>
      <c r="I88" s="42">
        <v>41.9</v>
      </c>
      <c r="J88" s="43">
        <v>41.9</v>
      </c>
      <c r="K88" s="92">
        <v>5.2</v>
      </c>
      <c r="L88" s="44">
        <v>5.2</v>
      </c>
      <c r="P88" s="12"/>
    </row>
    <row r="89" spans="1:32" x14ac:dyDescent="0.25">
      <c r="A89" s="12"/>
      <c r="B89" s="750"/>
      <c r="C89" s="372">
        <v>7315</v>
      </c>
      <c r="D89" s="373" t="s">
        <v>23</v>
      </c>
      <c r="E89" s="42">
        <v>43.9</v>
      </c>
      <c r="F89" s="43">
        <v>43.9</v>
      </c>
      <c r="G89" s="92">
        <v>47.3</v>
      </c>
      <c r="H89" s="92">
        <v>47.3</v>
      </c>
      <c r="I89" s="42">
        <v>37.799999999999997</v>
      </c>
      <c r="J89" s="43">
        <v>37.799999999999997</v>
      </c>
      <c r="K89" s="92">
        <v>4.7</v>
      </c>
      <c r="L89" s="44">
        <v>4.7</v>
      </c>
      <c r="P89" s="12"/>
    </row>
    <row r="90" spans="1:32" x14ac:dyDescent="0.25">
      <c r="A90" s="12"/>
      <c r="B90" s="842"/>
      <c r="C90" s="374">
        <v>7316</v>
      </c>
      <c r="D90" s="375" t="s">
        <v>23</v>
      </c>
      <c r="E90" s="64">
        <v>35.6</v>
      </c>
      <c r="F90" s="65">
        <v>35.6</v>
      </c>
      <c r="G90" s="308">
        <v>38.299999999999997</v>
      </c>
      <c r="H90" s="308">
        <v>38.299999999999997</v>
      </c>
      <c r="I90" s="64">
        <v>30.6</v>
      </c>
      <c r="J90" s="65">
        <v>30.6</v>
      </c>
      <c r="K90" s="308">
        <v>3.8</v>
      </c>
      <c r="L90" s="66">
        <v>3.8</v>
      </c>
      <c r="P90" s="12"/>
    </row>
    <row r="91" spans="1:32" x14ac:dyDescent="0.25">
      <c r="A91" s="12"/>
      <c r="B91" s="750">
        <v>4</v>
      </c>
      <c r="C91" s="372">
        <v>7411</v>
      </c>
      <c r="D91" s="373" t="s">
        <v>25</v>
      </c>
      <c r="E91" s="39">
        <v>117.1</v>
      </c>
      <c r="F91" s="40">
        <v>117.1</v>
      </c>
      <c r="G91" s="41">
        <v>126.1</v>
      </c>
      <c r="H91" s="41">
        <v>126.1</v>
      </c>
      <c r="I91" s="39">
        <v>100.9</v>
      </c>
      <c r="J91" s="40">
        <v>100.9</v>
      </c>
      <c r="K91" s="41">
        <v>12.6</v>
      </c>
      <c r="L91" s="117">
        <v>12.6</v>
      </c>
      <c r="P91" s="12"/>
    </row>
    <row r="92" spans="1:32" x14ac:dyDescent="0.25">
      <c r="A92" s="12"/>
      <c r="B92" s="750"/>
      <c r="C92" s="372">
        <v>7412</v>
      </c>
      <c r="D92" s="373" t="s">
        <v>24</v>
      </c>
      <c r="E92" s="39">
        <v>81.8</v>
      </c>
      <c r="F92" s="40">
        <v>81.8</v>
      </c>
      <c r="G92" s="41">
        <v>88.1</v>
      </c>
      <c r="H92" s="41">
        <v>88.1</v>
      </c>
      <c r="I92" s="39">
        <v>70.5</v>
      </c>
      <c r="J92" s="40">
        <v>70.5</v>
      </c>
      <c r="K92" s="41">
        <v>8.8000000000000007</v>
      </c>
      <c r="L92" s="117">
        <v>8.8000000000000007</v>
      </c>
      <c r="P92" s="12"/>
    </row>
    <row r="93" spans="1:32" x14ac:dyDescent="0.25">
      <c r="A93" s="12"/>
      <c r="B93" s="750"/>
      <c r="C93" s="372">
        <v>7413</v>
      </c>
      <c r="D93" s="373" t="s">
        <v>24</v>
      </c>
      <c r="E93" s="39">
        <v>76.7</v>
      </c>
      <c r="F93" s="40">
        <v>76.7</v>
      </c>
      <c r="G93" s="41">
        <v>82.6</v>
      </c>
      <c r="H93" s="41">
        <v>82.6</v>
      </c>
      <c r="I93" s="39">
        <v>66.099999999999994</v>
      </c>
      <c r="J93" s="40">
        <v>66.099999999999994</v>
      </c>
      <c r="K93" s="41">
        <v>8.3000000000000007</v>
      </c>
      <c r="L93" s="117">
        <v>8.3000000000000007</v>
      </c>
      <c r="P93" s="12"/>
    </row>
    <row r="94" spans="1:32" x14ac:dyDescent="0.25">
      <c r="A94" s="12"/>
      <c r="B94" s="750"/>
      <c r="C94" s="372">
        <v>7414</v>
      </c>
      <c r="D94" s="373" t="s">
        <v>23</v>
      </c>
      <c r="E94" s="42">
        <v>48.7</v>
      </c>
      <c r="F94" s="43">
        <v>48.7</v>
      </c>
      <c r="G94" s="92">
        <v>52.4</v>
      </c>
      <c r="H94" s="92">
        <v>52.4</v>
      </c>
      <c r="I94" s="42">
        <v>41.9</v>
      </c>
      <c r="J94" s="43">
        <v>41.9</v>
      </c>
      <c r="K94" s="92">
        <v>5.2</v>
      </c>
      <c r="L94" s="44">
        <v>5.2</v>
      </c>
      <c r="P94" s="12"/>
      <c r="Q94" s="12"/>
      <c r="R94" s="12"/>
    </row>
    <row r="95" spans="1:32" x14ac:dyDescent="0.25">
      <c r="A95" s="12"/>
      <c r="B95" s="750"/>
      <c r="C95" s="372">
        <v>7415</v>
      </c>
      <c r="D95" s="373" t="s">
        <v>23</v>
      </c>
      <c r="E95" s="42">
        <v>43.9</v>
      </c>
      <c r="F95" s="43">
        <v>43.9</v>
      </c>
      <c r="G95" s="92">
        <v>47.3</v>
      </c>
      <c r="H95" s="92">
        <v>47.3</v>
      </c>
      <c r="I95" s="42">
        <v>37.799999999999997</v>
      </c>
      <c r="J95" s="43">
        <v>37.799999999999997</v>
      </c>
      <c r="K95" s="92">
        <v>4.7</v>
      </c>
      <c r="L95" s="44">
        <v>4.7</v>
      </c>
      <c r="P95" s="12"/>
      <c r="Q95" s="12"/>
      <c r="R95" s="12"/>
    </row>
    <row r="96" spans="1:32" x14ac:dyDescent="0.25">
      <c r="A96" s="12"/>
      <c r="B96" s="750"/>
      <c r="C96" s="372">
        <v>7416</v>
      </c>
      <c r="D96" s="373" t="s">
        <v>23</v>
      </c>
      <c r="E96" s="42">
        <v>35.6</v>
      </c>
      <c r="F96" s="43">
        <v>35.6</v>
      </c>
      <c r="G96" s="92">
        <v>38.299999999999997</v>
      </c>
      <c r="H96" s="92">
        <v>38.299999999999997</v>
      </c>
      <c r="I96" s="42">
        <v>30.6</v>
      </c>
      <c r="J96" s="43">
        <v>30.6</v>
      </c>
      <c r="K96" s="92">
        <v>3.8</v>
      </c>
      <c r="L96" s="44">
        <v>3.8</v>
      </c>
      <c r="P96" s="12"/>
      <c r="Q96" s="12"/>
      <c r="R96" s="12"/>
    </row>
    <row r="97" spans="1:18" x14ac:dyDescent="0.25">
      <c r="A97" s="12"/>
      <c r="B97" s="751">
        <v>5</v>
      </c>
      <c r="C97" s="370">
        <v>7511</v>
      </c>
      <c r="D97" s="371" t="s">
        <v>25</v>
      </c>
      <c r="E97" s="67">
        <v>117.1</v>
      </c>
      <c r="F97" s="68">
        <v>117.1</v>
      </c>
      <c r="G97" s="69">
        <v>126.1</v>
      </c>
      <c r="H97" s="69">
        <v>126.1</v>
      </c>
      <c r="I97" s="67">
        <v>100.9</v>
      </c>
      <c r="J97" s="68">
        <v>100.9</v>
      </c>
      <c r="K97" s="69">
        <v>12.6</v>
      </c>
      <c r="L97" s="119">
        <v>12.6</v>
      </c>
      <c r="P97" s="12"/>
      <c r="Q97" s="12"/>
      <c r="R97" s="12"/>
    </row>
    <row r="98" spans="1:18" x14ac:dyDescent="0.25">
      <c r="A98" s="12"/>
      <c r="B98" s="750"/>
      <c r="C98" s="372">
        <v>7512</v>
      </c>
      <c r="D98" s="373" t="s">
        <v>24</v>
      </c>
      <c r="E98" s="39">
        <v>81.8</v>
      </c>
      <c r="F98" s="40">
        <v>81.8</v>
      </c>
      <c r="G98" s="41">
        <v>88.1</v>
      </c>
      <c r="H98" s="41">
        <v>88.1</v>
      </c>
      <c r="I98" s="39">
        <v>70.5</v>
      </c>
      <c r="J98" s="40">
        <v>70.5</v>
      </c>
      <c r="K98" s="41">
        <v>8.8000000000000007</v>
      </c>
      <c r="L98" s="117">
        <v>8.8000000000000007</v>
      </c>
      <c r="P98" s="12"/>
      <c r="Q98" s="12"/>
      <c r="R98" s="12"/>
    </row>
    <row r="99" spans="1:18" x14ac:dyDescent="0.25">
      <c r="A99" s="12"/>
      <c r="B99" s="750"/>
      <c r="C99" s="372">
        <v>7513</v>
      </c>
      <c r="D99" s="373" t="s">
        <v>24</v>
      </c>
      <c r="E99" s="39">
        <v>76.7</v>
      </c>
      <c r="F99" s="40">
        <v>76.7</v>
      </c>
      <c r="G99" s="41">
        <v>82.6</v>
      </c>
      <c r="H99" s="41">
        <v>82.6</v>
      </c>
      <c r="I99" s="39">
        <v>66.099999999999994</v>
      </c>
      <c r="J99" s="40">
        <v>66.099999999999994</v>
      </c>
      <c r="K99" s="41">
        <v>8.3000000000000007</v>
      </c>
      <c r="L99" s="117">
        <v>8.3000000000000007</v>
      </c>
      <c r="P99" s="12"/>
      <c r="Q99" s="12"/>
      <c r="R99" s="12"/>
    </row>
    <row r="100" spans="1:18" x14ac:dyDescent="0.25">
      <c r="B100" s="750"/>
      <c r="C100" s="372">
        <v>7514</v>
      </c>
      <c r="D100" s="373" t="s">
        <v>23</v>
      </c>
      <c r="E100" s="42">
        <v>48.7</v>
      </c>
      <c r="F100" s="43">
        <v>48.7</v>
      </c>
      <c r="G100" s="92">
        <v>52.4</v>
      </c>
      <c r="H100" s="92">
        <v>52.4</v>
      </c>
      <c r="I100" s="42">
        <v>41.9</v>
      </c>
      <c r="J100" s="43">
        <v>41.9</v>
      </c>
      <c r="K100" s="92">
        <v>5.2</v>
      </c>
      <c r="L100" s="44">
        <v>5.2</v>
      </c>
      <c r="P100" s="12"/>
      <c r="Q100" s="12"/>
      <c r="R100" s="12"/>
    </row>
    <row r="101" spans="1:18" x14ac:dyDescent="0.25">
      <c r="B101" s="750"/>
      <c r="C101" s="372">
        <v>7515</v>
      </c>
      <c r="D101" s="373" t="s">
        <v>23</v>
      </c>
      <c r="E101" s="42">
        <v>43.9</v>
      </c>
      <c r="F101" s="43">
        <v>43.9</v>
      </c>
      <c r="G101" s="92">
        <v>47.3</v>
      </c>
      <c r="H101" s="92">
        <v>47.3</v>
      </c>
      <c r="I101" s="42">
        <v>37.799999999999997</v>
      </c>
      <c r="J101" s="43">
        <v>37.799999999999997</v>
      </c>
      <c r="K101" s="92">
        <v>4.7</v>
      </c>
      <c r="L101" s="44">
        <v>4.7</v>
      </c>
      <c r="P101" s="12"/>
      <c r="Q101" s="12"/>
      <c r="R101" s="12"/>
    </row>
    <row r="102" spans="1:18" x14ac:dyDescent="0.25">
      <c r="B102" s="842"/>
      <c r="C102" s="374">
        <v>7516</v>
      </c>
      <c r="D102" s="375" t="s">
        <v>23</v>
      </c>
      <c r="E102" s="64">
        <v>35.6</v>
      </c>
      <c r="F102" s="65">
        <v>35.6</v>
      </c>
      <c r="G102" s="308">
        <v>38.299999999999997</v>
      </c>
      <c r="H102" s="308">
        <v>38.299999999999997</v>
      </c>
      <c r="I102" s="64">
        <v>30.6</v>
      </c>
      <c r="J102" s="65">
        <v>30.6</v>
      </c>
      <c r="K102" s="308">
        <v>3.8</v>
      </c>
      <c r="L102" s="66">
        <v>3.8</v>
      </c>
      <c r="P102" s="12"/>
      <c r="Q102" s="12"/>
      <c r="R102" s="12"/>
    </row>
    <row r="103" spans="1:18" x14ac:dyDescent="0.25">
      <c r="B103" s="750">
        <v>6</v>
      </c>
      <c r="C103" s="372">
        <v>7611</v>
      </c>
      <c r="D103" s="373" t="s">
        <v>24</v>
      </c>
      <c r="E103" s="39">
        <v>70.2</v>
      </c>
      <c r="F103" s="40">
        <v>70.2</v>
      </c>
      <c r="G103" s="41">
        <v>75.599999999999994</v>
      </c>
      <c r="H103" s="41">
        <v>75.599999999999994</v>
      </c>
      <c r="I103" s="39">
        <v>60.5</v>
      </c>
      <c r="J103" s="40">
        <v>60.5</v>
      </c>
      <c r="K103" s="41">
        <v>7.6</v>
      </c>
      <c r="L103" s="117">
        <v>7.6</v>
      </c>
    </row>
    <row r="104" spans="1:18" x14ac:dyDescent="0.25">
      <c r="B104" s="750"/>
      <c r="C104" s="372">
        <v>7612</v>
      </c>
      <c r="D104" s="373" t="s">
        <v>23</v>
      </c>
      <c r="E104" s="39">
        <v>46.9</v>
      </c>
      <c r="F104" s="40">
        <v>46.9</v>
      </c>
      <c r="G104" s="41">
        <v>50.5</v>
      </c>
      <c r="H104" s="41">
        <v>50.5</v>
      </c>
      <c r="I104" s="39">
        <v>40.4</v>
      </c>
      <c r="J104" s="40">
        <v>40.4</v>
      </c>
      <c r="K104" s="41">
        <v>5.0999999999999996</v>
      </c>
      <c r="L104" s="117">
        <v>5.0999999999999996</v>
      </c>
    </row>
    <row r="105" spans="1:18" x14ac:dyDescent="0.25">
      <c r="B105" s="750"/>
      <c r="C105" s="372">
        <v>7613</v>
      </c>
      <c r="D105" s="373" t="s">
        <v>23</v>
      </c>
      <c r="E105" s="39">
        <v>44.4</v>
      </c>
      <c r="F105" s="40">
        <v>44.4</v>
      </c>
      <c r="G105" s="41">
        <v>47.8</v>
      </c>
      <c r="H105" s="41">
        <v>47.8</v>
      </c>
      <c r="I105" s="39">
        <v>38.200000000000003</v>
      </c>
      <c r="J105" s="40">
        <v>38.200000000000003</v>
      </c>
      <c r="K105" s="41">
        <v>4.8</v>
      </c>
      <c r="L105" s="117">
        <v>4.8</v>
      </c>
    </row>
    <row r="106" spans="1:18" x14ac:dyDescent="0.25">
      <c r="B106" s="750"/>
      <c r="C106" s="372">
        <v>7614</v>
      </c>
      <c r="D106" s="373" t="s">
        <v>23</v>
      </c>
      <c r="E106" s="42">
        <v>40.799999999999997</v>
      </c>
      <c r="F106" s="43">
        <v>40.799999999999997</v>
      </c>
      <c r="G106" s="92">
        <v>43.9</v>
      </c>
      <c r="H106" s="92">
        <v>43.9</v>
      </c>
      <c r="I106" s="42">
        <v>35.1</v>
      </c>
      <c r="J106" s="43">
        <v>35.1</v>
      </c>
      <c r="K106" s="92">
        <v>4.4000000000000004</v>
      </c>
      <c r="L106" s="44">
        <v>4.4000000000000004</v>
      </c>
    </row>
    <row r="107" spans="1:18" x14ac:dyDescent="0.25">
      <c r="B107" s="750"/>
      <c r="C107" s="372">
        <v>7615</v>
      </c>
      <c r="D107" s="373" t="s">
        <v>23</v>
      </c>
      <c r="E107" s="42">
        <v>35.9</v>
      </c>
      <c r="F107" s="43">
        <v>35.9</v>
      </c>
      <c r="G107" s="92">
        <v>38.700000000000003</v>
      </c>
      <c r="H107" s="92">
        <v>38.700000000000003</v>
      </c>
      <c r="I107" s="42">
        <v>31</v>
      </c>
      <c r="J107" s="43">
        <v>31</v>
      </c>
      <c r="K107" s="92">
        <v>3.9</v>
      </c>
      <c r="L107" s="44">
        <v>3.9</v>
      </c>
    </row>
    <row r="108" spans="1:18" ht="15.75" thickBot="1" x14ac:dyDescent="0.3">
      <c r="B108" s="752"/>
      <c r="C108" s="376">
        <v>7616</v>
      </c>
      <c r="D108" s="377" t="s">
        <v>23</v>
      </c>
      <c r="E108" s="84">
        <v>30.6</v>
      </c>
      <c r="F108" s="85">
        <v>30.6</v>
      </c>
      <c r="G108" s="312">
        <v>32.9</v>
      </c>
      <c r="H108" s="312">
        <v>32.9</v>
      </c>
      <c r="I108" s="84">
        <v>26.4</v>
      </c>
      <c r="J108" s="85">
        <v>26.4</v>
      </c>
      <c r="K108" s="312">
        <v>3.3</v>
      </c>
      <c r="L108" s="86">
        <v>3.3</v>
      </c>
    </row>
    <row r="109" spans="1:18" ht="15.75" thickBot="1" x14ac:dyDescent="0.3"/>
    <row r="110" spans="1:18" ht="16.5" thickBot="1" x14ac:dyDescent="0.3">
      <c r="B110" s="821" t="s">
        <v>279</v>
      </c>
      <c r="C110" s="822"/>
      <c r="D110" s="822"/>
      <c r="E110" s="822"/>
      <c r="F110" s="822"/>
      <c r="G110" s="822"/>
      <c r="H110" s="822"/>
      <c r="I110" s="822"/>
      <c r="J110" s="822"/>
      <c r="K110" s="822"/>
      <c r="L110" s="822"/>
      <c r="M110" s="822"/>
      <c r="N110" s="822"/>
      <c r="O110" s="823"/>
    </row>
    <row r="111" spans="1:18" x14ac:dyDescent="0.25">
      <c r="B111" s="807" t="s">
        <v>56</v>
      </c>
      <c r="C111" s="828" t="s">
        <v>28</v>
      </c>
      <c r="D111" s="819" t="s">
        <v>26</v>
      </c>
      <c r="E111" s="828" t="s">
        <v>364</v>
      </c>
      <c r="F111" s="828" t="s">
        <v>363</v>
      </c>
      <c r="G111" s="817" t="s">
        <v>362</v>
      </c>
      <c r="H111" s="819" t="s">
        <v>361</v>
      </c>
      <c r="I111" s="828" t="s">
        <v>360</v>
      </c>
      <c r="J111" s="828" t="s">
        <v>359</v>
      </c>
      <c r="K111" s="817" t="s">
        <v>358</v>
      </c>
      <c r="L111" s="819" t="s">
        <v>357</v>
      </c>
      <c r="M111" s="830" t="s">
        <v>299</v>
      </c>
      <c r="N111" s="831" t="s">
        <v>356</v>
      </c>
      <c r="O111" s="833" t="s">
        <v>355</v>
      </c>
    </row>
    <row r="112" spans="1:18" x14ac:dyDescent="0.25">
      <c r="B112" s="808"/>
      <c r="C112" s="734"/>
      <c r="D112" s="820"/>
      <c r="E112" s="734"/>
      <c r="F112" s="734"/>
      <c r="G112" s="818"/>
      <c r="H112" s="820"/>
      <c r="I112" s="734"/>
      <c r="J112" s="734"/>
      <c r="K112" s="818"/>
      <c r="L112" s="820"/>
      <c r="M112" s="802"/>
      <c r="N112" s="832"/>
      <c r="O112" s="834"/>
    </row>
    <row r="113" spans="2:15" x14ac:dyDescent="0.25">
      <c r="B113" s="843">
        <v>1</v>
      </c>
      <c r="C113" s="87">
        <v>7111</v>
      </c>
      <c r="D113" s="371" t="s">
        <v>24</v>
      </c>
      <c r="E113" s="108">
        <v>1.2999999999999999E-2</v>
      </c>
      <c r="F113" s="109">
        <v>1.2999999999999999E-2</v>
      </c>
      <c r="G113" s="123">
        <v>8.1500000000000003E-2</v>
      </c>
      <c r="H113" s="123">
        <v>8.1500000000000003E-2</v>
      </c>
      <c r="I113" s="108">
        <v>0.16450000000000001</v>
      </c>
      <c r="J113" s="109">
        <v>0.16450000000000001</v>
      </c>
      <c r="K113" s="123">
        <v>0.45479999999999998</v>
      </c>
      <c r="L113" s="123">
        <v>0.45479999999999998</v>
      </c>
      <c r="M113" s="49">
        <v>0.21199999999999999</v>
      </c>
      <c r="N113" s="94">
        <f>G113/E113</f>
        <v>6.2692307692307701</v>
      </c>
      <c r="O113" s="444">
        <f>I113/E113</f>
        <v>12.653846153846155</v>
      </c>
    </row>
    <row r="114" spans="2:15" x14ac:dyDescent="0.25">
      <c r="B114" s="733"/>
      <c r="C114" s="93">
        <v>7112</v>
      </c>
      <c r="D114" s="373" t="s">
        <v>25</v>
      </c>
      <c r="E114" s="95">
        <v>1.5699999999999999E-2</v>
      </c>
      <c r="F114" s="96">
        <v>1.5699999999999999E-2</v>
      </c>
      <c r="G114" s="120">
        <v>8.4699999999999998E-2</v>
      </c>
      <c r="H114" s="120">
        <v>8.4699999999999998E-2</v>
      </c>
      <c r="I114" s="95">
        <v>0.16930000000000001</v>
      </c>
      <c r="J114" s="96">
        <v>0.16930000000000001</v>
      </c>
      <c r="K114" s="120">
        <v>0.46510000000000001</v>
      </c>
      <c r="L114" s="120">
        <v>0.46510000000000001</v>
      </c>
      <c r="M114" s="56">
        <v>0.254</v>
      </c>
      <c r="N114" s="99">
        <f t="shared" ref="N114" si="54">G114/E114</f>
        <v>5.3949044585987265</v>
      </c>
      <c r="O114" s="185">
        <f t="shared" ref="O114" si="55">I114/E114</f>
        <v>10.783439490445861</v>
      </c>
    </row>
    <row r="115" spans="2:15" x14ac:dyDescent="0.25">
      <c r="B115" s="733"/>
      <c r="C115" s="93">
        <v>7113</v>
      </c>
      <c r="D115" s="373" t="s">
        <v>25</v>
      </c>
      <c r="E115" s="95">
        <v>1.5699999999999999E-2</v>
      </c>
      <c r="F115" s="96">
        <v>1.5699999999999999E-2</v>
      </c>
      <c r="G115" s="120">
        <v>0.1007</v>
      </c>
      <c r="H115" s="120">
        <v>0.1007</v>
      </c>
      <c r="I115" s="95">
        <v>0.20449999999999999</v>
      </c>
      <c r="J115" s="96">
        <v>0.20449999999999999</v>
      </c>
      <c r="K115" s="120">
        <v>0.5675</v>
      </c>
      <c r="L115" s="120">
        <v>0.5675</v>
      </c>
      <c r="M115" s="56">
        <v>0.20300000000000001</v>
      </c>
      <c r="N115" s="99">
        <f t="shared" ref="N115:N116" si="56">G115/E115</f>
        <v>6.4140127388535033</v>
      </c>
      <c r="O115" s="185">
        <f t="shared" ref="O115:O117" si="57">I115/E115</f>
        <v>13.02547770700637</v>
      </c>
    </row>
    <row r="116" spans="2:15" x14ac:dyDescent="0.25">
      <c r="B116" s="733"/>
      <c r="C116" s="93">
        <v>7114</v>
      </c>
      <c r="D116" s="373" t="s">
        <v>25</v>
      </c>
      <c r="E116" s="378">
        <v>1.5699999999999999E-2</v>
      </c>
      <c r="F116" s="438">
        <v>1.5699999999999999E-2</v>
      </c>
      <c r="G116" s="368">
        <v>0.10829999999999999</v>
      </c>
      <c r="H116" s="368">
        <v>0.10829999999999999</v>
      </c>
      <c r="I116" s="378">
        <v>0.24260000000000001</v>
      </c>
      <c r="J116" s="438">
        <v>0.24260000000000001</v>
      </c>
      <c r="K116" s="368">
        <v>0.71250000000000002</v>
      </c>
      <c r="L116" s="368">
        <v>0.71250000000000002</v>
      </c>
      <c r="M116" s="378">
        <v>0.151</v>
      </c>
      <c r="N116" s="99">
        <f t="shared" si="56"/>
        <v>6.8980891719745223</v>
      </c>
      <c r="O116" s="185">
        <f t="shared" si="57"/>
        <v>15.45222929936306</v>
      </c>
    </row>
    <row r="117" spans="2:15" x14ac:dyDescent="0.25">
      <c r="B117" s="733"/>
      <c r="C117" s="93">
        <v>7115</v>
      </c>
      <c r="D117" s="373" t="s">
        <v>25</v>
      </c>
      <c r="E117" s="378">
        <v>1.5699999999999999E-2</v>
      </c>
      <c r="F117" s="438">
        <v>1.5699999999999999E-2</v>
      </c>
      <c r="G117" s="368">
        <v>9.0700000000000003E-2</v>
      </c>
      <c r="H117" s="368">
        <v>9.0700000000000003E-2</v>
      </c>
      <c r="I117" s="378">
        <v>0.28039999999999998</v>
      </c>
      <c r="J117" s="438">
        <v>0.28039999999999998</v>
      </c>
      <c r="K117" s="368">
        <v>0.94440000000000002</v>
      </c>
      <c r="L117" s="368">
        <v>0.94440000000000002</v>
      </c>
      <c r="M117" s="378">
        <v>0.1</v>
      </c>
      <c r="N117" s="99">
        <f>G117/E117</f>
        <v>5.7770700636942678</v>
      </c>
      <c r="O117" s="185">
        <f t="shared" si="57"/>
        <v>17.859872611464969</v>
      </c>
    </row>
    <row r="118" spans="2:15" x14ac:dyDescent="0.25">
      <c r="B118" s="844"/>
      <c r="C118" s="306">
        <v>7116</v>
      </c>
      <c r="D118" s="375" t="s">
        <v>24</v>
      </c>
      <c r="E118" s="439">
        <v>1.5699999999999999E-2</v>
      </c>
      <c r="F118" s="440">
        <v>1.5699999999999999E-2</v>
      </c>
      <c r="G118" s="441">
        <v>9.0700000000000003E-2</v>
      </c>
      <c r="H118" s="441">
        <v>9.0700000000000003E-2</v>
      </c>
      <c r="I118" s="439">
        <v>0.28039999999999998</v>
      </c>
      <c r="J118" s="440">
        <v>0.28039999999999998</v>
      </c>
      <c r="K118" s="441">
        <v>0.94440000000000002</v>
      </c>
      <c r="L118" s="441">
        <v>0.94440000000000002</v>
      </c>
      <c r="M118" s="439">
        <v>4.8000000000000001E-2</v>
      </c>
      <c r="N118" s="157">
        <f>G118/E118</f>
        <v>5.7770700636942678</v>
      </c>
      <c r="O118" s="443">
        <f>I118/E118</f>
        <v>17.859872611464969</v>
      </c>
    </row>
    <row r="119" spans="2:15" x14ac:dyDescent="0.25">
      <c r="B119" s="733">
        <v>2</v>
      </c>
      <c r="C119" s="93">
        <v>7211</v>
      </c>
      <c r="D119" s="373" t="s">
        <v>23</v>
      </c>
      <c r="E119" s="95">
        <v>1.12E-2</v>
      </c>
      <c r="F119" s="96">
        <v>1.12E-2</v>
      </c>
      <c r="G119" s="120">
        <v>7.0900000000000005E-2</v>
      </c>
      <c r="H119" s="120">
        <v>7.0900000000000005E-2</v>
      </c>
      <c r="I119" s="95">
        <v>0.12089999999999999</v>
      </c>
      <c r="J119" s="96">
        <v>0.12089999999999999</v>
      </c>
      <c r="K119" s="120">
        <v>0.29580000000000001</v>
      </c>
      <c r="L119" s="120">
        <v>0.29580000000000001</v>
      </c>
      <c r="M119" s="56">
        <v>0.312</v>
      </c>
      <c r="N119" s="99">
        <f>G119/E119</f>
        <v>6.3303571428571432</v>
      </c>
      <c r="O119" s="185">
        <f>I119/E119</f>
        <v>10.794642857142856</v>
      </c>
    </row>
    <row r="120" spans="2:15" x14ac:dyDescent="0.25">
      <c r="B120" s="733"/>
      <c r="C120" s="93">
        <v>7212</v>
      </c>
      <c r="D120" s="373" t="s">
        <v>24</v>
      </c>
      <c r="E120" s="95">
        <v>1.2999999999999999E-2</v>
      </c>
      <c r="F120" s="96">
        <v>1.2999999999999999E-2</v>
      </c>
      <c r="G120" s="120">
        <v>8.9099999999999999E-2</v>
      </c>
      <c r="H120" s="120">
        <v>8.9099999999999999E-2</v>
      </c>
      <c r="I120" s="95">
        <v>0.14099999999999999</v>
      </c>
      <c r="J120" s="96">
        <v>0.14099999999999999</v>
      </c>
      <c r="K120" s="120">
        <v>0.32290000000000002</v>
      </c>
      <c r="L120" s="120">
        <v>0.32290000000000002</v>
      </c>
      <c r="M120" s="56">
        <v>0.35299999999999998</v>
      </c>
      <c r="N120" s="99">
        <f t="shared" ref="N120:N123" si="58">G120/E120</f>
        <v>6.8538461538461544</v>
      </c>
      <c r="O120" s="185">
        <f t="shared" ref="O120:O123" si="59">I120/E120</f>
        <v>10.846153846153845</v>
      </c>
    </row>
    <row r="121" spans="2:15" x14ac:dyDescent="0.25">
      <c r="B121" s="733"/>
      <c r="C121" s="93">
        <v>7213</v>
      </c>
      <c r="D121" s="373" t="s">
        <v>24</v>
      </c>
      <c r="E121" s="95">
        <v>1.2999999999999999E-2</v>
      </c>
      <c r="F121" s="96">
        <v>1.2999999999999999E-2</v>
      </c>
      <c r="G121" s="120">
        <v>7.6899999999999996E-2</v>
      </c>
      <c r="H121" s="120">
        <v>7.6899999999999996E-2</v>
      </c>
      <c r="I121" s="95">
        <v>0.14099999999999999</v>
      </c>
      <c r="J121" s="96">
        <v>0.14099999999999999</v>
      </c>
      <c r="K121" s="120">
        <v>0.36549999999999999</v>
      </c>
      <c r="L121" s="120">
        <v>0.36549999999999999</v>
      </c>
      <c r="M121" s="56">
        <v>0.28100000000000003</v>
      </c>
      <c r="N121" s="99">
        <f t="shared" si="58"/>
        <v>5.9153846153846157</v>
      </c>
      <c r="O121" s="185">
        <f t="shared" si="59"/>
        <v>10.846153846153845</v>
      </c>
    </row>
    <row r="122" spans="2:15" x14ac:dyDescent="0.25">
      <c r="B122" s="733"/>
      <c r="C122" s="93">
        <v>7214</v>
      </c>
      <c r="D122" s="373" t="s">
        <v>24</v>
      </c>
      <c r="E122" s="378">
        <v>1.5699999999999999E-2</v>
      </c>
      <c r="F122" s="438">
        <v>1.5699999999999999E-2</v>
      </c>
      <c r="G122" s="368">
        <v>9.7199999999999995E-2</v>
      </c>
      <c r="H122" s="368">
        <v>9.7199999999999995E-2</v>
      </c>
      <c r="I122" s="378">
        <v>0.16930000000000001</v>
      </c>
      <c r="J122" s="438">
        <v>0.16930000000000001</v>
      </c>
      <c r="K122" s="368">
        <v>0.42130000000000001</v>
      </c>
      <c r="L122" s="368">
        <v>0.42130000000000001</v>
      </c>
      <c r="M122" s="378">
        <v>0.30199999999999999</v>
      </c>
      <c r="N122" s="99">
        <f t="shared" si="58"/>
        <v>6.1910828025477711</v>
      </c>
      <c r="O122" s="185">
        <f t="shared" si="59"/>
        <v>10.783439490445861</v>
      </c>
    </row>
    <row r="123" spans="2:15" x14ac:dyDescent="0.25">
      <c r="B123" s="733"/>
      <c r="C123" s="93">
        <v>7215</v>
      </c>
      <c r="D123" s="373" t="s">
        <v>24</v>
      </c>
      <c r="E123" s="378">
        <v>1.5699999999999999E-2</v>
      </c>
      <c r="F123" s="438">
        <v>1.5699999999999999E-2</v>
      </c>
      <c r="G123" s="368">
        <v>0.1016</v>
      </c>
      <c r="H123" s="368">
        <v>0.1016</v>
      </c>
      <c r="I123" s="378">
        <v>0.20680000000000001</v>
      </c>
      <c r="J123" s="438">
        <v>0.20680000000000001</v>
      </c>
      <c r="K123" s="368">
        <v>0.57509999999999994</v>
      </c>
      <c r="L123" s="368">
        <v>0.57509999999999994</v>
      </c>
      <c r="M123" s="378">
        <v>0.19900000000000001</v>
      </c>
      <c r="N123" s="99">
        <f t="shared" si="58"/>
        <v>6.4713375796178347</v>
      </c>
      <c r="O123" s="185">
        <f t="shared" si="59"/>
        <v>13.171974522292995</v>
      </c>
    </row>
    <row r="124" spans="2:15" x14ac:dyDescent="0.25">
      <c r="B124" s="733"/>
      <c r="C124" s="93">
        <v>7216</v>
      </c>
      <c r="D124" s="373" t="s">
        <v>23</v>
      </c>
      <c r="E124" s="378">
        <v>1.5699999999999999E-2</v>
      </c>
      <c r="F124" s="438">
        <v>1.5699999999999999E-2</v>
      </c>
      <c r="G124" s="368">
        <v>9.0700000000000003E-2</v>
      </c>
      <c r="H124" s="368">
        <v>9.0700000000000003E-2</v>
      </c>
      <c r="I124" s="378">
        <v>0.28039999999999998</v>
      </c>
      <c r="J124" s="438">
        <v>0.28039999999999998</v>
      </c>
      <c r="K124" s="368">
        <v>0.94440000000000002</v>
      </c>
      <c r="L124" s="368">
        <v>0.94440000000000002</v>
      </c>
      <c r="M124" s="378">
        <v>9.6000000000000002E-2</v>
      </c>
      <c r="N124" s="99">
        <f>G124/E124</f>
        <v>5.7770700636942678</v>
      </c>
      <c r="O124" s="185">
        <f>I124/E124</f>
        <v>17.859872611464969</v>
      </c>
    </row>
    <row r="125" spans="2:15" x14ac:dyDescent="0.25">
      <c r="B125" s="843">
        <v>3</v>
      </c>
      <c r="C125" s="87">
        <v>7311</v>
      </c>
      <c r="D125" s="371" t="s">
        <v>23</v>
      </c>
      <c r="E125" s="108">
        <v>1.12E-2</v>
      </c>
      <c r="F125" s="109">
        <v>1.12E-2</v>
      </c>
      <c r="G125" s="123">
        <v>7.0900000000000005E-2</v>
      </c>
      <c r="H125" s="123">
        <v>7.0900000000000005E-2</v>
      </c>
      <c r="I125" s="108">
        <v>0.12089999999999999</v>
      </c>
      <c r="J125" s="109">
        <v>0.12089999999999999</v>
      </c>
      <c r="K125" s="123">
        <v>0.29580000000000001</v>
      </c>
      <c r="L125" s="123">
        <v>0.29580000000000001</v>
      </c>
      <c r="M125" s="49">
        <v>0.312</v>
      </c>
      <c r="N125" s="94">
        <f>G125/E125</f>
        <v>6.3303571428571432</v>
      </c>
      <c r="O125" s="444">
        <f>I125/E125</f>
        <v>10.794642857142856</v>
      </c>
    </row>
    <row r="126" spans="2:15" x14ac:dyDescent="0.25">
      <c r="B126" s="733"/>
      <c r="C126" s="93">
        <v>7312</v>
      </c>
      <c r="D126" s="373" t="s">
        <v>24</v>
      </c>
      <c r="E126" s="95">
        <v>1.2999999999999999E-2</v>
      </c>
      <c r="F126" s="96">
        <v>1.2999999999999999E-2</v>
      </c>
      <c r="G126" s="120">
        <v>8.9099999999999999E-2</v>
      </c>
      <c r="H126" s="120">
        <v>8.9099999999999999E-2</v>
      </c>
      <c r="I126" s="95">
        <v>0.14099999999999999</v>
      </c>
      <c r="J126" s="96">
        <v>0.14099999999999999</v>
      </c>
      <c r="K126" s="120">
        <v>0.32290000000000002</v>
      </c>
      <c r="L126" s="120">
        <v>0.32290000000000002</v>
      </c>
      <c r="M126" s="56">
        <v>0.35299999999999998</v>
      </c>
      <c r="N126" s="99">
        <f t="shared" ref="N126:N129" si="60">G126/E126</f>
        <v>6.8538461538461544</v>
      </c>
      <c r="O126" s="185">
        <f t="shared" ref="O126:O129" si="61">I126/E126</f>
        <v>10.846153846153845</v>
      </c>
    </row>
    <row r="127" spans="2:15" x14ac:dyDescent="0.25">
      <c r="B127" s="733"/>
      <c r="C127" s="93">
        <v>7313</v>
      </c>
      <c r="D127" s="373" t="s">
        <v>24</v>
      </c>
      <c r="E127" s="95">
        <v>1.2999999999999999E-2</v>
      </c>
      <c r="F127" s="96">
        <v>1.2999999999999999E-2</v>
      </c>
      <c r="G127" s="120">
        <v>7.6899999999999996E-2</v>
      </c>
      <c r="H127" s="120">
        <v>7.6899999999999996E-2</v>
      </c>
      <c r="I127" s="95">
        <v>0.14099999999999999</v>
      </c>
      <c r="J127" s="96">
        <v>0.14099999999999999</v>
      </c>
      <c r="K127" s="120">
        <v>0.36549999999999999</v>
      </c>
      <c r="L127" s="120">
        <v>0.36549999999999999</v>
      </c>
      <c r="M127" s="56">
        <v>0.28100000000000003</v>
      </c>
      <c r="N127" s="99">
        <f t="shared" si="60"/>
        <v>5.9153846153846157</v>
      </c>
      <c r="O127" s="185">
        <f t="shared" si="61"/>
        <v>10.846153846153845</v>
      </c>
    </row>
    <row r="128" spans="2:15" x14ac:dyDescent="0.25">
      <c r="B128" s="733"/>
      <c r="C128" s="93">
        <v>7314</v>
      </c>
      <c r="D128" s="373" t="s">
        <v>24</v>
      </c>
      <c r="E128" s="378">
        <v>1.5699999999999999E-2</v>
      </c>
      <c r="F128" s="438">
        <v>1.5699999999999999E-2</v>
      </c>
      <c r="G128" s="368">
        <v>9.7199999999999995E-2</v>
      </c>
      <c r="H128" s="368">
        <v>9.7199999999999995E-2</v>
      </c>
      <c r="I128" s="378">
        <v>0.16930000000000001</v>
      </c>
      <c r="J128" s="438">
        <v>0.16930000000000001</v>
      </c>
      <c r="K128" s="368">
        <v>0.42130000000000001</v>
      </c>
      <c r="L128" s="368">
        <v>0.42130000000000001</v>
      </c>
      <c r="M128" s="378">
        <v>0.30199999999999999</v>
      </c>
      <c r="N128" s="99">
        <f t="shared" si="60"/>
        <v>6.1910828025477711</v>
      </c>
      <c r="O128" s="185">
        <f t="shared" si="61"/>
        <v>10.783439490445861</v>
      </c>
    </row>
    <row r="129" spans="2:17" x14ac:dyDescent="0.25">
      <c r="B129" s="733"/>
      <c r="C129" s="93">
        <v>7315</v>
      </c>
      <c r="D129" s="373" t="s">
        <v>24</v>
      </c>
      <c r="E129" s="378">
        <v>1.5699999999999999E-2</v>
      </c>
      <c r="F129" s="438">
        <v>1.5699999999999999E-2</v>
      </c>
      <c r="G129" s="368">
        <v>0.1016</v>
      </c>
      <c r="H129" s="368">
        <v>0.1016</v>
      </c>
      <c r="I129" s="378">
        <v>0.20680000000000001</v>
      </c>
      <c r="J129" s="438">
        <v>0.20680000000000001</v>
      </c>
      <c r="K129" s="368">
        <v>0.57509999999999994</v>
      </c>
      <c r="L129" s="368">
        <v>0.57509999999999994</v>
      </c>
      <c r="M129" s="378">
        <v>0.19900000000000001</v>
      </c>
      <c r="N129" s="99">
        <f t="shared" si="60"/>
        <v>6.4713375796178347</v>
      </c>
      <c r="O129" s="185">
        <f t="shared" si="61"/>
        <v>13.171974522292995</v>
      </c>
    </row>
    <row r="130" spans="2:17" x14ac:dyDescent="0.25">
      <c r="B130" s="844"/>
      <c r="C130" s="306">
        <v>7316</v>
      </c>
      <c r="D130" s="375" t="s">
        <v>23</v>
      </c>
      <c r="E130" s="439">
        <v>1.5699999999999999E-2</v>
      </c>
      <c r="F130" s="440">
        <v>1.5699999999999999E-2</v>
      </c>
      <c r="G130" s="441">
        <v>9.0700000000000003E-2</v>
      </c>
      <c r="H130" s="441">
        <v>9.0700000000000003E-2</v>
      </c>
      <c r="I130" s="439">
        <v>0.28039999999999998</v>
      </c>
      <c r="J130" s="440">
        <v>0.28039999999999998</v>
      </c>
      <c r="K130" s="441">
        <v>0.94440000000000002</v>
      </c>
      <c r="L130" s="441">
        <v>0.94440000000000002</v>
      </c>
      <c r="M130" s="439">
        <v>9.6000000000000002E-2</v>
      </c>
      <c r="N130" s="157">
        <f>G130/E130</f>
        <v>5.7770700636942678</v>
      </c>
      <c r="O130" s="443">
        <f>I130/E130</f>
        <v>17.859872611464969</v>
      </c>
    </row>
    <row r="131" spans="2:17" x14ac:dyDescent="0.25">
      <c r="B131" s="733">
        <v>4</v>
      </c>
      <c r="C131" s="93">
        <v>7411</v>
      </c>
      <c r="D131" s="373" t="s">
        <v>23</v>
      </c>
      <c r="E131" s="95">
        <v>1.12E-2</v>
      </c>
      <c r="F131" s="96">
        <v>1.12E-2</v>
      </c>
      <c r="G131" s="120">
        <v>7.0900000000000005E-2</v>
      </c>
      <c r="H131" s="120">
        <v>7.0900000000000005E-2</v>
      </c>
      <c r="I131" s="95">
        <v>0.12089999999999999</v>
      </c>
      <c r="J131" s="96">
        <v>0.12089999999999999</v>
      </c>
      <c r="K131" s="120">
        <v>0.29580000000000001</v>
      </c>
      <c r="L131" s="120">
        <v>0.29580000000000001</v>
      </c>
      <c r="M131" s="56">
        <v>0.312</v>
      </c>
      <c r="N131" s="99">
        <f>G131/E131</f>
        <v>6.3303571428571432</v>
      </c>
      <c r="O131" s="185">
        <f>I131/E131</f>
        <v>10.794642857142856</v>
      </c>
      <c r="P131" s="12"/>
    </row>
    <row r="132" spans="2:17" x14ac:dyDescent="0.25">
      <c r="B132" s="733"/>
      <c r="C132" s="93">
        <v>7412</v>
      </c>
      <c r="D132" s="373" t="s">
        <v>23</v>
      </c>
      <c r="E132" s="95">
        <v>1.2999999999999999E-2</v>
      </c>
      <c r="F132" s="96">
        <v>1.2999999999999999E-2</v>
      </c>
      <c r="G132" s="120">
        <v>8.9099999999999999E-2</v>
      </c>
      <c r="H132" s="120">
        <v>8.9099999999999999E-2</v>
      </c>
      <c r="I132" s="95">
        <v>0.14099999999999999</v>
      </c>
      <c r="J132" s="96">
        <v>0.14099999999999999</v>
      </c>
      <c r="K132" s="120">
        <v>0.32290000000000002</v>
      </c>
      <c r="L132" s="120">
        <v>0.32290000000000002</v>
      </c>
      <c r="M132" s="56">
        <v>0.35299999999999998</v>
      </c>
      <c r="N132" s="99">
        <f t="shared" ref="N132:N135" si="62">G132/E132</f>
        <v>6.8538461538461544</v>
      </c>
      <c r="O132" s="185">
        <f t="shared" ref="O132:O135" si="63">I132/E132</f>
        <v>10.846153846153845</v>
      </c>
      <c r="P132" s="12"/>
    </row>
    <row r="133" spans="2:17" x14ac:dyDescent="0.25">
      <c r="B133" s="733"/>
      <c r="C133" s="93">
        <v>7413</v>
      </c>
      <c r="D133" s="373" t="s">
        <v>23</v>
      </c>
      <c r="E133" s="95">
        <v>1.2999999999999999E-2</v>
      </c>
      <c r="F133" s="96">
        <v>1.2999999999999999E-2</v>
      </c>
      <c r="G133" s="120">
        <v>7.6899999999999996E-2</v>
      </c>
      <c r="H133" s="120">
        <v>7.6899999999999996E-2</v>
      </c>
      <c r="I133" s="95">
        <v>0.14099999999999999</v>
      </c>
      <c r="J133" s="96">
        <v>0.14099999999999999</v>
      </c>
      <c r="K133" s="120">
        <v>0.36549999999999999</v>
      </c>
      <c r="L133" s="120">
        <v>0.36549999999999999</v>
      </c>
      <c r="M133" s="56">
        <v>0.28100000000000003</v>
      </c>
      <c r="N133" s="99">
        <f t="shared" si="62"/>
        <v>5.9153846153846157</v>
      </c>
      <c r="O133" s="185">
        <f t="shared" si="63"/>
        <v>10.846153846153845</v>
      </c>
      <c r="P133" s="12"/>
    </row>
    <row r="134" spans="2:17" x14ac:dyDescent="0.25">
      <c r="B134" s="733"/>
      <c r="C134" s="93">
        <v>7414</v>
      </c>
      <c r="D134" s="373" t="s">
        <v>23</v>
      </c>
      <c r="E134" s="378">
        <v>1.5699999999999999E-2</v>
      </c>
      <c r="F134" s="438">
        <v>1.5699999999999999E-2</v>
      </c>
      <c r="G134" s="368">
        <v>9.7199999999999995E-2</v>
      </c>
      <c r="H134" s="368">
        <v>9.7199999999999995E-2</v>
      </c>
      <c r="I134" s="378">
        <v>0.16930000000000001</v>
      </c>
      <c r="J134" s="438">
        <v>0.16930000000000001</v>
      </c>
      <c r="K134" s="368">
        <v>0.42130000000000001</v>
      </c>
      <c r="L134" s="368">
        <v>0.42130000000000001</v>
      </c>
      <c r="M134" s="378">
        <v>0.30199999999999999</v>
      </c>
      <c r="N134" s="99">
        <f t="shared" si="62"/>
        <v>6.1910828025477711</v>
      </c>
      <c r="O134" s="185">
        <f t="shared" si="63"/>
        <v>10.783439490445861</v>
      </c>
      <c r="P134" s="12"/>
    </row>
    <row r="135" spans="2:17" x14ac:dyDescent="0.25">
      <c r="B135" s="733"/>
      <c r="C135" s="93">
        <v>7415</v>
      </c>
      <c r="D135" s="373" t="s">
        <v>23</v>
      </c>
      <c r="E135" s="378">
        <v>1.5699999999999999E-2</v>
      </c>
      <c r="F135" s="438">
        <v>1.5699999999999999E-2</v>
      </c>
      <c r="G135" s="368">
        <v>0.1016</v>
      </c>
      <c r="H135" s="368">
        <v>0.1016</v>
      </c>
      <c r="I135" s="378">
        <v>0.20680000000000001</v>
      </c>
      <c r="J135" s="438">
        <v>0.20680000000000001</v>
      </c>
      <c r="K135" s="368">
        <v>0.57509999999999994</v>
      </c>
      <c r="L135" s="368">
        <v>0.57509999999999994</v>
      </c>
      <c r="M135" s="378">
        <v>0.19900000000000001</v>
      </c>
      <c r="N135" s="99">
        <f t="shared" si="62"/>
        <v>6.4713375796178347</v>
      </c>
      <c r="O135" s="185">
        <f t="shared" si="63"/>
        <v>13.171974522292995</v>
      </c>
      <c r="P135" s="12"/>
    </row>
    <row r="136" spans="2:17" x14ac:dyDescent="0.25">
      <c r="B136" s="733"/>
      <c r="C136" s="93">
        <v>7416</v>
      </c>
      <c r="D136" s="373" t="s">
        <v>23</v>
      </c>
      <c r="E136" s="378">
        <v>1.5699999999999999E-2</v>
      </c>
      <c r="F136" s="438">
        <v>1.5699999999999999E-2</v>
      </c>
      <c r="G136" s="368">
        <v>9.0700000000000003E-2</v>
      </c>
      <c r="H136" s="368">
        <v>9.0700000000000003E-2</v>
      </c>
      <c r="I136" s="378">
        <v>0.28039999999999998</v>
      </c>
      <c r="J136" s="438">
        <v>0.28039999999999998</v>
      </c>
      <c r="K136" s="368">
        <v>0.94440000000000002</v>
      </c>
      <c r="L136" s="368">
        <v>0.94440000000000002</v>
      </c>
      <c r="M136" s="378">
        <v>9.6000000000000002E-2</v>
      </c>
      <c r="N136" s="99">
        <f>G136/E136</f>
        <v>5.7770700636942678</v>
      </c>
      <c r="O136" s="185">
        <f>I136/E136</f>
        <v>17.859872611464969</v>
      </c>
      <c r="P136" s="12"/>
    </row>
    <row r="137" spans="2:17" x14ac:dyDescent="0.25">
      <c r="B137" s="843">
        <v>5</v>
      </c>
      <c r="C137" s="87">
        <v>7511</v>
      </c>
      <c r="D137" s="371" t="s">
        <v>23</v>
      </c>
      <c r="E137" s="108">
        <v>1.12E-2</v>
      </c>
      <c r="F137" s="109">
        <v>1.12E-2</v>
      </c>
      <c r="G137" s="123">
        <v>7.0900000000000005E-2</v>
      </c>
      <c r="H137" s="123">
        <v>7.0900000000000005E-2</v>
      </c>
      <c r="I137" s="108">
        <v>0.12089999999999999</v>
      </c>
      <c r="J137" s="109">
        <v>0.12089999999999999</v>
      </c>
      <c r="K137" s="123">
        <v>0.29580000000000001</v>
      </c>
      <c r="L137" s="123">
        <v>0.29580000000000001</v>
      </c>
      <c r="M137" s="49">
        <v>0.312</v>
      </c>
      <c r="N137" s="94">
        <f>G137/E137</f>
        <v>6.3303571428571432</v>
      </c>
      <c r="O137" s="444">
        <f>I137/E137</f>
        <v>10.794642857142856</v>
      </c>
      <c r="P137" s="12"/>
    </row>
    <row r="138" spans="2:17" x14ac:dyDescent="0.25">
      <c r="B138" s="733"/>
      <c r="C138" s="93">
        <v>7512</v>
      </c>
      <c r="D138" s="373" t="s">
        <v>23</v>
      </c>
      <c r="E138" s="95">
        <v>1.2999999999999999E-2</v>
      </c>
      <c r="F138" s="96">
        <v>1.2999999999999999E-2</v>
      </c>
      <c r="G138" s="120">
        <v>8.9099999999999999E-2</v>
      </c>
      <c r="H138" s="120">
        <v>8.9099999999999999E-2</v>
      </c>
      <c r="I138" s="95">
        <v>0.14099999999999999</v>
      </c>
      <c r="J138" s="96">
        <v>0.14099999999999999</v>
      </c>
      <c r="K138" s="120">
        <v>0.32290000000000002</v>
      </c>
      <c r="L138" s="120">
        <v>0.32290000000000002</v>
      </c>
      <c r="M138" s="56">
        <v>0.35299999999999998</v>
      </c>
      <c r="N138" s="99">
        <f t="shared" ref="N138:N141" si="64">G138/E138</f>
        <v>6.8538461538461544</v>
      </c>
      <c r="O138" s="185">
        <f t="shared" ref="O138:O141" si="65">I138/E138</f>
        <v>10.846153846153845</v>
      </c>
      <c r="P138" s="12"/>
    </row>
    <row r="139" spans="2:17" x14ac:dyDescent="0.25">
      <c r="B139" s="733"/>
      <c r="C139" s="93">
        <v>7513</v>
      </c>
      <c r="D139" s="373" t="s">
        <v>23</v>
      </c>
      <c r="E139" s="95">
        <v>1.2999999999999999E-2</v>
      </c>
      <c r="F139" s="96">
        <v>1.2999999999999999E-2</v>
      </c>
      <c r="G139" s="120">
        <v>7.6899999999999996E-2</v>
      </c>
      <c r="H139" s="120">
        <v>7.6899999999999996E-2</v>
      </c>
      <c r="I139" s="95">
        <v>0.14099999999999999</v>
      </c>
      <c r="J139" s="96">
        <v>0.14099999999999999</v>
      </c>
      <c r="K139" s="120">
        <v>0.36549999999999999</v>
      </c>
      <c r="L139" s="120">
        <v>0.36549999999999999</v>
      </c>
      <c r="M139" s="56">
        <v>0.28100000000000003</v>
      </c>
      <c r="N139" s="99">
        <f t="shared" si="64"/>
        <v>5.9153846153846157</v>
      </c>
      <c r="O139" s="185">
        <f t="shared" si="65"/>
        <v>10.846153846153845</v>
      </c>
      <c r="P139" s="12"/>
    </row>
    <row r="140" spans="2:17" x14ac:dyDescent="0.25">
      <c r="B140" s="733"/>
      <c r="C140" s="93">
        <v>7514</v>
      </c>
      <c r="D140" s="373" t="s">
        <v>23</v>
      </c>
      <c r="E140" s="378">
        <v>1.5699999999999999E-2</v>
      </c>
      <c r="F140" s="438">
        <v>1.5699999999999999E-2</v>
      </c>
      <c r="G140" s="368">
        <v>9.7199999999999995E-2</v>
      </c>
      <c r="H140" s="368">
        <v>9.7199999999999995E-2</v>
      </c>
      <c r="I140" s="378">
        <v>0.16930000000000001</v>
      </c>
      <c r="J140" s="438">
        <v>0.16930000000000001</v>
      </c>
      <c r="K140" s="368">
        <v>0.42130000000000001</v>
      </c>
      <c r="L140" s="368">
        <v>0.42130000000000001</v>
      </c>
      <c r="M140" s="378">
        <v>0.30199999999999999</v>
      </c>
      <c r="N140" s="99">
        <f t="shared" si="64"/>
        <v>6.1910828025477711</v>
      </c>
      <c r="O140" s="185">
        <f t="shared" si="65"/>
        <v>10.783439490445861</v>
      </c>
      <c r="P140" s="12"/>
    </row>
    <row r="141" spans="2:17" x14ac:dyDescent="0.25">
      <c r="B141" s="733"/>
      <c r="C141" s="93">
        <v>7515</v>
      </c>
      <c r="D141" s="373" t="s">
        <v>23</v>
      </c>
      <c r="E141" s="378">
        <v>1.5699999999999999E-2</v>
      </c>
      <c r="F141" s="438">
        <v>1.5699999999999999E-2</v>
      </c>
      <c r="G141" s="368">
        <v>0.1016</v>
      </c>
      <c r="H141" s="368">
        <v>0.1016</v>
      </c>
      <c r="I141" s="378">
        <v>0.20680000000000001</v>
      </c>
      <c r="J141" s="438">
        <v>0.20680000000000001</v>
      </c>
      <c r="K141" s="368">
        <v>0.57509999999999994</v>
      </c>
      <c r="L141" s="368">
        <v>0.57509999999999994</v>
      </c>
      <c r="M141" s="378">
        <v>0.19900000000000001</v>
      </c>
      <c r="N141" s="99">
        <f t="shared" si="64"/>
        <v>6.4713375796178347</v>
      </c>
      <c r="O141" s="185">
        <f t="shared" si="65"/>
        <v>13.171974522292995</v>
      </c>
      <c r="P141" s="12"/>
    </row>
    <row r="142" spans="2:17" x14ac:dyDescent="0.25">
      <c r="B142" s="844"/>
      <c r="C142" s="306">
        <v>7516</v>
      </c>
      <c r="D142" s="375" t="s">
        <v>23</v>
      </c>
      <c r="E142" s="439">
        <v>1.5699999999999999E-2</v>
      </c>
      <c r="F142" s="440">
        <v>1.5699999999999999E-2</v>
      </c>
      <c r="G142" s="441">
        <v>9.0700000000000003E-2</v>
      </c>
      <c r="H142" s="441">
        <v>9.0700000000000003E-2</v>
      </c>
      <c r="I142" s="439">
        <v>0.28039999999999998</v>
      </c>
      <c r="J142" s="440">
        <v>0.28039999999999998</v>
      </c>
      <c r="K142" s="441">
        <v>0.94440000000000002</v>
      </c>
      <c r="L142" s="441">
        <v>0.94440000000000002</v>
      </c>
      <c r="M142" s="439">
        <v>9.6000000000000002E-2</v>
      </c>
      <c r="N142" s="157">
        <f>G142/E142</f>
        <v>5.7770700636942678</v>
      </c>
      <c r="O142" s="443">
        <f>I142/E142</f>
        <v>17.859872611464969</v>
      </c>
      <c r="P142" s="12"/>
    </row>
    <row r="143" spans="2:17" x14ac:dyDescent="0.25">
      <c r="B143" s="733">
        <v>6</v>
      </c>
      <c r="C143" s="93">
        <v>7611</v>
      </c>
      <c r="D143" s="373" t="s">
        <v>23</v>
      </c>
      <c r="E143" s="95">
        <v>1.2999999999999999E-2</v>
      </c>
      <c r="F143" s="96">
        <v>1.2999999999999999E-2</v>
      </c>
      <c r="G143" s="120">
        <v>8.1500000000000003E-2</v>
      </c>
      <c r="H143" s="120">
        <v>8.1500000000000003E-2</v>
      </c>
      <c r="I143" s="95">
        <v>0.16450000000000001</v>
      </c>
      <c r="J143" s="96">
        <v>0.16450000000000001</v>
      </c>
      <c r="K143" s="120">
        <v>0.45479999999999998</v>
      </c>
      <c r="L143" s="120">
        <v>0.45479999999999998</v>
      </c>
      <c r="M143" s="56">
        <v>0.21199999999999999</v>
      </c>
      <c r="N143" s="99">
        <f>G143/E143</f>
        <v>6.2692307692307701</v>
      </c>
      <c r="O143" s="185">
        <f>I143/E143</f>
        <v>12.653846153846155</v>
      </c>
      <c r="P143" s="12"/>
      <c r="Q143" s="12"/>
    </row>
    <row r="144" spans="2:17" x14ac:dyDescent="0.25">
      <c r="B144" s="733"/>
      <c r="C144" s="93">
        <v>7612</v>
      </c>
      <c r="D144" s="373" t="s">
        <v>23</v>
      </c>
      <c r="E144" s="95">
        <v>1.5699999999999999E-2</v>
      </c>
      <c r="F144" s="96">
        <v>1.5699999999999999E-2</v>
      </c>
      <c r="G144" s="120">
        <v>8.4699999999999998E-2</v>
      </c>
      <c r="H144" s="120">
        <v>8.4699999999999998E-2</v>
      </c>
      <c r="I144" s="95">
        <v>0.16930000000000001</v>
      </c>
      <c r="J144" s="96">
        <v>0.16930000000000001</v>
      </c>
      <c r="K144" s="120">
        <v>0.46510000000000001</v>
      </c>
      <c r="L144" s="120">
        <v>0.46510000000000001</v>
      </c>
      <c r="M144" s="56">
        <v>0.254</v>
      </c>
      <c r="N144" s="99">
        <f t="shared" ref="N144:N147" si="66">G144/E144</f>
        <v>5.3949044585987265</v>
      </c>
      <c r="O144" s="185">
        <f t="shared" ref="O144:O147" si="67">I144/E144</f>
        <v>10.783439490445861</v>
      </c>
      <c r="P144" s="12"/>
      <c r="Q144" s="12"/>
    </row>
    <row r="145" spans="2:17" x14ac:dyDescent="0.25">
      <c r="B145" s="733"/>
      <c r="C145" s="93">
        <v>7613</v>
      </c>
      <c r="D145" s="373" t="s">
        <v>23</v>
      </c>
      <c r="E145" s="95">
        <v>1.5699999999999999E-2</v>
      </c>
      <c r="F145" s="96">
        <v>1.5699999999999999E-2</v>
      </c>
      <c r="G145" s="120">
        <v>0.1007</v>
      </c>
      <c r="H145" s="120">
        <v>0.1007</v>
      </c>
      <c r="I145" s="95">
        <v>0.20449999999999999</v>
      </c>
      <c r="J145" s="96">
        <v>0.20449999999999999</v>
      </c>
      <c r="K145" s="120">
        <v>0.5675</v>
      </c>
      <c r="L145" s="120">
        <v>0.5675</v>
      </c>
      <c r="M145" s="56">
        <v>0.20300000000000001</v>
      </c>
      <c r="N145" s="99">
        <f t="shared" si="66"/>
        <v>6.4140127388535033</v>
      </c>
      <c r="O145" s="185">
        <f t="shared" si="67"/>
        <v>13.02547770700637</v>
      </c>
      <c r="P145" s="12"/>
      <c r="Q145" s="12"/>
    </row>
    <row r="146" spans="2:17" x14ac:dyDescent="0.25">
      <c r="B146" s="733"/>
      <c r="C146" s="93">
        <v>7614</v>
      </c>
      <c r="D146" s="373" t="s">
        <v>23</v>
      </c>
      <c r="E146" s="378">
        <v>1.5699999999999999E-2</v>
      </c>
      <c r="F146" s="438">
        <v>1.5699999999999999E-2</v>
      </c>
      <c r="G146" s="368">
        <v>0.10829999999999999</v>
      </c>
      <c r="H146" s="368">
        <v>0.10829999999999999</v>
      </c>
      <c r="I146" s="378">
        <v>0.24260000000000001</v>
      </c>
      <c r="J146" s="438">
        <v>0.24260000000000001</v>
      </c>
      <c r="K146" s="368">
        <v>0.71250000000000002</v>
      </c>
      <c r="L146" s="368">
        <v>0.71250000000000002</v>
      </c>
      <c r="M146" s="378">
        <v>0.151</v>
      </c>
      <c r="N146" s="99">
        <f t="shared" si="66"/>
        <v>6.8980891719745223</v>
      </c>
      <c r="O146" s="185">
        <f t="shared" si="67"/>
        <v>15.45222929936306</v>
      </c>
      <c r="P146" s="12"/>
      <c r="Q146" s="12"/>
    </row>
    <row r="147" spans="2:17" x14ac:dyDescent="0.25">
      <c r="B147" s="733"/>
      <c r="C147" s="93">
        <v>7615</v>
      </c>
      <c r="D147" s="373" t="s">
        <v>23</v>
      </c>
      <c r="E147" s="378">
        <v>1.5699999999999999E-2</v>
      </c>
      <c r="F147" s="438">
        <v>1.5699999999999999E-2</v>
      </c>
      <c r="G147" s="368">
        <v>9.0700000000000003E-2</v>
      </c>
      <c r="H147" s="368">
        <v>9.0700000000000003E-2</v>
      </c>
      <c r="I147" s="378">
        <v>0.28039999999999998</v>
      </c>
      <c r="J147" s="438">
        <v>0.28039999999999998</v>
      </c>
      <c r="K147" s="368">
        <v>0.94440000000000002</v>
      </c>
      <c r="L147" s="368">
        <v>0.94440000000000002</v>
      </c>
      <c r="M147" s="378">
        <v>0.1</v>
      </c>
      <c r="N147" s="99">
        <f t="shared" si="66"/>
        <v>5.7770700636942678</v>
      </c>
      <c r="O147" s="185">
        <f t="shared" si="67"/>
        <v>17.859872611464969</v>
      </c>
      <c r="P147" s="12"/>
      <c r="Q147" s="12"/>
    </row>
    <row r="148" spans="2:17" ht="15.75" thickBot="1" x14ac:dyDescent="0.3">
      <c r="B148" s="764"/>
      <c r="C148" s="304">
        <v>7616</v>
      </c>
      <c r="D148" s="377" t="s">
        <v>23</v>
      </c>
      <c r="E148" s="380">
        <v>1.5699999999999999E-2</v>
      </c>
      <c r="F148" s="442">
        <v>1.5699999999999999E-2</v>
      </c>
      <c r="G148" s="369">
        <v>9.0700000000000003E-2</v>
      </c>
      <c r="H148" s="369">
        <v>9.0700000000000003E-2</v>
      </c>
      <c r="I148" s="380">
        <v>0.28039999999999998</v>
      </c>
      <c r="J148" s="442">
        <v>0.28039999999999998</v>
      </c>
      <c r="K148" s="369">
        <v>0.94440000000000002</v>
      </c>
      <c r="L148" s="369">
        <v>0.94440000000000002</v>
      </c>
      <c r="M148" s="380">
        <v>4.8000000000000001E-2</v>
      </c>
      <c r="N148" s="105">
        <f>G148/E148</f>
        <v>5.7770700636942678</v>
      </c>
      <c r="O148" s="191">
        <f>I148/E148</f>
        <v>17.859872611464969</v>
      </c>
      <c r="P148" s="12"/>
      <c r="Q148" s="12"/>
    </row>
  </sheetData>
  <mergeCells count="199">
    <mergeCell ref="CC9:CC10"/>
    <mergeCell ref="BI8:BO8"/>
    <mergeCell ref="BP8:BV8"/>
    <mergeCell ref="BW8:CC8"/>
    <mergeCell ref="AP11:AQ16"/>
    <mergeCell ref="AO17:AO22"/>
    <mergeCell ref="AP17:AQ22"/>
    <mergeCell ref="S7:Y7"/>
    <mergeCell ref="Z7:AF7"/>
    <mergeCell ref="AG7:AM7"/>
    <mergeCell ref="CA19:CA20"/>
    <mergeCell ref="BU9:BU10"/>
    <mergeCell ref="BN9:BN10"/>
    <mergeCell ref="CB9:CB10"/>
    <mergeCell ref="BO9:BO10"/>
    <mergeCell ref="BV9:BV10"/>
    <mergeCell ref="Q8:R8"/>
    <mergeCell ref="Q9:R9"/>
    <mergeCell ref="Q10:R10"/>
    <mergeCell ref="Q17:R17"/>
    <mergeCell ref="S17:Y17"/>
    <mergeCell ref="Z17:AF17"/>
    <mergeCell ref="AG17:AM17"/>
    <mergeCell ref="B97:B102"/>
    <mergeCell ref="B103:B108"/>
    <mergeCell ref="S33:Y33"/>
    <mergeCell ref="Z33:AF33"/>
    <mergeCell ref="AG33:AM33"/>
    <mergeCell ref="Z13:AF13"/>
    <mergeCell ref="B73:B78"/>
    <mergeCell ref="B79:B84"/>
    <mergeCell ref="B85:B90"/>
    <mergeCell ref="B91:B96"/>
    <mergeCell ref="G71:G72"/>
    <mergeCell ref="D71:D72"/>
    <mergeCell ref="C71:C72"/>
    <mergeCell ref="B71:B72"/>
    <mergeCell ref="E71:E72"/>
    <mergeCell ref="B70:L70"/>
    <mergeCell ref="F71:F72"/>
    <mergeCell ref="B113:B118"/>
    <mergeCell ref="B119:B124"/>
    <mergeCell ref="B125:B130"/>
    <mergeCell ref="B131:B136"/>
    <mergeCell ref="B137:B142"/>
    <mergeCell ref="B143:B148"/>
    <mergeCell ref="Q7:R7"/>
    <mergeCell ref="Q18:R18"/>
    <mergeCell ref="Q19:R19"/>
    <mergeCell ref="Q20:R20"/>
    <mergeCell ref="Q27:R27"/>
    <mergeCell ref="Q28:R28"/>
    <mergeCell ref="Q29:R29"/>
    <mergeCell ref="Q30:R30"/>
    <mergeCell ref="B11:B16"/>
    <mergeCell ref="B23:B28"/>
    <mergeCell ref="B17:B22"/>
    <mergeCell ref="B29:B34"/>
    <mergeCell ref="B39:B44"/>
    <mergeCell ref="B45:B50"/>
    <mergeCell ref="B51:B56"/>
    <mergeCell ref="B57:B62"/>
    <mergeCell ref="Q14:R14"/>
    <mergeCell ref="Q15:R15"/>
    <mergeCell ref="Q3:R3"/>
    <mergeCell ref="AP41:AQ46"/>
    <mergeCell ref="AO41:AO46"/>
    <mergeCell ref="AP35:AQ40"/>
    <mergeCell ref="AO35:AO40"/>
    <mergeCell ref="AP29:AQ34"/>
    <mergeCell ref="AO29:AO34"/>
    <mergeCell ref="Q34:R34"/>
    <mergeCell ref="Q35:R35"/>
    <mergeCell ref="Q36:R36"/>
    <mergeCell ref="Q40:R40"/>
    <mergeCell ref="Q37:R37"/>
    <mergeCell ref="S37:Y37"/>
    <mergeCell ref="Z37:AF37"/>
    <mergeCell ref="AG37:AM37"/>
    <mergeCell ref="Q38:R38"/>
    <mergeCell ref="Q39:R39"/>
    <mergeCell ref="AO5:AO10"/>
    <mergeCell ref="AP5:AQ10"/>
    <mergeCell ref="AO11:AO16"/>
    <mergeCell ref="AO23:AO28"/>
    <mergeCell ref="Q13:R13"/>
    <mergeCell ref="S13:Y13"/>
    <mergeCell ref="AG13:AM13"/>
    <mergeCell ref="Z3:AF3"/>
    <mergeCell ref="AG3:AM3"/>
    <mergeCell ref="Q6:R6"/>
    <mergeCell ref="Q16:R16"/>
    <mergeCell ref="D111:D112"/>
    <mergeCell ref="E111:E112"/>
    <mergeCell ref="F111:F112"/>
    <mergeCell ref="G111:G112"/>
    <mergeCell ref="M111:M112"/>
    <mergeCell ref="N111:N112"/>
    <mergeCell ref="Q33:R33"/>
    <mergeCell ref="H37:H38"/>
    <mergeCell ref="I37:I38"/>
    <mergeCell ref="J37:J38"/>
    <mergeCell ref="G37:G38"/>
    <mergeCell ref="J111:J112"/>
    <mergeCell ref="O111:O112"/>
    <mergeCell ref="K71:K72"/>
    <mergeCell ref="L71:L72"/>
    <mergeCell ref="K37:K38"/>
    <mergeCell ref="I3:I4"/>
    <mergeCell ref="J3:J4"/>
    <mergeCell ref="H111:H112"/>
    <mergeCell ref="I111:I112"/>
    <mergeCell ref="K111:K112"/>
    <mergeCell ref="L111:L112"/>
    <mergeCell ref="B110:O110"/>
    <mergeCell ref="M37:M38"/>
    <mergeCell ref="N37:N38"/>
    <mergeCell ref="E37:E38"/>
    <mergeCell ref="F37:F38"/>
    <mergeCell ref="B111:B112"/>
    <mergeCell ref="C111:C112"/>
    <mergeCell ref="AO2:BF2"/>
    <mergeCell ref="AX3:AX4"/>
    <mergeCell ref="AW3:AW4"/>
    <mergeCell ref="AS3:AS4"/>
    <mergeCell ref="AT3:AT4"/>
    <mergeCell ref="AV3:AV4"/>
    <mergeCell ref="AU3:AU4"/>
    <mergeCell ref="AR3:AR4"/>
    <mergeCell ref="AP3:AQ4"/>
    <mergeCell ref="BA3:BA4"/>
    <mergeCell ref="AY3:AY4"/>
    <mergeCell ref="AO3:AO4"/>
    <mergeCell ref="AZ3:AZ4"/>
    <mergeCell ref="BB3:BB4"/>
    <mergeCell ref="BC3:BC4"/>
    <mergeCell ref="BD3:BD4"/>
    <mergeCell ref="BE3:BE4"/>
    <mergeCell ref="BF3:BF4"/>
    <mergeCell ref="G3:G4"/>
    <mergeCell ref="H3:H4"/>
    <mergeCell ref="D3:D4"/>
    <mergeCell ref="BW18:CB18"/>
    <mergeCell ref="CB19:CB20"/>
    <mergeCell ref="BI9:BI10"/>
    <mergeCell ref="BJ9:BJ10"/>
    <mergeCell ref="BK9:BK10"/>
    <mergeCell ref="BL9:BL10"/>
    <mergeCell ref="BM9:BM10"/>
    <mergeCell ref="BP9:BP10"/>
    <mergeCell ref="BQ9:BQ10"/>
    <mergeCell ref="BS9:BS10"/>
    <mergeCell ref="BT9:BT10"/>
    <mergeCell ref="BW9:BW10"/>
    <mergeCell ref="BX9:BX10"/>
    <mergeCell ref="BY9:BY10"/>
    <mergeCell ref="BZ9:BZ10"/>
    <mergeCell ref="CA9:CA10"/>
    <mergeCell ref="BR9:BR10"/>
    <mergeCell ref="BW19:BW20"/>
    <mergeCell ref="BX19:BX20"/>
    <mergeCell ref="BY19:BY20"/>
    <mergeCell ref="BZ19:BZ20"/>
    <mergeCell ref="Q32:AM32"/>
    <mergeCell ref="Q22:AM22"/>
    <mergeCell ref="Q23:R23"/>
    <mergeCell ref="S23:Y23"/>
    <mergeCell ref="Z23:AF23"/>
    <mergeCell ref="AG23:AM23"/>
    <mergeCell ref="Q26:R26"/>
    <mergeCell ref="Q24:R24"/>
    <mergeCell ref="Q25:R25"/>
    <mergeCell ref="S27:Y27"/>
    <mergeCell ref="Z27:AF27"/>
    <mergeCell ref="AG27:AM27"/>
    <mergeCell ref="AP23:AQ28"/>
    <mergeCell ref="Q2:AM2"/>
    <mergeCell ref="H71:H72"/>
    <mergeCell ref="I71:I72"/>
    <mergeCell ref="J71:J72"/>
    <mergeCell ref="B3:B4"/>
    <mergeCell ref="Q5:R5"/>
    <mergeCell ref="S3:Y3"/>
    <mergeCell ref="K3:K4"/>
    <mergeCell ref="B2:L2"/>
    <mergeCell ref="L3:L4"/>
    <mergeCell ref="B36:O36"/>
    <mergeCell ref="B37:B38"/>
    <mergeCell ref="C37:C38"/>
    <mergeCell ref="D37:D38"/>
    <mergeCell ref="O37:O38"/>
    <mergeCell ref="E3:E4"/>
    <mergeCell ref="F3:F4"/>
    <mergeCell ref="Q12:AM12"/>
    <mergeCell ref="L37:L38"/>
    <mergeCell ref="Q4:R4"/>
    <mergeCell ref="B5:B10"/>
    <mergeCell ref="B63:B68"/>
    <mergeCell ref="C3:C4"/>
  </mergeCells>
  <phoneticPr fontId="35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BBDD7-F2BA-4144-B7E4-3D4EAB07A7DC}">
  <sheetPr codeName="Sheet3"/>
  <dimension ref="A1:DK85"/>
  <sheetViews>
    <sheetView topLeftCell="CJ1" zoomScale="80" zoomScaleNormal="80" zoomScaleSheetLayoutView="50" workbookViewId="0">
      <selection activeCell="CQ16" sqref="CQ16"/>
    </sheetView>
  </sheetViews>
  <sheetFormatPr defaultColWidth="9.140625" defaultRowHeight="15" x14ac:dyDescent="0.25"/>
  <cols>
    <col min="1" max="1" width="9.140625" style="1"/>
    <col min="2" max="2" width="8.42578125" style="1" customWidth="1"/>
    <col min="3" max="3" width="9.28515625" style="1" customWidth="1"/>
    <col min="4" max="4" width="10.140625" style="1" customWidth="1"/>
    <col min="5" max="6" width="10.140625" style="1" bestFit="1" customWidth="1"/>
    <col min="7" max="7" width="13.85546875" style="1" bestFit="1" customWidth="1"/>
    <col min="8" max="8" width="8.7109375" style="1" customWidth="1"/>
    <col min="9" max="9" width="9.7109375" style="1" customWidth="1"/>
    <col min="10" max="12" width="8.85546875" style="1" customWidth="1"/>
    <col min="13" max="13" width="10.140625" style="1" bestFit="1" customWidth="1"/>
    <col min="14" max="14" width="10.7109375" style="1" bestFit="1" customWidth="1"/>
    <col min="15" max="15" width="12.140625" style="1" bestFit="1" customWidth="1"/>
    <col min="16" max="16" width="13.42578125" style="1" bestFit="1" customWidth="1"/>
    <col min="17" max="17" width="9.85546875" style="1" customWidth="1"/>
    <col min="18" max="18" width="13.42578125" style="1" customWidth="1"/>
    <col min="19" max="22" width="9.140625" style="1"/>
    <col min="23" max="23" width="8.5703125" style="1" customWidth="1"/>
    <col min="24" max="24" width="11.42578125" style="1" bestFit="1" customWidth="1"/>
    <col min="25" max="25" width="12.140625" style="1" bestFit="1" customWidth="1"/>
    <col min="26" max="26" width="13.42578125" style="1" bestFit="1" customWidth="1"/>
    <col min="27" max="27" width="7.5703125" style="1" customWidth="1"/>
    <col min="28" max="28" width="8.140625" style="1" customWidth="1"/>
    <col min="29" max="29" width="7.42578125" style="1" bestFit="1" customWidth="1"/>
    <col min="30" max="33" width="11.28515625" style="1" bestFit="1" customWidth="1"/>
    <col min="34" max="34" width="12.7109375" style="1" bestFit="1" customWidth="1"/>
    <col min="35" max="35" width="11.28515625" style="1" bestFit="1" customWidth="1"/>
    <col min="36" max="36" width="9.140625" style="1" bestFit="1" customWidth="1"/>
    <col min="37" max="37" width="10" style="1" bestFit="1" customWidth="1"/>
    <col min="38" max="38" width="10.7109375" style="1" bestFit="1" customWidth="1"/>
    <col min="39" max="39" width="7" style="1" bestFit="1" customWidth="1"/>
    <col min="40" max="40" width="4.5703125" style="1" bestFit="1" customWidth="1"/>
    <col min="41" max="41" width="7.7109375" style="1" customWidth="1"/>
    <col min="42" max="42" width="8" style="1" bestFit="1" customWidth="1"/>
    <col min="43" max="43" width="9.140625" style="1" bestFit="1" customWidth="1"/>
    <col min="44" max="44" width="7.140625" style="1" bestFit="1" customWidth="1"/>
    <col min="45" max="45" width="12.85546875" style="1" bestFit="1" customWidth="1"/>
    <col min="46" max="46" width="13.85546875" style="1" customWidth="1"/>
    <col min="47" max="47" width="10.7109375" style="1" bestFit="1" customWidth="1"/>
    <col min="48" max="48" width="7.140625" style="1" bestFit="1" customWidth="1"/>
    <col min="49" max="49" width="13.5703125" style="1" bestFit="1" customWidth="1"/>
    <col min="50" max="50" width="15.140625" style="1" bestFit="1" customWidth="1"/>
    <col min="51" max="51" width="17" style="1" bestFit="1" customWidth="1"/>
    <col min="52" max="52" width="10" style="1" bestFit="1" customWidth="1"/>
    <col min="53" max="53" width="7.140625" style="1" bestFit="1" customWidth="1"/>
    <col min="54" max="54" width="13.85546875" style="1" customWidth="1"/>
    <col min="55" max="55" width="15.7109375" style="1" bestFit="1" customWidth="1"/>
    <col min="56" max="56" width="12.7109375" style="1" bestFit="1" customWidth="1"/>
    <col min="57" max="77" width="12.7109375" style="1" customWidth="1"/>
    <col min="78" max="78" width="11.140625" style="1" bestFit="1" customWidth="1"/>
    <col min="79" max="79" width="11.42578125" style="1" bestFit="1" customWidth="1"/>
    <col min="80" max="80" width="9.5703125" style="1" bestFit="1" customWidth="1"/>
    <col min="81" max="83" width="9.5703125" style="1" customWidth="1"/>
    <col min="84" max="84" width="13" style="1" bestFit="1" customWidth="1"/>
    <col min="85" max="85" width="9.5703125" style="1" bestFit="1" customWidth="1"/>
    <col min="86" max="86" width="11.42578125" style="1" customWidth="1"/>
    <col min="87" max="87" width="10.85546875" style="1" customWidth="1"/>
    <col min="88" max="88" width="11.85546875" style="1" customWidth="1"/>
    <col min="89" max="95" width="12.7109375" style="1" customWidth="1"/>
    <col min="96" max="96" width="13.5703125" style="1" bestFit="1" customWidth="1"/>
    <col min="97" max="97" width="11.42578125" style="1" bestFit="1" customWidth="1"/>
    <col min="98" max="98" width="11.5703125" style="1" bestFit="1" customWidth="1"/>
    <col min="99" max="102" width="10.7109375" style="1" customWidth="1"/>
    <col min="103" max="103" width="12.85546875" style="1" bestFit="1" customWidth="1"/>
    <col min="104" max="107" width="12.7109375" style="1" customWidth="1"/>
    <col min="108" max="108" width="12.5703125" style="1" customWidth="1"/>
    <col min="109" max="109" width="12.7109375" style="1" customWidth="1"/>
    <col min="110" max="110" width="11.42578125" style="1" bestFit="1" customWidth="1"/>
    <col min="111" max="112" width="10.7109375" style="1" customWidth="1"/>
    <col min="113" max="113" width="8.140625" style="1" bestFit="1" customWidth="1"/>
    <col min="114" max="114" width="10.7109375" style="1" customWidth="1"/>
    <col min="115" max="115" width="8.7109375" style="1" customWidth="1"/>
    <col min="116" max="16384" width="9.140625" style="1"/>
  </cols>
  <sheetData>
    <row r="1" spans="2:115" ht="15.75" thickBot="1" x14ac:dyDescent="0.3"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</row>
    <row r="2" spans="2:115" ht="16.5" customHeight="1" thickBot="1" x14ac:dyDescent="0.3">
      <c r="B2" s="883" t="s">
        <v>137</v>
      </c>
      <c r="C2" s="884"/>
      <c r="D2" s="884"/>
      <c r="E2" s="884"/>
      <c r="F2" s="884"/>
      <c r="G2" s="884"/>
      <c r="H2" s="884"/>
      <c r="I2" s="884"/>
      <c r="J2" s="884"/>
      <c r="K2" s="884"/>
      <c r="L2" s="884"/>
      <c r="M2" s="884"/>
      <c r="N2" s="885"/>
      <c r="P2" s="890" t="s">
        <v>151</v>
      </c>
      <c r="Q2" s="890"/>
      <c r="R2" s="890"/>
      <c r="S2" s="890"/>
      <c r="T2" s="12"/>
      <c r="U2" s="893" t="s">
        <v>177</v>
      </c>
      <c r="V2" s="894"/>
      <c r="W2" s="894"/>
      <c r="X2" s="894"/>
      <c r="Y2" s="894"/>
      <c r="Z2" s="894"/>
      <c r="AA2" s="894"/>
      <c r="AB2" s="894"/>
      <c r="AC2" s="894"/>
      <c r="AD2" s="894"/>
      <c r="AE2" s="894"/>
      <c r="AF2" s="894"/>
      <c r="AG2" s="894"/>
      <c r="AH2" s="894"/>
      <c r="AI2" s="894"/>
      <c r="AJ2" s="894"/>
      <c r="AK2" s="894"/>
      <c r="AL2" s="12"/>
      <c r="AM2" s="886" t="s">
        <v>198</v>
      </c>
      <c r="AN2" s="887"/>
      <c r="AO2" s="887"/>
      <c r="AP2" s="887"/>
      <c r="AQ2" s="887"/>
      <c r="AR2" s="887"/>
      <c r="AS2" s="887"/>
      <c r="AT2" s="887"/>
      <c r="AU2" s="887"/>
      <c r="AV2" s="887"/>
      <c r="AW2" s="887"/>
      <c r="AX2" s="887"/>
      <c r="AY2" s="887"/>
      <c r="AZ2" s="887"/>
      <c r="BA2" s="887"/>
      <c r="BB2" s="887"/>
      <c r="BC2" s="888"/>
      <c r="BD2" s="12"/>
      <c r="BE2" s="896" t="s">
        <v>365</v>
      </c>
      <c r="BF2" s="897"/>
      <c r="BG2" s="897"/>
      <c r="BH2" s="897"/>
      <c r="BI2" s="897"/>
      <c r="BJ2" s="897"/>
      <c r="BK2" s="898"/>
      <c r="BL2" s="12"/>
      <c r="BM2" s="913" t="s">
        <v>368</v>
      </c>
      <c r="BN2" s="914"/>
      <c r="BO2" s="914"/>
      <c r="BP2" s="914"/>
      <c r="BQ2" s="914"/>
      <c r="BR2" s="914"/>
      <c r="BS2" s="914"/>
      <c r="BT2" s="914"/>
      <c r="BU2" s="915"/>
      <c r="BV2" s="33"/>
      <c r="BW2" s="916" t="s">
        <v>255</v>
      </c>
      <c r="BX2" s="917"/>
      <c r="BY2" s="917"/>
      <c r="BZ2" s="917"/>
      <c r="CA2" s="917"/>
      <c r="CB2" s="917"/>
      <c r="CC2" s="917"/>
      <c r="CD2" s="918"/>
      <c r="CE2" s="12"/>
      <c r="CF2" s="919" t="s">
        <v>286</v>
      </c>
      <c r="CG2" s="920"/>
      <c r="CH2" s="920"/>
      <c r="CI2" s="920"/>
      <c r="CJ2" s="921"/>
      <c r="CK2" s="12"/>
      <c r="CL2" s="116"/>
      <c r="CM2" s="116"/>
      <c r="CN2" s="116"/>
      <c r="CO2" s="116"/>
      <c r="CP2" s="116"/>
      <c r="CQ2" s="116"/>
      <c r="CR2" s="116"/>
      <c r="CS2" s="116"/>
      <c r="CT2" s="116"/>
      <c r="CU2" s="316"/>
      <c r="CV2" s="316"/>
      <c r="CW2" s="316"/>
      <c r="CX2" s="316"/>
      <c r="CY2" s="316"/>
      <c r="CZ2" s="12"/>
      <c r="DA2" s="12"/>
      <c r="DB2" s="12"/>
      <c r="DC2" s="12"/>
      <c r="DD2" s="12"/>
      <c r="DE2" s="12"/>
      <c r="DF2" s="12"/>
      <c r="DG2" s="12"/>
      <c r="DH2" s="12"/>
      <c r="DI2" s="12"/>
    </row>
    <row r="3" spans="2:115" ht="16.5" customHeight="1" x14ac:dyDescent="0.25">
      <c r="B3" s="314" t="s">
        <v>5</v>
      </c>
      <c r="C3" s="125" t="s">
        <v>55</v>
      </c>
      <c r="D3" s="315" t="s">
        <v>28</v>
      </c>
      <c r="E3" s="126" t="s">
        <v>135</v>
      </c>
      <c r="F3" s="126" t="s">
        <v>136</v>
      </c>
      <c r="G3" s="126" t="s">
        <v>139</v>
      </c>
      <c r="H3" s="126" t="s">
        <v>138</v>
      </c>
      <c r="I3" s="126" t="s">
        <v>140</v>
      </c>
      <c r="J3" s="126" t="s">
        <v>162</v>
      </c>
      <c r="K3" s="126" t="s">
        <v>141</v>
      </c>
      <c r="L3" s="126" t="s">
        <v>142</v>
      </c>
      <c r="M3" s="126" t="s">
        <v>143</v>
      </c>
      <c r="N3" s="127" t="s">
        <v>144</v>
      </c>
      <c r="P3" s="303" t="s">
        <v>150</v>
      </c>
      <c r="Q3" s="302" t="s">
        <v>147</v>
      </c>
      <c r="R3" s="298" t="s">
        <v>148</v>
      </c>
      <c r="S3" s="302" t="s">
        <v>149</v>
      </c>
      <c r="T3" s="12"/>
      <c r="U3" s="314" t="s">
        <v>5</v>
      </c>
      <c r="V3" s="126" t="s">
        <v>55</v>
      </c>
      <c r="W3" s="126" t="s">
        <v>28</v>
      </c>
      <c r="X3" s="126" t="s">
        <v>152</v>
      </c>
      <c r="Y3" s="126" t="s">
        <v>153</v>
      </c>
      <c r="Z3" s="126" t="s">
        <v>150</v>
      </c>
      <c r="AA3" s="126" t="s">
        <v>145</v>
      </c>
      <c r="AB3" s="126" t="s">
        <v>146</v>
      </c>
      <c r="AC3" s="126" t="s">
        <v>154</v>
      </c>
      <c r="AD3" s="126" t="s">
        <v>171</v>
      </c>
      <c r="AE3" s="126" t="s">
        <v>172</v>
      </c>
      <c r="AF3" s="126" t="s">
        <v>173</v>
      </c>
      <c r="AG3" s="126" t="s">
        <v>174</v>
      </c>
      <c r="AH3" s="126" t="s">
        <v>175</v>
      </c>
      <c r="AI3" s="126" t="s">
        <v>159</v>
      </c>
      <c r="AJ3" s="126" t="s">
        <v>160</v>
      </c>
      <c r="AK3" s="126" t="s">
        <v>161</v>
      </c>
      <c r="AL3" s="12"/>
      <c r="AM3" s="604" t="s">
        <v>5</v>
      </c>
      <c r="AN3" s="606" t="s">
        <v>55</v>
      </c>
      <c r="AO3" s="596" t="s">
        <v>28</v>
      </c>
      <c r="AP3" s="601" t="s">
        <v>69</v>
      </c>
      <c r="AQ3" s="130" t="s">
        <v>160</v>
      </c>
      <c r="AR3" s="300" t="s">
        <v>240</v>
      </c>
      <c r="AS3" s="300" t="s">
        <v>222</v>
      </c>
      <c r="AT3" s="130" t="s">
        <v>232</v>
      </c>
      <c r="AU3" s="131" t="s">
        <v>159</v>
      </c>
      <c r="AV3" s="299" t="s">
        <v>241</v>
      </c>
      <c r="AW3" s="131" t="s">
        <v>230</v>
      </c>
      <c r="AX3" s="299" t="s">
        <v>367</v>
      </c>
      <c r="AY3" s="299" t="s">
        <v>366</v>
      </c>
      <c r="AZ3" s="617" t="s">
        <v>161</v>
      </c>
      <c r="BA3" s="301" t="s">
        <v>242</v>
      </c>
      <c r="BB3" s="617" t="s">
        <v>234</v>
      </c>
      <c r="BC3" s="132" t="s">
        <v>233</v>
      </c>
      <c r="BD3" s="12"/>
      <c r="BE3" s="446" t="s">
        <v>5</v>
      </c>
      <c r="BF3" s="430" t="s">
        <v>56</v>
      </c>
      <c r="BG3" s="430" t="s">
        <v>28</v>
      </c>
      <c r="BH3" s="430" t="s">
        <v>26</v>
      </c>
      <c r="BI3" s="429" t="s">
        <v>69</v>
      </c>
      <c r="BJ3" s="451" t="s">
        <v>266</v>
      </c>
      <c r="BK3" s="452" t="s">
        <v>267</v>
      </c>
      <c r="BL3" s="12"/>
      <c r="BM3" s="761" t="s">
        <v>369</v>
      </c>
      <c r="BN3" s="701"/>
      <c r="BO3" s="344" t="s">
        <v>370</v>
      </c>
      <c r="BP3" s="361">
        <v>6</v>
      </c>
      <c r="BQ3" s="344">
        <v>5</v>
      </c>
      <c r="BR3" s="344">
        <v>4</v>
      </c>
      <c r="BS3" s="344">
        <v>3</v>
      </c>
      <c r="BT3" s="344">
        <v>2</v>
      </c>
      <c r="BU3" s="346">
        <v>1</v>
      </c>
      <c r="BV3" s="12"/>
      <c r="BW3" s="356" t="s">
        <v>20</v>
      </c>
      <c r="BX3" s="400" t="s">
        <v>5</v>
      </c>
      <c r="BY3" s="398">
        <v>6</v>
      </c>
      <c r="BZ3" s="398">
        <v>5</v>
      </c>
      <c r="CA3" s="398">
        <v>4</v>
      </c>
      <c r="CB3" s="398">
        <v>3</v>
      </c>
      <c r="CC3" s="398">
        <v>2</v>
      </c>
      <c r="CD3" s="399">
        <v>1</v>
      </c>
      <c r="CE3" s="12"/>
      <c r="CF3" s="359" t="s">
        <v>5</v>
      </c>
      <c r="CG3" s="349" t="s">
        <v>55</v>
      </c>
      <c r="CH3" s="401" t="s">
        <v>190</v>
      </c>
      <c r="CI3" s="332" t="s">
        <v>191</v>
      </c>
      <c r="CJ3" s="333" t="s">
        <v>192</v>
      </c>
      <c r="CK3" s="12"/>
      <c r="CL3" s="116"/>
      <c r="CM3" s="116"/>
      <c r="CN3" s="116"/>
      <c r="CO3" s="116"/>
      <c r="CP3" s="116"/>
      <c r="CQ3" s="116"/>
      <c r="CR3" s="116"/>
      <c r="CS3" s="116"/>
      <c r="CT3" s="116"/>
      <c r="CU3" s="12"/>
      <c r="CV3" s="12"/>
      <c r="CW3" s="12"/>
      <c r="CX3" s="12"/>
      <c r="CY3" s="12"/>
      <c r="CZ3" s="12"/>
      <c r="DA3" s="9"/>
      <c r="DB3" s="12"/>
      <c r="DC3" s="12"/>
      <c r="DD3" s="12"/>
      <c r="DE3" s="12"/>
      <c r="DF3" s="12"/>
      <c r="DG3" s="12"/>
      <c r="DH3" s="12"/>
      <c r="DI3" s="12"/>
    </row>
    <row r="4" spans="2:115" ht="15" customHeight="1" x14ac:dyDescent="0.25">
      <c r="B4" s="874">
        <v>6</v>
      </c>
      <c r="C4" s="336">
        <v>1</v>
      </c>
      <c r="D4" s="426">
        <v>116</v>
      </c>
      <c r="E4" s="133">
        <f>'Structural Information'!$AC$6</f>
        <v>3</v>
      </c>
      <c r="F4" s="350">
        <f>'Structural Information'!$AM$10</f>
        <v>4.5</v>
      </c>
      <c r="G4" s="431">
        <f>'Structural Information'!$AB$19/1000</f>
        <v>0.5</v>
      </c>
      <c r="H4" s="431">
        <f>'Structural Information'!$AB$24/1000</f>
        <v>0.25</v>
      </c>
      <c r="I4" s="134">
        <f>'Structural Information'!$AB$25/1000</f>
        <v>0.25</v>
      </c>
      <c r="J4" s="135">
        <f>I4*(H4^3)/12</f>
        <v>3.2552083333333332E-4</v>
      </c>
      <c r="K4" s="350">
        <f>F4-H4</f>
        <v>4.25</v>
      </c>
      <c r="L4" s="350">
        <f>E4-G4</f>
        <v>2.5</v>
      </c>
      <c r="M4" s="350">
        <f t="shared" ref="M4:M18" si="0">SQRT(K4^2+L4^2)</f>
        <v>4.9307707308290052</v>
      </c>
      <c r="N4" s="353">
        <f>ATAN(L4/K4)</f>
        <v>0.53172406725880561</v>
      </c>
      <c r="P4" s="298" t="s">
        <v>145</v>
      </c>
      <c r="Q4" s="136">
        <v>1.3</v>
      </c>
      <c r="R4" s="136">
        <v>0.70699999999999996</v>
      </c>
      <c r="S4" s="136">
        <v>0.47</v>
      </c>
      <c r="T4" s="12"/>
      <c r="U4" s="874">
        <v>6</v>
      </c>
      <c r="V4" s="336">
        <v>1</v>
      </c>
      <c r="W4" s="336">
        <v>116</v>
      </c>
      <c r="X4" s="133">
        <f>1/((((COS(N4))^4)/'Structural Information'!$AR$18)+(((SIN(N4))^4)/'Structural Information'!$AR$19)+(((SIN(N4))^2)*((COS(N4))^2)*((1/'Structural Information'!$AR$20)-(2*'Structural Information'!$AV$20/'Structural Information'!$AR$19))))</f>
        <v>1375.8363758228218</v>
      </c>
      <c r="Y4" s="350">
        <f>((X4*('Structural Information'!$AV$18/1000)*SIN(2*N4))/(4*'Structural Information'!$AR$21*J4*L4))^(1/4)</f>
        <v>1.0916799951703688</v>
      </c>
      <c r="Z4" s="350">
        <f t="shared" ref="Z4:Z33" si="1">Y4*E4</f>
        <v>3.2750399855111065</v>
      </c>
      <c r="AA4" s="123">
        <f>IF(Z4&lt;3.14,$Q$4,0)+IF(Z4&gt;3.14,1,0)*IF(Z4&lt;7.85,$R$4,0)+IF(Z4&gt;7.85,$S$4,0)</f>
        <v>0.70699999999999996</v>
      </c>
      <c r="AB4" s="123">
        <f>IF(Z4&lt;3.14,$Q$5,0)+IF(Z4&gt;3.14,1,0)*IF(Z4&lt;7.85,$R$5,0)+IF(Z4&gt;7.85,$S$5,0)</f>
        <v>0.01</v>
      </c>
      <c r="AC4" s="134">
        <f>((AA4/Z4)+AB4)*M4</f>
        <v>1.113738957649824</v>
      </c>
      <c r="AD4" s="133">
        <f>((0.6*'Structural Information'!$AT$18)+(0.3*'Structural Information'!$AV$19))/(AC4/M4)</f>
        <v>1.4609835904520574</v>
      </c>
      <c r="AE4" s="350">
        <f>(((1.2*SIN(N4)+0.45*COS(N4))*'Structural Information'!$AT$19)+(0.3*'Structural Information'!$AV$19))/(AC4/M4)</f>
        <v>1.9407599825376745</v>
      </c>
      <c r="AF4" s="350">
        <f>(1.12*'Structural Information'!$AT$20*COS(N4)*SIN(N4))/((AA4*(Z4^(-0.12)))+(AB4*(Z4^(0.88))))</f>
        <v>1.5410243331800975</v>
      </c>
      <c r="AG4" s="350">
        <f>(1.16*'Structural Information'!$AT$20*TAN(N4))/((AA4)+(AB4*Z4))</f>
        <v>1.8632675851833773</v>
      </c>
      <c r="AH4" s="134">
        <f>MIN(AD4:AG4)</f>
        <v>1.4609835904520574</v>
      </c>
      <c r="AI4" s="133">
        <f>AH4*AC4*'Structural Information'!$AV$18</f>
        <v>130.17234729388574</v>
      </c>
      <c r="AJ4" s="350">
        <f t="shared" ref="AJ4:AJ18" si="2">0.8*AI4</f>
        <v>104.1378778351086</v>
      </c>
      <c r="AK4" s="134">
        <f t="shared" ref="AK4:AK18" si="3">0.1*AI4</f>
        <v>13.017234729388575</v>
      </c>
      <c r="AL4" s="12"/>
      <c r="AM4" s="874">
        <v>6</v>
      </c>
      <c r="AN4" s="599">
        <v>1</v>
      </c>
      <c r="AO4" s="597">
        <v>106</v>
      </c>
      <c r="AP4" s="133">
        <f>'Structural Information'!$AC$6</f>
        <v>3</v>
      </c>
      <c r="AQ4" s="133">
        <f t="shared" ref="AQ4:AQ33" si="4">AJ4</f>
        <v>104.1378778351086</v>
      </c>
      <c r="AR4" s="50">
        <f t="shared" ref="AR4:AR18" si="5">0.08/100</f>
        <v>8.0000000000000004E-4</v>
      </c>
      <c r="AS4" s="607">
        <f t="shared" ref="AS4:AS33" si="6">AQ4/(AR4*(SQRT((F4^2)+(E4^2))))</f>
        <v>24068.875529005698</v>
      </c>
      <c r="AT4" s="152">
        <f t="shared" ref="AT4:AT33" si="7">AS4*((COS(N4))^2)</f>
        <v>17881.503927718884</v>
      </c>
      <c r="AU4" s="133">
        <f t="shared" ref="AU4:AU33" si="8">AI4</f>
        <v>130.17234729388574</v>
      </c>
      <c r="AV4" s="50">
        <f t="shared" ref="AV4:AV18" si="9">0.22/100</f>
        <v>2.2000000000000001E-3</v>
      </c>
      <c r="AW4" s="607">
        <f t="shared" ref="AW4:AW33" si="10">AU4/(AV4*(SQRT((F4^2)+(E4^2))))</f>
        <v>10940.397967729861</v>
      </c>
      <c r="AX4" s="94">
        <f t="shared" ref="AX4:AX33" si="11">(AU4-AQ4)/((AV4-AR4)*(SQRT((F4^2)+(E4^2))))</f>
        <v>3438.410789857955</v>
      </c>
      <c r="AY4" s="152">
        <f>AX4*((COS(N4))^2)</f>
        <v>2554.5005611026963</v>
      </c>
      <c r="AZ4" s="608">
        <f t="shared" ref="AZ4:AZ33" si="12">AK4</f>
        <v>13.017234729388575</v>
      </c>
      <c r="BA4" s="58">
        <f t="shared" ref="BA4:BA18" si="13">0.89/100</f>
        <v>8.8999999999999999E-3</v>
      </c>
      <c r="BB4" s="608">
        <f>((AZ4*COS(N4))-(AU4*COS(N4)))/((BA4-AV4)*AP4)</f>
        <v>-5023.880597014926</v>
      </c>
      <c r="BC4" s="612">
        <f>BB4*((COS(N4))^2)</f>
        <v>-3732.3945823581321</v>
      </c>
      <c r="BD4" s="12"/>
      <c r="BE4" s="874">
        <v>6</v>
      </c>
      <c r="BF4" s="425">
        <v>1</v>
      </c>
      <c r="BG4" s="426">
        <v>7116</v>
      </c>
      <c r="BH4" s="426" t="s">
        <v>23</v>
      </c>
      <c r="BI4" s="431">
        <f>'Structural Information'!$AC$6</f>
        <v>3</v>
      </c>
      <c r="BJ4" s="133">
        <f>(Ascol1)*(200)/$BI4</f>
        <v>53616.514621265807</v>
      </c>
      <c r="BK4" s="434">
        <f>Hcol1*Wcol1*(4700*SQRT(Fck))/(hstr6*1000)</f>
        <v>433495.56258141535</v>
      </c>
      <c r="BL4" s="12"/>
      <c r="BM4" s="395" t="s">
        <v>371</v>
      </c>
      <c r="BN4" s="335" t="s">
        <v>372</v>
      </c>
      <c r="BO4" s="335" t="s">
        <v>373</v>
      </c>
      <c r="BP4" s="394">
        <f>'Structural Information'!AC6</f>
        <v>3</v>
      </c>
      <c r="BQ4" s="392">
        <f>'Structural Information'!AC7</f>
        <v>3</v>
      </c>
      <c r="BR4" s="392">
        <f>'Structural Information'!AC8</f>
        <v>3</v>
      </c>
      <c r="BS4" s="392">
        <f>'Structural Information'!AC9</f>
        <v>3</v>
      </c>
      <c r="BT4" s="392">
        <f>'Structural Information'!AC10</f>
        <v>3</v>
      </c>
      <c r="BU4" s="393">
        <f>'Structural Information'!AC11</f>
        <v>2.75</v>
      </c>
      <c r="BV4" s="12"/>
      <c r="BW4" s="909">
        <v>1</v>
      </c>
      <c r="BX4" s="323" t="s">
        <v>23</v>
      </c>
      <c r="BY4" s="158">
        <f>(BP5*BP5)/$BK$4</f>
        <v>1.0252571947861007E-6</v>
      </c>
      <c r="BZ4" s="158">
        <f>(BQ5*BQ5)/$BK$10</f>
        <v>1.0252571947861007E-6</v>
      </c>
      <c r="CA4" s="158">
        <f>(BR5*BR5)/$BK$16</f>
        <v>1.0252571947861007E-6</v>
      </c>
      <c r="CB4" s="158">
        <f>(BS5*BS5)/$BK$22</f>
        <v>1.0252571947861007E-6</v>
      </c>
      <c r="CC4" s="158">
        <f>((BT5*BT5)/$BK$28)</f>
        <v>1.0252571947861007E-6</v>
      </c>
      <c r="CD4" s="159">
        <f>(BU5*BU5)/$BK$34</f>
        <v>5.4840909780908416E-7</v>
      </c>
      <c r="CE4" s="12"/>
      <c r="CF4" s="902">
        <v>6</v>
      </c>
      <c r="CG4" s="402">
        <v>1</v>
      </c>
      <c r="CH4" s="903">
        <f>1/(BY5+BY4+BZ4+CA4+CB4+CC4+CD4+BZ8+CA8+CB8+CC8+CD8)+1/(BY10+BY9+BZ9+CA9+CB9+CC9+CD9+BZ13+CA13+CB13+CC13+CD13)+1/(BY15+BY14+BZ14+CA14+CB14+CC14+CD14+BZ18+CA18+CB18+CC18+CD18)+1/(BY20+BY19+BZ19+CA19+CB19+CC19+CD19+BZ23+CA23+CB23+CC23+CD23)+1/(BY25+BY24+BZ24+CA24+CB24+CC24+CD24+BZ28+CA28+CB28+CC28+CD28)</f>
        <v>57268.720145541869</v>
      </c>
      <c r="CI4" s="903">
        <f>1/(BY6+BY4+BZ4+CA4+CB4+CC4+CD4+BZ8+CA8+CB8+CC8+CD8)+1/(BY11+BY9+BZ9+CA9+CB9+CC9+CD9+BZ13+CA13+CB13+CC13+CD13)+1/(BY16+BY14+BZ14+CA14+CB14+CC14+CD14+BZ18+CA18+CB18+CC18+CD18)+1/(BY21+BY19+BZ19+CA19+CB19+CC19+CD19+BZ23+CA23+CB23+CC23+CD23)+1/(BY26+BY24+BZ24+CA24+CB24+CC24+CD24+BZ28+CA28+CB28+CC28+CD28)</f>
        <v>9497.1143538729921</v>
      </c>
      <c r="CJ4" s="879">
        <f>1/(BY7+BY4+BZ4+CA4+CB4+CC4+CD4+BZ8+CA8+CB8+CC8+CD8)+1/(BY12+BY9+BZ9+CA9+CB9+CC9+CD9+BZ13+CA13+CB13+CC13+CD13)+1/(BY17+BY14+BZ14+CA14+CB14+CC14+CD14+BZ18+CA18+CB18+CC18+CD18)+1/(BY22+BY19+BZ19+CA19+CB19+CC19+CD19+BZ23+CA23+CB23+CC23+CD23)+1/(BY27+BY24+BZ24+CA24+CB24+CC24+CD24+BZ28+CA28+CB28+CC28+CD28)</f>
        <v>-12994.214247520304</v>
      </c>
      <c r="CK4" s="12"/>
      <c r="CL4" s="116"/>
      <c r="CM4" s="116"/>
      <c r="CN4" s="116"/>
      <c r="CO4" s="116"/>
      <c r="CP4" s="116"/>
      <c r="CQ4" s="116"/>
      <c r="CR4" s="116"/>
      <c r="CS4" s="116"/>
      <c r="CT4" s="116"/>
      <c r="CU4" s="12"/>
      <c r="CV4" s="12"/>
      <c r="CW4" s="12"/>
      <c r="CX4" s="12"/>
      <c r="CY4" s="12"/>
      <c r="CZ4" s="12"/>
      <c r="DA4" s="9"/>
      <c r="DB4" s="12"/>
      <c r="DC4" s="12"/>
      <c r="DD4" s="12"/>
      <c r="DE4" s="12"/>
      <c r="DF4" s="12"/>
      <c r="DG4" s="12"/>
      <c r="DH4" s="12"/>
      <c r="DI4" s="12"/>
    </row>
    <row r="5" spans="2:115" ht="15" customHeight="1" x14ac:dyDescent="0.25">
      <c r="B5" s="875"/>
      <c r="C5" s="338">
        <v>2</v>
      </c>
      <c r="D5" s="426">
        <v>216</v>
      </c>
      <c r="E5" s="366">
        <f>'Structural Information'!$AC$6</f>
        <v>3</v>
      </c>
      <c r="F5" s="351">
        <f>'Structural Information'!$AM$9</f>
        <v>2</v>
      </c>
      <c r="G5" s="432">
        <f>'Structural Information'!$AB$19/1000</f>
        <v>0.5</v>
      </c>
      <c r="H5" s="432">
        <f>'Structural Information'!$AB$24/1000</f>
        <v>0.25</v>
      </c>
      <c r="I5" s="437">
        <f>'Structural Information'!$AB$25/1000</f>
        <v>0.25</v>
      </c>
      <c r="J5" s="143">
        <f t="shared" ref="J5:J18" si="14">I5*(H5^3)/12</f>
        <v>3.2552083333333332E-4</v>
      </c>
      <c r="K5" s="351">
        <f t="shared" ref="K5:K6" si="15">F5-H5</f>
        <v>1.75</v>
      </c>
      <c r="L5" s="351">
        <f t="shared" ref="L5:L6" si="16">E5-G5</f>
        <v>2.5</v>
      </c>
      <c r="M5" s="351">
        <f t="shared" si="0"/>
        <v>3.0516389039334255</v>
      </c>
      <c r="N5" s="354">
        <f t="shared" ref="N5:N6" si="17">ATAN(L5/K5)</f>
        <v>0.96007036240568799</v>
      </c>
      <c r="P5" s="298" t="s">
        <v>146</v>
      </c>
      <c r="Q5" s="136">
        <v>-0.17799999999999999</v>
      </c>
      <c r="R5" s="136">
        <v>0.01</v>
      </c>
      <c r="S5" s="136">
        <v>0.04</v>
      </c>
      <c r="T5" s="12"/>
      <c r="U5" s="875"/>
      <c r="V5" s="338">
        <v>2</v>
      </c>
      <c r="W5" s="338">
        <v>216</v>
      </c>
      <c r="X5" s="366">
        <f>1/((((COS(N5))^4)/'Structural Information'!$AR$18)+(((SIN(N5))^4)/'Structural Information'!$AR$19)+(((SIN(N5))^2)*((COS(N5))^2)*((1/'Structural Information'!$AR$20)-(2*'Structural Information'!$AV$20/'Structural Information'!$AR$19))))</f>
        <v>1979.5941814167948</v>
      </c>
      <c r="Y5" s="351">
        <f>((X5*('Structural Information'!$AV$18/1000)*SIN(2*N5))/(4*'Structural Information'!$AR$21*J5*L5))^(1/4)</f>
        <v>1.2174490921283836</v>
      </c>
      <c r="Z5" s="351">
        <f t="shared" si="1"/>
        <v>3.652347276385151</v>
      </c>
      <c r="AA5" s="120">
        <f t="shared" ref="AA5:AA18" si="18">IF(Z5&lt;3.14,$Q$4,0)+IF(Z5&gt;3.14,1,0)*IF(Z5&lt;7.85,$R$4,0)+IF(Z5&gt;7.85,$S$4,0)</f>
        <v>0.70699999999999996</v>
      </c>
      <c r="AB5" s="120">
        <f t="shared" ref="AB5:AB18" si="19">IF(Z5&lt;3.14,$Q$5,0)+IF(Z5&gt;3.14,1,0)*IF(Z5&lt;7.85,$R$5,0)+IF(Z5&gt;7.85,$S$5,0)</f>
        <v>0.01</v>
      </c>
      <c r="AC5" s="367">
        <f t="shared" ref="AC5:AC33" si="20">((AA5/Z5)+AB5)*M5</f>
        <v>0.62123477965641971</v>
      </c>
      <c r="AD5" s="366">
        <f>((0.6*'Structural Information'!$AT$18)+(0.3*'Structural Information'!$AV$19))/(AC5/M5)</f>
        <v>1.6210310035361908</v>
      </c>
      <c r="AE5" s="351">
        <f>(((1.2*SIN(N5)+0.45*COS(N5))*'Structural Information'!$AT$19)+(0.3*'Structural Information'!$AV$19))/(AC5/M5)</f>
        <v>2.6825606913406794</v>
      </c>
      <c r="AF5" s="351">
        <f>(1.12*'Structural Information'!$AT$20*COS(N5)*SIN(N5))/((AA5*(Z5^(-0.12)))+(AB5*(Z5^(0.88))))</f>
        <v>1.6699179305072875</v>
      </c>
      <c r="AG5" s="351">
        <f>(1.16*'Structural Information'!$AT$20*TAN(N5))/((AA5)+(AB5*Z5))</f>
        <v>4.5021155270127426</v>
      </c>
      <c r="AH5" s="367">
        <f t="shared" ref="AH5:AH18" si="21">MIN(AD5:AG5)</f>
        <v>1.6210310035361908</v>
      </c>
      <c r="AI5" s="366">
        <f>AH5*AC5*'Structural Information'!$AV$18</f>
        <v>80.563267063842432</v>
      </c>
      <c r="AJ5" s="351">
        <f t="shared" si="2"/>
        <v>64.450613651073951</v>
      </c>
      <c r="AK5" s="367">
        <f t="shared" si="3"/>
        <v>8.0563267063842439</v>
      </c>
      <c r="AL5" s="12"/>
      <c r="AM5" s="875"/>
      <c r="AN5" s="597">
        <v>2</v>
      </c>
      <c r="AO5" s="597">
        <v>206</v>
      </c>
      <c r="AP5" s="618">
        <f>'Structural Information'!$AC$6</f>
        <v>3</v>
      </c>
      <c r="AQ5" s="618">
        <f t="shared" si="4"/>
        <v>64.450613651073951</v>
      </c>
      <c r="AR5" s="58">
        <f t="shared" si="5"/>
        <v>8.0000000000000004E-4</v>
      </c>
      <c r="AS5" s="608">
        <f t="shared" si="6"/>
        <v>22344.230024429471</v>
      </c>
      <c r="AT5" s="138">
        <f t="shared" si="7"/>
        <v>7348.1024912553303</v>
      </c>
      <c r="AU5" s="618">
        <f t="shared" si="8"/>
        <v>80.563267063842432</v>
      </c>
      <c r="AV5" s="58">
        <f t="shared" si="9"/>
        <v>2.2000000000000001E-3</v>
      </c>
      <c r="AW5" s="608">
        <f t="shared" si="10"/>
        <v>10156.468192922484</v>
      </c>
      <c r="AX5" s="99">
        <f t="shared" si="11"/>
        <v>3192.0328606327794</v>
      </c>
      <c r="AY5" s="138">
        <f t="shared" ref="AY5:AY33" si="22">AX5*((COS(N5))^2)</f>
        <v>1049.7289273221893</v>
      </c>
      <c r="AZ5" s="608">
        <f t="shared" si="12"/>
        <v>8.0563267063842439</v>
      </c>
      <c r="BA5" s="58">
        <f t="shared" si="13"/>
        <v>8.8999999999999999E-3</v>
      </c>
      <c r="BB5" s="608">
        <f t="shared" ref="BB5:BB33" si="23">((AZ5*COS(N5))-(AU5*COS(N5)))/((BA5-AV5)*AP5)</f>
        <v>-2068.6567164179105</v>
      </c>
      <c r="BC5" s="612">
        <f t="shared" ref="BC5:BC33" si="24">BB5*((COS(N5))^2)</f>
        <v>-680.29650405689677</v>
      </c>
      <c r="BD5" s="12"/>
      <c r="BE5" s="875"/>
      <c r="BF5" s="426">
        <v>2</v>
      </c>
      <c r="BG5" s="426">
        <v>7216</v>
      </c>
      <c r="BH5" s="426" t="s">
        <v>23</v>
      </c>
      <c r="BI5" s="432">
        <f>'Structural Information'!$AC$6</f>
        <v>3</v>
      </c>
      <c r="BJ5" s="436">
        <f>('Structural Information'!$AF$25)*(200)/$BI5</f>
        <v>53616.514621265807</v>
      </c>
      <c r="BK5" s="447">
        <f t="shared" ref="BK5:BK9" si="25">Hcol1*Wcol1*(4700*SQRT(Fck))/(hstr6*1000)</f>
        <v>433495.56258141535</v>
      </c>
      <c r="BL5" s="12"/>
      <c r="BM5" s="877">
        <v>1</v>
      </c>
      <c r="BN5" s="145">
        <v>1</v>
      </c>
      <c r="BO5" s="146">
        <f>'Structural Information'!$AM$10</f>
        <v>4.5</v>
      </c>
      <c r="BP5" s="454">
        <f t="shared" ref="BP5:BR5" si="26">(BP$4/$BO5)</f>
        <v>0.66666666666666663</v>
      </c>
      <c r="BQ5" s="454">
        <f t="shared" si="26"/>
        <v>0.66666666666666663</v>
      </c>
      <c r="BR5" s="454">
        <f t="shared" si="26"/>
        <v>0.66666666666666663</v>
      </c>
      <c r="BS5" s="351">
        <f>(BS$4/$BO5)</f>
        <v>0.66666666666666663</v>
      </c>
      <c r="BT5" s="351">
        <f t="shared" ref="BP5:BU14" si="27">(BT$4/$BO5)</f>
        <v>0.66666666666666663</v>
      </c>
      <c r="BU5" s="354">
        <f t="shared" si="27"/>
        <v>0.61111111111111116</v>
      </c>
      <c r="BV5" s="12"/>
      <c r="BW5" s="908"/>
      <c r="BX5" s="324" t="s">
        <v>248</v>
      </c>
      <c r="BY5" s="141">
        <f>1/($AT$4)</f>
        <v>5.5923707762066768E-5</v>
      </c>
      <c r="BZ5" s="141">
        <f>1/($AT$9)</f>
        <v>5.5923707762066768E-5</v>
      </c>
      <c r="CA5" s="141">
        <f>1/($AT$14)</f>
        <v>5.5923707762066768E-5</v>
      </c>
      <c r="CB5" s="141">
        <f>1/($AT$19)</f>
        <v>5.5923707762066768E-5</v>
      </c>
      <c r="CC5" s="141">
        <f>1/($AT$24)</f>
        <v>5.5923707762066768E-5</v>
      </c>
      <c r="CD5" s="142">
        <f>1/($AT$29)</f>
        <v>5.3957814241538037E-5</v>
      </c>
      <c r="CE5" s="12"/>
      <c r="CF5" s="882"/>
      <c r="CG5" s="403">
        <v>2</v>
      </c>
      <c r="CH5" s="904"/>
      <c r="CI5" s="904"/>
      <c r="CJ5" s="880"/>
      <c r="CK5" s="12"/>
      <c r="CL5" s="116"/>
      <c r="CM5" s="116"/>
      <c r="CN5" s="116"/>
      <c r="CO5" s="116"/>
      <c r="CP5" s="116"/>
      <c r="CQ5" s="116"/>
      <c r="CR5" s="116"/>
      <c r="CS5" s="116"/>
      <c r="CT5" s="116"/>
      <c r="CU5" s="12"/>
      <c r="CV5" s="12"/>
      <c r="CW5" s="12"/>
      <c r="CX5" s="12"/>
      <c r="CY5" s="12"/>
      <c r="CZ5" s="12"/>
      <c r="DA5" s="9"/>
      <c r="DB5" s="12"/>
      <c r="DC5" s="12"/>
      <c r="DD5" s="12"/>
      <c r="DE5" s="12"/>
      <c r="DF5" s="12"/>
      <c r="DG5" s="12"/>
      <c r="DH5" s="12"/>
      <c r="DI5" s="12"/>
    </row>
    <row r="6" spans="2:115" ht="15.75" customHeight="1" x14ac:dyDescent="0.25">
      <c r="B6" s="875"/>
      <c r="C6" s="338">
        <v>3</v>
      </c>
      <c r="D6" s="426">
        <v>316</v>
      </c>
      <c r="E6" s="436">
        <f>'Structural Information'!$AC$6</f>
        <v>3</v>
      </c>
      <c r="F6" s="351">
        <f>'Structural Information'!$AM$8</f>
        <v>4.5</v>
      </c>
      <c r="G6" s="432">
        <f>'Structural Information'!$AB$19/1000</f>
        <v>0.5</v>
      </c>
      <c r="H6" s="432">
        <f>'Structural Information'!$AB$24/1000</f>
        <v>0.25</v>
      </c>
      <c r="I6" s="437">
        <f>'Structural Information'!$AB$25/1000</f>
        <v>0.25</v>
      </c>
      <c r="J6" s="143">
        <f t="shared" si="14"/>
        <v>3.2552083333333332E-4</v>
      </c>
      <c r="K6" s="351">
        <f t="shared" si="15"/>
        <v>4.25</v>
      </c>
      <c r="L6" s="351">
        <f t="shared" si="16"/>
        <v>2.5</v>
      </c>
      <c r="M6" s="351">
        <f t="shared" si="0"/>
        <v>4.9307707308290052</v>
      </c>
      <c r="N6" s="354">
        <f t="shared" si="17"/>
        <v>0.53172406725880561</v>
      </c>
      <c r="T6" s="12"/>
      <c r="U6" s="875"/>
      <c r="V6" s="338">
        <v>3</v>
      </c>
      <c r="W6" s="338">
        <v>316</v>
      </c>
      <c r="X6" s="366">
        <f>1/((((COS(N6))^4)/'Structural Information'!$AR$18)+(((SIN(N6))^4)/'Structural Information'!$AR$19)+(((SIN(N6))^2)*((COS(N6))^2)*((1/'Structural Information'!$AR$20)-(2*'Structural Information'!$AV$20/'Structural Information'!$AR$19))))</f>
        <v>1375.8363758228218</v>
      </c>
      <c r="Y6" s="351">
        <f>((X6*('Structural Information'!$AV$18/1000)*SIN(2*N6))/(4*'Structural Information'!$AR$21*J6*L6))^(1/4)</f>
        <v>1.0916799951703688</v>
      </c>
      <c r="Z6" s="351">
        <f t="shared" si="1"/>
        <v>3.2750399855111065</v>
      </c>
      <c r="AA6" s="120">
        <f t="shared" si="18"/>
        <v>0.70699999999999996</v>
      </c>
      <c r="AB6" s="120">
        <f t="shared" si="19"/>
        <v>0.01</v>
      </c>
      <c r="AC6" s="367">
        <f t="shared" si="20"/>
        <v>1.113738957649824</v>
      </c>
      <c r="AD6" s="366">
        <f>((0.6*'Structural Information'!$AT$18)+(0.3*'Structural Information'!$AV$19))/(AC6/M6)</f>
        <v>1.4609835904520574</v>
      </c>
      <c r="AE6" s="351">
        <f>(((1.2*SIN(N6)+0.45*COS(N6))*'Structural Information'!$AT$19)+(0.3*'Structural Information'!$AV$19))/(AC6/M6)</f>
        <v>1.9407599825376745</v>
      </c>
      <c r="AF6" s="351">
        <f>(1.12*'Structural Information'!$AT$20*COS(N6)*SIN(N6))/((AA6*(Z6^(-0.12)))+(AB6*(Z6^(0.88))))</f>
        <v>1.5410243331800975</v>
      </c>
      <c r="AG6" s="351">
        <f>(1.16*'Structural Information'!$AT$20*TAN(N6))/((AA6)+(AB6*Z6))</f>
        <v>1.8632675851833773</v>
      </c>
      <c r="AH6" s="367">
        <f t="shared" si="21"/>
        <v>1.4609835904520574</v>
      </c>
      <c r="AI6" s="366">
        <f>AH6*AC6*'Structural Information'!$AV$18</f>
        <v>130.17234729388574</v>
      </c>
      <c r="AJ6" s="351">
        <f t="shared" si="2"/>
        <v>104.1378778351086</v>
      </c>
      <c r="AK6" s="367">
        <f t="shared" si="3"/>
        <v>13.017234729388575</v>
      </c>
      <c r="AL6" s="12"/>
      <c r="AM6" s="875"/>
      <c r="AN6" s="597">
        <v>3</v>
      </c>
      <c r="AO6" s="597">
        <v>306</v>
      </c>
      <c r="AP6" s="618">
        <f>'Structural Information'!$AC$6</f>
        <v>3</v>
      </c>
      <c r="AQ6" s="618">
        <f t="shared" si="4"/>
        <v>104.1378778351086</v>
      </c>
      <c r="AR6" s="58">
        <f t="shared" si="5"/>
        <v>8.0000000000000004E-4</v>
      </c>
      <c r="AS6" s="608">
        <f t="shared" si="6"/>
        <v>24068.875529005698</v>
      </c>
      <c r="AT6" s="138">
        <f t="shared" si="7"/>
        <v>17881.503927718884</v>
      </c>
      <c r="AU6" s="618">
        <f t="shared" si="8"/>
        <v>130.17234729388574</v>
      </c>
      <c r="AV6" s="58">
        <f t="shared" si="9"/>
        <v>2.2000000000000001E-3</v>
      </c>
      <c r="AW6" s="608">
        <f t="shared" si="10"/>
        <v>10940.397967729861</v>
      </c>
      <c r="AX6" s="99">
        <f t="shared" si="11"/>
        <v>3438.410789857955</v>
      </c>
      <c r="AY6" s="138">
        <f t="shared" si="22"/>
        <v>2554.5005611026963</v>
      </c>
      <c r="AZ6" s="608">
        <f t="shared" si="12"/>
        <v>13.017234729388575</v>
      </c>
      <c r="BA6" s="58">
        <f t="shared" si="13"/>
        <v>8.8999999999999999E-3</v>
      </c>
      <c r="BB6" s="608">
        <f t="shared" si="23"/>
        <v>-5023.880597014926</v>
      </c>
      <c r="BC6" s="612">
        <f t="shared" si="24"/>
        <v>-3732.3945823581321</v>
      </c>
      <c r="BD6" s="12"/>
      <c r="BE6" s="875"/>
      <c r="BF6" s="426">
        <v>3</v>
      </c>
      <c r="BG6" s="426">
        <v>7316</v>
      </c>
      <c r="BH6" s="426" t="s">
        <v>23</v>
      </c>
      <c r="BI6" s="432">
        <f>'Structural Information'!$AC$6</f>
        <v>3</v>
      </c>
      <c r="BJ6" s="436">
        <f>('Structural Information'!$AF$25)*(200)/$BI6</f>
        <v>53616.514621265807</v>
      </c>
      <c r="BK6" s="447">
        <f t="shared" si="25"/>
        <v>433495.56258141535</v>
      </c>
      <c r="BL6" s="12"/>
      <c r="BM6" s="877"/>
      <c r="BN6" s="345" t="s">
        <v>374</v>
      </c>
      <c r="BO6" s="321">
        <f>'Structural Information'!$AM$10</f>
        <v>4.5</v>
      </c>
      <c r="BP6" s="454">
        <f>(BP$4/$BO6)</f>
        <v>0.66666666666666663</v>
      </c>
      <c r="BQ6" s="454">
        <f t="shared" si="27"/>
        <v>0.66666666666666663</v>
      </c>
      <c r="BR6" s="454">
        <f t="shared" si="27"/>
        <v>0.66666666666666663</v>
      </c>
      <c r="BS6" s="351">
        <f t="shared" si="27"/>
        <v>0.66666666666666663</v>
      </c>
      <c r="BT6" s="351">
        <f t="shared" si="27"/>
        <v>0.66666666666666663</v>
      </c>
      <c r="BU6" s="354">
        <f t="shared" si="27"/>
        <v>0.61111111111111116</v>
      </c>
      <c r="BV6" s="12"/>
      <c r="BW6" s="908"/>
      <c r="BX6" s="325" t="s">
        <v>248</v>
      </c>
      <c r="BY6" s="141">
        <f>1/($AY$4)</f>
        <v>3.9146595433446759E-4</v>
      </c>
      <c r="BZ6" s="141">
        <f>1/($AY$9)</f>
        <v>3.9146595433446759E-4</v>
      </c>
      <c r="CA6" s="141">
        <f>1/($AY$14)</f>
        <v>3.9146595433446759E-4</v>
      </c>
      <c r="CB6" s="141">
        <f>1/($AY$19)</f>
        <v>3.9146595433446759E-4</v>
      </c>
      <c r="CC6" s="141">
        <f>1/($AY$24)</f>
        <v>3.9146595433446759E-4</v>
      </c>
      <c r="CD6" s="142">
        <f>1/($AY$29)</f>
        <v>3.7770469969076651E-4</v>
      </c>
      <c r="CE6" s="12"/>
      <c r="CF6" s="882"/>
      <c r="CG6" s="403">
        <v>3</v>
      </c>
      <c r="CH6" s="904"/>
      <c r="CI6" s="904"/>
      <c r="CJ6" s="880"/>
      <c r="CK6" s="12"/>
      <c r="CL6" s="116"/>
      <c r="CM6" s="116"/>
      <c r="CN6" s="116"/>
      <c r="CO6" s="116"/>
      <c r="CP6" s="116"/>
      <c r="CQ6" s="116"/>
      <c r="CR6" s="116"/>
      <c r="CS6" s="116"/>
      <c r="CT6" s="116"/>
      <c r="CU6" s="12"/>
      <c r="CV6" s="12"/>
      <c r="CW6" s="12"/>
      <c r="CX6" s="12"/>
      <c r="CY6" s="12"/>
      <c r="CZ6" s="12"/>
      <c r="DA6" s="608"/>
      <c r="DB6" s="12"/>
      <c r="DC6" s="12"/>
      <c r="DD6" s="12"/>
      <c r="DE6" s="12"/>
      <c r="DF6" s="12"/>
      <c r="DG6" s="12"/>
      <c r="DH6" s="12"/>
      <c r="DI6" s="12"/>
    </row>
    <row r="7" spans="2:115" ht="16.5" thickBot="1" x14ac:dyDescent="0.3">
      <c r="B7" s="875"/>
      <c r="C7" s="338">
        <v>4</v>
      </c>
      <c r="D7" s="426">
        <v>416</v>
      </c>
      <c r="E7" s="436">
        <f>'Structural Information'!$AC$6</f>
        <v>3</v>
      </c>
      <c r="F7" s="351">
        <f>'Structural Information'!$AM$7</f>
        <v>2</v>
      </c>
      <c r="G7" s="432">
        <f>'Structural Information'!$AB$19/1000</f>
        <v>0.5</v>
      </c>
      <c r="H7" s="432">
        <f>'Structural Information'!$AB$24/1000</f>
        <v>0.25</v>
      </c>
      <c r="I7" s="437">
        <f>'Structural Information'!$AB$25/1000</f>
        <v>0.25</v>
      </c>
      <c r="J7" s="143">
        <f t="shared" si="14"/>
        <v>3.2552083333333332E-4</v>
      </c>
      <c r="K7" s="351">
        <f>F7-H7</f>
        <v>1.75</v>
      </c>
      <c r="L7" s="351">
        <f>E7-G7</f>
        <v>2.5</v>
      </c>
      <c r="M7" s="351">
        <f t="shared" si="0"/>
        <v>3.0516389039334255</v>
      </c>
      <c r="N7" s="354">
        <f>ATAN(L7/K7)</f>
        <v>0.96007036240568799</v>
      </c>
      <c r="P7" s="891" t="s">
        <v>170</v>
      </c>
      <c r="Q7" s="891"/>
      <c r="R7" s="891"/>
      <c r="S7" s="891"/>
      <c r="T7" s="12"/>
      <c r="U7" s="875"/>
      <c r="V7" s="338">
        <v>4</v>
      </c>
      <c r="W7" s="338">
        <v>416</v>
      </c>
      <c r="X7" s="366">
        <f>1/((((COS(N7))^4)/'Structural Information'!$AR$18)+(((SIN(N7))^4)/'Structural Information'!$AR$19)+(((SIN(N7))^2)*((COS(N7))^2)*((1/'Structural Information'!$AR$20)-(2*'Structural Information'!$AV$20/'Structural Information'!$AR$19))))</f>
        <v>1979.5941814167948</v>
      </c>
      <c r="Y7" s="351">
        <f>((X7*('Structural Information'!$AV$18/1000)*SIN(2*N7))/(4*'Structural Information'!$AR$21*J7*L7))^(1/4)</f>
        <v>1.2174490921283836</v>
      </c>
      <c r="Z7" s="351">
        <f t="shared" si="1"/>
        <v>3.652347276385151</v>
      </c>
      <c r="AA7" s="120">
        <f t="shared" si="18"/>
        <v>0.70699999999999996</v>
      </c>
      <c r="AB7" s="120">
        <f t="shared" si="19"/>
        <v>0.01</v>
      </c>
      <c r="AC7" s="367">
        <f t="shared" si="20"/>
        <v>0.62123477965641971</v>
      </c>
      <c r="AD7" s="366">
        <f>((0.6*'Structural Information'!$AT$18)+(0.3*'Structural Information'!$AV$19))/(AC7/M7)</f>
        <v>1.6210310035361908</v>
      </c>
      <c r="AE7" s="351">
        <f>(((1.2*SIN(N7)+0.45*COS(N7))*'Structural Information'!$AT$19)+(0.3*'Structural Information'!$AV$19))/(AC7/M7)</f>
        <v>2.6825606913406794</v>
      </c>
      <c r="AF7" s="351">
        <f>(1.12*'Structural Information'!$AT$20*COS(N7)*SIN(N7))/((AA7*(Z7^(-0.12)))+(AB7*(Z7^(0.88))))</f>
        <v>1.6699179305072875</v>
      </c>
      <c r="AG7" s="351">
        <f>(1.16*'Structural Information'!$AT$20*TAN(N7))/((AA7)+(AB7*Z7))</f>
        <v>4.5021155270127426</v>
      </c>
      <c r="AH7" s="367">
        <f t="shared" si="21"/>
        <v>1.6210310035361908</v>
      </c>
      <c r="AI7" s="366">
        <f>AH7*AC7*'Structural Information'!$AV$18</f>
        <v>80.563267063842432</v>
      </c>
      <c r="AJ7" s="351">
        <f t="shared" si="2"/>
        <v>64.450613651073951</v>
      </c>
      <c r="AK7" s="367">
        <f t="shared" si="3"/>
        <v>8.0563267063842439</v>
      </c>
      <c r="AL7" s="12"/>
      <c r="AM7" s="875"/>
      <c r="AN7" s="597">
        <v>4</v>
      </c>
      <c r="AO7" s="597">
        <v>406</v>
      </c>
      <c r="AP7" s="618">
        <f>'Structural Information'!$AC$6</f>
        <v>3</v>
      </c>
      <c r="AQ7" s="618">
        <f t="shared" si="4"/>
        <v>64.450613651073951</v>
      </c>
      <c r="AR7" s="58">
        <f t="shared" si="5"/>
        <v>8.0000000000000004E-4</v>
      </c>
      <c r="AS7" s="608">
        <f t="shared" si="6"/>
        <v>22344.230024429471</v>
      </c>
      <c r="AT7" s="138">
        <f t="shared" si="7"/>
        <v>7348.1024912553303</v>
      </c>
      <c r="AU7" s="618">
        <f t="shared" si="8"/>
        <v>80.563267063842432</v>
      </c>
      <c r="AV7" s="58">
        <f t="shared" si="9"/>
        <v>2.2000000000000001E-3</v>
      </c>
      <c r="AW7" s="608">
        <f t="shared" si="10"/>
        <v>10156.468192922484</v>
      </c>
      <c r="AX7" s="99">
        <f t="shared" si="11"/>
        <v>3192.0328606327794</v>
      </c>
      <c r="AY7" s="138">
        <f t="shared" si="22"/>
        <v>1049.7289273221893</v>
      </c>
      <c r="AZ7" s="608">
        <f t="shared" si="12"/>
        <v>8.0563267063842439</v>
      </c>
      <c r="BA7" s="58">
        <f t="shared" si="13"/>
        <v>8.8999999999999999E-3</v>
      </c>
      <c r="BB7" s="608">
        <f t="shared" si="23"/>
        <v>-2068.6567164179105</v>
      </c>
      <c r="BC7" s="612">
        <f t="shared" si="24"/>
        <v>-680.29650405689677</v>
      </c>
      <c r="BD7" s="12"/>
      <c r="BE7" s="875"/>
      <c r="BF7" s="426">
        <v>4</v>
      </c>
      <c r="BG7" s="426">
        <v>7416</v>
      </c>
      <c r="BH7" s="426" t="s">
        <v>23</v>
      </c>
      <c r="BI7" s="432">
        <f>'Structural Information'!$AC$6</f>
        <v>3</v>
      </c>
      <c r="BJ7" s="436">
        <f>('Structural Information'!$AF$25)*(200)/$BI7</f>
        <v>53616.514621265807</v>
      </c>
      <c r="BK7" s="447">
        <f t="shared" si="25"/>
        <v>433495.56258141535</v>
      </c>
      <c r="BL7" s="12"/>
      <c r="BM7" s="844">
        <v>2</v>
      </c>
      <c r="BN7" s="396" t="s">
        <v>375</v>
      </c>
      <c r="BO7" s="397">
        <f>'Structural Information'!$AM$9</f>
        <v>2</v>
      </c>
      <c r="BP7" s="453">
        <f t="shared" si="27"/>
        <v>1.5</v>
      </c>
      <c r="BQ7" s="453">
        <f t="shared" si="27"/>
        <v>1.5</v>
      </c>
      <c r="BR7" s="453">
        <f t="shared" si="27"/>
        <v>1.5</v>
      </c>
      <c r="BS7" s="350">
        <f t="shared" si="27"/>
        <v>1.5</v>
      </c>
      <c r="BT7" s="350">
        <f t="shared" si="27"/>
        <v>1.5</v>
      </c>
      <c r="BU7" s="353">
        <f t="shared" si="27"/>
        <v>1.375</v>
      </c>
      <c r="BV7" s="12"/>
      <c r="BW7" s="908"/>
      <c r="BX7" s="326" t="s">
        <v>248</v>
      </c>
      <c r="BY7" s="141">
        <f>1/($BC$4)</f>
        <v>-2.679245127850868E-4</v>
      </c>
      <c r="BZ7" s="141">
        <f>1/($BC$9)</f>
        <v>-2.679245127850868E-4</v>
      </c>
      <c r="CA7" s="141">
        <f>1/($BC$14)</f>
        <v>-2.679245127850868E-4</v>
      </c>
      <c r="CB7" s="141">
        <f>1/($BC$19)</f>
        <v>-2.679245127850868E-4</v>
      </c>
      <c r="CC7" s="141">
        <f>1/($BC$24)</f>
        <v>-2.679245127850868E-4</v>
      </c>
      <c r="CD7" s="142">
        <f>1/($BC$29)</f>
        <v>-2.376221239157037E-4</v>
      </c>
      <c r="CE7" s="12"/>
      <c r="CF7" s="882"/>
      <c r="CG7" s="403">
        <v>4</v>
      </c>
      <c r="CH7" s="904"/>
      <c r="CI7" s="904"/>
      <c r="CJ7" s="880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/>
      <c r="CZ7" s="12"/>
      <c r="DA7" s="608"/>
      <c r="DB7" s="12"/>
      <c r="DC7" s="12"/>
      <c r="DD7" s="12"/>
      <c r="DE7" s="12"/>
      <c r="DF7" s="12"/>
      <c r="DG7" s="12"/>
      <c r="DH7" s="12"/>
      <c r="DI7" s="12"/>
    </row>
    <row r="8" spans="2:115" ht="16.5" customHeight="1" thickBot="1" x14ac:dyDescent="0.3">
      <c r="B8" s="895"/>
      <c r="C8" s="342">
        <v>5</v>
      </c>
      <c r="D8" s="427">
        <v>516</v>
      </c>
      <c r="E8" s="436">
        <f>'Structural Information'!$AC$6</f>
        <v>3</v>
      </c>
      <c r="F8" s="362">
        <f>'Structural Information'!$AM$6</f>
        <v>4.5</v>
      </c>
      <c r="G8" s="433">
        <f>'Structural Information'!$AB$19/1000</f>
        <v>0.5</v>
      </c>
      <c r="H8" s="433">
        <f>'Structural Information'!$AB$24/1000</f>
        <v>0.25</v>
      </c>
      <c r="I8" s="148">
        <f>'Structural Information'!$AB$25/1000</f>
        <v>0.25</v>
      </c>
      <c r="J8" s="149">
        <f t="shared" si="14"/>
        <v>3.2552083333333332E-4</v>
      </c>
      <c r="K8" s="362">
        <f>F8-H8</f>
        <v>4.25</v>
      </c>
      <c r="L8" s="362">
        <f>E8-G8</f>
        <v>2.5</v>
      </c>
      <c r="M8" s="362">
        <f t="shared" si="0"/>
        <v>4.9307707308290052</v>
      </c>
      <c r="N8" s="363">
        <f>ATAN(L8/K8)</f>
        <v>0.53172406725880561</v>
      </c>
      <c r="P8" s="892" t="s">
        <v>168</v>
      </c>
      <c r="Q8" s="892"/>
      <c r="R8" s="892"/>
      <c r="S8" s="302" t="s">
        <v>169</v>
      </c>
      <c r="T8" s="12"/>
      <c r="U8" s="895"/>
      <c r="V8" s="342">
        <v>5</v>
      </c>
      <c r="W8" s="342">
        <v>516</v>
      </c>
      <c r="X8" s="147">
        <f>1/((((COS(N8))^4)/'Structural Information'!$AR$18)+(((SIN(N8))^4)/'Structural Information'!$AR$19)+(((SIN(N8))^2)*((COS(N8))^2)*((1/'Structural Information'!$AR$20)-(2*'Structural Information'!$AV$20/'Structural Information'!$AR$19))))</f>
        <v>1375.8363758228218</v>
      </c>
      <c r="Y8" s="362">
        <f>((X8*('Structural Information'!$AV$18/1000)*SIN(2*N8))/(4*'Structural Information'!$AR$21*J8*L8))^(1/4)</f>
        <v>1.0916799951703688</v>
      </c>
      <c r="Z8" s="362">
        <f t="shared" si="1"/>
        <v>3.2750399855111065</v>
      </c>
      <c r="AA8" s="150">
        <f t="shared" si="18"/>
        <v>0.70699999999999996</v>
      </c>
      <c r="AB8" s="150">
        <f t="shared" si="19"/>
        <v>0.01</v>
      </c>
      <c r="AC8" s="148">
        <f t="shared" si="20"/>
        <v>1.113738957649824</v>
      </c>
      <c r="AD8" s="147">
        <f>((0.6*'Structural Information'!$AT$18)+(0.3*'Structural Information'!$AV$19))/(AC8/M8)</f>
        <v>1.4609835904520574</v>
      </c>
      <c r="AE8" s="362">
        <f>(((1.2*SIN(N8)+0.45*COS(N8))*'Structural Information'!$AT$19)+(0.3*'Structural Information'!$AV$19))/(AC8/M8)</f>
        <v>1.9407599825376745</v>
      </c>
      <c r="AF8" s="362">
        <f>(1.12*'Structural Information'!$AT$20*COS(N8)*SIN(N8))/((AA8*(Z8^(-0.12)))+(AB8*(Z8^(0.88))))</f>
        <v>1.5410243331800975</v>
      </c>
      <c r="AG8" s="362">
        <f>(1.16*'Structural Information'!$AT$20*TAN(N8))/((AA8)+(AB8*Z8))</f>
        <v>1.8632675851833773</v>
      </c>
      <c r="AH8" s="148">
        <f t="shared" si="21"/>
        <v>1.4609835904520574</v>
      </c>
      <c r="AI8" s="147">
        <f>AH8*AC8*'Structural Information'!$AV$18</f>
        <v>130.17234729388574</v>
      </c>
      <c r="AJ8" s="362">
        <f t="shared" si="2"/>
        <v>104.1378778351086</v>
      </c>
      <c r="AK8" s="148">
        <f t="shared" si="3"/>
        <v>13.017234729388575</v>
      </c>
      <c r="AL8" s="12"/>
      <c r="AM8" s="895"/>
      <c r="AN8" s="600">
        <v>5</v>
      </c>
      <c r="AO8" s="600">
        <v>506</v>
      </c>
      <c r="AP8" s="618">
        <f>'Structural Information'!$AC$6</f>
        <v>3</v>
      </c>
      <c r="AQ8" s="147">
        <f t="shared" si="4"/>
        <v>104.1378778351086</v>
      </c>
      <c r="AR8" s="75">
        <f t="shared" si="5"/>
        <v>8.0000000000000004E-4</v>
      </c>
      <c r="AS8" s="609">
        <f t="shared" si="6"/>
        <v>24068.875529005698</v>
      </c>
      <c r="AT8" s="156">
        <f t="shared" si="7"/>
        <v>17881.503927718884</v>
      </c>
      <c r="AU8" s="147">
        <f t="shared" si="8"/>
        <v>130.17234729388574</v>
      </c>
      <c r="AV8" s="75">
        <f t="shared" si="9"/>
        <v>2.2000000000000001E-3</v>
      </c>
      <c r="AW8" s="609">
        <f t="shared" si="10"/>
        <v>10940.397967729861</v>
      </c>
      <c r="AX8" s="157">
        <f t="shared" si="11"/>
        <v>3438.410789857955</v>
      </c>
      <c r="AY8" s="156">
        <f t="shared" si="22"/>
        <v>2554.5005611026963</v>
      </c>
      <c r="AZ8" s="609">
        <f t="shared" si="12"/>
        <v>13.017234729388575</v>
      </c>
      <c r="BA8" s="75">
        <f t="shared" si="13"/>
        <v>8.8999999999999999E-3</v>
      </c>
      <c r="BB8" s="609">
        <f t="shared" si="23"/>
        <v>-5023.880597014926</v>
      </c>
      <c r="BC8" s="614">
        <f t="shared" si="24"/>
        <v>-3732.3945823581321</v>
      </c>
      <c r="BD8" s="12"/>
      <c r="BE8" s="875"/>
      <c r="BF8" s="426">
        <v>5</v>
      </c>
      <c r="BG8" s="426">
        <v>7516</v>
      </c>
      <c r="BH8" s="426" t="s">
        <v>23</v>
      </c>
      <c r="BI8" s="432">
        <f>'Structural Information'!$AC$6</f>
        <v>3</v>
      </c>
      <c r="BJ8" s="436">
        <f>('Structural Information'!$AF$25)*(200)/$BI8</f>
        <v>53616.514621265807</v>
      </c>
      <c r="BK8" s="447">
        <f t="shared" si="25"/>
        <v>433495.56258141535</v>
      </c>
      <c r="BL8" s="12"/>
      <c r="BM8" s="843"/>
      <c r="BN8" s="396" t="s">
        <v>376</v>
      </c>
      <c r="BO8" s="397">
        <f>'Structural Information'!$AM$9</f>
        <v>2</v>
      </c>
      <c r="BP8" s="455">
        <f t="shared" si="27"/>
        <v>1.5</v>
      </c>
      <c r="BQ8" s="455">
        <f t="shared" si="27"/>
        <v>1.5</v>
      </c>
      <c r="BR8" s="455">
        <f t="shared" si="27"/>
        <v>1.5</v>
      </c>
      <c r="BS8" s="362">
        <f t="shared" si="27"/>
        <v>1.5</v>
      </c>
      <c r="BT8" s="362">
        <f t="shared" si="27"/>
        <v>1.5</v>
      </c>
      <c r="BU8" s="363">
        <f t="shared" si="27"/>
        <v>1.375</v>
      </c>
      <c r="BV8" s="12"/>
      <c r="BW8" s="912"/>
      <c r="BX8" s="140" t="s">
        <v>251</v>
      </c>
      <c r="BY8" s="153">
        <f>(BP6*BP6)/$BK$5</f>
        <v>1.0252571947861007E-6</v>
      </c>
      <c r="BZ8" s="153">
        <f>(BQ6*BQ6)/$BK$11</f>
        <v>1.0252571947861007E-6</v>
      </c>
      <c r="CA8" s="153">
        <f>(BR6*BR6)/$BK$17</f>
        <v>1.0252571947861007E-6</v>
      </c>
      <c r="CB8" s="153">
        <f>(BS6*BS6)/$BK$23</f>
        <v>7.1198416304590332E-7</v>
      </c>
      <c r="CC8" s="153">
        <f>(BT6*BT6)/$BK$29</f>
        <v>7.1198416304590332E-7</v>
      </c>
      <c r="CD8" s="154">
        <f>(BU6*BU6)/$BK$35</f>
        <v>2.82038964587529E-7</v>
      </c>
      <c r="CE8" s="12"/>
      <c r="CF8" s="761"/>
      <c r="CG8" s="404">
        <v>5</v>
      </c>
      <c r="CH8" s="905"/>
      <c r="CI8" s="905"/>
      <c r="CJ8" s="881"/>
      <c r="CK8" s="12"/>
      <c r="CL8" s="852" t="s">
        <v>291</v>
      </c>
      <c r="CM8" s="853"/>
      <c r="CN8" s="853"/>
      <c r="CO8" s="853"/>
      <c r="CP8" s="853"/>
      <c r="CQ8" s="854"/>
      <c r="CR8" s="855" t="s">
        <v>292</v>
      </c>
      <c r="CS8" s="856"/>
      <c r="CT8" s="856"/>
      <c r="CU8" s="856"/>
      <c r="CV8" s="856"/>
      <c r="CW8" s="857"/>
      <c r="CX8" s="858" t="s">
        <v>293</v>
      </c>
      <c r="CY8" s="859"/>
      <c r="CZ8" s="859"/>
      <c r="DA8" s="859"/>
      <c r="DB8" s="859"/>
      <c r="DC8" s="860"/>
      <c r="DD8" s="12"/>
      <c r="DE8" s="12"/>
      <c r="DF8" s="12"/>
      <c r="DG8" s="12"/>
      <c r="DH8" s="12"/>
      <c r="DI8" s="12"/>
    </row>
    <row r="9" spans="2:115" x14ac:dyDescent="0.25">
      <c r="B9" s="874">
        <v>5</v>
      </c>
      <c r="C9" s="336">
        <v>1</v>
      </c>
      <c r="D9" s="426">
        <v>115</v>
      </c>
      <c r="E9" s="133">
        <f>'Structural Information'!$AC$7</f>
        <v>3</v>
      </c>
      <c r="F9" s="350">
        <f>'Structural Information'!$AM$10</f>
        <v>4.5</v>
      </c>
      <c r="G9" s="431">
        <f>'Structural Information'!$AB$19/1000</f>
        <v>0.5</v>
      </c>
      <c r="H9" s="431">
        <f>'Structural Information'!$AB$24/1000</f>
        <v>0.25</v>
      </c>
      <c r="I9" s="134">
        <f>'Structural Information'!$AB$25/1000</f>
        <v>0.25</v>
      </c>
      <c r="J9" s="135">
        <f t="shared" si="14"/>
        <v>3.2552083333333332E-4</v>
      </c>
      <c r="K9" s="350">
        <f t="shared" ref="K9:K18" si="28">F9-H9</f>
        <v>4.25</v>
      </c>
      <c r="L9" s="350">
        <f t="shared" ref="L9:L18" si="29">E9-G9</f>
        <v>2.5</v>
      </c>
      <c r="M9" s="350">
        <f t="shared" si="0"/>
        <v>4.9307707308290052</v>
      </c>
      <c r="N9" s="353">
        <f t="shared" ref="N9:N18" si="30">ATAN(L9/K9)</f>
        <v>0.53172406725880561</v>
      </c>
      <c r="P9" s="889" t="s">
        <v>164</v>
      </c>
      <c r="Q9" s="889"/>
      <c r="R9" s="889"/>
      <c r="S9" s="155" t="s">
        <v>155</v>
      </c>
      <c r="T9" s="12"/>
      <c r="U9" s="874">
        <v>5</v>
      </c>
      <c r="V9" s="336">
        <v>1</v>
      </c>
      <c r="W9" s="336">
        <v>115</v>
      </c>
      <c r="X9" s="133">
        <f>1/((((COS(N9))^4)/'Structural Information'!$AR$18)+(((SIN(N9))^4)/'Structural Information'!$AR$19)+(((SIN(N9))^2)*((COS(N9))^2)*((1/'Structural Information'!$AR$20)-(2*'Structural Information'!$AV$20/'Structural Information'!$AR$19))))</f>
        <v>1375.8363758228218</v>
      </c>
      <c r="Y9" s="350">
        <f>((X9*('Structural Information'!$AV$18/1000)*SIN(2*N9))/(4*'Structural Information'!$AR$21*J9*L9))^(1/4)</f>
        <v>1.0916799951703688</v>
      </c>
      <c r="Z9" s="350">
        <f t="shared" si="1"/>
        <v>3.2750399855111065</v>
      </c>
      <c r="AA9" s="123">
        <f t="shared" si="18"/>
        <v>0.70699999999999996</v>
      </c>
      <c r="AB9" s="123">
        <f t="shared" si="19"/>
        <v>0.01</v>
      </c>
      <c r="AC9" s="134">
        <f t="shared" si="20"/>
        <v>1.113738957649824</v>
      </c>
      <c r="AD9" s="133">
        <f>((0.6*'Structural Information'!$AT$18)+(0.3*'Structural Information'!$AV$19))/(AC9/M9)</f>
        <v>1.4609835904520574</v>
      </c>
      <c r="AE9" s="350">
        <f>(((1.2*SIN(N9)+0.45*COS(N9))*'Structural Information'!$AT$19)+(0.3*'Structural Information'!$AV$19))/(AC9/M9)</f>
        <v>1.9407599825376745</v>
      </c>
      <c r="AF9" s="350">
        <f>(1.12*'Structural Information'!$AT$20*COS(N9)*SIN(N9))/((AA9*(Z9^(-0.12)))+(AB9*(Z9^(0.88))))</f>
        <v>1.5410243331800975</v>
      </c>
      <c r="AG9" s="350">
        <f>(1.16*'Structural Information'!$AT$20*TAN(N9))/((AA9)+(AB9*Z9))</f>
        <v>1.8632675851833773</v>
      </c>
      <c r="AH9" s="134">
        <f t="shared" si="21"/>
        <v>1.4609835904520574</v>
      </c>
      <c r="AI9" s="133">
        <f>AH9*AC9*'Structural Information'!$AV$18</f>
        <v>130.17234729388574</v>
      </c>
      <c r="AJ9" s="350">
        <f t="shared" si="2"/>
        <v>104.1378778351086</v>
      </c>
      <c r="AK9" s="134">
        <f t="shared" si="3"/>
        <v>13.017234729388575</v>
      </c>
      <c r="AL9" s="12"/>
      <c r="AM9" s="874">
        <v>5</v>
      </c>
      <c r="AN9" s="599">
        <v>1</v>
      </c>
      <c r="AO9" s="597">
        <v>105</v>
      </c>
      <c r="AP9" s="133">
        <f>'Structural Information'!$AC$7</f>
        <v>3</v>
      </c>
      <c r="AQ9" s="133">
        <f t="shared" si="4"/>
        <v>104.1378778351086</v>
      </c>
      <c r="AR9" s="50">
        <f t="shared" si="5"/>
        <v>8.0000000000000004E-4</v>
      </c>
      <c r="AS9" s="607">
        <f t="shared" si="6"/>
        <v>24068.875529005698</v>
      </c>
      <c r="AT9" s="152">
        <f t="shared" si="7"/>
        <v>17881.503927718884</v>
      </c>
      <c r="AU9" s="133">
        <f t="shared" si="8"/>
        <v>130.17234729388574</v>
      </c>
      <c r="AV9" s="50">
        <f t="shared" si="9"/>
        <v>2.2000000000000001E-3</v>
      </c>
      <c r="AW9" s="607">
        <f t="shared" si="10"/>
        <v>10940.397967729861</v>
      </c>
      <c r="AX9" s="94">
        <f t="shared" si="11"/>
        <v>3438.410789857955</v>
      </c>
      <c r="AY9" s="152">
        <f t="shared" si="22"/>
        <v>2554.5005611026963</v>
      </c>
      <c r="AZ9" s="607">
        <f t="shared" si="12"/>
        <v>13.017234729388575</v>
      </c>
      <c r="BA9" s="50">
        <f t="shared" si="13"/>
        <v>8.8999999999999999E-3</v>
      </c>
      <c r="BB9" s="607">
        <f t="shared" si="23"/>
        <v>-5023.880597014926</v>
      </c>
      <c r="BC9" s="611">
        <f t="shared" si="24"/>
        <v>-3732.3945823581321</v>
      </c>
      <c r="BD9" s="12"/>
      <c r="BE9" s="895"/>
      <c r="BF9" s="427">
        <v>6</v>
      </c>
      <c r="BG9" s="427">
        <v>7616</v>
      </c>
      <c r="BH9" s="427" t="s">
        <v>23</v>
      </c>
      <c r="BI9" s="433">
        <f>'Structural Information'!$AC$6</f>
        <v>3</v>
      </c>
      <c r="BJ9" s="147">
        <f>('Structural Information'!$AF$25)*(200)/$BI9</f>
        <v>53616.514621265807</v>
      </c>
      <c r="BK9" s="448">
        <f t="shared" si="25"/>
        <v>433495.56258141535</v>
      </c>
      <c r="BL9" s="12"/>
      <c r="BM9" s="877">
        <v>3</v>
      </c>
      <c r="BN9" s="145" t="s">
        <v>377</v>
      </c>
      <c r="BO9" s="146">
        <f>'Structural Information'!$AM$8</f>
        <v>4.5</v>
      </c>
      <c r="BP9" s="454">
        <f t="shared" si="27"/>
        <v>0.66666666666666663</v>
      </c>
      <c r="BQ9" s="454">
        <f t="shared" si="27"/>
        <v>0.66666666666666663</v>
      </c>
      <c r="BR9" s="454">
        <f t="shared" si="27"/>
        <v>0.66666666666666663</v>
      </c>
      <c r="BS9" s="351">
        <f t="shared" si="27"/>
        <v>0.66666666666666663</v>
      </c>
      <c r="BT9" s="351">
        <f t="shared" si="27"/>
        <v>0.66666666666666663</v>
      </c>
      <c r="BU9" s="354">
        <f t="shared" si="27"/>
        <v>0.61111111111111116</v>
      </c>
      <c r="BV9" s="12"/>
      <c r="BW9" s="908">
        <v>2</v>
      </c>
      <c r="BX9" s="327" t="s">
        <v>252</v>
      </c>
      <c r="BY9" s="141">
        <f>(BP7*BP7)/$BK$5</f>
        <v>5.190364548604635E-6</v>
      </c>
      <c r="BZ9" s="141">
        <f>(BQ7*BQ7)/$BK$11</f>
        <v>5.190364548604635E-6</v>
      </c>
      <c r="CA9" s="141">
        <f>(BR7*BR7)/$BK$17</f>
        <v>5.190364548604635E-6</v>
      </c>
      <c r="CB9" s="141">
        <f>(BS7*BS7)/$BK$23</f>
        <v>3.6044198254198856E-6</v>
      </c>
      <c r="CC9" s="141">
        <f>(BT7*BT7)/$BK$29</f>
        <v>3.6044198254198856E-6</v>
      </c>
      <c r="CD9" s="142">
        <f>(BU7*BU7)/$BK$35</f>
        <v>1.4278222582243652E-6</v>
      </c>
      <c r="CE9" s="12"/>
      <c r="CF9" s="902">
        <v>5</v>
      </c>
      <c r="CG9" s="402">
        <v>1</v>
      </c>
      <c r="CH9" s="903">
        <f>1/(BZ5+BZ4+CA4+CB4+CC4+CD4+CA8+CB8+CC8+CD8)+1/(BZ10+BZ9+CA9+CB9+CC9+CD9+CA13+CB13+CC13+CD13)+1/(BZ15+BZ14+CA14+CB14+CC14+CD14+CA18+CB18+CC18+CD18)+1/(BZ20+BZ19+CA19+CB19+CC19+CD19+CA23+CB23+CC23+CD23)+1/(BZ25+BZ24+CA24+CB24+CC24+CD24+CA28+CB28+CC28+CD28)</f>
        <v>59455.010118418853</v>
      </c>
      <c r="CI9" s="903">
        <f>1/(BZ6+BZ4+CA4+CB4+CC4+CD4+CA8+CB8+CC8+CD8)+1/(BZ11+BZ9+CA9+CB9+CC9+CD9+CA13+CB13+CC13+CD13)+1/(BZ16+BZ14+CA14+CB14+CC14+CD14+CA18+CB18+CC18+CD18)+1/(BZ21+BZ19+CA19+CB19+CC19+CD19+CA23+CB23+CC23+CD23)+1/(BZ26+BZ24+CA24+CB24+CC24+CD24+CA28+CB28+CC28+CD28)</f>
        <v>9556.7991446629276</v>
      </c>
      <c r="CJ9" s="879">
        <f>1/(BZ7+BZ4+CA4+CB4+CC4+CD4+CA8+CB8+CC8+CD8)+1/(BZ12+BZ9+CA9+CB9+CC9+CD9+CA13+CB13+CC13+CD13)+1/(BZ17+BZ14+CA14+CB14+CC14+CD14+CA18+CB18+CC18+CD18)+1/(BZ22+BZ19+CA19+CB19+CC19+CD19+CA23+CB23+CC23+CD23)+1/(BZ27+BZ24+CA24+CB24+CC24+CD24+CA28+CB28+CC28+CD28)</f>
        <v>-12892.958322521155</v>
      </c>
      <c r="CK9" s="12"/>
      <c r="CL9" s="771" t="s">
        <v>194</v>
      </c>
      <c r="CM9" s="773" t="s">
        <v>190</v>
      </c>
      <c r="CN9" s="775" t="s">
        <v>191</v>
      </c>
      <c r="CO9" s="775" t="s">
        <v>192</v>
      </c>
      <c r="CP9" s="863" t="s">
        <v>193</v>
      </c>
      <c r="CQ9" s="867" t="s">
        <v>501</v>
      </c>
      <c r="CR9" s="777" t="s">
        <v>224</v>
      </c>
      <c r="CS9" s="779" t="s">
        <v>190</v>
      </c>
      <c r="CT9" s="781" t="s">
        <v>191</v>
      </c>
      <c r="CU9" s="781" t="s">
        <v>192</v>
      </c>
      <c r="CV9" s="861" t="s">
        <v>193</v>
      </c>
      <c r="CW9" s="869" t="s">
        <v>501</v>
      </c>
      <c r="CX9" s="783" t="s">
        <v>297</v>
      </c>
      <c r="CY9" s="785" t="s">
        <v>190</v>
      </c>
      <c r="CZ9" s="787" t="s">
        <v>191</v>
      </c>
      <c r="DA9" s="787" t="s">
        <v>192</v>
      </c>
      <c r="DB9" s="865" t="s">
        <v>193</v>
      </c>
      <c r="DC9" s="850" t="s">
        <v>501</v>
      </c>
      <c r="DD9" s="12"/>
      <c r="DE9" s="12"/>
      <c r="DF9" s="12"/>
      <c r="DG9" s="12"/>
      <c r="DH9" s="12"/>
      <c r="DI9" s="12"/>
    </row>
    <row r="10" spans="2:115" x14ac:dyDescent="0.25">
      <c r="B10" s="875"/>
      <c r="C10" s="338">
        <v>2</v>
      </c>
      <c r="D10" s="426">
        <v>215</v>
      </c>
      <c r="E10" s="366">
        <f>'Structural Information'!$AC$7</f>
        <v>3</v>
      </c>
      <c r="F10" s="351">
        <f>'Structural Information'!$AM$9</f>
        <v>2</v>
      </c>
      <c r="G10" s="432">
        <f>'Structural Information'!$AB$19/1000</f>
        <v>0.5</v>
      </c>
      <c r="H10" s="432">
        <f>'Structural Information'!$AB$24/1000</f>
        <v>0.25</v>
      </c>
      <c r="I10" s="437">
        <f>'Structural Information'!$AB$25/1000</f>
        <v>0.25</v>
      </c>
      <c r="J10" s="143">
        <f t="shared" si="14"/>
        <v>3.2552083333333332E-4</v>
      </c>
      <c r="K10" s="351">
        <f t="shared" si="28"/>
        <v>1.75</v>
      </c>
      <c r="L10" s="351">
        <f t="shared" si="29"/>
        <v>2.5</v>
      </c>
      <c r="M10" s="351">
        <f t="shared" si="0"/>
        <v>3.0516389039334255</v>
      </c>
      <c r="N10" s="354">
        <f t="shared" si="30"/>
        <v>0.96007036240568799</v>
      </c>
      <c r="P10" s="889" t="s">
        <v>166</v>
      </c>
      <c r="Q10" s="889"/>
      <c r="R10" s="889"/>
      <c r="S10" s="155" t="s">
        <v>156</v>
      </c>
      <c r="T10" s="12"/>
      <c r="U10" s="875"/>
      <c r="V10" s="338">
        <v>2</v>
      </c>
      <c r="W10" s="338">
        <v>215</v>
      </c>
      <c r="X10" s="366">
        <f>1/((((COS(N10))^4)/'Structural Information'!$AR$18)+(((SIN(N10))^4)/'Structural Information'!$AR$19)+(((SIN(N10))^2)*((COS(N10))^2)*((1/'Structural Information'!$AR$20)-(2*'Structural Information'!$AV$20/'Structural Information'!$AR$19))))</f>
        <v>1979.5941814167948</v>
      </c>
      <c r="Y10" s="351">
        <f>((X10*('Structural Information'!$AV$18/1000)*SIN(2*N10))/(4*'Structural Information'!$AR$21*J10*L10))^(1/4)</f>
        <v>1.2174490921283836</v>
      </c>
      <c r="Z10" s="351">
        <f t="shared" si="1"/>
        <v>3.652347276385151</v>
      </c>
      <c r="AA10" s="120">
        <f t="shared" si="18"/>
        <v>0.70699999999999996</v>
      </c>
      <c r="AB10" s="120">
        <f t="shared" si="19"/>
        <v>0.01</v>
      </c>
      <c r="AC10" s="367">
        <f t="shared" si="20"/>
        <v>0.62123477965641971</v>
      </c>
      <c r="AD10" s="366">
        <f>((0.6*'Structural Information'!$AT$18)+(0.3*'Structural Information'!$AV$19))/(AC10/M10)</f>
        <v>1.6210310035361908</v>
      </c>
      <c r="AE10" s="351">
        <f>(((1.2*SIN(N10)+0.45*COS(N10))*'Structural Information'!$AT$19)+(0.3*'Structural Information'!$AV$19))/(AC10/M10)</f>
        <v>2.6825606913406794</v>
      </c>
      <c r="AF10" s="351">
        <f>(1.12*'Structural Information'!$AT$20*COS(N10)*SIN(N10))/((AA10*(Z10^(-0.12)))+(AB10*(Z10^(0.88))))</f>
        <v>1.6699179305072875</v>
      </c>
      <c r="AG10" s="351">
        <f>(1.16*'Structural Information'!$AT$20*TAN(N10))/((AA10)+(AB10*Z10))</f>
        <v>4.5021155270127426</v>
      </c>
      <c r="AH10" s="367">
        <f t="shared" si="21"/>
        <v>1.6210310035361908</v>
      </c>
      <c r="AI10" s="366">
        <f>AH10*AC10*'Structural Information'!$AV$18</f>
        <v>80.563267063842432</v>
      </c>
      <c r="AJ10" s="351">
        <f t="shared" si="2"/>
        <v>64.450613651073951</v>
      </c>
      <c r="AK10" s="367">
        <f t="shared" si="3"/>
        <v>8.0563267063842439</v>
      </c>
      <c r="AL10" s="12"/>
      <c r="AM10" s="875"/>
      <c r="AN10" s="597">
        <v>2</v>
      </c>
      <c r="AO10" s="597">
        <v>205</v>
      </c>
      <c r="AP10" s="618">
        <f>'Structural Information'!$AC$7</f>
        <v>3</v>
      </c>
      <c r="AQ10" s="618">
        <f t="shared" si="4"/>
        <v>64.450613651073951</v>
      </c>
      <c r="AR10" s="58">
        <f t="shared" si="5"/>
        <v>8.0000000000000004E-4</v>
      </c>
      <c r="AS10" s="608">
        <f t="shared" si="6"/>
        <v>22344.230024429471</v>
      </c>
      <c r="AT10" s="138">
        <f t="shared" si="7"/>
        <v>7348.1024912553303</v>
      </c>
      <c r="AU10" s="618">
        <f t="shared" si="8"/>
        <v>80.563267063842432</v>
      </c>
      <c r="AV10" s="58">
        <f t="shared" si="9"/>
        <v>2.2000000000000001E-3</v>
      </c>
      <c r="AW10" s="608">
        <f t="shared" si="10"/>
        <v>10156.468192922484</v>
      </c>
      <c r="AX10" s="99">
        <f t="shared" si="11"/>
        <v>3192.0328606327794</v>
      </c>
      <c r="AY10" s="138">
        <f t="shared" si="22"/>
        <v>1049.7289273221893</v>
      </c>
      <c r="AZ10" s="608">
        <f t="shared" si="12"/>
        <v>8.0563267063842439</v>
      </c>
      <c r="BA10" s="58">
        <f t="shared" si="13"/>
        <v>8.8999999999999999E-3</v>
      </c>
      <c r="BB10" s="608">
        <f t="shared" si="23"/>
        <v>-2068.6567164179105</v>
      </c>
      <c r="BC10" s="612">
        <f t="shared" si="24"/>
        <v>-680.29650405689677</v>
      </c>
      <c r="BD10" s="12"/>
      <c r="BE10" s="874">
        <v>5</v>
      </c>
      <c r="BF10" s="425">
        <v>1</v>
      </c>
      <c r="BG10" s="425">
        <v>7115</v>
      </c>
      <c r="BH10" s="425" t="s">
        <v>23</v>
      </c>
      <c r="BI10" s="431">
        <f>'Structural Information'!$AC$7</f>
        <v>3</v>
      </c>
      <c r="BJ10" s="133">
        <f>('Structural Information'!$AF$25)*(200)/$BI10</f>
        <v>53616.514621265807</v>
      </c>
      <c r="BK10" s="449">
        <f t="shared" ref="BK10:BK15" si="31">Hcol1*Wcol1*(4700*SQRT(Fck))/(hstr5*1000)</f>
        <v>433495.56258141535</v>
      </c>
      <c r="BL10" s="12"/>
      <c r="BM10" s="877"/>
      <c r="BN10" s="345" t="s">
        <v>409</v>
      </c>
      <c r="BO10" s="321">
        <f>'Structural Information'!$AM$8</f>
        <v>4.5</v>
      </c>
      <c r="BP10" s="454">
        <f t="shared" si="27"/>
        <v>0.66666666666666663</v>
      </c>
      <c r="BQ10" s="454">
        <f t="shared" si="27"/>
        <v>0.66666666666666663</v>
      </c>
      <c r="BR10" s="454">
        <f t="shared" si="27"/>
        <v>0.66666666666666663</v>
      </c>
      <c r="BS10" s="351">
        <f t="shared" si="27"/>
        <v>0.66666666666666663</v>
      </c>
      <c r="BT10" s="351">
        <f t="shared" si="27"/>
        <v>0.66666666666666663</v>
      </c>
      <c r="BU10" s="354">
        <f t="shared" si="27"/>
        <v>0.61111111111111116</v>
      </c>
      <c r="BV10" s="12"/>
      <c r="BW10" s="908"/>
      <c r="BX10" s="324" t="s">
        <v>249</v>
      </c>
      <c r="BY10" s="141">
        <f>1/($AT$5)</f>
        <v>1.3608955525457874E-4</v>
      </c>
      <c r="BZ10" s="141">
        <f>1/($AT$10)</f>
        <v>1.3608955525457874E-4</v>
      </c>
      <c r="CA10" s="141">
        <f>1/($AT$15)</f>
        <v>1.3608955525457874E-4</v>
      </c>
      <c r="CB10" s="141">
        <f>1/($AT$20)</f>
        <v>1.4287064467264913E-4</v>
      </c>
      <c r="CC10" s="141">
        <f>1/($AT$25)</f>
        <v>1.4287064467264913E-4</v>
      </c>
      <c r="CD10" s="142">
        <f>1/($AT$30)</f>
        <v>1.5480050297019224E-4</v>
      </c>
      <c r="CE10" s="12"/>
      <c r="CF10" s="882"/>
      <c r="CG10" s="403">
        <v>2</v>
      </c>
      <c r="CH10" s="904"/>
      <c r="CI10" s="904"/>
      <c r="CJ10" s="880"/>
      <c r="CK10" s="12"/>
      <c r="CL10" s="772"/>
      <c r="CM10" s="774"/>
      <c r="CN10" s="776"/>
      <c r="CO10" s="776"/>
      <c r="CP10" s="864"/>
      <c r="CQ10" s="868"/>
      <c r="CR10" s="778"/>
      <c r="CS10" s="780"/>
      <c r="CT10" s="782"/>
      <c r="CU10" s="782"/>
      <c r="CV10" s="862"/>
      <c r="CW10" s="870"/>
      <c r="CX10" s="784"/>
      <c r="CY10" s="786"/>
      <c r="CZ10" s="788"/>
      <c r="DA10" s="788"/>
      <c r="DB10" s="866"/>
      <c r="DC10" s="851"/>
      <c r="DD10" s="12"/>
      <c r="DE10" s="12"/>
      <c r="DF10" s="12"/>
      <c r="DG10" s="12"/>
      <c r="DH10" s="12"/>
      <c r="DI10" s="12"/>
    </row>
    <row r="11" spans="2:115" ht="15" customHeight="1" x14ac:dyDescent="0.25">
      <c r="B11" s="875"/>
      <c r="C11" s="338">
        <v>3</v>
      </c>
      <c r="D11" s="426">
        <v>315</v>
      </c>
      <c r="E11" s="436">
        <f>'Structural Information'!$AC$7</f>
        <v>3</v>
      </c>
      <c r="F11" s="351">
        <f>'Structural Information'!$AM$8</f>
        <v>4.5</v>
      </c>
      <c r="G11" s="432">
        <f>'Structural Information'!$AB$19/1000</f>
        <v>0.5</v>
      </c>
      <c r="H11" s="432">
        <f>'Structural Information'!$AB$24/1000</f>
        <v>0.25</v>
      </c>
      <c r="I11" s="437">
        <f>'Structural Information'!$AB$25/1000</f>
        <v>0.25</v>
      </c>
      <c r="J11" s="143">
        <f t="shared" si="14"/>
        <v>3.2552083333333332E-4</v>
      </c>
      <c r="K11" s="351">
        <f t="shared" si="28"/>
        <v>4.25</v>
      </c>
      <c r="L11" s="351">
        <f t="shared" si="29"/>
        <v>2.5</v>
      </c>
      <c r="M11" s="351">
        <f t="shared" si="0"/>
        <v>4.9307707308290052</v>
      </c>
      <c r="N11" s="354">
        <f t="shared" si="30"/>
        <v>0.53172406725880561</v>
      </c>
      <c r="P11" s="889" t="s">
        <v>165</v>
      </c>
      <c r="Q11" s="889"/>
      <c r="R11" s="889"/>
      <c r="S11" s="155" t="s">
        <v>157</v>
      </c>
      <c r="T11" s="12"/>
      <c r="U11" s="875"/>
      <c r="V11" s="338">
        <v>3</v>
      </c>
      <c r="W11" s="338">
        <v>315</v>
      </c>
      <c r="X11" s="366">
        <f>1/((((COS(N11))^4)/'Structural Information'!$AR$18)+(((SIN(N11))^4)/'Structural Information'!$AR$19)+(((SIN(N11))^2)*((COS(N11))^2)*((1/'Structural Information'!$AR$20)-(2*'Structural Information'!$AV$20/'Structural Information'!$AR$19))))</f>
        <v>1375.8363758228218</v>
      </c>
      <c r="Y11" s="351">
        <f>((X11*('Structural Information'!$AV$18/1000)*SIN(2*N11))/(4*'Structural Information'!$AR$21*J11*L11))^(1/4)</f>
        <v>1.0916799951703688</v>
      </c>
      <c r="Z11" s="351">
        <f t="shared" si="1"/>
        <v>3.2750399855111065</v>
      </c>
      <c r="AA11" s="120">
        <f t="shared" si="18"/>
        <v>0.70699999999999996</v>
      </c>
      <c r="AB11" s="120">
        <f t="shared" si="19"/>
        <v>0.01</v>
      </c>
      <c r="AC11" s="367">
        <f t="shared" si="20"/>
        <v>1.113738957649824</v>
      </c>
      <c r="AD11" s="366">
        <f>((0.6*'Structural Information'!$AT$18)+(0.3*'Structural Information'!$AV$19))/(AC11/M11)</f>
        <v>1.4609835904520574</v>
      </c>
      <c r="AE11" s="351">
        <f>(((1.2*SIN(N11)+0.45*COS(N11))*'Structural Information'!$AT$19)+(0.3*'Structural Information'!$AV$19))/(AC11/M11)</f>
        <v>1.9407599825376745</v>
      </c>
      <c r="AF11" s="351">
        <f>(1.12*'Structural Information'!$AT$20*COS(N11)*SIN(N11))/((AA11*(Z11^(-0.12)))+(AB11*(Z11^(0.88))))</f>
        <v>1.5410243331800975</v>
      </c>
      <c r="AG11" s="351">
        <f>(1.16*'Structural Information'!$AT$20*TAN(N11))/((AA11)+(AB11*Z11))</f>
        <v>1.8632675851833773</v>
      </c>
      <c r="AH11" s="367">
        <f t="shared" si="21"/>
        <v>1.4609835904520574</v>
      </c>
      <c r="AI11" s="366">
        <f>AH11*AC11*'Structural Information'!$AV$18</f>
        <v>130.17234729388574</v>
      </c>
      <c r="AJ11" s="351">
        <f t="shared" si="2"/>
        <v>104.1378778351086</v>
      </c>
      <c r="AK11" s="367">
        <f t="shared" si="3"/>
        <v>13.017234729388575</v>
      </c>
      <c r="AL11" s="12"/>
      <c r="AM11" s="875"/>
      <c r="AN11" s="597">
        <v>3</v>
      </c>
      <c r="AO11" s="597">
        <v>305</v>
      </c>
      <c r="AP11" s="618">
        <f>'Structural Information'!$AC$7</f>
        <v>3</v>
      </c>
      <c r="AQ11" s="618">
        <f t="shared" si="4"/>
        <v>104.1378778351086</v>
      </c>
      <c r="AR11" s="58">
        <f t="shared" si="5"/>
        <v>8.0000000000000004E-4</v>
      </c>
      <c r="AS11" s="608">
        <f t="shared" si="6"/>
        <v>24068.875529005698</v>
      </c>
      <c r="AT11" s="138">
        <f t="shared" si="7"/>
        <v>17881.503927718884</v>
      </c>
      <c r="AU11" s="618">
        <f t="shared" si="8"/>
        <v>130.17234729388574</v>
      </c>
      <c r="AV11" s="58">
        <f t="shared" si="9"/>
        <v>2.2000000000000001E-3</v>
      </c>
      <c r="AW11" s="608">
        <f t="shared" si="10"/>
        <v>10940.397967729861</v>
      </c>
      <c r="AX11" s="99">
        <f t="shared" si="11"/>
        <v>3438.410789857955</v>
      </c>
      <c r="AY11" s="138">
        <f t="shared" si="22"/>
        <v>2554.5005611026963</v>
      </c>
      <c r="AZ11" s="608">
        <f t="shared" si="12"/>
        <v>13.017234729388575</v>
      </c>
      <c r="BA11" s="58">
        <f t="shared" si="13"/>
        <v>8.8999999999999999E-3</v>
      </c>
      <c r="BB11" s="608">
        <f t="shared" si="23"/>
        <v>-5023.880597014926</v>
      </c>
      <c r="BC11" s="612">
        <f t="shared" si="24"/>
        <v>-3732.3945823581321</v>
      </c>
      <c r="BD11" s="12"/>
      <c r="BE11" s="875"/>
      <c r="BF11" s="426">
        <v>2</v>
      </c>
      <c r="BG11" s="426">
        <v>7215</v>
      </c>
      <c r="BH11" s="426" t="s">
        <v>23</v>
      </c>
      <c r="BI11" s="432">
        <f>'Structural Information'!$AC$7</f>
        <v>3</v>
      </c>
      <c r="BJ11" s="436">
        <f>('Structural Information'!$AF$25)*(200)/$BI11</f>
        <v>53616.514621265807</v>
      </c>
      <c r="BK11" s="447">
        <f t="shared" si="31"/>
        <v>433495.56258141535</v>
      </c>
      <c r="BL11" s="12"/>
      <c r="BM11" s="844">
        <v>4</v>
      </c>
      <c r="BN11" s="396" t="s">
        <v>410</v>
      </c>
      <c r="BO11" s="397">
        <f>'Structural Information'!$AM$7</f>
        <v>2</v>
      </c>
      <c r="BP11" s="453">
        <f t="shared" si="27"/>
        <v>1.5</v>
      </c>
      <c r="BQ11" s="453">
        <f t="shared" si="27"/>
        <v>1.5</v>
      </c>
      <c r="BR11" s="453">
        <f t="shared" si="27"/>
        <v>1.5</v>
      </c>
      <c r="BS11" s="350">
        <f t="shared" si="27"/>
        <v>1.5</v>
      </c>
      <c r="BT11" s="350">
        <f t="shared" si="27"/>
        <v>1.5</v>
      </c>
      <c r="BU11" s="353">
        <f t="shared" si="27"/>
        <v>1.375</v>
      </c>
      <c r="BV11" s="12"/>
      <c r="BW11" s="908"/>
      <c r="BX11" s="325" t="s">
        <v>249</v>
      </c>
      <c r="BY11" s="141">
        <f>1/($AY$5)</f>
        <v>9.5262688678205191E-4</v>
      </c>
      <c r="BZ11" s="141">
        <f>1/($AY$10)</f>
        <v>9.5262688678205191E-4</v>
      </c>
      <c r="CA11" s="141">
        <f>1/($AY$15)</f>
        <v>9.5262688678205191E-4</v>
      </c>
      <c r="CB11" s="141">
        <f>1/($AY$20)</f>
        <v>1.0000945127085444E-3</v>
      </c>
      <c r="CC11" s="141">
        <f>1/($AY$25)</f>
        <v>1.0000945127085444E-3</v>
      </c>
      <c r="CD11" s="142">
        <f>1/($AY$30)</f>
        <v>1.0836035207913461E-3</v>
      </c>
      <c r="CE11" s="12"/>
      <c r="CF11" s="882"/>
      <c r="CG11" s="403">
        <v>3</v>
      </c>
      <c r="CH11" s="904"/>
      <c r="CI11" s="904"/>
      <c r="CJ11" s="880"/>
      <c r="CK11" s="12"/>
      <c r="CL11" s="77" t="s">
        <v>451</v>
      </c>
      <c r="CM11" s="484">
        <f>AQ4*COS($N4)+AQ5*COS($N5)+AQ6*COS($N6)+AQ7*COS($N7)+AQ8*COS($N8)</f>
        <v>343.20000000000005</v>
      </c>
      <c r="CN11" s="484">
        <f t="shared" ref="CN11:CN13" si="32">AU16*COS($N16)+AU17*COS($N17)+AU18*COS($N18)+AU19*COS($N19)+AU20*COS($N20)</f>
        <v>427.68</v>
      </c>
      <c r="CO11" s="484">
        <f t="shared" ref="CO11:CO13" si="33">AZ16*COS($N16)+AZ17*COS($N17)+AZ18*COS($N18)+AZ19*COS($N19)+AZ20*COS($N20)</f>
        <v>42.768000000000001</v>
      </c>
      <c r="CP11" s="651">
        <f t="shared" ref="CP11:CP13" si="34">AZ16*COS($N16)+AZ17*COS($N17)+AZ18*COS($N18)+AZ19*COS($N19)+AZ20*COS($N20)</f>
        <v>42.768000000000001</v>
      </c>
      <c r="CQ11" s="652">
        <v>0</v>
      </c>
      <c r="CR11" s="77" t="s">
        <v>454</v>
      </c>
      <c r="CS11" s="651">
        <f>CH4</f>
        <v>57268.720145541869</v>
      </c>
      <c r="CT11" s="651">
        <f>CI4</f>
        <v>9497.1143538729921</v>
      </c>
      <c r="CU11" s="651">
        <f>CJ4</f>
        <v>-12994.214247520304</v>
      </c>
      <c r="CV11" s="651">
        <v>0</v>
      </c>
      <c r="CW11" s="652">
        <f t="shared" ref="CW11:CW16" si="35">CS11*3</f>
        <v>171806.16043662559</v>
      </c>
      <c r="CX11" s="77" t="s">
        <v>457</v>
      </c>
      <c r="CY11" s="58">
        <f>CM11/(CS11*'Structural Information'!$AC$6)</f>
        <v>1.9976000809737945E-3</v>
      </c>
      <c r="CZ11" s="58">
        <f>CY11+(((1/CT11)*(CN11-CM11))/'Structural Information'!$AC$6)</f>
        <v>4.9627112664062554E-3</v>
      </c>
      <c r="DA11" s="58">
        <f>CZ11+(((1/CU11)*(CO11-CN11))/'Structural Information'!$AC$6)</f>
        <v>1.4836644199633393E-2</v>
      </c>
      <c r="DB11" s="58">
        <f t="shared" ref="DB11:DB13" si="36">0.08</f>
        <v>0.08</v>
      </c>
      <c r="DC11" s="655">
        <v>0</v>
      </c>
      <c r="DD11" s="12"/>
      <c r="DE11" s="12"/>
      <c r="DF11" s="12"/>
      <c r="DG11" s="12"/>
      <c r="DH11" s="12"/>
      <c r="DI11" s="12"/>
    </row>
    <row r="12" spans="2:115" x14ac:dyDescent="0.25">
      <c r="B12" s="875"/>
      <c r="C12" s="338">
        <v>4</v>
      </c>
      <c r="D12" s="426">
        <v>415</v>
      </c>
      <c r="E12" s="436">
        <f>'Structural Information'!$AC$7</f>
        <v>3</v>
      </c>
      <c r="F12" s="351">
        <f>'Structural Information'!$AM$7</f>
        <v>2</v>
      </c>
      <c r="G12" s="432">
        <f>'Structural Information'!$AB$19/1000</f>
        <v>0.5</v>
      </c>
      <c r="H12" s="432">
        <f>'Structural Information'!$AB$24/1000</f>
        <v>0.25</v>
      </c>
      <c r="I12" s="437">
        <f>'Structural Information'!$AB$25/1000</f>
        <v>0.25</v>
      </c>
      <c r="J12" s="143">
        <f t="shared" si="14"/>
        <v>3.2552083333333332E-4</v>
      </c>
      <c r="K12" s="351">
        <f t="shared" si="28"/>
        <v>1.75</v>
      </c>
      <c r="L12" s="351">
        <f t="shared" si="29"/>
        <v>2.5</v>
      </c>
      <c r="M12" s="351">
        <f t="shared" si="0"/>
        <v>3.0516389039334255</v>
      </c>
      <c r="N12" s="354">
        <f t="shared" si="30"/>
        <v>0.96007036240568799</v>
      </c>
      <c r="P12" s="889" t="s">
        <v>167</v>
      </c>
      <c r="Q12" s="889"/>
      <c r="R12" s="889"/>
      <c r="S12" s="155" t="s">
        <v>158</v>
      </c>
      <c r="T12" s="12"/>
      <c r="U12" s="875"/>
      <c r="V12" s="338">
        <v>4</v>
      </c>
      <c r="W12" s="338">
        <v>415</v>
      </c>
      <c r="X12" s="366">
        <f>1/((((COS(N12))^4)/'Structural Information'!$AR$18)+(((SIN(N12))^4)/'Structural Information'!$AR$19)+(((SIN(N12))^2)*((COS(N12))^2)*((1/'Structural Information'!$AR$20)-(2*'Structural Information'!$AV$20/'Structural Information'!$AR$19))))</f>
        <v>1979.5941814167948</v>
      </c>
      <c r="Y12" s="351">
        <f>((X12*('Structural Information'!$AV$18/1000)*SIN(2*N12))/(4*'Structural Information'!$AR$21*J12*L12))^(1/4)</f>
        <v>1.2174490921283836</v>
      </c>
      <c r="Z12" s="351">
        <f t="shared" si="1"/>
        <v>3.652347276385151</v>
      </c>
      <c r="AA12" s="120">
        <f t="shared" si="18"/>
        <v>0.70699999999999996</v>
      </c>
      <c r="AB12" s="120">
        <f t="shared" si="19"/>
        <v>0.01</v>
      </c>
      <c r="AC12" s="367">
        <f t="shared" si="20"/>
        <v>0.62123477965641971</v>
      </c>
      <c r="AD12" s="366">
        <f>((0.6*'Structural Information'!$AT$18)+(0.3*'Structural Information'!$AV$19))/(AC12/M12)</f>
        <v>1.6210310035361908</v>
      </c>
      <c r="AE12" s="351">
        <f>(((1.2*SIN(N12)+0.45*COS(N12))*'Structural Information'!$AT$19)+(0.3*'Structural Information'!$AV$19))/(AC12/M12)</f>
        <v>2.6825606913406794</v>
      </c>
      <c r="AF12" s="351">
        <f>(1.12*'Structural Information'!$AT$20*COS(N12)*SIN(N12))/((AA12*(Z12^(-0.12)))+(AB12*(Z12^(0.88))))</f>
        <v>1.6699179305072875</v>
      </c>
      <c r="AG12" s="351">
        <f>(1.16*'Structural Information'!$AT$20*TAN(N12))/((AA12)+(AB12*Z12))</f>
        <v>4.5021155270127426</v>
      </c>
      <c r="AH12" s="367">
        <f t="shared" si="21"/>
        <v>1.6210310035361908</v>
      </c>
      <c r="AI12" s="366">
        <f>AH12*AC12*'Structural Information'!$AV$18</f>
        <v>80.563267063842432</v>
      </c>
      <c r="AJ12" s="351">
        <f t="shared" si="2"/>
        <v>64.450613651073951</v>
      </c>
      <c r="AK12" s="367">
        <f t="shared" si="3"/>
        <v>8.0563267063842439</v>
      </c>
      <c r="AL12" s="12"/>
      <c r="AM12" s="875"/>
      <c r="AN12" s="597">
        <v>4</v>
      </c>
      <c r="AO12" s="597">
        <v>405</v>
      </c>
      <c r="AP12" s="618">
        <f>'Structural Information'!$AC$7</f>
        <v>3</v>
      </c>
      <c r="AQ12" s="618">
        <f t="shared" si="4"/>
        <v>64.450613651073951</v>
      </c>
      <c r="AR12" s="58">
        <f t="shared" si="5"/>
        <v>8.0000000000000004E-4</v>
      </c>
      <c r="AS12" s="608">
        <f t="shared" si="6"/>
        <v>22344.230024429471</v>
      </c>
      <c r="AT12" s="138">
        <f t="shared" si="7"/>
        <v>7348.1024912553303</v>
      </c>
      <c r="AU12" s="618">
        <f t="shared" si="8"/>
        <v>80.563267063842432</v>
      </c>
      <c r="AV12" s="58">
        <f t="shared" si="9"/>
        <v>2.2000000000000001E-3</v>
      </c>
      <c r="AW12" s="608">
        <f t="shared" si="10"/>
        <v>10156.468192922484</v>
      </c>
      <c r="AX12" s="99">
        <f t="shared" si="11"/>
        <v>3192.0328606327794</v>
      </c>
      <c r="AY12" s="138">
        <f t="shared" si="22"/>
        <v>1049.7289273221893</v>
      </c>
      <c r="AZ12" s="608">
        <f t="shared" si="12"/>
        <v>8.0563267063842439</v>
      </c>
      <c r="BA12" s="58">
        <f t="shared" si="13"/>
        <v>8.8999999999999999E-3</v>
      </c>
      <c r="BB12" s="608">
        <f t="shared" si="23"/>
        <v>-2068.6567164179105</v>
      </c>
      <c r="BC12" s="612">
        <f t="shared" si="24"/>
        <v>-680.29650405689677</v>
      </c>
      <c r="BD12" s="12"/>
      <c r="BE12" s="875"/>
      <c r="BF12" s="426">
        <v>3</v>
      </c>
      <c r="BG12" s="426">
        <v>7315</v>
      </c>
      <c r="BH12" s="426" t="s">
        <v>23</v>
      </c>
      <c r="BI12" s="432">
        <f>'Structural Information'!$AC$7</f>
        <v>3</v>
      </c>
      <c r="BJ12" s="436">
        <f>('Structural Information'!$AF$25)*(200)/$BI12</f>
        <v>53616.514621265807</v>
      </c>
      <c r="BK12" s="447">
        <f t="shared" si="31"/>
        <v>433495.56258141535</v>
      </c>
      <c r="BL12" s="12"/>
      <c r="BM12" s="843"/>
      <c r="BN12" s="396" t="s">
        <v>411</v>
      </c>
      <c r="BO12" s="397">
        <f>'Structural Information'!$AM$7</f>
        <v>2</v>
      </c>
      <c r="BP12" s="455">
        <f t="shared" si="27"/>
        <v>1.5</v>
      </c>
      <c r="BQ12" s="455">
        <f t="shared" si="27"/>
        <v>1.5</v>
      </c>
      <c r="BR12" s="455">
        <f t="shared" si="27"/>
        <v>1.5</v>
      </c>
      <c r="BS12" s="362">
        <f t="shared" si="27"/>
        <v>1.5</v>
      </c>
      <c r="BT12" s="362">
        <f t="shared" si="27"/>
        <v>1.5</v>
      </c>
      <c r="BU12" s="363">
        <f t="shared" si="27"/>
        <v>1.375</v>
      </c>
      <c r="BV12" s="12"/>
      <c r="BW12" s="908"/>
      <c r="BX12" s="326" t="s">
        <v>249</v>
      </c>
      <c r="BY12" s="141">
        <f>1/($BC$5)</f>
        <v>-1.4699472862738168E-3</v>
      </c>
      <c r="BZ12" s="141">
        <f>1/($BC$10)</f>
        <v>-1.4699472862738168E-3</v>
      </c>
      <c r="CA12" s="141">
        <f>1/($BC$15)</f>
        <v>-1.4699472862738168E-3</v>
      </c>
      <c r="CB12" s="141">
        <f>1/($BC$20)</f>
        <v>-1.5737982306270515E-3</v>
      </c>
      <c r="CC12" s="141">
        <f>1/($BC$25)</f>
        <v>-1.5737982306270515E-3</v>
      </c>
      <c r="CD12" s="142">
        <f>1/($BC$30)</f>
        <v>-1.680169753086419E-3</v>
      </c>
      <c r="CE12" s="12"/>
      <c r="CF12" s="882"/>
      <c r="CG12" s="403">
        <v>4</v>
      </c>
      <c r="CH12" s="904"/>
      <c r="CI12" s="904"/>
      <c r="CJ12" s="880"/>
      <c r="CK12" s="12"/>
      <c r="CL12" s="77" t="s">
        <v>450</v>
      </c>
      <c r="CM12" s="484">
        <f>AQ9*COS($N9)+AQ10*COS($N10)+AQ11*COS($N11)+AQ12*COS($N12)+AQ13*COS($N13)</f>
        <v>343.20000000000005</v>
      </c>
      <c r="CN12" s="484">
        <f t="shared" si="32"/>
        <v>426.36</v>
      </c>
      <c r="CO12" s="484">
        <f t="shared" si="33"/>
        <v>42.636000000000003</v>
      </c>
      <c r="CP12" s="651">
        <f t="shared" si="34"/>
        <v>42.636000000000003</v>
      </c>
      <c r="CQ12" s="652">
        <v>0</v>
      </c>
      <c r="CR12" s="77" t="s">
        <v>453</v>
      </c>
      <c r="CS12" s="651">
        <f>CH9</f>
        <v>59455.010118418853</v>
      </c>
      <c r="CT12" s="651">
        <f>CI9</f>
        <v>9556.7991446629276</v>
      </c>
      <c r="CU12" s="651">
        <f>CJ9</f>
        <v>-12892.958322521155</v>
      </c>
      <c r="CV12" s="651">
        <v>0</v>
      </c>
      <c r="CW12" s="652">
        <f t="shared" si="35"/>
        <v>178365.03035525657</v>
      </c>
      <c r="CX12" s="77" t="s">
        <v>456</v>
      </c>
      <c r="CY12" s="58">
        <f>CM12/(CS12*'Structural Information'!$AC$7)</f>
        <v>1.9241439833606131E-3</v>
      </c>
      <c r="CZ12" s="58">
        <f>CY12+(((1/CT12)*(CN12-CM12))/'Structural Information'!$AC$7)</f>
        <v>4.8246967291489824E-3</v>
      </c>
      <c r="DA12" s="58">
        <f>CZ12+(((1/CU12)*(CO12-CN12))/'Structural Information'!$AC$7)</f>
        <v>1.47454609789312E-2</v>
      </c>
      <c r="DB12" s="58">
        <f t="shared" si="36"/>
        <v>0.08</v>
      </c>
      <c r="DC12" s="655">
        <v>0</v>
      </c>
      <c r="DD12" s="12"/>
      <c r="DE12" s="12"/>
      <c r="DF12" s="12"/>
      <c r="DG12" s="12"/>
      <c r="DH12" s="12"/>
      <c r="DI12" s="12"/>
      <c r="DK12" s="164"/>
    </row>
    <row r="13" spans="2:115" x14ac:dyDescent="0.25">
      <c r="B13" s="895"/>
      <c r="C13" s="342">
        <v>5</v>
      </c>
      <c r="D13" s="427">
        <v>515</v>
      </c>
      <c r="E13" s="147">
        <f>'Structural Information'!$AC$7</f>
        <v>3</v>
      </c>
      <c r="F13" s="362">
        <f>'Structural Information'!$AM$6</f>
        <v>4.5</v>
      </c>
      <c r="G13" s="433">
        <f>'Structural Information'!$AB$19/1000</f>
        <v>0.5</v>
      </c>
      <c r="H13" s="433">
        <f>'Structural Information'!$AB$24/1000</f>
        <v>0.25</v>
      </c>
      <c r="I13" s="148">
        <f>'Structural Information'!$AB$25/1000</f>
        <v>0.25</v>
      </c>
      <c r="J13" s="149">
        <f t="shared" si="14"/>
        <v>3.2552083333333332E-4</v>
      </c>
      <c r="K13" s="362">
        <f t="shared" si="28"/>
        <v>4.25</v>
      </c>
      <c r="L13" s="362">
        <f t="shared" si="29"/>
        <v>2.5</v>
      </c>
      <c r="M13" s="362">
        <f t="shared" si="0"/>
        <v>4.9307707308290052</v>
      </c>
      <c r="N13" s="363">
        <f t="shared" si="30"/>
        <v>0.53172406725880561</v>
      </c>
      <c r="T13" s="12"/>
      <c r="U13" s="895"/>
      <c r="V13" s="342">
        <v>5</v>
      </c>
      <c r="W13" s="342">
        <v>515</v>
      </c>
      <c r="X13" s="147">
        <f>1/((((COS(N13))^4)/'Structural Information'!$AR$18)+(((SIN(N13))^4)/'Structural Information'!$AR$19)+(((SIN(N13))^2)*((COS(N13))^2)*((1/'Structural Information'!$AR$20)-(2*'Structural Information'!$AV$20/'Structural Information'!$AR$19))))</f>
        <v>1375.8363758228218</v>
      </c>
      <c r="Y13" s="362">
        <f>((X13*('Structural Information'!$AV$18/1000)*SIN(2*N13))/(4*'Structural Information'!$AR$21*J13*L13))^(1/4)</f>
        <v>1.0916799951703688</v>
      </c>
      <c r="Z13" s="362">
        <f t="shared" si="1"/>
        <v>3.2750399855111065</v>
      </c>
      <c r="AA13" s="150">
        <f t="shared" si="18"/>
        <v>0.70699999999999996</v>
      </c>
      <c r="AB13" s="150">
        <f t="shared" si="19"/>
        <v>0.01</v>
      </c>
      <c r="AC13" s="148">
        <f t="shared" si="20"/>
        <v>1.113738957649824</v>
      </c>
      <c r="AD13" s="147">
        <f>((0.6*'Structural Information'!$AT$18)+(0.3*'Structural Information'!$AV$19))/(AC13/M13)</f>
        <v>1.4609835904520574</v>
      </c>
      <c r="AE13" s="362">
        <f>(((1.2*SIN(N13)+0.45*COS(N13))*'Structural Information'!$AT$19)+(0.3*'Structural Information'!$AV$19))/(AC13/M13)</f>
        <v>1.9407599825376745</v>
      </c>
      <c r="AF13" s="362">
        <f>(1.12*'Structural Information'!$AT$20*COS(N13)*SIN(N13))/((AA13*(Z13^(-0.12)))+(AB13*(Z13^(0.88))))</f>
        <v>1.5410243331800975</v>
      </c>
      <c r="AG13" s="362">
        <f>(1.16*'Structural Information'!$AT$20*TAN(N13))/((AA13)+(AB13*Z13))</f>
        <v>1.8632675851833773</v>
      </c>
      <c r="AH13" s="148">
        <f t="shared" si="21"/>
        <v>1.4609835904520574</v>
      </c>
      <c r="AI13" s="147">
        <f>AH13*AC13*'Structural Information'!$AV$18</f>
        <v>130.17234729388574</v>
      </c>
      <c r="AJ13" s="362">
        <f t="shared" si="2"/>
        <v>104.1378778351086</v>
      </c>
      <c r="AK13" s="148">
        <f t="shared" si="3"/>
        <v>13.017234729388575</v>
      </c>
      <c r="AL13" s="12"/>
      <c r="AM13" s="895"/>
      <c r="AN13" s="600">
        <v>5</v>
      </c>
      <c r="AO13" s="600">
        <v>505</v>
      </c>
      <c r="AP13" s="147">
        <f>'Structural Information'!$AC$7</f>
        <v>3</v>
      </c>
      <c r="AQ13" s="147">
        <f t="shared" si="4"/>
        <v>104.1378778351086</v>
      </c>
      <c r="AR13" s="75">
        <f t="shared" si="5"/>
        <v>8.0000000000000004E-4</v>
      </c>
      <c r="AS13" s="609">
        <f t="shared" si="6"/>
        <v>24068.875529005698</v>
      </c>
      <c r="AT13" s="156">
        <f t="shared" si="7"/>
        <v>17881.503927718884</v>
      </c>
      <c r="AU13" s="147">
        <f t="shared" si="8"/>
        <v>130.17234729388574</v>
      </c>
      <c r="AV13" s="75">
        <f t="shared" si="9"/>
        <v>2.2000000000000001E-3</v>
      </c>
      <c r="AW13" s="609">
        <f t="shared" si="10"/>
        <v>10940.397967729861</v>
      </c>
      <c r="AX13" s="157">
        <f t="shared" si="11"/>
        <v>3438.410789857955</v>
      </c>
      <c r="AY13" s="156">
        <f t="shared" si="22"/>
        <v>2554.5005611026963</v>
      </c>
      <c r="AZ13" s="609">
        <f t="shared" si="12"/>
        <v>13.017234729388575</v>
      </c>
      <c r="BA13" s="75">
        <f t="shared" si="13"/>
        <v>8.8999999999999999E-3</v>
      </c>
      <c r="BB13" s="609">
        <f t="shared" si="23"/>
        <v>-5023.880597014926</v>
      </c>
      <c r="BC13" s="614">
        <f t="shared" si="24"/>
        <v>-3732.3945823581321</v>
      </c>
      <c r="BD13" s="12"/>
      <c r="BE13" s="875"/>
      <c r="BF13" s="426">
        <v>4</v>
      </c>
      <c r="BG13" s="426">
        <v>7415</v>
      </c>
      <c r="BH13" s="426" t="s">
        <v>23</v>
      </c>
      <c r="BI13" s="432">
        <f>'Structural Information'!$AC$7</f>
        <v>3</v>
      </c>
      <c r="BJ13" s="436">
        <f>('Structural Information'!$AF$25)*(200)/$BI13</f>
        <v>53616.514621265807</v>
      </c>
      <c r="BK13" s="447">
        <f t="shared" si="31"/>
        <v>433495.56258141535</v>
      </c>
      <c r="BL13" s="12"/>
      <c r="BM13" s="877">
        <v>5</v>
      </c>
      <c r="BN13" s="145" t="s">
        <v>412</v>
      </c>
      <c r="BO13" s="146">
        <f>'Structural Information'!$AM$6</f>
        <v>4.5</v>
      </c>
      <c r="BP13" s="454">
        <f t="shared" si="27"/>
        <v>0.66666666666666663</v>
      </c>
      <c r="BQ13" s="454">
        <f t="shared" si="27"/>
        <v>0.66666666666666663</v>
      </c>
      <c r="BR13" s="454">
        <f t="shared" si="27"/>
        <v>0.66666666666666663</v>
      </c>
      <c r="BS13" s="351">
        <f t="shared" si="27"/>
        <v>0.66666666666666663</v>
      </c>
      <c r="BT13" s="351">
        <f t="shared" si="27"/>
        <v>0.66666666666666663</v>
      </c>
      <c r="BU13" s="354">
        <f t="shared" si="27"/>
        <v>0.61111111111111116</v>
      </c>
      <c r="BV13" s="12"/>
      <c r="BW13" s="908"/>
      <c r="BX13" s="327" t="s">
        <v>253</v>
      </c>
      <c r="BY13" s="141">
        <f>(BP8*BP8)/$BK$6</f>
        <v>5.190364548604635E-6</v>
      </c>
      <c r="BZ13" s="141">
        <f>(BQ8*BQ8)/$BK$12</f>
        <v>5.190364548604635E-6</v>
      </c>
      <c r="CA13" s="141">
        <f>(BR8*BR8)/$BK$18</f>
        <v>5.190364548604635E-6</v>
      </c>
      <c r="CB13" s="141">
        <f>(BS8*BS8)/$BK$24</f>
        <v>3.6044198254198856E-6</v>
      </c>
      <c r="CC13" s="141">
        <f>(BT8*BT8)/$BK$30</f>
        <v>3.6044198254198856E-6</v>
      </c>
      <c r="CD13" s="142">
        <f>(BU8*BU8)/$BK$36</f>
        <v>1.4278222582243652E-6</v>
      </c>
      <c r="CE13" s="12"/>
      <c r="CF13" s="761"/>
      <c r="CG13" s="404">
        <v>5</v>
      </c>
      <c r="CH13" s="905"/>
      <c r="CI13" s="905"/>
      <c r="CJ13" s="881"/>
      <c r="CK13" s="12"/>
      <c r="CL13" s="77" t="s">
        <v>449</v>
      </c>
      <c r="CM13" s="484">
        <f>AQ14*COS($N14)+AQ15*COS($N15)+AQ16*COS($N16)+AQ17*COS($N17)+AQ18*COS($N18)</f>
        <v>343.20000000000005</v>
      </c>
      <c r="CN13" s="484">
        <f t="shared" si="32"/>
        <v>425.04</v>
      </c>
      <c r="CO13" s="484">
        <f t="shared" si="33"/>
        <v>42.504000000000005</v>
      </c>
      <c r="CP13" s="651">
        <f t="shared" si="34"/>
        <v>42.504000000000005</v>
      </c>
      <c r="CQ13" s="652">
        <v>0</v>
      </c>
      <c r="CR13" s="77" t="s">
        <v>452</v>
      </c>
      <c r="CS13" s="651">
        <f>CH14</f>
        <v>61832.037922401883</v>
      </c>
      <c r="CT13" s="651">
        <f>CI14</f>
        <v>9617.3328865493659</v>
      </c>
      <c r="CU13" s="651">
        <f>CJ14</f>
        <v>-12793.269244424928</v>
      </c>
      <c r="CV13" s="651">
        <v>0</v>
      </c>
      <c r="CW13" s="652">
        <f t="shared" si="35"/>
        <v>185496.11376720565</v>
      </c>
      <c r="CX13" s="77" t="s">
        <v>455</v>
      </c>
      <c r="CY13" s="58">
        <f>CM13/(CS13*'Structural Information'!$AC$8)</f>
        <v>1.8501735321027263E-3</v>
      </c>
      <c r="CZ13" s="58">
        <f>CY13+(((1/CT13)*(CN13-CM13))/'Structural Information'!$AC$8)</f>
        <v>4.6867187907318961E-3</v>
      </c>
      <c r="DA13" s="58">
        <f>CZ13+(((1/CU13)*(CO13-CN13))/'Structural Information'!$AC$8)</f>
        <v>1.4653834901851607E-2</v>
      </c>
      <c r="DB13" s="58">
        <f t="shared" si="36"/>
        <v>0.08</v>
      </c>
      <c r="DC13" s="655">
        <v>0</v>
      </c>
      <c r="DD13" s="12"/>
      <c r="DE13" s="12"/>
      <c r="DF13" s="12"/>
      <c r="DG13" s="12"/>
      <c r="DH13" s="12"/>
      <c r="DI13" s="12"/>
      <c r="DK13" s="160"/>
    </row>
    <row r="14" spans="2:115" ht="15.75" thickBot="1" x14ac:dyDescent="0.3">
      <c r="B14" s="874">
        <v>4</v>
      </c>
      <c r="C14" s="336">
        <v>1</v>
      </c>
      <c r="D14" s="426">
        <v>114</v>
      </c>
      <c r="E14" s="133">
        <f>'Structural Information'!$AC$8</f>
        <v>3</v>
      </c>
      <c r="F14" s="350">
        <f>'Structural Information'!$AM$10</f>
        <v>4.5</v>
      </c>
      <c r="G14" s="431">
        <f>'Structural Information'!$AB$19/1000</f>
        <v>0.5</v>
      </c>
      <c r="H14" s="431">
        <f>'Structural Information'!$AB$24/1000</f>
        <v>0.25</v>
      </c>
      <c r="I14" s="134">
        <f>'Structural Information'!$AB$25/1000</f>
        <v>0.25</v>
      </c>
      <c r="J14" s="135">
        <f t="shared" si="14"/>
        <v>3.2552083333333332E-4</v>
      </c>
      <c r="K14" s="350">
        <f t="shared" si="28"/>
        <v>4.25</v>
      </c>
      <c r="L14" s="350">
        <f t="shared" si="29"/>
        <v>2.5</v>
      </c>
      <c r="M14" s="350">
        <f t="shared" si="0"/>
        <v>4.9307707308290052</v>
      </c>
      <c r="N14" s="353">
        <f t="shared" si="30"/>
        <v>0.53172406725880561</v>
      </c>
      <c r="T14" s="12"/>
      <c r="U14" s="874">
        <v>4</v>
      </c>
      <c r="V14" s="336">
        <v>1</v>
      </c>
      <c r="W14" s="336">
        <v>114</v>
      </c>
      <c r="X14" s="133">
        <f>1/((((COS(N14))^4)/'Structural Information'!$AR$18)+(((SIN(N14))^4)/'Structural Information'!$AR$19)+(((SIN(N14))^2)*((COS(N14))^2)*((1/'Structural Information'!$AR$20)-(2*'Structural Information'!$AV$20/'Structural Information'!$AR$19))))</f>
        <v>1375.8363758228218</v>
      </c>
      <c r="Y14" s="350">
        <f>((X14*('Structural Information'!$AV$18/1000)*SIN(2*N14))/(4*'Structural Information'!$AR$21*J14*L14))^(1/4)</f>
        <v>1.0916799951703688</v>
      </c>
      <c r="Z14" s="350">
        <f t="shared" si="1"/>
        <v>3.2750399855111065</v>
      </c>
      <c r="AA14" s="123">
        <f t="shared" si="18"/>
        <v>0.70699999999999996</v>
      </c>
      <c r="AB14" s="123">
        <f t="shared" si="19"/>
        <v>0.01</v>
      </c>
      <c r="AC14" s="134">
        <f t="shared" si="20"/>
        <v>1.113738957649824</v>
      </c>
      <c r="AD14" s="133">
        <f>((0.6*'Structural Information'!$AT$18)+(0.3*'Structural Information'!$AV$19))/(AC14/M14)</f>
        <v>1.4609835904520574</v>
      </c>
      <c r="AE14" s="350">
        <f>(((1.2*SIN(N14)+0.45*COS(N14))*'Structural Information'!$AT$19)+(0.3*'Structural Information'!$AV$19))/(AC14/M14)</f>
        <v>1.9407599825376745</v>
      </c>
      <c r="AF14" s="350">
        <f>(1.12*'Structural Information'!$AT$20*COS(N14)*SIN(N14))/((AA14*(Z14^(-0.12)))+(AB14*(Z14^(0.88))))</f>
        <v>1.5410243331800975</v>
      </c>
      <c r="AG14" s="350">
        <f>(1.16*'Structural Information'!$AT$20*TAN(N14))/((AA14)+(AB14*Z14))</f>
        <v>1.8632675851833773</v>
      </c>
      <c r="AH14" s="134">
        <f t="shared" si="21"/>
        <v>1.4609835904520574</v>
      </c>
      <c r="AI14" s="133">
        <f>AH14*AC14*'Structural Information'!$AV$18</f>
        <v>130.17234729388574</v>
      </c>
      <c r="AJ14" s="350">
        <f t="shared" si="2"/>
        <v>104.1378778351086</v>
      </c>
      <c r="AK14" s="134">
        <f t="shared" si="3"/>
        <v>13.017234729388575</v>
      </c>
      <c r="AL14" s="12"/>
      <c r="AM14" s="874">
        <v>4</v>
      </c>
      <c r="AN14" s="599">
        <v>1</v>
      </c>
      <c r="AO14" s="597">
        <v>104</v>
      </c>
      <c r="AP14" s="133">
        <f>'Structural Information'!$AC$8</f>
        <v>3</v>
      </c>
      <c r="AQ14" s="133">
        <f t="shared" si="4"/>
        <v>104.1378778351086</v>
      </c>
      <c r="AR14" s="50">
        <f t="shared" si="5"/>
        <v>8.0000000000000004E-4</v>
      </c>
      <c r="AS14" s="607">
        <f t="shared" si="6"/>
        <v>24068.875529005698</v>
      </c>
      <c r="AT14" s="152">
        <f t="shared" si="7"/>
        <v>17881.503927718884</v>
      </c>
      <c r="AU14" s="133">
        <f t="shared" si="8"/>
        <v>130.17234729388574</v>
      </c>
      <c r="AV14" s="50">
        <f t="shared" si="9"/>
        <v>2.2000000000000001E-3</v>
      </c>
      <c r="AW14" s="607">
        <f t="shared" si="10"/>
        <v>10940.397967729861</v>
      </c>
      <c r="AX14" s="94">
        <f t="shared" si="11"/>
        <v>3438.410789857955</v>
      </c>
      <c r="AY14" s="152">
        <f t="shared" si="22"/>
        <v>2554.5005611026963</v>
      </c>
      <c r="AZ14" s="607">
        <f t="shared" si="12"/>
        <v>13.017234729388575</v>
      </c>
      <c r="BA14" s="50">
        <f t="shared" si="13"/>
        <v>8.8999999999999999E-3</v>
      </c>
      <c r="BB14" s="607">
        <f t="shared" si="23"/>
        <v>-5023.880597014926</v>
      </c>
      <c r="BC14" s="611">
        <f t="shared" si="24"/>
        <v>-3732.3945823581321</v>
      </c>
      <c r="BD14" s="12"/>
      <c r="BE14" s="875"/>
      <c r="BF14" s="426">
        <v>5</v>
      </c>
      <c r="BG14" s="426">
        <v>7515</v>
      </c>
      <c r="BH14" s="426" t="s">
        <v>23</v>
      </c>
      <c r="BI14" s="432">
        <f>'Structural Information'!$AC$7</f>
        <v>3</v>
      </c>
      <c r="BJ14" s="436">
        <f>('Structural Information'!$AF$25)*(200)/$BI14</f>
        <v>53616.514621265807</v>
      </c>
      <c r="BK14" s="447">
        <f t="shared" si="31"/>
        <v>433495.56258141535</v>
      </c>
      <c r="BL14" s="12"/>
      <c r="BM14" s="878"/>
      <c r="BN14" s="348">
        <v>6</v>
      </c>
      <c r="BO14" s="322">
        <f>'Structural Information'!$AM$6</f>
        <v>4.5</v>
      </c>
      <c r="BP14" s="456">
        <f t="shared" si="27"/>
        <v>0.66666666666666663</v>
      </c>
      <c r="BQ14" s="456">
        <f t="shared" si="27"/>
        <v>0.66666666666666663</v>
      </c>
      <c r="BR14" s="456">
        <f t="shared" si="27"/>
        <v>0.66666666666666663</v>
      </c>
      <c r="BS14" s="352">
        <f t="shared" si="27"/>
        <v>0.66666666666666663</v>
      </c>
      <c r="BT14" s="352">
        <f t="shared" si="27"/>
        <v>0.66666666666666663</v>
      </c>
      <c r="BU14" s="355">
        <f t="shared" si="27"/>
        <v>0.61111111111111116</v>
      </c>
      <c r="BV14" s="12"/>
      <c r="BW14" s="909">
        <v>3</v>
      </c>
      <c r="BX14" s="328" t="s">
        <v>254</v>
      </c>
      <c r="BY14" s="158">
        <f>(BP9*BP9)/$BK$6</f>
        <v>1.0252571947861007E-6</v>
      </c>
      <c r="BZ14" s="158">
        <f>(BQ9*BQ9)/$BK$12</f>
        <v>1.0252571947861007E-6</v>
      </c>
      <c r="CA14" s="158">
        <f>(BR9*BR9)/$BK$18</f>
        <v>1.0252571947861007E-6</v>
      </c>
      <c r="CB14" s="158">
        <f>(BS9*BS9)/$BK$24</f>
        <v>7.1198416304590332E-7</v>
      </c>
      <c r="CC14" s="158">
        <f>(BT9*BT9)/$BK$30</f>
        <v>7.1198416304590332E-7</v>
      </c>
      <c r="CD14" s="159">
        <f>(BU9*BU9)/$BK$36</f>
        <v>2.82038964587529E-7</v>
      </c>
      <c r="CE14" s="12"/>
      <c r="CF14" s="902">
        <v>4</v>
      </c>
      <c r="CG14" s="402">
        <v>1</v>
      </c>
      <c r="CH14" s="903">
        <f>1/(CA5+CA4+CB4+CC4+CD4+CB8+CC8+CD8)+1/(CA10+CA9+CB9+CC9+CD9+CB13+CC13+CD13)+1/(CA15+CA14+CB14+CC14+CD14+CB18+CC18+CD18)+1/(CA20+CA19+CB19+CC19+CD19+CB23+CC23+CD23)+1/(CA25+CA24+CB24+CC24+CD24+CB28+CC28+CD28)</f>
        <v>61832.037922401883</v>
      </c>
      <c r="CI14" s="903">
        <f>1/(CA6+CA4+CB4+CC4+CD4+CB8+CC8+CD8)+1/(CA11+CA9+CB9+CC9+CD9+CB13+CC13+CD13)+1/(CA16+CA14+CB14+CC14+CD14+CB18+CC18+CD18)+1/(CA21+CA19+CB19+CC19+CD19+CB23+CC23+CD23)+1/(CA26+CA24+CB24+CC24+CD24+CB28+CC28+CD28)</f>
        <v>9617.3328865493659</v>
      </c>
      <c r="CJ14" s="879">
        <f>1/(CA7+CA4+CB4+CC4+CD4+CB8+CC8+CD8)+1/(CA12+CA9+CB9+CC9+CD9+CB13+CC13+CD13)+1/(CA17+CA14+CB14+CC14+CD14+CB18+CC18+CD18)+1/(CA22+CA19+CB19+CC19+CD19+CB23+CC23+CD23)+1/(CA27+CA24+CB24+CC24+CD24+CB28+CC28+CD28)</f>
        <v>-12793.269244424928</v>
      </c>
      <c r="CK14" s="12"/>
      <c r="CL14" s="77" t="s">
        <v>181</v>
      </c>
      <c r="CM14" s="484">
        <f>AQ19*COS($N19)+AQ20*COS($N20)+AQ21*COS($N21)+AQ22*COS($N22)+AQ23*COS($N23)</f>
        <v>340.03200000000004</v>
      </c>
      <c r="CN14" s="484">
        <f>AU19*COS($N19)+AU20*COS($N20)+AU21*COS($N21)+AU22*COS($N22)+AU23*COS($N23)</f>
        <v>425.04</v>
      </c>
      <c r="CO14" s="484">
        <f>AZ19*COS($N19)+AZ20*COS($N20)+AZ21*COS($N21)+AZ22*COS($N22)+AZ23*COS($N23)</f>
        <v>42.504000000000005</v>
      </c>
      <c r="CP14" s="651">
        <f>AZ19*COS($N19)+AZ20*COS($N20)+AZ21*COS($N21)+AZ22*COS($N22)+AZ23*COS($N23)</f>
        <v>42.504000000000005</v>
      </c>
      <c r="CQ14" s="652">
        <v>0</v>
      </c>
      <c r="CR14" s="77" t="s">
        <v>225</v>
      </c>
      <c r="CS14" s="484">
        <f>CH19</f>
        <v>63286.325833605413</v>
      </c>
      <c r="CT14" s="484">
        <f>CI19</f>
        <v>9537.1174607322646</v>
      </c>
      <c r="CU14" s="484">
        <f>CJ19</f>
        <v>-12546.282377020401</v>
      </c>
      <c r="CV14" s="484">
        <v>0</v>
      </c>
      <c r="CW14" s="652">
        <f t="shared" si="35"/>
        <v>189858.97750081623</v>
      </c>
      <c r="CX14" s="77" t="s">
        <v>305</v>
      </c>
      <c r="CY14" s="58">
        <f>CM14/(CS14*'Structural Information'!$AC$9)</f>
        <v>1.7909714066512246E-3</v>
      </c>
      <c r="CZ14" s="58">
        <f>CY14+(((1/CT14)*(CN14-CM14))/'Structural Information'!$AC$9)</f>
        <v>4.7620997498502553E-3</v>
      </c>
      <c r="DA14" s="58">
        <f>CZ14+(((1/CU14)*(CO14-CN14))/'Structural Information'!$AC$9)</f>
        <v>1.4925429106564659E-2</v>
      </c>
      <c r="DB14" s="58">
        <f t="shared" ref="DB14:DB16" si="37">0.08</f>
        <v>0.08</v>
      </c>
      <c r="DC14" s="655">
        <v>0</v>
      </c>
      <c r="DD14" s="12"/>
      <c r="DE14" s="12"/>
      <c r="DF14" s="12"/>
      <c r="DG14" s="12"/>
      <c r="DH14" s="12"/>
      <c r="DI14" s="12"/>
      <c r="DK14" s="160"/>
    </row>
    <row r="15" spans="2:115" x14ac:dyDescent="0.25">
      <c r="B15" s="875"/>
      <c r="C15" s="338">
        <v>2</v>
      </c>
      <c r="D15" s="426">
        <v>214</v>
      </c>
      <c r="E15" s="366">
        <f>'Structural Information'!$AC$8</f>
        <v>3</v>
      </c>
      <c r="F15" s="351">
        <f>'Structural Information'!$AM$9</f>
        <v>2</v>
      </c>
      <c r="G15" s="432">
        <f>'Structural Information'!$AB$19/1000</f>
        <v>0.5</v>
      </c>
      <c r="H15" s="432">
        <f>'Structural Information'!$AB$24/1000</f>
        <v>0.25</v>
      </c>
      <c r="I15" s="437">
        <f>'Structural Information'!$AB$25/1000</f>
        <v>0.25</v>
      </c>
      <c r="J15" s="143">
        <f t="shared" si="14"/>
        <v>3.2552083333333332E-4</v>
      </c>
      <c r="K15" s="351">
        <f t="shared" si="28"/>
        <v>1.75</v>
      </c>
      <c r="L15" s="351">
        <f t="shared" si="29"/>
        <v>2.5</v>
      </c>
      <c r="M15" s="351">
        <f t="shared" si="0"/>
        <v>3.0516389039334255</v>
      </c>
      <c r="N15" s="354">
        <f t="shared" si="30"/>
        <v>0.96007036240568799</v>
      </c>
      <c r="T15" s="12"/>
      <c r="U15" s="875"/>
      <c r="V15" s="338">
        <v>2</v>
      </c>
      <c r="W15" s="338">
        <v>214</v>
      </c>
      <c r="X15" s="366">
        <f>1/((((COS(N15))^4)/'Structural Information'!$AR$18)+(((SIN(N15))^4)/'Structural Information'!$AR$19)+(((SIN(N15))^2)*((COS(N15))^2)*((1/'Structural Information'!$AR$20)-(2*'Structural Information'!$AV$20/'Structural Information'!$AR$19))))</f>
        <v>1979.5941814167948</v>
      </c>
      <c r="Y15" s="351">
        <f>((X15*('Structural Information'!$AV$18/1000)*SIN(2*N15))/(4*'Structural Information'!$AR$21*J15*L15))^(1/4)</f>
        <v>1.2174490921283836</v>
      </c>
      <c r="Z15" s="351">
        <f t="shared" si="1"/>
        <v>3.652347276385151</v>
      </c>
      <c r="AA15" s="120">
        <f t="shared" si="18"/>
        <v>0.70699999999999996</v>
      </c>
      <c r="AB15" s="120">
        <f t="shared" si="19"/>
        <v>0.01</v>
      </c>
      <c r="AC15" s="367">
        <f t="shared" si="20"/>
        <v>0.62123477965641971</v>
      </c>
      <c r="AD15" s="366">
        <f>((0.6*'Structural Information'!$AT$18)+(0.3*'Structural Information'!$AV$19))/(AC15/M15)</f>
        <v>1.6210310035361908</v>
      </c>
      <c r="AE15" s="351">
        <f>(((1.2*SIN(N15)+0.45*COS(N15))*'Structural Information'!$AT$19)+(0.3*'Structural Information'!$AV$19))/(AC15/M15)</f>
        <v>2.6825606913406794</v>
      </c>
      <c r="AF15" s="351">
        <f>(1.12*'Structural Information'!$AT$20*COS(N15)*SIN(N15))/((AA15*(Z15^(-0.12)))+(AB15*(Z15^(0.88))))</f>
        <v>1.6699179305072875</v>
      </c>
      <c r="AG15" s="351">
        <f>(1.16*'Structural Information'!$AT$20*TAN(N15))/((AA15)+(AB15*Z15))</f>
        <v>4.5021155270127426</v>
      </c>
      <c r="AH15" s="367">
        <f t="shared" si="21"/>
        <v>1.6210310035361908</v>
      </c>
      <c r="AI15" s="366">
        <f>AH15*AC15*'Structural Information'!$AV$18</f>
        <v>80.563267063842432</v>
      </c>
      <c r="AJ15" s="351">
        <f t="shared" si="2"/>
        <v>64.450613651073951</v>
      </c>
      <c r="AK15" s="367">
        <f t="shared" si="3"/>
        <v>8.0563267063842439</v>
      </c>
      <c r="AL15" s="12"/>
      <c r="AM15" s="875"/>
      <c r="AN15" s="597">
        <v>2</v>
      </c>
      <c r="AO15" s="597">
        <v>204</v>
      </c>
      <c r="AP15" s="618">
        <f>'Structural Information'!$AC$8</f>
        <v>3</v>
      </c>
      <c r="AQ15" s="618">
        <f t="shared" si="4"/>
        <v>64.450613651073951</v>
      </c>
      <c r="AR15" s="58">
        <f t="shared" si="5"/>
        <v>8.0000000000000004E-4</v>
      </c>
      <c r="AS15" s="608">
        <f t="shared" si="6"/>
        <v>22344.230024429471</v>
      </c>
      <c r="AT15" s="138">
        <f t="shared" si="7"/>
        <v>7348.1024912553303</v>
      </c>
      <c r="AU15" s="618">
        <f t="shared" si="8"/>
        <v>80.563267063842432</v>
      </c>
      <c r="AV15" s="58">
        <f t="shared" si="9"/>
        <v>2.2000000000000001E-3</v>
      </c>
      <c r="AW15" s="608">
        <f t="shared" si="10"/>
        <v>10156.468192922484</v>
      </c>
      <c r="AX15" s="99">
        <f t="shared" si="11"/>
        <v>3192.0328606327794</v>
      </c>
      <c r="AY15" s="138">
        <f t="shared" si="22"/>
        <v>1049.7289273221893</v>
      </c>
      <c r="AZ15" s="608">
        <f t="shared" si="12"/>
        <v>8.0563267063842439</v>
      </c>
      <c r="BA15" s="58">
        <f t="shared" si="13"/>
        <v>8.8999999999999999E-3</v>
      </c>
      <c r="BB15" s="608">
        <f t="shared" si="23"/>
        <v>-2068.6567164179105</v>
      </c>
      <c r="BC15" s="612">
        <f t="shared" si="24"/>
        <v>-680.29650405689677</v>
      </c>
      <c r="BD15" s="12"/>
      <c r="BE15" s="895"/>
      <c r="BF15" s="427">
        <v>6</v>
      </c>
      <c r="BG15" s="427">
        <v>7615</v>
      </c>
      <c r="BH15" s="427" t="s">
        <v>23</v>
      </c>
      <c r="BI15" s="433">
        <f>'Structural Information'!$AC$7</f>
        <v>3</v>
      </c>
      <c r="BJ15" s="147">
        <f>('Structural Information'!$AF$25)*(200)/$BI15</f>
        <v>53616.514621265807</v>
      </c>
      <c r="BK15" s="448">
        <f t="shared" si="31"/>
        <v>433495.56258141535</v>
      </c>
      <c r="BL15" s="12"/>
      <c r="BM15" s="91"/>
      <c r="BV15" s="12"/>
      <c r="BW15" s="908"/>
      <c r="BX15" s="324" t="s">
        <v>250</v>
      </c>
      <c r="BY15" s="141">
        <f>1/($AT$6)</f>
        <v>5.5923707762066768E-5</v>
      </c>
      <c r="BZ15" s="141">
        <f>1/($AT$11)</f>
        <v>5.5923707762066768E-5</v>
      </c>
      <c r="CA15" s="141">
        <f>1/($AT$16)</f>
        <v>5.5923707762066768E-5</v>
      </c>
      <c r="CB15" s="141">
        <f>1/($AT$21)</f>
        <v>5.6763413278221742E-5</v>
      </c>
      <c r="CC15" s="141">
        <f>1/($AT$26)</f>
        <v>5.6763413278221742E-5</v>
      </c>
      <c r="CD15" s="142">
        <f>1/($AT$31)</f>
        <v>5.7299530536657806E-5</v>
      </c>
      <c r="CE15" s="12"/>
      <c r="CF15" s="882"/>
      <c r="CG15" s="403">
        <v>2</v>
      </c>
      <c r="CH15" s="904"/>
      <c r="CI15" s="904"/>
      <c r="CJ15" s="880"/>
      <c r="CK15" s="12"/>
      <c r="CL15" s="77" t="s">
        <v>182</v>
      </c>
      <c r="CM15" s="484">
        <f>AQ24*COS($N24)+AQ25*COS($N25)+AQ26*COS($N26)+AQ27*COS($N27)+AQ28*COS($N28)</f>
        <v>340.03200000000004</v>
      </c>
      <c r="CN15" s="484">
        <f>AU24*COS($N24)+AU25*COS($N25)+AU26*COS($N26)+AU27*COS($N27)+AU28*COS($N28)</f>
        <v>425.04</v>
      </c>
      <c r="CO15" s="484">
        <f>AZ24*COS($N24)+AZ25*COS($N25)+AZ26*COS($N26)+AZ27*COS($N27)+AZ28*COS($N28)</f>
        <v>42.504000000000005</v>
      </c>
      <c r="CP15" s="651">
        <f>AZ24*COS($N24)+AZ25*COS($N25)+AZ26*COS($N26)+AZ27*COS($N27)+AZ28*COS($N28)</f>
        <v>42.504000000000005</v>
      </c>
      <c r="CQ15" s="652">
        <v>0</v>
      </c>
      <c r="CR15" s="77" t="s">
        <v>226</v>
      </c>
      <c r="CS15" s="484">
        <f>CH24</f>
        <v>65331.499217061413</v>
      </c>
      <c r="CT15" s="484">
        <f>CI24</f>
        <v>9582.5546556113331</v>
      </c>
      <c r="CU15" s="484">
        <f>CJ24</f>
        <v>-12471.623397044073</v>
      </c>
      <c r="CV15" s="484">
        <v>0</v>
      </c>
      <c r="CW15" s="652">
        <f t="shared" si="35"/>
        <v>195994.49765118424</v>
      </c>
      <c r="CX15" s="77" t="s">
        <v>304</v>
      </c>
      <c r="CY15" s="58">
        <f>CM15/(CS15*'Structural Information'!$AC$10)</f>
        <v>1.7349058472302754E-3</v>
      </c>
      <c r="CZ15" s="58">
        <f>CY15+(((1/CT15)*(CN15-CM15))/'Structural Information'!$AC$10)</f>
        <v>4.6919461165917508E-3</v>
      </c>
      <c r="DA15" s="58">
        <f>CZ15+(((1/CU15)*(CO15-CN15))/'Structural Information'!$AC$10)</f>
        <v>1.4916116294006016E-2</v>
      </c>
      <c r="DB15" s="58">
        <f t="shared" si="37"/>
        <v>0.08</v>
      </c>
      <c r="DC15" s="655">
        <v>0</v>
      </c>
      <c r="DD15" s="12"/>
      <c r="DE15" s="12"/>
      <c r="DF15" s="12"/>
      <c r="DG15" s="12"/>
      <c r="DH15" s="12"/>
      <c r="DI15" s="12"/>
      <c r="DK15" s="160"/>
    </row>
    <row r="16" spans="2:115" ht="15.75" thickBot="1" x14ac:dyDescent="0.3">
      <c r="B16" s="875"/>
      <c r="C16" s="338">
        <v>3</v>
      </c>
      <c r="D16" s="426">
        <v>314</v>
      </c>
      <c r="E16" s="436">
        <f>'Structural Information'!$AC$8</f>
        <v>3</v>
      </c>
      <c r="F16" s="351">
        <f>'Structural Information'!$AM$8</f>
        <v>4.5</v>
      </c>
      <c r="G16" s="432">
        <f>'Structural Information'!$AB$19/1000</f>
        <v>0.5</v>
      </c>
      <c r="H16" s="432">
        <f>'Structural Information'!$AB$24/1000</f>
        <v>0.25</v>
      </c>
      <c r="I16" s="437">
        <f>'Structural Information'!$AB$25/1000</f>
        <v>0.25</v>
      </c>
      <c r="J16" s="143">
        <f t="shared" si="14"/>
        <v>3.2552083333333332E-4</v>
      </c>
      <c r="K16" s="351">
        <f t="shared" si="28"/>
        <v>4.25</v>
      </c>
      <c r="L16" s="351">
        <f t="shared" si="29"/>
        <v>2.5</v>
      </c>
      <c r="M16" s="351">
        <f t="shared" si="0"/>
        <v>4.9307707308290052</v>
      </c>
      <c r="N16" s="354">
        <f t="shared" si="30"/>
        <v>0.53172406725880561</v>
      </c>
      <c r="T16" s="12"/>
      <c r="U16" s="875"/>
      <c r="V16" s="338">
        <v>3</v>
      </c>
      <c r="W16" s="338">
        <v>314</v>
      </c>
      <c r="X16" s="366">
        <f>1/((((COS(N16))^4)/'Structural Information'!$AR$18)+(((SIN(N16))^4)/'Structural Information'!$AR$19)+(((SIN(N16))^2)*((COS(N16))^2)*((1/'Structural Information'!$AR$20)-(2*'Structural Information'!$AV$20/'Structural Information'!$AR$19))))</f>
        <v>1375.8363758228218</v>
      </c>
      <c r="Y16" s="351">
        <f>((X16*('Structural Information'!$AV$18/1000)*SIN(2*N16))/(4*'Structural Information'!$AR$21*J16*L16))^(1/4)</f>
        <v>1.0916799951703688</v>
      </c>
      <c r="Z16" s="351">
        <f t="shared" si="1"/>
        <v>3.2750399855111065</v>
      </c>
      <c r="AA16" s="120">
        <f t="shared" si="18"/>
        <v>0.70699999999999996</v>
      </c>
      <c r="AB16" s="120">
        <f t="shared" si="19"/>
        <v>0.01</v>
      </c>
      <c r="AC16" s="367">
        <f t="shared" si="20"/>
        <v>1.113738957649824</v>
      </c>
      <c r="AD16" s="366">
        <f>((0.6*'Structural Information'!$AT$18)+(0.3*'Structural Information'!$AV$19))/(AC16/M16)</f>
        <v>1.4609835904520574</v>
      </c>
      <c r="AE16" s="351">
        <f>(((1.2*SIN(N16)+0.45*COS(N16))*'Structural Information'!$AT$19)+(0.3*'Structural Information'!$AV$19))/(AC16/M16)</f>
        <v>1.9407599825376745</v>
      </c>
      <c r="AF16" s="351">
        <f>(1.12*'Structural Information'!$AT$20*COS(N16)*SIN(N16))/((AA16*(Z16^(-0.12)))+(AB16*(Z16^(0.88))))</f>
        <v>1.5410243331800975</v>
      </c>
      <c r="AG16" s="351">
        <f>(1.16*'Structural Information'!$AT$20*TAN(N16))/((AA16)+(AB16*Z16))</f>
        <v>1.8632675851833773</v>
      </c>
      <c r="AH16" s="367">
        <f t="shared" si="21"/>
        <v>1.4609835904520574</v>
      </c>
      <c r="AI16" s="366">
        <f>AH16*AC16*'Structural Information'!$AV$18</f>
        <v>130.17234729388574</v>
      </c>
      <c r="AJ16" s="351">
        <f t="shared" si="2"/>
        <v>104.1378778351086</v>
      </c>
      <c r="AK16" s="367">
        <f t="shared" si="3"/>
        <v>13.017234729388575</v>
      </c>
      <c r="AL16" s="12"/>
      <c r="AM16" s="875"/>
      <c r="AN16" s="597">
        <v>3</v>
      </c>
      <c r="AO16" s="597">
        <v>304</v>
      </c>
      <c r="AP16" s="618">
        <f>'Structural Information'!$AC$8</f>
        <v>3</v>
      </c>
      <c r="AQ16" s="618">
        <f t="shared" si="4"/>
        <v>104.1378778351086</v>
      </c>
      <c r="AR16" s="58">
        <f t="shared" si="5"/>
        <v>8.0000000000000004E-4</v>
      </c>
      <c r="AS16" s="608">
        <f t="shared" si="6"/>
        <v>24068.875529005698</v>
      </c>
      <c r="AT16" s="138">
        <f t="shared" si="7"/>
        <v>17881.503927718884</v>
      </c>
      <c r="AU16" s="618">
        <f t="shared" si="8"/>
        <v>130.17234729388574</v>
      </c>
      <c r="AV16" s="58">
        <f t="shared" si="9"/>
        <v>2.2000000000000001E-3</v>
      </c>
      <c r="AW16" s="608">
        <f t="shared" si="10"/>
        <v>10940.397967729861</v>
      </c>
      <c r="AX16" s="99">
        <f t="shared" si="11"/>
        <v>3438.410789857955</v>
      </c>
      <c r="AY16" s="138">
        <f t="shared" si="22"/>
        <v>2554.5005611026963</v>
      </c>
      <c r="AZ16" s="608">
        <f t="shared" si="12"/>
        <v>13.017234729388575</v>
      </c>
      <c r="BA16" s="58">
        <f t="shared" si="13"/>
        <v>8.8999999999999999E-3</v>
      </c>
      <c r="BB16" s="608">
        <f t="shared" si="23"/>
        <v>-5023.880597014926</v>
      </c>
      <c r="BC16" s="612">
        <f t="shared" si="24"/>
        <v>-3732.3945823581321</v>
      </c>
      <c r="BD16" s="12"/>
      <c r="BE16" s="874">
        <v>4</v>
      </c>
      <c r="BF16" s="425">
        <v>1</v>
      </c>
      <c r="BG16" s="425">
        <v>7114</v>
      </c>
      <c r="BH16" s="425" t="s">
        <v>23</v>
      </c>
      <c r="BI16" s="431">
        <f>'Structural Information'!$AC$8</f>
        <v>3</v>
      </c>
      <c r="BJ16" s="133">
        <f>('Structural Information'!$AF$25)*(200)/$BI16</f>
        <v>53616.514621265807</v>
      </c>
      <c r="BK16" s="449">
        <f t="shared" ref="BK16:BK21" si="38">Hcol1*Wcol1*(4700*SQRT(Fck))/(hstr4*1000)</f>
        <v>433495.56258141535</v>
      </c>
      <c r="BL16" s="12"/>
      <c r="BM16" s="91"/>
      <c r="BN16" s="317"/>
      <c r="BO16" s="318"/>
      <c r="BP16" s="151"/>
      <c r="BQ16" s="151"/>
      <c r="BR16" s="151"/>
      <c r="BS16" s="151"/>
      <c r="BT16" s="151"/>
      <c r="BU16" s="151"/>
      <c r="BV16" s="12"/>
      <c r="BW16" s="908"/>
      <c r="BX16" s="325" t="s">
        <v>250</v>
      </c>
      <c r="BY16" s="141">
        <f>1/($AY$6)</f>
        <v>3.9146595433446759E-4</v>
      </c>
      <c r="BZ16" s="141">
        <f>1/($AY$11)</f>
        <v>3.9146595433446759E-4</v>
      </c>
      <c r="CA16" s="141">
        <f>1/($AY$16)</f>
        <v>3.9146595433446759E-4</v>
      </c>
      <c r="CB16" s="141">
        <f>1/($AY$21)</f>
        <v>3.9734389294755231E-4</v>
      </c>
      <c r="CC16" s="141">
        <f>1/($AY$26)</f>
        <v>3.9734389294755231E-4</v>
      </c>
      <c r="CD16" s="142">
        <f>1/($AY$31)</f>
        <v>4.0109671375660464E-4</v>
      </c>
      <c r="CE16" s="12"/>
      <c r="CF16" s="882"/>
      <c r="CG16" s="403">
        <v>3</v>
      </c>
      <c r="CH16" s="904"/>
      <c r="CI16" s="904"/>
      <c r="CJ16" s="880"/>
      <c r="CK16" s="12"/>
      <c r="CL16" s="88" t="s">
        <v>183</v>
      </c>
      <c r="CM16" s="485">
        <f>AQ29*COS($N29)+AQ30*COS($N30)+AQ31*COS($N31)+AQ32*COS($N32)+AQ33*COS($N33)</f>
        <v>325.24800000000005</v>
      </c>
      <c r="CN16" s="485">
        <f>AU29*COS($N29)+AU30*COS($N30)+AU31*COS($N31)+AU32*COS($N32)+AU33*COS($N33)</f>
        <v>406.56000000000012</v>
      </c>
      <c r="CO16" s="485">
        <f>AZ29*COS($N29)+AZ30*COS($N30)+AZ31*COS($N31)+AZ32*COS($N32)+AZ33*COS($N33)</f>
        <v>40.656000000000006</v>
      </c>
      <c r="CP16" s="654">
        <f>AZ29*COS($N29)+AZ30*COS($N30)+AZ31*COS($N31)+AZ32*COS($N32)+AZ33*COS($N33)</f>
        <v>40.656000000000006</v>
      </c>
      <c r="CQ16" s="653">
        <v>0</v>
      </c>
      <c r="CR16" s="88" t="s">
        <v>227</v>
      </c>
      <c r="CS16" s="485">
        <f>CH29</f>
        <v>66951.600771768368</v>
      </c>
      <c r="CT16" s="485">
        <f>CI29</f>
        <v>9624.0049838874547</v>
      </c>
      <c r="CU16" s="485">
        <f>CJ29</f>
        <v>-13545.566184733661</v>
      </c>
      <c r="CV16" s="485">
        <v>0</v>
      </c>
      <c r="CW16" s="653">
        <f t="shared" si="35"/>
        <v>200854.8023153051</v>
      </c>
      <c r="CX16" s="88" t="s">
        <v>303</v>
      </c>
      <c r="CY16" s="89">
        <f>CM16/(CS16*'Structural Information'!$AC$11)</f>
        <v>1.7665298310518072E-3</v>
      </c>
      <c r="CZ16" s="89">
        <f>CY16+(((1/CT16)*(CN16-CM16))/'Structural Information'!$AC$11)</f>
        <v>4.838847442015526E-3</v>
      </c>
      <c r="DA16" s="89">
        <f>CZ16+(((1/CU16)*(CO16-CN16))/'Structural Information'!$AC$11)</f>
        <v>1.466169265833132E-2</v>
      </c>
      <c r="DB16" s="89">
        <f t="shared" si="37"/>
        <v>0.08</v>
      </c>
      <c r="DC16" s="656">
        <v>0</v>
      </c>
      <c r="DD16" s="12"/>
      <c r="DE16" s="12"/>
      <c r="DF16" s="12"/>
      <c r="DG16" s="12"/>
      <c r="DH16" s="12"/>
      <c r="DI16" s="12"/>
      <c r="DK16" s="160"/>
    </row>
    <row r="17" spans="1:115" ht="15.75" thickBot="1" x14ac:dyDescent="0.3">
      <c r="B17" s="875"/>
      <c r="C17" s="338">
        <v>4</v>
      </c>
      <c r="D17" s="426">
        <v>414</v>
      </c>
      <c r="E17" s="436">
        <f>'Structural Information'!$AC$8</f>
        <v>3</v>
      </c>
      <c r="F17" s="351">
        <f>'Structural Information'!$AM$7</f>
        <v>2</v>
      </c>
      <c r="G17" s="432">
        <f>'Structural Information'!$AB$19/1000</f>
        <v>0.5</v>
      </c>
      <c r="H17" s="432">
        <f>'Structural Information'!$AB$24/1000</f>
        <v>0.25</v>
      </c>
      <c r="I17" s="437">
        <f>'Structural Information'!$AB$25/1000</f>
        <v>0.25</v>
      </c>
      <c r="J17" s="143">
        <f t="shared" si="14"/>
        <v>3.2552083333333332E-4</v>
      </c>
      <c r="K17" s="351">
        <f t="shared" si="28"/>
        <v>1.75</v>
      </c>
      <c r="L17" s="351">
        <f t="shared" si="29"/>
        <v>2.5</v>
      </c>
      <c r="M17" s="351">
        <f t="shared" si="0"/>
        <v>3.0516389039334255</v>
      </c>
      <c r="N17" s="354">
        <f t="shared" si="30"/>
        <v>0.96007036240568799</v>
      </c>
      <c r="T17" s="12"/>
      <c r="U17" s="875"/>
      <c r="V17" s="338">
        <v>4</v>
      </c>
      <c r="W17" s="338">
        <v>414</v>
      </c>
      <c r="X17" s="366">
        <f>1/((((COS(N17))^4)/'Structural Information'!$AR$18)+(((SIN(N17))^4)/'Structural Information'!$AR$19)+(((SIN(N17))^2)*((COS(N17))^2)*((1/'Structural Information'!$AR$20)-(2*'Structural Information'!$AV$20/'Structural Information'!$AR$19))))</f>
        <v>1979.5941814167948</v>
      </c>
      <c r="Y17" s="351">
        <f>((X17*('Structural Information'!$AV$18/1000)*SIN(2*N17))/(4*'Structural Information'!$AR$21*J17*L17))^(1/4)</f>
        <v>1.2174490921283836</v>
      </c>
      <c r="Z17" s="351">
        <f t="shared" si="1"/>
        <v>3.652347276385151</v>
      </c>
      <c r="AA17" s="120">
        <f t="shared" si="18"/>
        <v>0.70699999999999996</v>
      </c>
      <c r="AB17" s="120">
        <f t="shared" si="19"/>
        <v>0.01</v>
      </c>
      <c r="AC17" s="367">
        <f t="shared" si="20"/>
        <v>0.62123477965641971</v>
      </c>
      <c r="AD17" s="366">
        <f>((0.6*'Structural Information'!$AT$18)+(0.3*'Structural Information'!$AV$19))/(AC17/M17)</f>
        <v>1.6210310035361908</v>
      </c>
      <c r="AE17" s="351">
        <f>(((1.2*SIN(N17)+0.45*COS(N17))*'Structural Information'!$AT$19)+(0.3*'Structural Information'!$AV$19))/(AC17/M17)</f>
        <v>2.6825606913406794</v>
      </c>
      <c r="AF17" s="351">
        <f>(1.12*'Structural Information'!$AT$20*COS(N17)*SIN(N17))/((AA17*(Z17^(-0.12)))+(AB17*(Z17^(0.88))))</f>
        <v>1.6699179305072875</v>
      </c>
      <c r="AG17" s="351">
        <f>(1.16*'Structural Information'!$AT$20*TAN(N17))/((AA17)+(AB17*Z17))</f>
        <v>4.5021155270127426</v>
      </c>
      <c r="AH17" s="367">
        <f t="shared" si="21"/>
        <v>1.6210310035361908</v>
      </c>
      <c r="AI17" s="366">
        <f>AH17*AC17*'Structural Information'!$AV$18</f>
        <v>80.563267063842432</v>
      </c>
      <c r="AJ17" s="351">
        <f t="shared" si="2"/>
        <v>64.450613651073951</v>
      </c>
      <c r="AK17" s="367">
        <f t="shared" si="3"/>
        <v>8.0563267063842439</v>
      </c>
      <c r="AL17" s="12"/>
      <c r="AM17" s="875"/>
      <c r="AN17" s="597">
        <v>4</v>
      </c>
      <c r="AO17" s="597">
        <v>404</v>
      </c>
      <c r="AP17" s="618">
        <f>'Structural Information'!$AC$8</f>
        <v>3</v>
      </c>
      <c r="AQ17" s="618">
        <f t="shared" si="4"/>
        <v>64.450613651073951</v>
      </c>
      <c r="AR17" s="58">
        <f t="shared" si="5"/>
        <v>8.0000000000000004E-4</v>
      </c>
      <c r="AS17" s="608">
        <f t="shared" si="6"/>
        <v>22344.230024429471</v>
      </c>
      <c r="AT17" s="138">
        <f t="shared" si="7"/>
        <v>7348.1024912553303</v>
      </c>
      <c r="AU17" s="618">
        <f t="shared" si="8"/>
        <v>80.563267063842432</v>
      </c>
      <c r="AV17" s="58">
        <f t="shared" si="9"/>
        <v>2.2000000000000001E-3</v>
      </c>
      <c r="AW17" s="608">
        <f t="shared" si="10"/>
        <v>10156.468192922484</v>
      </c>
      <c r="AX17" s="99">
        <f t="shared" si="11"/>
        <v>3192.0328606327794</v>
      </c>
      <c r="AY17" s="138">
        <f t="shared" si="22"/>
        <v>1049.7289273221893</v>
      </c>
      <c r="AZ17" s="608">
        <f t="shared" si="12"/>
        <v>8.0563267063842439</v>
      </c>
      <c r="BA17" s="58">
        <f t="shared" si="13"/>
        <v>8.8999999999999999E-3</v>
      </c>
      <c r="BB17" s="608">
        <f t="shared" si="23"/>
        <v>-2068.6567164179105</v>
      </c>
      <c r="BC17" s="612">
        <f t="shared" si="24"/>
        <v>-680.29650405689677</v>
      </c>
      <c r="BD17" s="12"/>
      <c r="BE17" s="875"/>
      <c r="BF17" s="426">
        <v>2</v>
      </c>
      <c r="BG17" s="426">
        <v>7214</v>
      </c>
      <c r="BH17" s="426" t="s">
        <v>23</v>
      </c>
      <c r="BI17" s="432">
        <f>'Structural Information'!$AC$8</f>
        <v>3</v>
      </c>
      <c r="BJ17" s="436">
        <f>('Structural Information'!$AF$25)*(200)/$BI17</f>
        <v>53616.514621265807</v>
      </c>
      <c r="BK17" s="447">
        <f t="shared" si="38"/>
        <v>433495.56258141535</v>
      </c>
      <c r="BL17" s="12"/>
      <c r="BM17" s="91"/>
      <c r="BN17" s="12"/>
      <c r="BO17" s="12"/>
      <c r="BP17" s="12"/>
      <c r="BQ17" s="12"/>
      <c r="BR17" s="12"/>
      <c r="BS17" s="12"/>
      <c r="BT17" s="12"/>
      <c r="BU17" s="12"/>
      <c r="BV17" s="12"/>
      <c r="BW17" s="908"/>
      <c r="BX17" s="326" t="s">
        <v>250</v>
      </c>
      <c r="BY17" s="141">
        <f>1/($BC$6)</f>
        <v>-2.679245127850868E-4</v>
      </c>
      <c r="BZ17" s="141">
        <f>1/($BC$11)</f>
        <v>-2.679245127850868E-4</v>
      </c>
      <c r="CA17" s="141">
        <f>1/($BC$16)</f>
        <v>-2.679245127850868E-4</v>
      </c>
      <c r="CB17" s="141">
        <f>1/($BC$21)</f>
        <v>-2.7278337581625563E-4</v>
      </c>
      <c r="CC17" s="141">
        <f>1/($BC$26)</f>
        <v>-2.7278337581625563E-4</v>
      </c>
      <c r="CD17" s="142">
        <f>1/($BC$31)</f>
        <v>-2.552060727719907E-4</v>
      </c>
      <c r="CE17" s="12"/>
      <c r="CF17" s="882"/>
      <c r="CG17" s="403">
        <v>4</v>
      </c>
      <c r="CH17" s="904"/>
      <c r="CI17" s="904"/>
      <c r="CJ17" s="880"/>
      <c r="CK17" s="12"/>
      <c r="CL17" s="12"/>
      <c r="CM17" s="12"/>
      <c r="CN17" s="12"/>
      <c r="CO17" s="12"/>
      <c r="CP17" s="12"/>
      <c r="CQ17" s="12"/>
      <c r="CR17" s="12"/>
      <c r="CS17" s="12"/>
      <c r="CT17" s="12"/>
      <c r="CU17" s="12"/>
      <c r="CV17" s="12"/>
      <c r="CW17" s="12"/>
      <c r="CX17" s="12"/>
      <c r="CY17" s="12"/>
      <c r="CZ17" s="12"/>
      <c r="DA17" s="12"/>
      <c r="DB17" s="12"/>
      <c r="DC17" s="12"/>
      <c r="DD17" s="12"/>
      <c r="DE17" s="12"/>
      <c r="DF17" s="12"/>
      <c r="DG17" s="12"/>
      <c r="DH17" s="12"/>
      <c r="DI17" s="12"/>
      <c r="DK17" s="160"/>
    </row>
    <row r="18" spans="1:115" ht="15.75" customHeight="1" x14ac:dyDescent="0.25">
      <c r="B18" s="895"/>
      <c r="C18" s="342">
        <v>5</v>
      </c>
      <c r="D18" s="427">
        <v>514</v>
      </c>
      <c r="E18" s="147">
        <f>'Structural Information'!$AC$8</f>
        <v>3</v>
      </c>
      <c r="F18" s="362">
        <f>'Structural Information'!$AM$6</f>
        <v>4.5</v>
      </c>
      <c r="G18" s="433">
        <f>'Structural Information'!$AB$19/1000</f>
        <v>0.5</v>
      </c>
      <c r="H18" s="433">
        <f>'Structural Information'!$AB$24/1000</f>
        <v>0.25</v>
      </c>
      <c r="I18" s="148">
        <f>'Structural Information'!$AB$25/1000</f>
        <v>0.25</v>
      </c>
      <c r="J18" s="149">
        <f t="shared" si="14"/>
        <v>3.2552083333333332E-4</v>
      </c>
      <c r="K18" s="362">
        <f t="shared" si="28"/>
        <v>4.25</v>
      </c>
      <c r="L18" s="362">
        <f t="shared" si="29"/>
        <v>2.5</v>
      </c>
      <c r="M18" s="362">
        <f t="shared" si="0"/>
        <v>4.9307707308290052</v>
      </c>
      <c r="N18" s="363">
        <f t="shared" si="30"/>
        <v>0.53172406725880561</v>
      </c>
      <c r="T18" s="12"/>
      <c r="U18" s="895"/>
      <c r="V18" s="342">
        <v>5</v>
      </c>
      <c r="W18" s="342">
        <v>514</v>
      </c>
      <c r="X18" s="147">
        <f>1/((((COS(N18))^4)/'Structural Information'!$AR$18)+(((SIN(N18))^4)/'Structural Information'!$AR$19)+(((SIN(N18))^2)*((COS(N18))^2)*((1/'Structural Information'!$AR$20)-(2*'Structural Information'!$AV$20/'Structural Information'!$AR$19))))</f>
        <v>1375.8363758228218</v>
      </c>
      <c r="Y18" s="362">
        <f>((X18*('Structural Information'!$AV$18/1000)*SIN(2*N18))/(4*'Structural Information'!$AR$21*J18*L18))^(1/4)</f>
        <v>1.0916799951703688</v>
      </c>
      <c r="Z18" s="362">
        <f t="shared" si="1"/>
        <v>3.2750399855111065</v>
      </c>
      <c r="AA18" s="150">
        <f t="shared" si="18"/>
        <v>0.70699999999999996</v>
      </c>
      <c r="AB18" s="150">
        <f t="shared" si="19"/>
        <v>0.01</v>
      </c>
      <c r="AC18" s="148">
        <f t="shared" si="20"/>
        <v>1.113738957649824</v>
      </c>
      <c r="AD18" s="147">
        <f>((0.6*'Structural Information'!$AT$18)+(0.3*'Structural Information'!$AV$19))/(AC18/M18)</f>
        <v>1.4609835904520574</v>
      </c>
      <c r="AE18" s="362">
        <f>(((1.2*SIN(N18)+0.45*COS(N18))*'Structural Information'!$AT$19)+(0.3*'Structural Information'!$AV$19))/(AC18/M18)</f>
        <v>1.9407599825376745</v>
      </c>
      <c r="AF18" s="362">
        <f>(1.12*'Structural Information'!$AT$20*COS(N18)*SIN(N18))/((AA18*(Z18^(-0.12)))+(AB18*(Z18^(0.88))))</f>
        <v>1.5410243331800975</v>
      </c>
      <c r="AG18" s="362">
        <f>(1.16*'Structural Information'!$AT$20*TAN(N18))/((AA18)+(AB18*Z18))</f>
        <v>1.8632675851833773</v>
      </c>
      <c r="AH18" s="148">
        <f t="shared" si="21"/>
        <v>1.4609835904520574</v>
      </c>
      <c r="AI18" s="147">
        <f>AH18*AC18*'Structural Information'!$AV$18</f>
        <v>130.17234729388574</v>
      </c>
      <c r="AJ18" s="362">
        <f t="shared" si="2"/>
        <v>104.1378778351086</v>
      </c>
      <c r="AK18" s="148">
        <f t="shared" si="3"/>
        <v>13.017234729388575</v>
      </c>
      <c r="AL18" s="12"/>
      <c r="AM18" s="895"/>
      <c r="AN18" s="600">
        <v>5</v>
      </c>
      <c r="AO18" s="600">
        <v>504</v>
      </c>
      <c r="AP18" s="147">
        <f>'Structural Information'!$AC$8</f>
        <v>3</v>
      </c>
      <c r="AQ18" s="147">
        <f t="shared" si="4"/>
        <v>104.1378778351086</v>
      </c>
      <c r="AR18" s="75">
        <f t="shared" si="5"/>
        <v>8.0000000000000004E-4</v>
      </c>
      <c r="AS18" s="609">
        <f t="shared" si="6"/>
        <v>24068.875529005698</v>
      </c>
      <c r="AT18" s="156">
        <f t="shared" si="7"/>
        <v>17881.503927718884</v>
      </c>
      <c r="AU18" s="147">
        <f t="shared" si="8"/>
        <v>130.17234729388574</v>
      </c>
      <c r="AV18" s="75">
        <f t="shared" si="9"/>
        <v>2.2000000000000001E-3</v>
      </c>
      <c r="AW18" s="609">
        <f t="shared" si="10"/>
        <v>10940.397967729861</v>
      </c>
      <c r="AX18" s="157">
        <f t="shared" si="11"/>
        <v>3438.410789857955</v>
      </c>
      <c r="AY18" s="156">
        <f t="shared" si="22"/>
        <v>2554.5005611026963</v>
      </c>
      <c r="AZ18" s="609">
        <f t="shared" si="12"/>
        <v>13.017234729388575</v>
      </c>
      <c r="BA18" s="75">
        <f t="shared" si="13"/>
        <v>8.8999999999999999E-3</v>
      </c>
      <c r="BB18" s="609">
        <f t="shared" si="23"/>
        <v>-5023.880597014926</v>
      </c>
      <c r="BC18" s="614">
        <f t="shared" si="24"/>
        <v>-3732.3945823581321</v>
      </c>
      <c r="BD18" s="12"/>
      <c r="BE18" s="875"/>
      <c r="BF18" s="426">
        <v>3</v>
      </c>
      <c r="BG18" s="426">
        <v>7314</v>
      </c>
      <c r="BH18" s="426" t="s">
        <v>23</v>
      </c>
      <c r="BI18" s="432">
        <f>'Structural Information'!$AC$8</f>
        <v>3</v>
      </c>
      <c r="BJ18" s="436">
        <f>('Structural Information'!$AF$25)*(200)/$BI18</f>
        <v>53616.514621265807</v>
      </c>
      <c r="BK18" s="447">
        <f t="shared" si="38"/>
        <v>433495.56258141535</v>
      </c>
      <c r="BL18" s="12"/>
      <c r="BM18" s="91"/>
      <c r="BN18" s="12"/>
      <c r="BO18" s="12"/>
      <c r="BP18" s="12"/>
      <c r="BQ18" s="12"/>
      <c r="BR18" s="12"/>
      <c r="BS18" s="12"/>
      <c r="BT18" s="12"/>
      <c r="BU18" s="12"/>
      <c r="BV18" s="12"/>
      <c r="BW18" s="912"/>
      <c r="BX18" s="329" t="s">
        <v>413</v>
      </c>
      <c r="BY18" s="153">
        <f>(BP10*BP10)/$BK$7</f>
        <v>1.0252571947861007E-6</v>
      </c>
      <c r="BZ18" s="153">
        <f>(BQ10*BQ10)/$BK$13</f>
        <v>1.0252571947861007E-6</v>
      </c>
      <c r="CA18" s="153">
        <f>(BR10*BR10)/$BK$19</f>
        <v>1.0252571947861007E-6</v>
      </c>
      <c r="CB18" s="153">
        <f>(BS10*BS10)/$BK$25</f>
        <v>7.1198416304590332E-7</v>
      </c>
      <c r="CC18" s="153">
        <f>(BT10*BT10)/$BK$31</f>
        <v>7.1198416304590332E-7</v>
      </c>
      <c r="CD18" s="154">
        <f>(BU10*BU10)/$BK$37</f>
        <v>2.82038964587529E-7</v>
      </c>
      <c r="CE18" s="12"/>
      <c r="CF18" s="761"/>
      <c r="CG18" s="404">
        <v>5</v>
      </c>
      <c r="CH18" s="905"/>
      <c r="CI18" s="905"/>
      <c r="CJ18" s="881"/>
      <c r="CK18" s="12"/>
      <c r="CL18" s="12"/>
      <c r="CM18" s="12"/>
      <c r="CN18" s="12"/>
      <c r="CO18" s="12"/>
      <c r="CP18" s="12"/>
      <c r="CQ18" s="12"/>
      <c r="CR18" s="12"/>
      <c r="CS18" s="12"/>
      <c r="CT18" s="12"/>
      <c r="CU18" s="12"/>
      <c r="CV18" s="12"/>
      <c r="CW18" s="12"/>
      <c r="CX18" s="871" t="s">
        <v>302</v>
      </c>
      <c r="CY18" s="872"/>
      <c r="CZ18" s="872"/>
      <c r="DA18" s="872"/>
      <c r="DB18" s="873"/>
      <c r="DC18" s="644"/>
      <c r="DD18" s="12"/>
      <c r="DE18" s="12"/>
      <c r="DF18" s="12"/>
      <c r="DG18" s="12"/>
      <c r="DH18" s="12"/>
      <c r="DI18" s="12"/>
      <c r="DK18" s="160"/>
    </row>
    <row r="19" spans="1:115" x14ac:dyDescent="0.25">
      <c r="B19" s="875">
        <v>3</v>
      </c>
      <c r="C19" s="338">
        <v>1</v>
      </c>
      <c r="D19" s="338">
        <v>113</v>
      </c>
      <c r="E19" s="366">
        <f>'Structural Information'!$AC$9</f>
        <v>3</v>
      </c>
      <c r="F19" s="351">
        <f>'Structural Information'!$AM$10</f>
        <v>4.5</v>
      </c>
      <c r="G19" s="431">
        <f>'Structural Information'!$AB$19/1000</f>
        <v>0.5</v>
      </c>
      <c r="H19" s="432">
        <f>'Structural Information'!$AB$24/1000</f>
        <v>0.25</v>
      </c>
      <c r="I19" s="437">
        <f>'Structural Information'!$AB$25/1000</f>
        <v>0.25</v>
      </c>
      <c r="J19" s="143">
        <f t="shared" ref="J19:J21" si="39">I19*(H19^3)/12</f>
        <v>3.2552083333333332E-4</v>
      </c>
      <c r="K19" s="351">
        <f>F19-H19</f>
        <v>4.25</v>
      </c>
      <c r="L19" s="351">
        <f>E19-G19</f>
        <v>2.5</v>
      </c>
      <c r="M19" s="351">
        <f t="shared" ref="M19:M21" si="40">SQRT(K19^2+L19^2)</f>
        <v>4.9307707308290052</v>
      </c>
      <c r="N19" s="354">
        <f>ATAN(L19/K19)</f>
        <v>0.53172406725880561</v>
      </c>
      <c r="T19" s="12"/>
      <c r="U19" s="875">
        <v>3</v>
      </c>
      <c r="V19" s="338">
        <v>1</v>
      </c>
      <c r="W19" s="338">
        <v>113</v>
      </c>
      <c r="X19" s="366">
        <f>1/((((COS(N19))^4)/'Structural Information'!$AR$18)+(((SIN(N19))^4)/'Structural Information'!$AR$19)+(((SIN(N19))^2)*((COS(N19))^2)*((1/'Structural Information'!$AR$20)-(2*'Structural Information'!$AV$20/'Structural Information'!$AR$19))))</f>
        <v>1375.8363758228218</v>
      </c>
      <c r="Y19" s="351">
        <f>((X19*('Structural Information'!$AV$18/1000)*SIN(2*N19))/(4*'Structural Information'!$AR$21*J19*L19))^(1/4)</f>
        <v>1.0916799951703688</v>
      </c>
      <c r="Z19" s="351">
        <f t="shared" si="1"/>
        <v>3.2750399855111065</v>
      </c>
      <c r="AA19" s="120">
        <f>IF(Z19&lt;3.14,$Q$4,0)+IF(Z19&gt;3.14,1,0)*IF(Z19&lt;7.85,$R$4,0)+IF(Z19&gt;7.85,$S$4,0)</f>
        <v>0.70699999999999996</v>
      </c>
      <c r="AB19" s="120">
        <f t="shared" ref="AB19:AB33" si="41">IF(Z19&lt;3.14,$Q$5,0)+IF(Z19&gt;3.14,1,0)*IF(Z19&lt;7.85,$R$5,0)+IF(Z19&gt;7.85,$S$5,0)</f>
        <v>0.01</v>
      </c>
      <c r="AC19" s="367">
        <f t="shared" si="20"/>
        <v>1.113738957649824</v>
      </c>
      <c r="AD19" s="366">
        <f>((0.6*'Structural Information'!$AT$18)+(0.3*'Structural Information'!$AV$19))/(AC19/M19)</f>
        <v>1.4609835904520574</v>
      </c>
      <c r="AE19" s="351">
        <f>(((1.2*SIN(N19)+0.45*COS(N19))*'Structural Information'!$AT$19)+(0.3*'Structural Information'!$AV$19))/(AC19/M19)</f>
        <v>1.9407599825376745</v>
      </c>
      <c r="AF19" s="351">
        <f>(1.12*'Structural Information'!$AT$20*COS(N19)*SIN(N19))/((AA19*(Z19^(-0.12)))+(AB19*(Z19^(0.88))))</f>
        <v>1.5410243331800975</v>
      </c>
      <c r="AG19" s="351">
        <f>(1.16*'Structural Information'!$AT$20*TAN(N19))/((AA19)+(AB19*Z19))</f>
        <v>1.8632675851833773</v>
      </c>
      <c r="AH19" s="367">
        <f t="shared" ref="AH19" si="42">MIN(AD19:AG19)</f>
        <v>1.4609835904520574</v>
      </c>
      <c r="AI19" s="366">
        <f>AH19*AC19*'Structural Information'!$AV$18</f>
        <v>130.17234729388574</v>
      </c>
      <c r="AJ19" s="351">
        <f t="shared" ref="AJ19" si="43">0.8*AI19</f>
        <v>104.1378778351086</v>
      </c>
      <c r="AK19" s="367">
        <f t="shared" ref="AK19" si="44">0.1*AI19</f>
        <v>13.017234729388575</v>
      </c>
      <c r="AL19" s="319"/>
      <c r="AM19" s="875">
        <v>3</v>
      </c>
      <c r="AN19" s="597">
        <v>1</v>
      </c>
      <c r="AO19" s="597">
        <v>103</v>
      </c>
      <c r="AP19" s="618">
        <f>'Structural Information'!$AC$9</f>
        <v>3</v>
      </c>
      <c r="AQ19" s="618">
        <f t="shared" si="4"/>
        <v>104.1378778351086</v>
      </c>
      <c r="AR19" s="58">
        <f t="shared" ref="AR19:AR33" si="45">0.08/100</f>
        <v>8.0000000000000004E-4</v>
      </c>
      <c r="AS19" s="608">
        <f t="shared" si="6"/>
        <v>24068.875529005698</v>
      </c>
      <c r="AT19" s="138">
        <f t="shared" si="7"/>
        <v>17881.503927718884</v>
      </c>
      <c r="AU19" s="133">
        <f t="shared" si="8"/>
        <v>130.17234729388574</v>
      </c>
      <c r="AV19" s="50">
        <f t="shared" ref="AV19:AV33" si="46">0.22/100</f>
        <v>2.2000000000000001E-3</v>
      </c>
      <c r="AW19" s="607">
        <f t="shared" si="10"/>
        <v>10940.397967729861</v>
      </c>
      <c r="AX19" s="94">
        <f t="shared" si="11"/>
        <v>3438.410789857955</v>
      </c>
      <c r="AY19" s="152">
        <f t="shared" si="22"/>
        <v>2554.5005611026963</v>
      </c>
      <c r="AZ19" s="607">
        <f t="shared" si="12"/>
        <v>13.017234729388575</v>
      </c>
      <c r="BA19" s="50">
        <f t="shared" ref="BA19:BA33" si="47">0.89/100</f>
        <v>8.8999999999999999E-3</v>
      </c>
      <c r="BB19" s="607">
        <f t="shared" si="23"/>
        <v>-5023.880597014926</v>
      </c>
      <c r="BC19" s="611">
        <f t="shared" si="24"/>
        <v>-3732.3945823581321</v>
      </c>
      <c r="BD19" s="12"/>
      <c r="BE19" s="875"/>
      <c r="BF19" s="426">
        <v>4</v>
      </c>
      <c r="BG19" s="426">
        <v>7414</v>
      </c>
      <c r="BH19" s="426" t="s">
        <v>23</v>
      </c>
      <c r="BI19" s="432">
        <f>'Structural Information'!$AC$8</f>
        <v>3</v>
      </c>
      <c r="BJ19" s="436">
        <f>('Structural Information'!$AF$25)*(200)/$BI19</f>
        <v>53616.514621265807</v>
      </c>
      <c r="BK19" s="447">
        <f t="shared" si="38"/>
        <v>433495.56258141535</v>
      </c>
      <c r="BL19" s="12"/>
      <c r="BM19" s="91"/>
      <c r="BN19" s="12"/>
      <c r="BO19" s="12"/>
      <c r="BP19" s="12"/>
      <c r="BQ19" s="12"/>
      <c r="BR19" s="12"/>
      <c r="BS19" s="12"/>
      <c r="BT19" s="12"/>
      <c r="BU19" s="12"/>
      <c r="BV19" s="12"/>
      <c r="BW19" s="908">
        <v>4</v>
      </c>
      <c r="BX19" s="330" t="s">
        <v>414</v>
      </c>
      <c r="BY19" s="141">
        <f>(BP11*BP11)/$BK$7</f>
        <v>5.190364548604635E-6</v>
      </c>
      <c r="BZ19" s="141">
        <f>(BQ11*BQ11)/$BK$13</f>
        <v>5.190364548604635E-6</v>
      </c>
      <c r="CA19" s="141">
        <f>(BR11*BR11)/$BK$19</f>
        <v>5.190364548604635E-6</v>
      </c>
      <c r="CB19" s="141">
        <f>(BS11*BS11)/$BK$25</f>
        <v>3.6044198254198856E-6</v>
      </c>
      <c r="CC19" s="141">
        <f>(BT11*BT11)/$BK$31</f>
        <v>3.6044198254198856E-6</v>
      </c>
      <c r="CD19" s="142">
        <f>(BU11*BU11)/$BK$37</f>
        <v>1.4278222582243652E-6</v>
      </c>
      <c r="CE19" s="12"/>
      <c r="CF19" s="882">
        <v>3</v>
      </c>
      <c r="CG19" s="403">
        <v>1</v>
      </c>
      <c r="CH19" s="904">
        <f>1/(CB5+CB4+CC4+CD4+CC8+CD8)+1/(CB10+CB9+CC9+CD9+CC13+CD13)+1/(CB15+CB14+CC14+CD14+CC18+CD18)+1/(CD19+CC19+CB19+CB20+CC23+CD23)+1/(CD24+CC24+CB24+CB25+CC28+CD28)</f>
        <v>63286.325833605413</v>
      </c>
      <c r="CI19" s="904">
        <f>1/(CB6+CB4+CC4+CD4+CC8+CD8)+1/(CB11+CB9+CC9+CD9+CC13+CD13)+1/(CB16+CB14+CC14+CD14+CC18+CD18)+1/(CD19+CC19+CB19+CB21+CC23+CD23)+1/(CD24+CC24+CB24+CB26+CC28+CD28)</f>
        <v>9537.1174607322646</v>
      </c>
      <c r="CJ19" s="880">
        <f>1/(CB7+CB4+CC4+CD4+CC8+CD8)+1/(CB12+CB9+CC9+CD9+CC13+CD13)+1/(CB17+CB14+CC14+CD14+CC18+CD18)+1/(CD19+CC19+CB19+CB22+CC23+CD23)+1/(CD24+CC24+CB24+CB27+CC28+CD28)</f>
        <v>-12546.282377020401</v>
      </c>
      <c r="CK19" s="12"/>
      <c r="CL19" s="12"/>
      <c r="CM19" s="12"/>
      <c r="CN19" s="12"/>
      <c r="CO19" s="12"/>
      <c r="CP19" s="12"/>
      <c r="CQ19" s="12"/>
      <c r="CR19" s="12"/>
      <c r="CS19" s="12"/>
      <c r="CT19" s="12"/>
      <c r="CU19" s="12"/>
      <c r="CV19" s="12"/>
      <c r="CW19" s="12"/>
      <c r="CX19" s="790" t="s">
        <v>300</v>
      </c>
      <c r="CY19" s="792" t="s">
        <v>190</v>
      </c>
      <c r="CZ19" s="794" t="s">
        <v>191</v>
      </c>
      <c r="DA19" s="794" t="s">
        <v>192</v>
      </c>
      <c r="DB19" s="770" t="s">
        <v>193</v>
      </c>
      <c r="DC19" s="645"/>
      <c r="DD19" s="12"/>
      <c r="DE19" s="12"/>
      <c r="DF19" s="12"/>
      <c r="DG19" s="12"/>
      <c r="DH19" s="12"/>
      <c r="DI19" s="12"/>
    </row>
    <row r="20" spans="1:115" x14ac:dyDescent="0.25">
      <c r="B20" s="875"/>
      <c r="C20" s="338">
        <v>2</v>
      </c>
      <c r="D20" s="338">
        <v>213</v>
      </c>
      <c r="E20" s="366">
        <f>'Structural Information'!$AC$9</f>
        <v>3</v>
      </c>
      <c r="F20" s="351">
        <f>'Structural Information'!$AM$9</f>
        <v>2</v>
      </c>
      <c r="G20" s="432">
        <f>'Structural Information'!$AB$19/1000</f>
        <v>0.5</v>
      </c>
      <c r="H20" s="432">
        <f>'Structural Information'!$AB$29/1000</f>
        <v>0.3</v>
      </c>
      <c r="I20" s="437">
        <f>'Structural Information'!$AB$30/1000</f>
        <v>0.3</v>
      </c>
      <c r="J20" s="143">
        <f t="shared" si="39"/>
        <v>6.7499999999999993E-4</v>
      </c>
      <c r="K20" s="351">
        <f t="shared" ref="K20:K21" si="48">F20-H20</f>
        <v>1.7</v>
      </c>
      <c r="L20" s="351">
        <f t="shared" ref="L20:L21" si="49">E20-G20</f>
        <v>2.5</v>
      </c>
      <c r="M20" s="351">
        <f t="shared" si="40"/>
        <v>3.0232432915661951</v>
      </c>
      <c r="N20" s="354">
        <f t="shared" ref="N20:N21" si="50">ATAN(L20/K20)</f>
        <v>0.97361966870221905</v>
      </c>
      <c r="T20" s="12"/>
      <c r="U20" s="875"/>
      <c r="V20" s="338">
        <v>2</v>
      </c>
      <c r="W20" s="338">
        <v>213</v>
      </c>
      <c r="X20" s="366">
        <f>1/((((COS(N20))^4)/'Structural Information'!$AR$18)+(((SIN(N20))^4)/'Structural Information'!$AR$19)+(((SIN(N20))^2)*((COS(N20))^2)*((1/'Structural Information'!$AR$20)-(2*'Structural Information'!$AV$20/'Structural Information'!$AR$19))))</f>
        <v>1988.4509990748261</v>
      </c>
      <c r="Y20" s="351">
        <f>((X20*('Structural Information'!$AV$18/1000)*SIN(2*N20))/(4*'Structural Information'!$AR$21*J20*L20))^(1/4)</f>
        <v>1.0130642409573509</v>
      </c>
      <c r="Z20" s="351">
        <f t="shared" si="1"/>
        <v>3.0391927228720528</v>
      </c>
      <c r="AA20" s="120">
        <f t="shared" ref="AA20:AA33" si="51">IF(Z20&lt;3.14,$Q$4,0)+IF(Z20&gt;3.14,1,0)*IF(Z20&lt;7.85,$R$4,0)+IF(Z20&gt;7.85,$S$4,0)</f>
        <v>1.3</v>
      </c>
      <c r="AB20" s="120">
        <f t="shared" si="41"/>
        <v>-0.17799999999999999</v>
      </c>
      <c r="AC20" s="367">
        <f t="shared" si="20"/>
        <v>0.75504040193738875</v>
      </c>
      <c r="AD20" s="366">
        <f>((0.6*'Structural Information'!$AT$18)+(0.3*'Structural Information'!$AV$19))/(AC20/M20)</f>
        <v>1.3213468890629982</v>
      </c>
      <c r="AE20" s="351">
        <f>(((1.2*SIN(N20)+0.45*COS(N20))*'Structural Information'!$AT$19)+(0.3*'Structural Information'!$AV$19))/(AC20/M20)</f>
        <v>2.1940547760745823</v>
      </c>
      <c r="AF20" s="351">
        <f>(1.12*'Structural Information'!$AT$20*COS(N20)*SIN(N20))/((AA20*(Z20^(-0.12)))+(AB20*(Z20^(0.88))))</f>
        <v>1.5837542062633532</v>
      </c>
      <c r="AG20" s="351">
        <f>(1.16*'Structural Information'!$AT$20*TAN(N20))/((AA20)+(AB20*Z20))</f>
        <v>4.5398877191160363</v>
      </c>
      <c r="AH20" s="367">
        <f t="shared" ref="AH20:AH25" si="52">MIN(AD20:AG20)</f>
        <v>1.3213468890629982</v>
      </c>
      <c r="AI20" s="366">
        <f>AH20*AC20*'Structural Information'!$AV$18</f>
        <v>79.813622897347557</v>
      </c>
      <c r="AJ20" s="351">
        <f t="shared" ref="AJ20:AJ25" si="53">0.8*AI20</f>
        <v>63.850898317878048</v>
      </c>
      <c r="AK20" s="367">
        <f t="shared" ref="AK20:AK25" si="54">0.1*AI20</f>
        <v>7.981362289734756</v>
      </c>
      <c r="AL20" s="319"/>
      <c r="AM20" s="875"/>
      <c r="AN20" s="597">
        <v>2</v>
      </c>
      <c r="AO20" s="597">
        <v>203</v>
      </c>
      <c r="AP20" s="618">
        <f>'Structural Information'!$AC$9</f>
        <v>3</v>
      </c>
      <c r="AQ20" s="618">
        <f t="shared" si="4"/>
        <v>63.850898317878048</v>
      </c>
      <c r="AR20" s="58">
        <f t="shared" si="45"/>
        <v>8.0000000000000004E-4</v>
      </c>
      <c r="AS20" s="608">
        <f t="shared" si="6"/>
        <v>22136.316141302566</v>
      </c>
      <c r="AT20" s="138">
        <f t="shared" si="7"/>
        <v>6999.3384735628479</v>
      </c>
      <c r="AU20" s="618">
        <f t="shared" si="8"/>
        <v>79.813622897347557</v>
      </c>
      <c r="AV20" s="58">
        <f t="shared" si="46"/>
        <v>2.2000000000000001E-3</v>
      </c>
      <c r="AW20" s="608">
        <f t="shared" si="10"/>
        <v>10061.961882410256</v>
      </c>
      <c r="AX20" s="99">
        <f t="shared" si="11"/>
        <v>3162.3308773289368</v>
      </c>
      <c r="AY20" s="138">
        <f t="shared" si="22"/>
        <v>999.90549622326353</v>
      </c>
      <c r="AZ20" s="608">
        <f t="shared" si="12"/>
        <v>7.981362289734756</v>
      </c>
      <c r="BA20" s="58">
        <f t="shared" si="47"/>
        <v>8.8999999999999999E-3</v>
      </c>
      <c r="BB20" s="608">
        <f t="shared" si="23"/>
        <v>-2009.5522388059708</v>
      </c>
      <c r="BC20" s="612">
        <f t="shared" si="24"/>
        <v>-635.40546719357292</v>
      </c>
      <c r="BD20" s="12"/>
      <c r="BE20" s="875"/>
      <c r="BF20" s="426">
        <v>5</v>
      </c>
      <c r="BG20" s="426">
        <v>7514</v>
      </c>
      <c r="BH20" s="426" t="s">
        <v>23</v>
      </c>
      <c r="BI20" s="432">
        <f>'Structural Information'!$AC$8</f>
        <v>3</v>
      </c>
      <c r="BJ20" s="436">
        <f>('Structural Information'!$AF$25)*(200)/$BI20</f>
        <v>53616.514621265807</v>
      </c>
      <c r="BK20" s="447">
        <f t="shared" si="38"/>
        <v>433495.56258141535</v>
      </c>
      <c r="BL20" s="12"/>
      <c r="BM20" s="91"/>
      <c r="BN20" s="12"/>
      <c r="BO20" s="12"/>
      <c r="BP20" s="12"/>
      <c r="BQ20" s="12"/>
      <c r="BR20" s="12"/>
      <c r="BS20" s="12"/>
      <c r="BT20" s="12"/>
      <c r="BU20" s="12"/>
      <c r="BV20" s="12"/>
      <c r="BW20" s="908"/>
      <c r="BX20" s="324" t="s">
        <v>415</v>
      </c>
      <c r="BY20" s="141">
        <f>1/($AT$7)</f>
        <v>1.3608955525457874E-4</v>
      </c>
      <c r="BZ20" s="141">
        <f>1/($AT$12)</f>
        <v>1.3608955525457874E-4</v>
      </c>
      <c r="CA20" s="141">
        <f>1/($AT$17)</f>
        <v>1.3608955525457874E-4</v>
      </c>
      <c r="CB20" s="141">
        <f>1/($AT$22)</f>
        <v>1.4287064467264913E-4</v>
      </c>
      <c r="CC20" s="141">
        <f>1/($AT$27)</f>
        <v>1.4287064467264913E-4</v>
      </c>
      <c r="CD20" s="142">
        <f>1/($AT$32)</f>
        <v>1.5480050297019224E-4</v>
      </c>
      <c r="CE20" s="338"/>
      <c r="CF20" s="882"/>
      <c r="CG20" s="403">
        <v>2</v>
      </c>
      <c r="CH20" s="904"/>
      <c r="CI20" s="904"/>
      <c r="CJ20" s="880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790"/>
      <c r="CY20" s="792"/>
      <c r="CZ20" s="794"/>
      <c r="DA20" s="794"/>
      <c r="DB20" s="770"/>
      <c r="DC20" s="645"/>
      <c r="DD20" s="12"/>
      <c r="DE20" s="12"/>
      <c r="DF20" s="12"/>
      <c r="DG20" s="12"/>
      <c r="DH20" s="12"/>
      <c r="DI20" s="12"/>
    </row>
    <row r="21" spans="1:115" x14ac:dyDescent="0.25">
      <c r="B21" s="875"/>
      <c r="C21" s="338">
        <v>3</v>
      </c>
      <c r="D21" s="338">
        <v>313</v>
      </c>
      <c r="E21" s="366">
        <f>'Structural Information'!$AC$9</f>
        <v>3</v>
      </c>
      <c r="F21" s="351">
        <f>'Structural Information'!$AM$8</f>
        <v>4.5</v>
      </c>
      <c r="G21" s="432">
        <f>'Structural Information'!$AB$19/1000</f>
        <v>0.5</v>
      </c>
      <c r="H21" s="432">
        <f>'Structural Information'!$AB$29/1000</f>
        <v>0.3</v>
      </c>
      <c r="I21" s="437">
        <f>'Structural Information'!$AB$30/1000</f>
        <v>0.3</v>
      </c>
      <c r="J21" s="143">
        <f t="shared" si="39"/>
        <v>6.7499999999999993E-4</v>
      </c>
      <c r="K21" s="351">
        <f t="shared" si="48"/>
        <v>4.2</v>
      </c>
      <c r="L21" s="351">
        <f t="shared" si="49"/>
        <v>2.5</v>
      </c>
      <c r="M21" s="351">
        <f t="shared" si="40"/>
        <v>4.8877397639399751</v>
      </c>
      <c r="N21" s="354">
        <f t="shared" si="50"/>
        <v>0.53691074274004558</v>
      </c>
      <c r="T21" s="12"/>
      <c r="U21" s="875"/>
      <c r="V21" s="338">
        <v>3</v>
      </c>
      <c r="W21" s="338">
        <v>313</v>
      </c>
      <c r="X21" s="366">
        <f>1/((((COS(N21))^4)/'Structural Information'!$AR$18)+(((SIN(N21))^4)/'Structural Information'!$AR$19)+(((SIN(N21))^2)*((COS(N21))^2)*((1/'Structural Information'!$AR$20)-(2*'Structural Information'!$AV$20/'Structural Information'!$AR$19))))</f>
        <v>1383.4397216107056</v>
      </c>
      <c r="Y21" s="351">
        <f>((X21*('Structural Information'!$AV$18/1000)*SIN(2*N21))/(4*'Structural Information'!$AR$21*J21*L21))^(1/4)</f>
        <v>0.9122858244892752</v>
      </c>
      <c r="Z21" s="351">
        <f t="shared" si="1"/>
        <v>2.7368574734678255</v>
      </c>
      <c r="AA21" s="120">
        <f t="shared" si="51"/>
        <v>1.3</v>
      </c>
      <c r="AB21" s="120">
        <f t="shared" si="41"/>
        <v>-0.17799999999999999</v>
      </c>
      <c r="AC21" s="367">
        <f t="shared" si="20"/>
        <v>1.4516456730410687</v>
      </c>
      <c r="AD21" s="366">
        <f>((0.6*'Structural Information'!$AT$18)+(0.3*'Structural Information'!$AV$19))/(AC21/M21)</f>
        <v>1.1111210897086174</v>
      </c>
      <c r="AE21" s="351">
        <f>(((1.2*SIN(N21)+0.45*COS(N21))*'Structural Information'!$AT$19)+(0.3*'Structural Information'!$AV$19))/(AC21/M21)</f>
        <v>1.4821798734760041</v>
      </c>
      <c r="AF21" s="351">
        <f>(1.12*'Structural Information'!$AT$20*COS(N21)*SIN(N21))/((AA21*(Z21^(-0.12)))+(AB21*(Z21^(0.88))))</f>
        <v>1.3804099237876348</v>
      </c>
      <c r="AG21" s="351">
        <f>(1.16*'Structural Information'!$AT$20*TAN(N21))/((AA21)+(AB21*Z21))</f>
        <v>1.715913323978981</v>
      </c>
      <c r="AH21" s="367">
        <f t="shared" si="52"/>
        <v>1.1111210897086174</v>
      </c>
      <c r="AI21" s="366">
        <f>AH21*AC21*'Structural Information'!$AV$18</f>
        <v>129.03632976801535</v>
      </c>
      <c r="AJ21" s="351">
        <f t="shared" si="53"/>
        <v>103.22906381441229</v>
      </c>
      <c r="AK21" s="367">
        <f t="shared" si="54"/>
        <v>12.903632976801536</v>
      </c>
      <c r="AL21" s="319"/>
      <c r="AM21" s="875"/>
      <c r="AN21" s="597">
        <v>3</v>
      </c>
      <c r="AO21" s="597">
        <v>303</v>
      </c>
      <c r="AP21" s="618">
        <f>'Structural Information'!$AC$9</f>
        <v>3</v>
      </c>
      <c r="AQ21" s="618">
        <f t="shared" si="4"/>
        <v>103.22906381441229</v>
      </c>
      <c r="AR21" s="58">
        <f t="shared" si="45"/>
        <v>8.0000000000000004E-4</v>
      </c>
      <c r="AS21" s="608">
        <f t="shared" si="6"/>
        <v>23858.825814167161</v>
      </c>
      <c r="AT21" s="138">
        <f t="shared" si="7"/>
        <v>17616.981471825395</v>
      </c>
      <c r="AU21" s="618">
        <f t="shared" si="8"/>
        <v>129.03632976801535</v>
      </c>
      <c r="AV21" s="58">
        <f t="shared" si="46"/>
        <v>2.2000000000000001E-3</v>
      </c>
      <c r="AW21" s="608">
        <f t="shared" si="10"/>
        <v>10844.920824621437</v>
      </c>
      <c r="AX21" s="99">
        <f t="shared" si="11"/>
        <v>3408.4036877381645</v>
      </c>
      <c r="AY21" s="138">
        <f t="shared" si="22"/>
        <v>2516.7116388321983</v>
      </c>
      <c r="AZ21" s="608">
        <f t="shared" si="12"/>
        <v>12.903632976801536</v>
      </c>
      <c r="BA21" s="58">
        <f t="shared" si="47"/>
        <v>8.8999999999999999E-3</v>
      </c>
      <c r="BB21" s="608">
        <f t="shared" si="23"/>
        <v>-4964.7761194029854</v>
      </c>
      <c r="BC21" s="612">
        <f t="shared" si="24"/>
        <v>-3665.9125469346445</v>
      </c>
      <c r="BD21" s="12"/>
      <c r="BE21" s="895"/>
      <c r="BF21" s="427">
        <v>6</v>
      </c>
      <c r="BG21" s="427">
        <v>7614</v>
      </c>
      <c r="BH21" s="427" t="s">
        <v>23</v>
      </c>
      <c r="BI21" s="433">
        <f>'Structural Information'!$AC$8</f>
        <v>3</v>
      </c>
      <c r="BJ21" s="147">
        <f>('Structural Information'!$AF$25)*(200)/$BI21</f>
        <v>53616.514621265807</v>
      </c>
      <c r="BK21" s="448">
        <f t="shared" si="38"/>
        <v>433495.56258141535</v>
      </c>
      <c r="BL21" s="12"/>
      <c r="BM21" s="91"/>
      <c r="BN21" s="12"/>
      <c r="BO21" s="12"/>
      <c r="BP21" s="12"/>
      <c r="BQ21" s="12"/>
      <c r="BR21" s="12"/>
      <c r="BS21" s="12"/>
      <c r="BT21" s="12"/>
      <c r="BU21" s="12"/>
      <c r="BV21" s="12"/>
      <c r="BW21" s="908"/>
      <c r="BX21" s="325" t="s">
        <v>415</v>
      </c>
      <c r="BY21" s="141">
        <f>1/($AY$7)</f>
        <v>9.5262688678205191E-4</v>
      </c>
      <c r="BZ21" s="141">
        <f>1/($AY$12)</f>
        <v>9.5262688678205191E-4</v>
      </c>
      <c r="CA21" s="141">
        <f>1/($AY$17)</f>
        <v>9.5262688678205191E-4</v>
      </c>
      <c r="CB21" s="141">
        <f>1/($AY$22)</f>
        <v>1.0000945127085444E-3</v>
      </c>
      <c r="CC21" s="141">
        <f>1/($AY$27)</f>
        <v>1.0000945127085444E-3</v>
      </c>
      <c r="CD21" s="142">
        <f>1/($AY$32)</f>
        <v>1.0836035207913461E-3</v>
      </c>
      <c r="CE21" s="338"/>
      <c r="CF21" s="882"/>
      <c r="CG21" s="403">
        <v>3</v>
      </c>
      <c r="CH21" s="904"/>
      <c r="CI21" s="904"/>
      <c r="CJ21" s="880"/>
      <c r="CK21" s="12"/>
      <c r="CL21" s="12"/>
      <c r="CM21" s="12"/>
      <c r="CN21" s="12"/>
      <c r="CO21" s="12"/>
      <c r="CP21" s="12"/>
      <c r="CQ21" s="12"/>
      <c r="CR21" s="12"/>
      <c r="CS21" s="12"/>
      <c r="CT21" s="12"/>
      <c r="CU21" s="12"/>
      <c r="CV21" s="12"/>
      <c r="CW21" s="12"/>
      <c r="CX21" s="77" t="s">
        <v>460</v>
      </c>
      <c r="CY21" s="58">
        <f t="shared" ref="CY21:DA21" si="55">CY11/$CY11</f>
        <v>1</v>
      </c>
      <c r="CZ21" s="58">
        <f t="shared" si="55"/>
        <v>2.4843367367040865</v>
      </c>
      <c r="DA21" s="58">
        <f t="shared" si="55"/>
        <v>7.427234480487602</v>
      </c>
      <c r="DB21" s="80">
        <f>DB11/$CY11</f>
        <v>40.048056045833469</v>
      </c>
      <c r="DC21" s="650"/>
      <c r="DD21" s="12"/>
      <c r="DE21" s="12"/>
      <c r="DF21" s="12"/>
      <c r="DG21" s="12"/>
      <c r="DH21" s="12"/>
      <c r="DI21" s="12"/>
    </row>
    <row r="22" spans="1:115" x14ac:dyDescent="0.25">
      <c r="B22" s="875"/>
      <c r="C22" s="338">
        <v>4</v>
      </c>
      <c r="D22" s="338">
        <v>413</v>
      </c>
      <c r="E22" s="366">
        <f>'Structural Information'!$AC$9</f>
        <v>3</v>
      </c>
      <c r="F22" s="351">
        <f>'Structural Information'!$AM$7</f>
        <v>2</v>
      </c>
      <c r="G22" s="432">
        <f>'Structural Information'!$AB$19/1000</f>
        <v>0.5</v>
      </c>
      <c r="H22" s="432">
        <f>'Structural Information'!$AB$29/1000</f>
        <v>0.3</v>
      </c>
      <c r="I22" s="437">
        <f>'Structural Information'!$AB$30/1000</f>
        <v>0.3</v>
      </c>
      <c r="J22" s="143">
        <f t="shared" ref="J22:J28" si="56">I22*(H22^3)/12</f>
        <v>6.7499999999999993E-4</v>
      </c>
      <c r="K22" s="351">
        <f>F22-H22</f>
        <v>1.7</v>
      </c>
      <c r="L22" s="351">
        <f>E22-G22</f>
        <v>2.5</v>
      </c>
      <c r="M22" s="351">
        <f t="shared" ref="M22:M28" si="57">SQRT(K22^2+L22^2)</f>
        <v>3.0232432915661951</v>
      </c>
      <c r="N22" s="354">
        <f>ATAN(L22/K22)</f>
        <v>0.97361966870221905</v>
      </c>
      <c r="T22" s="12"/>
      <c r="U22" s="875"/>
      <c r="V22" s="338">
        <v>4</v>
      </c>
      <c r="W22" s="338">
        <v>413</v>
      </c>
      <c r="X22" s="366">
        <f>1/((((COS(N22))^4)/'Structural Information'!$AR$18)+(((SIN(N22))^4)/'Structural Information'!$AR$19)+(((SIN(N22))^2)*((COS(N22))^2)*((1/'Structural Information'!$AR$20)-(2*'Structural Information'!$AV$20/'Structural Information'!$AR$19))))</f>
        <v>1988.4509990748261</v>
      </c>
      <c r="Y22" s="351">
        <f>((X22*('Structural Information'!$AV$18/1000)*SIN(2*N22))/(4*'Structural Information'!$AR$21*J22*L22))^(1/4)</f>
        <v>1.0130642409573509</v>
      </c>
      <c r="Z22" s="351">
        <f t="shared" si="1"/>
        <v>3.0391927228720528</v>
      </c>
      <c r="AA22" s="120">
        <f t="shared" si="51"/>
        <v>1.3</v>
      </c>
      <c r="AB22" s="120">
        <f t="shared" si="41"/>
        <v>-0.17799999999999999</v>
      </c>
      <c r="AC22" s="367">
        <f t="shared" si="20"/>
        <v>0.75504040193738875</v>
      </c>
      <c r="AD22" s="366">
        <f>((0.6*'Structural Information'!$AT$18)+(0.3*'Structural Information'!$AV$19))/(AC22/M22)</f>
        <v>1.3213468890629982</v>
      </c>
      <c r="AE22" s="351">
        <f>(((1.2*SIN(N22)+0.45*COS(N22))*'Structural Information'!$AT$19)+(0.3*'Structural Information'!$AV$19))/(AC22/M22)</f>
        <v>2.1940547760745823</v>
      </c>
      <c r="AF22" s="351">
        <f>(1.12*'Structural Information'!$AT$20*COS(N22)*SIN(N22))/((AA22*(Z22^(-0.12)))+(AB22*(Z22^(0.88))))</f>
        <v>1.5837542062633532</v>
      </c>
      <c r="AG22" s="351">
        <f>(1.16*'Structural Information'!$AT$20*TAN(N22))/((AA22)+(AB22*Z22))</f>
        <v>4.5398877191160363</v>
      </c>
      <c r="AH22" s="367">
        <f t="shared" si="52"/>
        <v>1.3213468890629982</v>
      </c>
      <c r="AI22" s="366">
        <f>AH22*AC22*'Structural Information'!$AV$18</f>
        <v>79.813622897347557</v>
      </c>
      <c r="AJ22" s="351">
        <f t="shared" si="53"/>
        <v>63.850898317878048</v>
      </c>
      <c r="AK22" s="367">
        <f t="shared" si="54"/>
        <v>7.981362289734756</v>
      </c>
      <c r="AL22" s="319"/>
      <c r="AM22" s="875"/>
      <c r="AN22" s="597">
        <v>4</v>
      </c>
      <c r="AO22" s="597">
        <v>403</v>
      </c>
      <c r="AP22" s="618">
        <f>'Structural Information'!$AC$9</f>
        <v>3</v>
      </c>
      <c r="AQ22" s="618">
        <f t="shared" si="4"/>
        <v>63.850898317878048</v>
      </c>
      <c r="AR22" s="58">
        <f t="shared" si="45"/>
        <v>8.0000000000000004E-4</v>
      </c>
      <c r="AS22" s="608">
        <f t="shared" si="6"/>
        <v>22136.316141302566</v>
      </c>
      <c r="AT22" s="138">
        <f t="shared" si="7"/>
        <v>6999.3384735628479</v>
      </c>
      <c r="AU22" s="618">
        <f t="shared" si="8"/>
        <v>79.813622897347557</v>
      </c>
      <c r="AV22" s="58">
        <f t="shared" si="46"/>
        <v>2.2000000000000001E-3</v>
      </c>
      <c r="AW22" s="608">
        <f t="shared" si="10"/>
        <v>10061.961882410256</v>
      </c>
      <c r="AX22" s="99">
        <f t="shared" si="11"/>
        <v>3162.3308773289368</v>
      </c>
      <c r="AY22" s="138">
        <f t="shared" si="22"/>
        <v>999.90549622326353</v>
      </c>
      <c r="AZ22" s="608">
        <f t="shared" si="12"/>
        <v>7.981362289734756</v>
      </c>
      <c r="BA22" s="58">
        <f t="shared" si="47"/>
        <v>8.8999999999999999E-3</v>
      </c>
      <c r="BB22" s="608">
        <f t="shared" si="23"/>
        <v>-2009.5522388059708</v>
      </c>
      <c r="BC22" s="612">
        <f t="shared" si="24"/>
        <v>-635.40546719357292</v>
      </c>
      <c r="BD22" s="12"/>
      <c r="BE22" s="875">
        <v>3</v>
      </c>
      <c r="BF22" s="426">
        <v>1</v>
      </c>
      <c r="BG22" s="426">
        <v>7113</v>
      </c>
      <c r="BH22" s="426" t="s">
        <v>23</v>
      </c>
      <c r="BI22" s="432">
        <f>'Structural Information'!$AC$9</f>
        <v>3</v>
      </c>
      <c r="BJ22" s="133">
        <f>('Structural Information'!$AF$25)*(200)/$BI22</f>
        <v>53616.514621265807</v>
      </c>
      <c r="BK22" s="449">
        <f>Hcol1*Wcol1*(4700*SQRT(Fck))/(hstr3*1000)</f>
        <v>433495.56258141535</v>
      </c>
      <c r="BL22" s="12"/>
      <c r="BM22" s="91"/>
      <c r="BN22" s="12"/>
      <c r="BO22" s="12"/>
      <c r="BP22" s="12"/>
      <c r="BQ22" s="12"/>
      <c r="BR22" s="12"/>
      <c r="BS22" s="12"/>
      <c r="BT22" s="12"/>
      <c r="BU22" s="12"/>
      <c r="BV22" s="12"/>
      <c r="BW22" s="908"/>
      <c r="BX22" s="326" t="s">
        <v>415</v>
      </c>
      <c r="BY22" s="141">
        <f>1/($BC$7)</f>
        <v>-1.4699472862738168E-3</v>
      </c>
      <c r="BZ22" s="141">
        <f>1/($BC$12)</f>
        <v>-1.4699472862738168E-3</v>
      </c>
      <c r="CA22" s="141">
        <f>1/($BC$17)</f>
        <v>-1.4699472862738168E-3</v>
      </c>
      <c r="CB22" s="141">
        <f>1/($BC$22)</f>
        <v>-1.5737982306270515E-3</v>
      </c>
      <c r="CC22" s="141">
        <f>1/($BC$27)</f>
        <v>-1.5737982306270515E-3</v>
      </c>
      <c r="CD22" s="142">
        <f>1/($BC$32)</f>
        <v>-1.680169753086419E-3</v>
      </c>
      <c r="CE22" s="338"/>
      <c r="CF22" s="882"/>
      <c r="CG22" s="403">
        <v>4</v>
      </c>
      <c r="CH22" s="904"/>
      <c r="CI22" s="904"/>
      <c r="CJ22" s="880"/>
      <c r="CK22" s="12"/>
      <c r="CL22" s="12"/>
      <c r="CM22" s="12"/>
      <c r="CN22" s="12"/>
      <c r="CO22" s="12"/>
      <c r="CP22" s="12"/>
      <c r="CQ22" s="12"/>
      <c r="CR22" s="12"/>
      <c r="CS22" s="12"/>
      <c r="CT22" s="12"/>
      <c r="CU22" s="12"/>
      <c r="CV22" s="12"/>
      <c r="CW22" s="12"/>
      <c r="CX22" s="77" t="s">
        <v>459</v>
      </c>
      <c r="CY22" s="58">
        <f t="shared" ref="CY22:DB22" si="58">CY12/$CY12</f>
        <v>1</v>
      </c>
      <c r="CZ22" s="58">
        <f t="shared" si="58"/>
        <v>2.5074509864497823</v>
      </c>
      <c r="DA22" s="58">
        <f t="shared" si="58"/>
        <v>7.6633875148872797</v>
      </c>
      <c r="DB22" s="80">
        <f t="shared" si="58"/>
        <v>41.576930152740452</v>
      </c>
      <c r="DC22" s="58"/>
      <c r="DD22" s="12"/>
      <c r="DE22" s="12"/>
      <c r="DF22" s="12"/>
      <c r="DG22" s="12"/>
      <c r="DH22" s="12"/>
      <c r="DI22" s="12"/>
    </row>
    <row r="23" spans="1:115" x14ac:dyDescent="0.25">
      <c r="B23" s="895"/>
      <c r="C23" s="342">
        <v>5</v>
      </c>
      <c r="D23" s="342">
        <v>513</v>
      </c>
      <c r="E23" s="147">
        <f>'Structural Information'!$AC$9</f>
        <v>3</v>
      </c>
      <c r="F23" s="362">
        <f>'Structural Information'!$AM$6</f>
        <v>4.5</v>
      </c>
      <c r="G23" s="433">
        <f>'Structural Information'!$AB$19/1000</f>
        <v>0.5</v>
      </c>
      <c r="H23" s="433">
        <f>'Structural Information'!$AB$24/1000</f>
        <v>0.25</v>
      </c>
      <c r="I23" s="148">
        <f>'Structural Information'!$AB$25/1000</f>
        <v>0.25</v>
      </c>
      <c r="J23" s="149">
        <f t="shared" si="56"/>
        <v>3.2552083333333332E-4</v>
      </c>
      <c r="K23" s="362">
        <f>F23-H23</f>
        <v>4.25</v>
      </c>
      <c r="L23" s="362">
        <f>E23-G23</f>
        <v>2.5</v>
      </c>
      <c r="M23" s="362">
        <f t="shared" si="57"/>
        <v>4.9307707308290052</v>
      </c>
      <c r="N23" s="363">
        <f>ATAN(L23/K23)</f>
        <v>0.53172406725880561</v>
      </c>
      <c r="T23" s="12"/>
      <c r="U23" s="895"/>
      <c r="V23" s="342">
        <v>5</v>
      </c>
      <c r="W23" s="342">
        <v>513</v>
      </c>
      <c r="X23" s="147">
        <f>1/((((COS(N23))^4)/'Structural Information'!$AR$18)+(((SIN(N23))^4)/'Structural Information'!$AR$19)+(((SIN(N23))^2)*((COS(N23))^2)*((1/'Structural Information'!$AR$20)-(2*'Structural Information'!$AV$20/'Structural Information'!$AR$19))))</f>
        <v>1375.8363758228218</v>
      </c>
      <c r="Y23" s="362">
        <f>((X23*('Structural Information'!$AV$18/1000)*SIN(2*N23))/(4*'Structural Information'!$AR$21*J23*L23))^(1/4)</f>
        <v>1.0916799951703688</v>
      </c>
      <c r="Z23" s="362">
        <f t="shared" si="1"/>
        <v>3.2750399855111065</v>
      </c>
      <c r="AA23" s="150">
        <f t="shared" si="51"/>
        <v>0.70699999999999996</v>
      </c>
      <c r="AB23" s="150">
        <f t="shared" si="41"/>
        <v>0.01</v>
      </c>
      <c r="AC23" s="148">
        <f t="shared" si="20"/>
        <v>1.113738957649824</v>
      </c>
      <c r="AD23" s="147">
        <f>((0.6*'Structural Information'!$AT$18)+(0.3*'Structural Information'!$AV$19))/(AC23/M23)</f>
        <v>1.4609835904520574</v>
      </c>
      <c r="AE23" s="362">
        <f>(((1.2*SIN(N23)+0.45*COS(N23))*'Structural Information'!$AT$19)+(0.3*'Structural Information'!$AV$19))/(AC23/M23)</f>
        <v>1.9407599825376745</v>
      </c>
      <c r="AF23" s="362">
        <f>(1.12*'Structural Information'!$AT$20*COS(N23)*SIN(N23))/((AA23*(Z23^(-0.12)))+(AB23*(Z23^(0.88))))</f>
        <v>1.5410243331800975</v>
      </c>
      <c r="AG23" s="362">
        <f>(1.16*'Structural Information'!$AT$20*TAN(N23))/((AA23)+(AB23*Z23))</f>
        <v>1.8632675851833773</v>
      </c>
      <c r="AH23" s="148">
        <f t="shared" si="52"/>
        <v>1.4609835904520574</v>
      </c>
      <c r="AI23" s="147">
        <f>AH23*AC23*'Structural Information'!$AV$18</f>
        <v>130.17234729388574</v>
      </c>
      <c r="AJ23" s="362">
        <f t="shared" si="53"/>
        <v>104.1378778351086</v>
      </c>
      <c r="AK23" s="148">
        <f t="shared" si="54"/>
        <v>13.017234729388575</v>
      </c>
      <c r="AL23" s="319"/>
      <c r="AM23" s="895"/>
      <c r="AN23" s="600">
        <v>5</v>
      </c>
      <c r="AO23" s="600">
        <v>503</v>
      </c>
      <c r="AP23" s="147">
        <f>'Structural Information'!$AC$9</f>
        <v>3</v>
      </c>
      <c r="AQ23" s="147">
        <f t="shared" si="4"/>
        <v>104.1378778351086</v>
      </c>
      <c r="AR23" s="75">
        <f t="shared" si="45"/>
        <v>8.0000000000000004E-4</v>
      </c>
      <c r="AS23" s="609">
        <f t="shared" si="6"/>
        <v>24068.875529005698</v>
      </c>
      <c r="AT23" s="156">
        <f t="shared" si="7"/>
        <v>17881.503927718884</v>
      </c>
      <c r="AU23" s="147">
        <f t="shared" si="8"/>
        <v>130.17234729388574</v>
      </c>
      <c r="AV23" s="75">
        <f t="shared" si="46"/>
        <v>2.2000000000000001E-3</v>
      </c>
      <c r="AW23" s="609">
        <f t="shared" si="10"/>
        <v>10940.397967729861</v>
      </c>
      <c r="AX23" s="157">
        <f t="shared" si="11"/>
        <v>3438.410789857955</v>
      </c>
      <c r="AY23" s="156">
        <f t="shared" si="22"/>
        <v>2554.5005611026963</v>
      </c>
      <c r="AZ23" s="609">
        <f t="shared" si="12"/>
        <v>13.017234729388575</v>
      </c>
      <c r="BA23" s="75">
        <f t="shared" si="47"/>
        <v>8.8999999999999999E-3</v>
      </c>
      <c r="BB23" s="609">
        <f t="shared" si="23"/>
        <v>-5023.880597014926</v>
      </c>
      <c r="BC23" s="614">
        <f t="shared" si="24"/>
        <v>-3732.3945823581321</v>
      </c>
      <c r="BD23" s="12"/>
      <c r="BE23" s="875"/>
      <c r="BF23" s="426">
        <v>2</v>
      </c>
      <c r="BG23" s="426">
        <v>7213</v>
      </c>
      <c r="BH23" s="426" t="s">
        <v>24</v>
      </c>
      <c r="BI23" s="432">
        <f>'Structural Information'!$AC$9</f>
        <v>3</v>
      </c>
      <c r="BJ23" s="436">
        <f>('Structural Information'!$AF$30)*(200)/$BI23</f>
        <v>53616.514621265807</v>
      </c>
      <c r="BK23" s="447">
        <f>Hcol2*Wcol2*(4700*SQRT(Fck))/(hstr3*1000)</f>
        <v>624233.61011723801</v>
      </c>
      <c r="BL23" s="12"/>
      <c r="BM23" s="91"/>
      <c r="BN23" s="12"/>
      <c r="BO23" s="12"/>
      <c r="BP23" s="12"/>
      <c r="BQ23" s="12"/>
      <c r="BR23" s="12"/>
      <c r="BS23" s="12"/>
      <c r="BT23" s="12"/>
      <c r="BU23" s="12"/>
      <c r="BV23" s="12"/>
      <c r="BW23" s="908"/>
      <c r="BX23" s="330" t="s">
        <v>416</v>
      </c>
      <c r="BY23" s="141">
        <f>(BP12*BP12)/$BK$8</f>
        <v>5.190364548604635E-6</v>
      </c>
      <c r="BZ23" s="141">
        <f>(BQ12*BQ12)/$BK$14</f>
        <v>5.190364548604635E-6</v>
      </c>
      <c r="CA23" s="141">
        <f>(BR12*BR12)/$BK$20</f>
        <v>5.190364548604635E-6</v>
      </c>
      <c r="CB23" s="141">
        <f>(BS12*BS12)/$BK$26</f>
        <v>3.6044198254198856E-6</v>
      </c>
      <c r="CC23" s="141">
        <f>(BT12*BT12)/$BK$32</f>
        <v>3.6044198254198856E-6</v>
      </c>
      <c r="CD23" s="142">
        <f>(BU12*BU12)/$BK$38</f>
        <v>1.4278222582243652E-6</v>
      </c>
      <c r="CE23" s="12"/>
      <c r="CF23" s="761"/>
      <c r="CG23" s="404">
        <v>5</v>
      </c>
      <c r="CH23" s="905"/>
      <c r="CI23" s="905"/>
      <c r="CJ23" s="881"/>
      <c r="CK23" s="12"/>
      <c r="CL23" s="12"/>
      <c r="CM23" s="12"/>
      <c r="CN23" s="12"/>
      <c r="CO23" s="12"/>
      <c r="CP23" s="320"/>
      <c r="CQ23" s="320"/>
      <c r="CR23" s="12"/>
      <c r="CS23" s="12"/>
      <c r="CT23" s="12"/>
      <c r="CU23" s="12"/>
      <c r="CV23" s="12"/>
      <c r="CW23" s="12"/>
      <c r="CX23" s="77" t="s">
        <v>458</v>
      </c>
      <c r="CY23" s="58">
        <f t="shared" ref="CY23:DB23" si="59">CY13/$CY13</f>
        <v>1</v>
      </c>
      <c r="CZ23" s="58">
        <f t="shared" si="59"/>
        <v>2.5331238986028675</v>
      </c>
      <c r="DA23" s="58">
        <f t="shared" si="59"/>
        <v>7.9202489104886773</v>
      </c>
      <c r="DB23" s="80">
        <f t="shared" si="59"/>
        <v>43.239187358322994</v>
      </c>
      <c r="DC23" s="58"/>
      <c r="DD23" s="12"/>
      <c r="DE23" s="12"/>
      <c r="DF23" s="12"/>
      <c r="DG23" s="12"/>
      <c r="DH23" s="12"/>
      <c r="DI23" s="12"/>
    </row>
    <row r="24" spans="1:115" x14ac:dyDescent="0.25">
      <c r="B24" s="874">
        <v>2</v>
      </c>
      <c r="C24" s="336">
        <v>1</v>
      </c>
      <c r="D24" s="336">
        <v>112</v>
      </c>
      <c r="E24" s="133">
        <f>'Structural Information'!$AC$10</f>
        <v>3</v>
      </c>
      <c r="F24" s="350">
        <f>'Structural Information'!$AM$10</f>
        <v>4.5</v>
      </c>
      <c r="G24" s="431">
        <f>'Structural Information'!$AB$19/1000</f>
        <v>0.5</v>
      </c>
      <c r="H24" s="431">
        <f>'Structural Information'!$AB$24/1000</f>
        <v>0.25</v>
      </c>
      <c r="I24" s="134">
        <f>'Structural Information'!$AB$25/1000</f>
        <v>0.25</v>
      </c>
      <c r="J24" s="135">
        <f t="shared" si="56"/>
        <v>3.2552083333333332E-4</v>
      </c>
      <c r="K24" s="350">
        <f t="shared" ref="K24:K30" si="60">F24-H24</f>
        <v>4.25</v>
      </c>
      <c r="L24" s="350">
        <f t="shared" ref="L24:L30" si="61">E24-G24</f>
        <v>2.5</v>
      </c>
      <c r="M24" s="350">
        <f t="shared" si="57"/>
        <v>4.9307707308290052</v>
      </c>
      <c r="N24" s="353">
        <f t="shared" ref="N24:N30" si="62">ATAN(L24/K24)</f>
        <v>0.53172406725880561</v>
      </c>
      <c r="T24" s="12"/>
      <c r="U24" s="874">
        <v>2</v>
      </c>
      <c r="V24" s="336">
        <v>1</v>
      </c>
      <c r="W24" s="336">
        <v>112</v>
      </c>
      <c r="X24" s="133">
        <f>1/((((COS(N24))^4)/'Structural Information'!$AR$18)+(((SIN(N24))^4)/'Structural Information'!$AR$19)+(((SIN(N24))^2)*((COS(N24))^2)*((1/'Structural Information'!$AR$20)-(2*'Structural Information'!$AV$20/'Structural Information'!$AR$19))))</f>
        <v>1375.8363758228218</v>
      </c>
      <c r="Y24" s="350">
        <f>((X24*('Structural Information'!$AV$18/1000)*SIN(2*N24))/(4*'Structural Information'!$AR$21*J24*L24))^(1/4)</f>
        <v>1.0916799951703688</v>
      </c>
      <c r="Z24" s="350">
        <f t="shared" si="1"/>
        <v>3.2750399855111065</v>
      </c>
      <c r="AA24" s="123">
        <f t="shared" si="51"/>
        <v>0.70699999999999996</v>
      </c>
      <c r="AB24" s="123">
        <f t="shared" si="41"/>
        <v>0.01</v>
      </c>
      <c r="AC24" s="134">
        <f t="shared" si="20"/>
        <v>1.113738957649824</v>
      </c>
      <c r="AD24" s="133">
        <f>((0.6*'Structural Information'!$AT$18)+(0.3*'Structural Information'!$AV$19))/(AC24/M24)</f>
        <v>1.4609835904520574</v>
      </c>
      <c r="AE24" s="350">
        <f>(((1.2*SIN(N24)+0.45*COS(N24))*'Structural Information'!$AT$19)+(0.3*'Structural Information'!$AV$19))/(AC24/M24)</f>
        <v>1.9407599825376745</v>
      </c>
      <c r="AF24" s="350">
        <f>(1.12*'Structural Information'!$AT$20*COS(N24)*SIN(N24))/((AA24*(Z24^(-0.12)))+(AB24*(Z24^(0.88))))</f>
        <v>1.5410243331800975</v>
      </c>
      <c r="AG24" s="350">
        <f>(1.16*'Structural Information'!$AT$20*TAN(N24))/((AA24)+(AB24*Z24))</f>
        <v>1.8632675851833773</v>
      </c>
      <c r="AH24" s="134">
        <f t="shared" si="52"/>
        <v>1.4609835904520574</v>
      </c>
      <c r="AI24" s="133">
        <f>AH24*AC24*'Structural Information'!$AV$18</f>
        <v>130.17234729388574</v>
      </c>
      <c r="AJ24" s="350">
        <f t="shared" si="53"/>
        <v>104.1378778351086</v>
      </c>
      <c r="AK24" s="134">
        <f t="shared" si="54"/>
        <v>13.017234729388575</v>
      </c>
      <c r="AL24" s="319"/>
      <c r="AM24" s="874">
        <v>2</v>
      </c>
      <c r="AN24" s="599">
        <v>1</v>
      </c>
      <c r="AO24" s="599">
        <v>102</v>
      </c>
      <c r="AP24" s="133">
        <f>'Structural Information'!$AC$10</f>
        <v>3</v>
      </c>
      <c r="AQ24" s="133">
        <f t="shared" si="4"/>
        <v>104.1378778351086</v>
      </c>
      <c r="AR24" s="50">
        <f t="shared" si="45"/>
        <v>8.0000000000000004E-4</v>
      </c>
      <c r="AS24" s="607">
        <f t="shared" si="6"/>
        <v>24068.875529005698</v>
      </c>
      <c r="AT24" s="152">
        <f t="shared" si="7"/>
        <v>17881.503927718884</v>
      </c>
      <c r="AU24" s="133">
        <f t="shared" si="8"/>
        <v>130.17234729388574</v>
      </c>
      <c r="AV24" s="50">
        <f t="shared" si="46"/>
        <v>2.2000000000000001E-3</v>
      </c>
      <c r="AW24" s="607">
        <f t="shared" si="10"/>
        <v>10940.397967729861</v>
      </c>
      <c r="AX24" s="94">
        <f t="shared" si="11"/>
        <v>3438.410789857955</v>
      </c>
      <c r="AY24" s="152">
        <f t="shared" si="22"/>
        <v>2554.5005611026963</v>
      </c>
      <c r="AZ24" s="607">
        <f t="shared" si="12"/>
        <v>13.017234729388575</v>
      </c>
      <c r="BA24" s="50">
        <f t="shared" si="47"/>
        <v>8.8999999999999999E-3</v>
      </c>
      <c r="BB24" s="607">
        <f t="shared" si="23"/>
        <v>-5023.880597014926</v>
      </c>
      <c r="BC24" s="611">
        <f t="shared" si="24"/>
        <v>-3732.3945823581321</v>
      </c>
      <c r="BD24" s="12"/>
      <c r="BE24" s="875"/>
      <c r="BF24" s="426">
        <v>3</v>
      </c>
      <c r="BG24" s="426">
        <v>7313</v>
      </c>
      <c r="BH24" s="426" t="s">
        <v>24</v>
      </c>
      <c r="BI24" s="432">
        <f>'Structural Information'!$AC$9</f>
        <v>3</v>
      </c>
      <c r="BJ24" s="436">
        <f>('Structural Information'!$AF$30)*(200)/$BI24</f>
        <v>53616.514621265807</v>
      </c>
      <c r="BK24" s="447">
        <f>Hcol2*Wcol2*(4700*SQRT(Fck))/(hstr3*1000)</f>
        <v>624233.61011723801</v>
      </c>
      <c r="BL24" s="12"/>
      <c r="BM24" s="91"/>
      <c r="BN24" s="12"/>
      <c r="BO24" s="12"/>
      <c r="BP24" s="12"/>
      <c r="BQ24" s="12"/>
      <c r="BR24" s="12"/>
      <c r="BS24" s="12"/>
      <c r="BT24" s="12"/>
      <c r="BU24" s="12"/>
      <c r="BV24" s="12"/>
      <c r="BW24" s="909">
        <v>5</v>
      </c>
      <c r="BX24" s="328" t="s">
        <v>417</v>
      </c>
      <c r="BY24" s="158">
        <f>(BP13*BP13)/$BK$8</f>
        <v>1.0252571947861007E-6</v>
      </c>
      <c r="BZ24" s="158">
        <f>(BQ13*BQ13)/$BK$14</f>
        <v>1.0252571947861007E-6</v>
      </c>
      <c r="CA24" s="158">
        <f>(BR13*BR13)/$BK$20</f>
        <v>1.0252571947861007E-6</v>
      </c>
      <c r="CB24" s="158">
        <f>(BS13*BS13)/$BK$26</f>
        <v>7.1198416304590332E-7</v>
      </c>
      <c r="CC24" s="158">
        <f>(BT13*BT13)/$BK$32</f>
        <v>7.1198416304590332E-7</v>
      </c>
      <c r="CD24" s="159">
        <f>(BU13*BU13)/$BK$38</f>
        <v>2.82038964587529E-7</v>
      </c>
      <c r="CE24" s="12"/>
      <c r="CF24" s="902">
        <v>2</v>
      </c>
      <c r="CG24" s="402">
        <v>1</v>
      </c>
      <c r="CH24" s="903">
        <f>1/(CC5+CC4+CD8+CD4)+1/(CC10+CC9+CD13+CD9)+1/(CC15+CC14+CD18+CD14)+1/(CD19+CC19+CC20+CD23)+1/(CD24+CC24+CC25+CD28)</f>
        <v>65331.499217061413</v>
      </c>
      <c r="CI24" s="903">
        <f>1/(CC6+CC4+CD8+CD4)+1/(CC11+CC9+CD13+CD9)+1/(CC16+CC14+CD18+CD14)+1/(CD19+CC19+CC21+CD23)+1/(CD24+CC24+CC26+CD28)</f>
        <v>9582.5546556113331</v>
      </c>
      <c r="CJ24" s="879">
        <f>1/(CC7+CC4+CD8+CD4)+1/(CC12+CC9+CD13+CD9)+1/(CC17+CC14+CD18+CD14)+1/(CD19+CC19+CC22+CD23)+1/(CD24+CC24+CC27+CD28)</f>
        <v>-12471.623397044073</v>
      </c>
      <c r="CK24" s="12"/>
      <c r="CL24" s="603"/>
      <c r="CM24" s="597"/>
      <c r="CN24" s="608"/>
      <c r="CO24" s="608"/>
      <c r="CP24" s="608"/>
      <c r="CQ24" s="608"/>
      <c r="CR24" s="12"/>
      <c r="CS24" s="12"/>
      <c r="CT24" s="12"/>
      <c r="CU24" s="12"/>
      <c r="CV24" s="12"/>
      <c r="CW24" s="12"/>
      <c r="CX24" s="77" t="s">
        <v>390</v>
      </c>
      <c r="CY24" s="58">
        <f t="shared" ref="CY24:DB26" si="63">CY14/$CY14</f>
        <v>1</v>
      </c>
      <c r="CZ24" s="58">
        <f t="shared" si="63"/>
        <v>2.6589479497913788</v>
      </c>
      <c r="DA24" s="58">
        <f t="shared" si="63"/>
        <v>8.3337059715946928</v>
      </c>
      <c r="DB24" s="80">
        <f t="shared" si="63"/>
        <v>44.668496494639612</v>
      </c>
      <c r="DC24" s="58"/>
      <c r="DD24" s="12"/>
      <c r="DE24" s="12"/>
      <c r="DF24" s="12"/>
      <c r="DG24" s="12"/>
      <c r="DH24" s="12"/>
      <c r="DI24" s="12"/>
    </row>
    <row r="25" spans="1:115" x14ac:dyDescent="0.25">
      <c r="A25" s="12"/>
      <c r="B25" s="875"/>
      <c r="C25" s="338">
        <v>2</v>
      </c>
      <c r="D25" s="338">
        <v>212</v>
      </c>
      <c r="E25" s="366">
        <f>'Structural Information'!$AC$10</f>
        <v>3</v>
      </c>
      <c r="F25" s="351">
        <f>'Structural Information'!$AM$9</f>
        <v>2</v>
      </c>
      <c r="G25" s="432">
        <f>'Structural Information'!$AB$19/1000</f>
        <v>0.5</v>
      </c>
      <c r="H25" s="432">
        <f>'Structural Information'!$AB$29/1000</f>
        <v>0.3</v>
      </c>
      <c r="I25" s="437">
        <f>'Structural Information'!$AB$30/1000</f>
        <v>0.3</v>
      </c>
      <c r="J25" s="143">
        <f t="shared" si="56"/>
        <v>6.7499999999999993E-4</v>
      </c>
      <c r="K25" s="351">
        <f t="shared" si="60"/>
        <v>1.7</v>
      </c>
      <c r="L25" s="351">
        <f t="shared" si="61"/>
        <v>2.5</v>
      </c>
      <c r="M25" s="351">
        <f t="shared" si="57"/>
        <v>3.0232432915661951</v>
      </c>
      <c r="N25" s="354">
        <f t="shared" si="62"/>
        <v>0.97361966870221905</v>
      </c>
      <c r="O25" s="12"/>
      <c r="P25" s="12"/>
      <c r="Q25" s="12"/>
      <c r="R25" s="12"/>
      <c r="T25" s="12"/>
      <c r="U25" s="875"/>
      <c r="V25" s="338">
        <v>2</v>
      </c>
      <c r="W25" s="338">
        <v>212</v>
      </c>
      <c r="X25" s="366">
        <f>1/((((COS(N25))^4)/'Structural Information'!$AR$18)+(((SIN(N25))^4)/'Structural Information'!$AR$19)+(((SIN(N25))^2)*((COS(N25))^2)*((1/'Structural Information'!$AR$20)-(2*'Structural Information'!$AV$20/'Structural Information'!$AR$19))))</f>
        <v>1988.4509990748261</v>
      </c>
      <c r="Y25" s="351">
        <f>((X25*('Structural Information'!$AV$18/1000)*SIN(2*N25))/(4*'Structural Information'!$AR$21*J25*L25))^(1/4)</f>
        <v>1.0130642409573509</v>
      </c>
      <c r="Z25" s="351">
        <f t="shared" si="1"/>
        <v>3.0391927228720528</v>
      </c>
      <c r="AA25" s="120">
        <f t="shared" si="51"/>
        <v>1.3</v>
      </c>
      <c r="AB25" s="120">
        <f t="shared" si="41"/>
        <v>-0.17799999999999999</v>
      </c>
      <c r="AC25" s="367">
        <f t="shared" si="20"/>
        <v>0.75504040193738875</v>
      </c>
      <c r="AD25" s="366">
        <f>((0.6*'Structural Information'!$AT$18)+(0.3*'Structural Information'!$AV$19))/(AC25/M25)</f>
        <v>1.3213468890629982</v>
      </c>
      <c r="AE25" s="351">
        <f>(((1.2*SIN(N25)+0.45*COS(N25))*'Structural Information'!$AT$19)+(0.3*'Structural Information'!$AV$19))/(AC25/M25)</f>
        <v>2.1940547760745823</v>
      </c>
      <c r="AF25" s="351">
        <f>(1.12*'Structural Information'!$AT$20*COS(N25)*SIN(N25))/((AA25*(Z25^(-0.12)))+(AB25*(Z25^(0.88))))</f>
        <v>1.5837542062633532</v>
      </c>
      <c r="AG25" s="351">
        <f>(1.16*'Structural Information'!$AT$20*TAN(N25))/((AA25)+(AB25*Z25))</f>
        <v>4.5398877191160363</v>
      </c>
      <c r="AH25" s="367">
        <f t="shared" si="52"/>
        <v>1.3213468890629982</v>
      </c>
      <c r="AI25" s="366">
        <f>AH25*AC25*'Structural Information'!$AV$18</f>
        <v>79.813622897347557</v>
      </c>
      <c r="AJ25" s="351">
        <f t="shared" si="53"/>
        <v>63.850898317878048</v>
      </c>
      <c r="AK25" s="367">
        <f t="shared" si="54"/>
        <v>7.981362289734756</v>
      </c>
      <c r="AL25" s="319"/>
      <c r="AM25" s="875"/>
      <c r="AN25" s="597">
        <v>2</v>
      </c>
      <c r="AO25" s="597">
        <v>202</v>
      </c>
      <c r="AP25" s="618">
        <f>'Structural Information'!$AC$10</f>
        <v>3</v>
      </c>
      <c r="AQ25" s="618">
        <f t="shared" si="4"/>
        <v>63.850898317878048</v>
      </c>
      <c r="AR25" s="58">
        <f t="shared" si="45"/>
        <v>8.0000000000000004E-4</v>
      </c>
      <c r="AS25" s="608">
        <f t="shared" si="6"/>
        <v>22136.316141302566</v>
      </c>
      <c r="AT25" s="138">
        <f t="shared" si="7"/>
        <v>6999.3384735628479</v>
      </c>
      <c r="AU25" s="618">
        <f t="shared" si="8"/>
        <v>79.813622897347557</v>
      </c>
      <c r="AV25" s="58">
        <f t="shared" si="46"/>
        <v>2.2000000000000001E-3</v>
      </c>
      <c r="AW25" s="608">
        <f t="shared" si="10"/>
        <v>10061.961882410256</v>
      </c>
      <c r="AX25" s="99">
        <f t="shared" si="11"/>
        <v>3162.3308773289368</v>
      </c>
      <c r="AY25" s="138">
        <f t="shared" si="22"/>
        <v>999.90549622326353</v>
      </c>
      <c r="AZ25" s="608">
        <f t="shared" si="12"/>
        <v>7.981362289734756</v>
      </c>
      <c r="BA25" s="58">
        <f t="shared" si="47"/>
        <v>8.8999999999999999E-3</v>
      </c>
      <c r="BB25" s="608">
        <f t="shared" si="23"/>
        <v>-2009.5522388059708</v>
      </c>
      <c r="BC25" s="612">
        <f t="shared" si="24"/>
        <v>-635.40546719357292</v>
      </c>
      <c r="BD25" s="12"/>
      <c r="BE25" s="875"/>
      <c r="BF25" s="426">
        <v>4</v>
      </c>
      <c r="BG25" s="426">
        <v>7413</v>
      </c>
      <c r="BH25" s="426" t="s">
        <v>24</v>
      </c>
      <c r="BI25" s="432">
        <f>'Structural Information'!$AC$9</f>
        <v>3</v>
      </c>
      <c r="BJ25" s="436">
        <f>('Structural Information'!$AF$30)*(200)/$BI25</f>
        <v>53616.514621265807</v>
      </c>
      <c r="BK25" s="447">
        <f>Hcol2*Wcol2*(4700*SQRT(Fck))/(hstr3*1000)</f>
        <v>624233.61011723801</v>
      </c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908"/>
      <c r="BX25" s="324" t="s">
        <v>418</v>
      </c>
      <c r="BY25" s="141">
        <f>1/($AT$8)</f>
        <v>5.5923707762066768E-5</v>
      </c>
      <c r="BZ25" s="141">
        <f>1/($AT$13)</f>
        <v>5.5923707762066768E-5</v>
      </c>
      <c r="CA25" s="141">
        <f>1/($AT$18)</f>
        <v>5.5923707762066768E-5</v>
      </c>
      <c r="CB25" s="141">
        <f>1/($AT$23)</f>
        <v>5.5923707762066768E-5</v>
      </c>
      <c r="CC25" s="141">
        <f>1/($AT$28)</f>
        <v>5.5923707762066768E-5</v>
      </c>
      <c r="CD25" s="142">
        <f>1/($AT$33)</f>
        <v>5.3957814241538037E-5</v>
      </c>
      <c r="CE25" s="12"/>
      <c r="CF25" s="882"/>
      <c r="CG25" s="403">
        <v>2</v>
      </c>
      <c r="CH25" s="904"/>
      <c r="CI25" s="904"/>
      <c r="CJ25" s="880"/>
      <c r="CK25" s="12"/>
      <c r="CL25" s="12"/>
      <c r="CM25" s="12"/>
      <c r="CN25" s="12"/>
      <c r="CO25" s="12"/>
      <c r="CP25" s="12"/>
      <c r="CQ25" s="12"/>
      <c r="CR25" s="12"/>
      <c r="CS25" s="12"/>
      <c r="CT25" s="12"/>
      <c r="CU25" s="12"/>
      <c r="CV25" s="12"/>
      <c r="CW25" s="12"/>
      <c r="CX25" s="77" t="s">
        <v>391</v>
      </c>
      <c r="CY25" s="58">
        <f t="shared" si="63"/>
        <v>1</v>
      </c>
      <c r="CZ25" s="58">
        <f t="shared" si="63"/>
        <v>2.7044384708728146</v>
      </c>
      <c r="DA25" s="58">
        <f t="shared" si="63"/>
        <v>8.5976517502774819</v>
      </c>
      <c r="DB25" s="80">
        <f t="shared" si="63"/>
        <v>46.112012434402466</v>
      </c>
      <c r="DC25" s="58"/>
      <c r="DD25" s="12"/>
      <c r="DE25" s="12"/>
      <c r="DF25" s="12"/>
      <c r="DG25" s="12"/>
      <c r="DH25" s="12"/>
      <c r="DI25" s="12"/>
    </row>
    <row r="26" spans="1:115" ht="15.75" thickBot="1" x14ac:dyDescent="0.3">
      <c r="A26" s="12"/>
      <c r="B26" s="875"/>
      <c r="C26" s="338">
        <v>3</v>
      </c>
      <c r="D26" s="338">
        <v>312</v>
      </c>
      <c r="E26" s="366">
        <f>'Structural Information'!$AC$10</f>
        <v>3</v>
      </c>
      <c r="F26" s="351">
        <f>'Structural Information'!$AM$8</f>
        <v>4.5</v>
      </c>
      <c r="G26" s="432">
        <f>'Structural Information'!$AB$19/1000</f>
        <v>0.5</v>
      </c>
      <c r="H26" s="432">
        <f>'Structural Information'!$AB$29/1000</f>
        <v>0.3</v>
      </c>
      <c r="I26" s="437">
        <f>'Structural Information'!$AB$30/1000</f>
        <v>0.3</v>
      </c>
      <c r="J26" s="143">
        <f t="shared" si="56"/>
        <v>6.7499999999999993E-4</v>
      </c>
      <c r="K26" s="351">
        <f t="shared" si="60"/>
        <v>4.2</v>
      </c>
      <c r="L26" s="351">
        <f t="shared" si="61"/>
        <v>2.5</v>
      </c>
      <c r="M26" s="351">
        <f t="shared" si="57"/>
        <v>4.8877397639399751</v>
      </c>
      <c r="N26" s="354">
        <f t="shared" si="62"/>
        <v>0.53691074274004558</v>
      </c>
      <c r="O26" s="12"/>
      <c r="P26" s="12"/>
      <c r="Q26" s="12"/>
      <c r="R26" s="12"/>
      <c r="T26" s="12"/>
      <c r="U26" s="875"/>
      <c r="V26" s="338">
        <v>3</v>
      </c>
      <c r="W26" s="338">
        <v>312</v>
      </c>
      <c r="X26" s="366">
        <f>1/((((COS(N26))^4)/'Structural Information'!$AR$18)+(((SIN(N26))^4)/'Structural Information'!$AR$19)+(((SIN(N26))^2)*((COS(N26))^2)*((1/'Structural Information'!$AR$20)-(2*'Structural Information'!$AV$20/'Structural Information'!$AR$19))))</f>
        <v>1383.4397216107056</v>
      </c>
      <c r="Y26" s="351">
        <f>((X26*('Structural Information'!$AV$18/1000)*SIN(2*N26))/(4*'Structural Information'!$AR$21*J26*L26))^(1/4)</f>
        <v>0.9122858244892752</v>
      </c>
      <c r="Z26" s="351">
        <f t="shared" si="1"/>
        <v>2.7368574734678255</v>
      </c>
      <c r="AA26" s="120">
        <f t="shared" si="51"/>
        <v>1.3</v>
      </c>
      <c r="AB26" s="120">
        <f t="shared" si="41"/>
        <v>-0.17799999999999999</v>
      </c>
      <c r="AC26" s="367">
        <f t="shared" si="20"/>
        <v>1.4516456730410687</v>
      </c>
      <c r="AD26" s="366">
        <f>((0.6*'Structural Information'!$AT$18)+(0.3*'Structural Information'!$AV$19))/(AC26/M26)</f>
        <v>1.1111210897086174</v>
      </c>
      <c r="AE26" s="351">
        <f>(((1.2*SIN(N26)+0.45*COS(N26))*'Structural Information'!$AT$19)+(0.3*'Structural Information'!$AV$19))/(AC26/M26)</f>
        <v>1.4821798734760041</v>
      </c>
      <c r="AF26" s="351">
        <f>(1.12*'Structural Information'!$AT$20*COS(N26)*SIN(N26))/((AA26*(Z26^(-0.12)))+(AB26*(Z26^(0.88))))</f>
        <v>1.3804099237876348</v>
      </c>
      <c r="AG26" s="351">
        <f>(1.16*'Structural Information'!$AT$20*TAN(N26))/((AA26)+(AB26*Z26))</f>
        <v>1.715913323978981</v>
      </c>
      <c r="AH26" s="367">
        <f t="shared" ref="AH26:AH33" si="64">MIN(AD26:AG26)</f>
        <v>1.1111210897086174</v>
      </c>
      <c r="AI26" s="366">
        <f>AH26*AC26*'Structural Information'!$AV$18</f>
        <v>129.03632976801535</v>
      </c>
      <c r="AJ26" s="351">
        <f t="shared" ref="AJ26:AJ33" si="65">0.8*AI26</f>
        <v>103.22906381441229</v>
      </c>
      <c r="AK26" s="367">
        <f t="shared" ref="AK26:AK33" si="66">0.1*AI26</f>
        <v>12.903632976801536</v>
      </c>
      <c r="AL26" s="319"/>
      <c r="AM26" s="875"/>
      <c r="AN26" s="597">
        <v>3</v>
      </c>
      <c r="AO26" s="597">
        <v>302</v>
      </c>
      <c r="AP26" s="618">
        <f>'Structural Information'!$AC$10</f>
        <v>3</v>
      </c>
      <c r="AQ26" s="618">
        <f t="shared" si="4"/>
        <v>103.22906381441229</v>
      </c>
      <c r="AR26" s="58">
        <f t="shared" si="45"/>
        <v>8.0000000000000004E-4</v>
      </c>
      <c r="AS26" s="608">
        <f t="shared" si="6"/>
        <v>23858.825814167161</v>
      </c>
      <c r="AT26" s="138">
        <f t="shared" si="7"/>
        <v>17616.981471825395</v>
      </c>
      <c r="AU26" s="618">
        <f t="shared" si="8"/>
        <v>129.03632976801535</v>
      </c>
      <c r="AV26" s="58">
        <f t="shared" si="46"/>
        <v>2.2000000000000001E-3</v>
      </c>
      <c r="AW26" s="608">
        <f t="shared" si="10"/>
        <v>10844.920824621437</v>
      </c>
      <c r="AX26" s="99">
        <f t="shared" si="11"/>
        <v>3408.4036877381645</v>
      </c>
      <c r="AY26" s="138">
        <f t="shared" si="22"/>
        <v>2516.7116388321983</v>
      </c>
      <c r="AZ26" s="608">
        <f t="shared" si="12"/>
        <v>12.903632976801536</v>
      </c>
      <c r="BA26" s="58">
        <f t="shared" si="47"/>
        <v>8.8999999999999999E-3</v>
      </c>
      <c r="BB26" s="608">
        <f t="shared" si="23"/>
        <v>-4964.7761194029854</v>
      </c>
      <c r="BC26" s="612">
        <f t="shared" si="24"/>
        <v>-3665.9125469346445</v>
      </c>
      <c r="BD26" s="12"/>
      <c r="BE26" s="875"/>
      <c r="BF26" s="426">
        <v>5</v>
      </c>
      <c r="BG26" s="426">
        <v>7513</v>
      </c>
      <c r="BH26" s="426" t="s">
        <v>24</v>
      </c>
      <c r="BI26" s="432">
        <f>'Structural Information'!$AC$9</f>
        <v>3</v>
      </c>
      <c r="BJ26" s="436">
        <f>('Structural Information'!$AF$30)*(200)/$BI26</f>
        <v>53616.514621265807</v>
      </c>
      <c r="BK26" s="447">
        <f>Hcol2*Wcol2*(4700*SQRT(Fck))/(hstr3*1000)</f>
        <v>624233.61011723801</v>
      </c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908"/>
      <c r="BX26" s="325" t="s">
        <v>418</v>
      </c>
      <c r="BY26" s="141">
        <f>1/($AY$8)</f>
        <v>3.9146595433446759E-4</v>
      </c>
      <c r="BZ26" s="141">
        <f>1/($AY$13)</f>
        <v>3.9146595433446759E-4</v>
      </c>
      <c r="CA26" s="141">
        <f>1/($AY$18)</f>
        <v>3.9146595433446759E-4</v>
      </c>
      <c r="CB26" s="141">
        <f>1/($AY$23)</f>
        <v>3.9146595433446759E-4</v>
      </c>
      <c r="CC26" s="141">
        <f>1/($AY$28)</f>
        <v>3.9146595433446759E-4</v>
      </c>
      <c r="CD26" s="142">
        <f>1/($AY$33)</f>
        <v>3.7770469969076651E-4</v>
      </c>
      <c r="CE26" s="12"/>
      <c r="CF26" s="882"/>
      <c r="CG26" s="403">
        <v>3</v>
      </c>
      <c r="CH26" s="904"/>
      <c r="CI26" s="904"/>
      <c r="CJ26" s="880"/>
      <c r="CK26" s="12"/>
      <c r="CL26" s="12"/>
      <c r="CM26" s="12"/>
      <c r="CN26" s="12"/>
      <c r="CO26" s="12"/>
      <c r="CP26" s="12"/>
      <c r="CQ26" s="12"/>
      <c r="CR26" s="12"/>
      <c r="CS26" s="12"/>
      <c r="CT26" s="12"/>
      <c r="CU26" s="12"/>
      <c r="CV26" s="12"/>
      <c r="CW26" s="12"/>
      <c r="CX26" s="88" t="s">
        <v>392</v>
      </c>
      <c r="CY26" s="89">
        <f t="shared" si="63"/>
        <v>1</v>
      </c>
      <c r="CZ26" s="89">
        <f t="shared" si="63"/>
        <v>2.7391824111650775</v>
      </c>
      <c r="DA26" s="89">
        <f t="shared" si="63"/>
        <v>8.2997141631067848</v>
      </c>
      <c r="DB26" s="90">
        <f t="shared" si="63"/>
        <v>45.286526496055437</v>
      </c>
      <c r="DC26" s="58"/>
      <c r="DD26" s="12"/>
      <c r="DE26" s="12"/>
      <c r="DF26" s="12"/>
      <c r="DG26" s="12"/>
      <c r="DH26" s="12"/>
      <c r="DI26" s="12"/>
    </row>
    <row r="27" spans="1:115" x14ac:dyDescent="0.25">
      <c r="A27" s="12"/>
      <c r="B27" s="875"/>
      <c r="C27" s="338">
        <v>4</v>
      </c>
      <c r="D27" s="338">
        <v>412</v>
      </c>
      <c r="E27" s="366">
        <f>'Structural Information'!$AC$10</f>
        <v>3</v>
      </c>
      <c r="F27" s="351">
        <f>'Structural Information'!$AM$7</f>
        <v>2</v>
      </c>
      <c r="G27" s="432">
        <f>'Structural Information'!$AB$19/1000</f>
        <v>0.5</v>
      </c>
      <c r="H27" s="432">
        <f>'Structural Information'!$AB$29/1000</f>
        <v>0.3</v>
      </c>
      <c r="I27" s="437">
        <f>'Structural Information'!$AB$30/1000</f>
        <v>0.3</v>
      </c>
      <c r="J27" s="143">
        <f t="shared" si="56"/>
        <v>6.7499999999999993E-4</v>
      </c>
      <c r="K27" s="351">
        <f t="shared" si="60"/>
        <v>1.7</v>
      </c>
      <c r="L27" s="351">
        <f t="shared" si="61"/>
        <v>2.5</v>
      </c>
      <c r="M27" s="351">
        <f t="shared" si="57"/>
        <v>3.0232432915661951</v>
      </c>
      <c r="N27" s="354">
        <f t="shared" si="62"/>
        <v>0.97361966870221905</v>
      </c>
      <c r="O27" s="12"/>
      <c r="P27" s="12"/>
      <c r="Q27" s="12"/>
      <c r="R27" s="12"/>
      <c r="T27" s="12"/>
      <c r="U27" s="875"/>
      <c r="V27" s="338">
        <v>4</v>
      </c>
      <c r="W27" s="338">
        <v>412</v>
      </c>
      <c r="X27" s="366">
        <f>1/((((COS(N27))^4)/'Structural Information'!$AR$18)+(((SIN(N27))^4)/'Structural Information'!$AR$19)+(((SIN(N27))^2)*((COS(N27))^2)*((1/'Structural Information'!$AR$20)-(2*'Structural Information'!$AV$20/'Structural Information'!$AR$19))))</f>
        <v>1988.4509990748261</v>
      </c>
      <c r="Y27" s="351">
        <f>((X27*('Structural Information'!$AV$18/1000)*SIN(2*N27))/(4*'Structural Information'!$AR$21*J27*L27))^(1/4)</f>
        <v>1.0130642409573509</v>
      </c>
      <c r="Z27" s="351">
        <f t="shared" si="1"/>
        <v>3.0391927228720528</v>
      </c>
      <c r="AA27" s="120">
        <f t="shared" si="51"/>
        <v>1.3</v>
      </c>
      <c r="AB27" s="120">
        <f t="shared" si="41"/>
        <v>-0.17799999999999999</v>
      </c>
      <c r="AC27" s="367">
        <f t="shared" si="20"/>
        <v>0.75504040193738875</v>
      </c>
      <c r="AD27" s="366">
        <f>((0.6*'Structural Information'!$AT$18)+(0.3*'Structural Information'!$AV$19))/(AC27/M27)</f>
        <v>1.3213468890629982</v>
      </c>
      <c r="AE27" s="351">
        <f>(((1.2*SIN(N27)+0.45*COS(N27))*'Structural Information'!$AT$19)+(0.3*'Structural Information'!$AV$19))/(AC27/M27)</f>
        <v>2.1940547760745823</v>
      </c>
      <c r="AF27" s="351">
        <f>(1.12*'Structural Information'!$AT$20*COS(N27)*SIN(N27))/((AA27*(Z27^(-0.12)))+(AB27*(Z27^(0.88))))</f>
        <v>1.5837542062633532</v>
      </c>
      <c r="AG27" s="351">
        <f>(1.16*'Structural Information'!$AT$20*TAN(N27))/((AA27)+(AB27*Z27))</f>
        <v>4.5398877191160363</v>
      </c>
      <c r="AH27" s="367">
        <f t="shared" si="64"/>
        <v>1.3213468890629982</v>
      </c>
      <c r="AI27" s="366">
        <f>AH27*AC27*'Structural Information'!$AV$18</f>
        <v>79.813622897347557</v>
      </c>
      <c r="AJ27" s="351">
        <f t="shared" si="65"/>
        <v>63.850898317878048</v>
      </c>
      <c r="AK27" s="367">
        <f t="shared" si="66"/>
        <v>7.981362289734756</v>
      </c>
      <c r="AL27" s="319"/>
      <c r="AM27" s="875"/>
      <c r="AN27" s="597">
        <v>4</v>
      </c>
      <c r="AO27" s="597">
        <v>402</v>
      </c>
      <c r="AP27" s="618">
        <f>'Structural Information'!$AC$10</f>
        <v>3</v>
      </c>
      <c r="AQ27" s="618">
        <f t="shared" si="4"/>
        <v>63.850898317878048</v>
      </c>
      <c r="AR27" s="58">
        <f t="shared" si="45"/>
        <v>8.0000000000000004E-4</v>
      </c>
      <c r="AS27" s="608">
        <f t="shared" si="6"/>
        <v>22136.316141302566</v>
      </c>
      <c r="AT27" s="138">
        <f t="shared" si="7"/>
        <v>6999.3384735628479</v>
      </c>
      <c r="AU27" s="618">
        <f t="shared" si="8"/>
        <v>79.813622897347557</v>
      </c>
      <c r="AV27" s="58">
        <f t="shared" si="46"/>
        <v>2.2000000000000001E-3</v>
      </c>
      <c r="AW27" s="608">
        <f t="shared" si="10"/>
        <v>10061.961882410256</v>
      </c>
      <c r="AX27" s="99">
        <f t="shared" si="11"/>
        <v>3162.3308773289368</v>
      </c>
      <c r="AY27" s="138">
        <f t="shared" si="22"/>
        <v>999.90549622326353</v>
      </c>
      <c r="AZ27" s="608">
        <f t="shared" si="12"/>
        <v>7.981362289734756</v>
      </c>
      <c r="BA27" s="58">
        <f t="shared" si="47"/>
        <v>8.8999999999999999E-3</v>
      </c>
      <c r="BB27" s="608">
        <f t="shared" si="23"/>
        <v>-2009.5522388059708</v>
      </c>
      <c r="BC27" s="612">
        <f t="shared" si="24"/>
        <v>-635.40546719357292</v>
      </c>
      <c r="BD27" s="12"/>
      <c r="BE27" s="895"/>
      <c r="BF27" s="427">
        <v>6</v>
      </c>
      <c r="BG27" s="427">
        <v>7613</v>
      </c>
      <c r="BH27" s="427" t="s">
        <v>23</v>
      </c>
      <c r="BI27" s="433">
        <f>'Structural Information'!$AC$9</f>
        <v>3</v>
      </c>
      <c r="BJ27" s="147">
        <f>('Structural Information'!$AF$25)*(200)/$BI27</f>
        <v>53616.514621265807</v>
      </c>
      <c r="BK27" s="448">
        <f>Hcol1*Wcol1*(4700*SQRT(Fck))/(hstr3*1000)</f>
        <v>433495.56258141535</v>
      </c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908"/>
      <c r="BX27" s="326" t="s">
        <v>418</v>
      </c>
      <c r="BY27" s="141">
        <f>1/($BC$8)</f>
        <v>-2.679245127850868E-4</v>
      </c>
      <c r="BZ27" s="141">
        <f>1/($BC$13)</f>
        <v>-2.679245127850868E-4</v>
      </c>
      <c r="CA27" s="141">
        <f>1/($BC$18)</f>
        <v>-2.679245127850868E-4</v>
      </c>
      <c r="CB27" s="141">
        <f>1/($BC$23)</f>
        <v>-2.679245127850868E-4</v>
      </c>
      <c r="CC27" s="141">
        <f>1/($BC$28)</f>
        <v>-2.679245127850868E-4</v>
      </c>
      <c r="CD27" s="142">
        <f>1/($BC$33)</f>
        <v>-2.376221239157037E-4</v>
      </c>
      <c r="CE27" s="12"/>
      <c r="CF27" s="882"/>
      <c r="CG27" s="403">
        <v>4</v>
      </c>
      <c r="CH27" s="904"/>
      <c r="CI27" s="904"/>
      <c r="CJ27" s="880"/>
      <c r="CK27" s="12"/>
      <c r="CL27" s="12"/>
      <c r="CM27" s="12"/>
      <c r="CN27" s="12"/>
      <c r="CO27" s="12"/>
      <c r="CP27" s="12"/>
      <c r="CQ27" s="12"/>
      <c r="CR27" s="12"/>
      <c r="CS27" s="12"/>
      <c r="CT27" s="12"/>
      <c r="CU27" s="12"/>
      <c r="CV27" s="12"/>
      <c r="CW27" s="12"/>
      <c r="CX27" s="12"/>
      <c r="CY27" s="12"/>
      <c r="CZ27" s="12"/>
      <c r="DA27" s="12"/>
      <c r="DB27" s="12"/>
      <c r="DC27" s="12"/>
      <c r="DD27" s="12"/>
      <c r="DE27" s="12"/>
      <c r="DF27" s="12"/>
      <c r="DG27" s="12"/>
      <c r="DH27" s="12"/>
      <c r="DI27" s="12"/>
    </row>
    <row r="28" spans="1:115" ht="15.75" thickBot="1" x14ac:dyDescent="0.3">
      <c r="A28" s="12"/>
      <c r="B28" s="895"/>
      <c r="C28" s="342">
        <v>5</v>
      </c>
      <c r="D28" s="342">
        <v>512</v>
      </c>
      <c r="E28" s="147">
        <f>'Structural Information'!$AC$10</f>
        <v>3</v>
      </c>
      <c r="F28" s="362">
        <f>'Structural Information'!$AM$6</f>
        <v>4.5</v>
      </c>
      <c r="G28" s="433">
        <f>'Structural Information'!$AB$19/1000</f>
        <v>0.5</v>
      </c>
      <c r="H28" s="433">
        <f>'Structural Information'!$AB$24/1000</f>
        <v>0.25</v>
      </c>
      <c r="I28" s="148">
        <f>'Structural Information'!$AB$25/1000</f>
        <v>0.25</v>
      </c>
      <c r="J28" s="149">
        <f t="shared" si="56"/>
        <v>3.2552083333333332E-4</v>
      </c>
      <c r="K28" s="362">
        <f t="shared" si="60"/>
        <v>4.25</v>
      </c>
      <c r="L28" s="362">
        <f t="shared" si="61"/>
        <v>2.5</v>
      </c>
      <c r="M28" s="362">
        <f t="shared" si="57"/>
        <v>4.9307707308290052</v>
      </c>
      <c r="N28" s="363">
        <f t="shared" si="62"/>
        <v>0.53172406725880561</v>
      </c>
      <c r="O28" s="12"/>
      <c r="P28" s="12"/>
      <c r="Q28" s="12"/>
      <c r="R28" s="12"/>
      <c r="T28" s="12"/>
      <c r="U28" s="895"/>
      <c r="V28" s="342">
        <v>5</v>
      </c>
      <c r="W28" s="342">
        <v>512</v>
      </c>
      <c r="X28" s="147">
        <f>1/((((COS(N28))^4)/'Structural Information'!$AR$18)+(((SIN(N28))^4)/'Structural Information'!$AR$19)+(((SIN(N28))^2)*((COS(N28))^2)*((1/'Structural Information'!$AR$20)-(2*'Structural Information'!$AV$20/'Structural Information'!$AR$19))))</f>
        <v>1375.8363758228218</v>
      </c>
      <c r="Y28" s="362">
        <f>((X28*('Structural Information'!$AV$18/1000)*SIN(2*N28))/(4*'Structural Information'!$AR$21*J28*L28))^(1/4)</f>
        <v>1.0916799951703688</v>
      </c>
      <c r="Z28" s="362">
        <f t="shared" si="1"/>
        <v>3.2750399855111065</v>
      </c>
      <c r="AA28" s="150">
        <f t="shared" si="51"/>
        <v>0.70699999999999996</v>
      </c>
      <c r="AB28" s="150">
        <f t="shared" si="41"/>
        <v>0.01</v>
      </c>
      <c r="AC28" s="148">
        <f t="shared" si="20"/>
        <v>1.113738957649824</v>
      </c>
      <c r="AD28" s="147">
        <f>((0.6*'Structural Information'!$AT$18)+(0.3*'Structural Information'!$AV$19))/(AC28/M28)</f>
        <v>1.4609835904520574</v>
      </c>
      <c r="AE28" s="362">
        <f>(((1.2*SIN(N28)+0.45*COS(N28))*'Structural Information'!$AT$19)+(0.3*'Structural Information'!$AV$19))/(AC28/M28)</f>
        <v>1.9407599825376745</v>
      </c>
      <c r="AF28" s="362">
        <f>(1.12*'Structural Information'!$AT$20*COS(N28)*SIN(N28))/((AA28*(Z28^(-0.12)))+(AB28*(Z28^(0.88))))</f>
        <v>1.5410243331800975</v>
      </c>
      <c r="AG28" s="362">
        <f>(1.16*'Structural Information'!$AT$20*TAN(N28))/((AA28)+(AB28*Z28))</f>
        <v>1.8632675851833773</v>
      </c>
      <c r="AH28" s="148">
        <f t="shared" si="64"/>
        <v>1.4609835904520574</v>
      </c>
      <c r="AI28" s="147">
        <f>AH28*AC28*'Structural Information'!$AV$18</f>
        <v>130.17234729388574</v>
      </c>
      <c r="AJ28" s="362">
        <f t="shared" si="65"/>
        <v>104.1378778351086</v>
      </c>
      <c r="AK28" s="148">
        <f t="shared" si="66"/>
        <v>13.017234729388575</v>
      </c>
      <c r="AL28" s="319"/>
      <c r="AM28" s="895"/>
      <c r="AN28" s="600">
        <v>5</v>
      </c>
      <c r="AO28" s="600">
        <v>502</v>
      </c>
      <c r="AP28" s="147">
        <f>'Structural Information'!$AC$10</f>
        <v>3</v>
      </c>
      <c r="AQ28" s="147">
        <f t="shared" si="4"/>
        <v>104.1378778351086</v>
      </c>
      <c r="AR28" s="75">
        <f t="shared" si="45"/>
        <v>8.0000000000000004E-4</v>
      </c>
      <c r="AS28" s="609">
        <f t="shared" si="6"/>
        <v>24068.875529005698</v>
      </c>
      <c r="AT28" s="156">
        <f t="shared" si="7"/>
        <v>17881.503927718884</v>
      </c>
      <c r="AU28" s="147">
        <f t="shared" si="8"/>
        <v>130.17234729388574</v>
      </c>
      <c r="AV28" s="75">
        <f t="shared" si="46"/>
        <v>2.2000000000000001E-3</v>
      </c>
      <c r="AW28" s="609">
        <f t="shared" si="10"/>
        <v>10940.397967729861</v>
      </c>
      <c r="AX28" s="157">
        <f t="shared" si="11"/>
        <v>3438.410789857955</v>
      </c>
      <c r="AY28" s="156">
        <f t="shared" si="22"/>
        <v>2554.5005611026963</v>
      </c>
      <c r="AZ28" s="609">
        <f t="shared" si="12"/>
        <v>13.017234729388575</v>
      </c>
      <c r="BA28" s="75">
        <f t="shared" si="47"/>
        <v>8.8999999999999999E-3</v>
      </c>
      <c r="BB28" s="609">
        <f t="shared" si="23"/>
        <v>-5023.880597014926</v>
      </c>
      <c r="BC28" s="614">
        <f t="shared" si="24"/>
        <v>-3732.3945823581321</v>
      </c>
      <c r="BD28" s="12"/>
      <c r="BE28" s="874">
        <v>2</v>
      </c>
      <c r="BF28" s="425">
        <v>1</v>
      </c>
      <c r="BG28" s="425">
        <v>7112</v>
      </c>
      <c r="BH28" s="425" t="s">
        <v>23</v>
      </c>
      <c r="BI28" s="431">
        <f>'Structural Information'!$AC$10</f>
        <v>3</v>
      </c>
      <c r="BJ28" s="133">
        <f>('Structural Information'!$AF$25)*(200)/$BI28</f>
        <v>53616.514621265807</v>
      </c>
      <c r="BK28" s="449">
        <f>Hcol1*Wcol1*(4700*SQRT(Fck))/(hstr2*1000)</f>
        <v>433495.56258141535</v>
      </c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910"/>
      <c r="BX28" s="331" t="s">
        <v>408</v>
      </c>
      <c r="BY28" s="167">
        <f>(BP14*BP14)/$BK$9</f>
        <v>1.0252571947861007E-6</v>
      </c>
      <c r="BZ28" s="167">
        <f>(BQ14*BQ14)/$BK$15</f>
        <v>1.0252571947861007E-6</v>
      </c>
      <c r="CA28" s="167">
        <f>(BR14*BR14)/$BK$21</f>
        <v>1.0252571947861007E-6</v>
      </c>
      <c r="CB28" s="167">
        <f>(BS14*BS14)/$BK$27</f>
        <v>1.0252571947861007E-6</v>
      </c>
      <c r="CC28" s="167">
        <f>(BT14*BT14)/$BK$33</f>
        <v>1.0252571947861007E-6</v>
      </c>
      <c r="CD28" s="168">
        <f>(BU14*BU14)/$BK$39</f>
        <v>5.4840909780908416E-7</v>
      </c>
      <c r="CE28" s="12"/>
      <c r="CF28" s="761"/>
      <c r="CG28" s="404">
        <v>5</v>
      </c>
      <c r="CH28" s="905"/>
      <c r="CI28" s="905"/>
      <c r="CJ28" s="881"/>
      <c r="CK28" s="12"/>
      <c r="CL28" s="12"/>
      <c r="CM28" s="12"/>
      <c r="CN28" s="12"/>
      <c r="CO28" s="12"/>
      <c r="CP28" s="12"/>
      <c r="CQ28" s="12"/>
      <c r="CR28" s="12"/>
      <c r="CS28" s="12"/>
      <c r="CT28" s="12"/>
      <c r="CU28" s="12"/>
      <c r="CV28" s="12"/>
      <c r="CW28" s="12"/>
      <c r="CX28" s="12"/>
      <c r="CY28" s="12"/>
      <c r="CZ28" s="12"/>
      <c r="DA28" s="12"/>
      <c r="DB28" s="12"/>
      <c r="DC28" s="12"/>
      <c r="DD28" s="12"/>
      <c r="DE28" s="12"/>
      <c r="DF28" s="12"/>
      <c r="DG28" s="12"/>
      <c r="DH28" s="12"/>
      <c r="DI28" s="12"/>
    </row>
    <row r="29" spans="1:115" x14ac:dyDescent="0.25">
      <c r="A29" s="12"/>
      <c r="B29" s="874">
        <v>1</v>
      </c>
      <c r="C29" s="336">
        <v>1</v>
      </c>
      <c r="D29" s="336">
        <v>111</v>
      </c>
      <c r="E29" s="133">
        <f>'Structural Information'!$AC$11</f>
        <v>2.75</v>
      </c>
      <c r="F29" s="350">
        <f>'Structural Information'!$AM$10</f>
        <v>4.5</v>
      </c>
      <c r="G29" s="431">
        <f>'Structural Information'!$AB$19/1000</f>
        <v>0.5</v>
      </c>
      <c r="H29" s="350">
        <f>'Structural Information'!$AB$29/1000</f>
        <v>0.3</v>
      </c>
      <c r="I29" s="134">
        <f>'Structural Information'!$AB$30/1000</f>
        <v>0.3</v>
      </c>
      <c r="J29" s="135">
        <f t="shared" ref="J29:J33" si="67">I29*(H29^3)/12</f>
        <v>6.7499999999999993E-4</v>
      </c>
      <c r="K29" s="350">
        <f t="shared" si="60"/>
        <v>4.2</v>
      </c>
      <c r="L29" s="350">
        <f t="shared" si="61"/>
        <v>2.25</v>
      </c>
      <c r="M29" s="350">
        <f t="shared" ref="M29:M33" si="68">SQRT(K29^2+L29^2)</f>
        <v>4.7647140522805778</v>
      </c>
      <c r="N29" s="353">
        <f t="shared" si="62"/>
        <v>0.49180917598869855</v>
      </c>
      <c r="O29" s="12"/>
      <c r="P29" s="12"/>
      <c r="Q29" s="12"/>
      <c r="R29" s="12"/>
      <c r="T29" s="12"/>
      <c r="U29" s="874">
        <v>1</v>
      </c>
      <c r="V29" s="336">
        <v>1</v>
      </c>
      <c r="W29" s="336">
        <v>111</v>
      </c>
      <c r="X29" s="133">
        <f>1/((((COS(N29))^4)/'Structural Information'!$AR$18)+(((SIN(N29))^4)/'Structural Information'!$AR$19)+(((SIN(N29))^2)*((COS(N29))^2)*((1/'Structural Information'!$AR$20)-(2*'Structural Information'!$AV$20/'Structural Information'!$AR$19))))</f>
        <v>1319.4785945384108</v>
      </c>
      <c r="Y29" s="350">
        <f>((X29*('Structural Information'!$AV$18/1000)*SIN(2*N29))/(4*'Structural Information'!$AR$21*J29*L29))^(1/4)</f>
        <v>0.91311834914850387</v>
      </c>
      <c r="Z29" s="350">
        <f t="shared" si="1"/>
        <v>2.5110754601583856</v>
      </c>
      <c r="AA29" s="123">
        <f t="shared" si="51"/>
        <v>1.3</v>
      </c>
      <c r="AB29" s="123">
        <f t="shared" si="41"/>
        <v>-0.17799999999999999</v>
      </c>
      <c r="AC29" s="134">
        <f t="shared" si="20"/>
        <v>1.6186041677646166</v>
      </c>
      <c r="AD29" s="133">
        <f>((0.6*'Structural Information'!$AT$18)+(0.3*'Structural Information'!$AV$19))/(AC29/M29)</f>
        <v>0.97142690508705565</v>
      </c>
      <c r="AE29" s="350">
        <f>(((1.2*SIN(N29)+0.45*COS(N29))*'Structural Information'!$AT$19)+(0.3*'Structural Information'!$AV$19))/(AC29/M29)</f>
        <v>1.2477417519498799</v>
      </c>
      <c r="AF29" s="350">
        <f>(1.12*'Structural Information'!$AT$20*COS(N29)*SIN(N29))/((AA29*(Z29^(-0.12)))+(AB29*(Z29^(0.88))))</f>
        <v>1.232954675734526</v>
      </c>
      <c r="AG29" s="350">
        <f>(1.16*'Structural Information'!$AT$20*TAN(N29))/((AA29)+(AB29*Z29))</f>
        <v>1.4715635105794178</v>
      </c>
      <c r="AH29" s="134">
        <f t="shared" si="64"/>
        <v>0.97142690508705565</v>
      </c>
      <c r="AI29" s="133">
        <f>AH29*AC29*'Structural Information'!$AV$18</f>
        <v>125.78845098020727</v>
      </c>
      <c r="AJ29" s="350">
        <f t="shared" si="65"/>
        <v>100.63076078416583</v>
      </c>
      <c r="AK29" s="134">
        <f t="shared" si="66"/>
        <v>12.578845098020729</v>
      </c>
      <c r="AL29" s="12"/>
      <c r="AM29" s="874">
        <v>1</v>
      </c>
      <c r="AN29" s="599">
        <v>1</v>
      </c>
      <c r="AO29" s="599">
        <v>101</v>
      </c>
      <c r="AP29" s="133">
        <f>'Structural Information'!$AC$11</f>
        <v>2.75</v>
      </c>
      <c r="AQ29" s="133">
        <f t="shared" si="4"/>
        <v>100.63076078416583</v>
      </c>
      <c r="AR29" s="50">
        <f t="shared" si="45"/>
        <v>8.0000000000000004E-4</v>
      </c>
      <c r="AS29" s="607">
        <f t="shared" si="6"/>
        <v>23851.777801029071</v>
      </c>
      <c r="AT29" s="152">
        <f t="shared" si="7"/>
        <v>18532.996824585523</v>
      </c>
      <c r="AU29" s="133">
        <f t="shared" si="8"/>
        <v>125.78845098020727</v>
      </c>
      <c r="AV29" s="50">
        <f t="shared" si="46"/>
        <v>2.2000000000000001E-3</v>
      </c>
      <c r="AW29" s="607">
        <f t="shared" si="10"/>
        <v>10841.71718228594</v>
      </c>
      <c r="AX29" s="94">
        <f t="shared" si="11"/>
        <v>3407.3968287184366</v>
      </c>
      <c r="AY29" s="152">
        <f t="shared" si="22"/>
        <v>2647.5709749407874</v>
      </c>
      <c r="AZ29" s="607">
        <f t="shared" si="12"/>
        <v>12.578845098020729</v>
      </c>
      <c r="BA29" s="50">
        <f t="shared" si="47"/>
        <v>8.8999999999999999E-3</v>
      </c>
      <c r="BB29" s="607">
        <f t="shared" si="23"/>
        <v>-5416.1194029850767</v>
      </c>
      <c r="BC29" s="611">
        <f t="shared" si="24"/>
        <v>-4208.3623507832517</v>
      </c>
      <c r="BD29" s="12"/>
      <c r="BE29" s="875"/>
      <c r="BF29" s="426">
        <v>2</v>
      </c>
      <c r="BG29" s="426">
        <v>7212</v>
      </c>
      <c r="BH29" s="426" t="s">
        <v>24</v>
      </c>
      <c r="BI29" s="432">
        <f>'Structural Information'!$AC$10</f>
        <v>3</v>
      </c>
      <c r="BJ29" s="436">
        <f>('Structural Information'!$AF$30)*(200)/$BI29</f>
        <v>53616.514621265807</v>
      </c>
      <c r="BK29" s="447">
        <f>Hcol2*Wcol2*(4700*SQRT(Fck))/(hstr2*1000)</f>
        <v>624233.61011723801</v>
      </c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12"/>
      <c r="CF29" s="902">
        <v>1</v>
      </c>
      <c r="CG29" s="402">
        <v>1</v>
      </c>
      <c r="CH29" s="903">
        <f>1/(CD5+CD4)+1/(CD10+CD9)+1/(CD15+CD14)+1/(CD19+CD20)+1/(CD24+CD25)</f>
        <v>66951.600771768368</v>
      </c>
      <c r="CI29" s="903">
        <f>1/(CD6+CD4)+1/(CD11+CD9)+1/(CD16+CD14)+1/(CD19+CD21)+1/(CD24+CD26)</f>
        <v>9624.0049838874547</v>
      </c>
      <c r="CJ29" s="879">
        <f>1/(CD7+CD4)+1/(CD12+CD9)+1/(CD17+CD14)+1/(CD19+CD22)+1/(CD24+CD27)</f>
        <v>-13545.566184733661</v>
      </c>
      <c r="CK29" s="12"/>
      <c r="DD29" s="12"/>
      <c r="DE29" s="12"/>
      <c r="DF29" s="12"/>
      <c r="DG29" s="12"/>
      <c r="DH29" s="12"/>
      <c r="DI29" s="12"/>
    </row>
    <row r="30" spans="1:115" ht="16.5" customHeight="1" x14ac:dyDescent="0.25">
      <c r="A30" s="12"/>
      <c r="B30" s="875"/>
      <c r="C30" s="338">
        <v>2</v>
      </c>
      <c r="D30" s="338">
        <v>211</v>
      </c>
      <c r="E30" s="366">
        <f>'Structural Information'!$AC$11</f>
        <v>2.75</v>
      </c>
      <c r="F30" s="351">
        <f>'Structural Information'!$AM$9</f>
        <v>2</v>
      </c>
      <c r="G30" s="432">
        <f>'Structural Information'!$AB$19/1000</f>
        <v>0.5</v>
      </c>
      <c r="H30" s="351">
        <f>'Structural Information'!$AB$34/1000</f>
        <v>0.5</v>
      </c>
      <c r="I30" s="437">
        <f>'Structural Information'!$AB$35/1000</f>
        <v>0.35</v>
      </c>
      <c r="J30" s="143">
        <f t="shared" si="67"/>
        <v>3.645833333333333E-3</v>
      </c>
      <c r="K30" s="351">
        <f t="shared" si="60"/>
        <v>1.5</v>
      </c>
      <c r="L30" s="351">
        <f t="shared" si="61"/>
        <v>2.25</v>
      </c>
      <c r="M30" s="351">
        <f t="shared" si="68"/>
        <v>2.7041634565979922</v>
      </c>
      <c r="N30" s="354">
        <f t="shared" si="62"/>
        <v>0.98279372324732905</v>
      </c>
      <c r="O30" s="12"/>
      <c r="P30" s="12"/>
      <c r="Q30" s="12"/>
      <c r="R30" s="12"/>
      <c r="T30" s="12"/>
      <c r="U30" s="875"/>
      <c r="V30" s="338">
        <v>2</v>
      </c>
      <c r="W30" s="338">
        <v>211</v>
      </c>
      <c r="X30" s="366">
        <f>1/((((COS(N30))^4)/'Structural Information'!$AR$18)+(((SIN(N30))^4)/'Structural Information'!$AR$19)+(((SIN(N30))^2)*((COS(N30))^2)*((1/'Structural Information'!$AR$20)-(2*'Structural Information'!$AV$20/'Structural Information'!$AR$19))))</f>
        <v>1993.8394498130422</v>
      </c>
      <c r="Y30" s="351">
        <f>((X30*('Structural Information'!$AV$18/1000)*SIN(2*N30))/(4*'Structural Information'!$AR$21*J30*L30))^(1/4)</f>
        <v>0.68145661672478886</v>
      </c>
      <c r="Z30" s="351">
        <f t="shared" si="1"/>
        <v>1.8740056959931692</v>
      </c>
      <c r="AA30" s="120">
        <f t="shared" si="51"/>
        <v>1.3</v>
      </c>
      <c r="AB30" s="120">
        <f t="shared" si="41"/>
        <v>-0.17799999999999999</v>
      </c>
      <c r="AC30" s="367">
        <f t="shared" si="20"/>
        <v>1.3945403393944751</v>
      </c>
      <c r="AD30" s="366">
        <f>((0.6*'Structural Information'!$AT$18)+(0.3*'Structural Information'!$AV$19))/(AC30/M30)</f>
        <v>0.6399054336892227</v>
      </c>
      <c r="AE30" s="351">
        <f>(((1.2*SIN(N30)+0.45*COS(N30))*'Structural Information'!$AT$19)+(0.3*'Structural Information'!$AV$19))/(AC30/M30)</f>
        <v>1.0648670088990064</v>
      </c>
      <c r="AF30" s="351">
        <f>(1.12*'Structural Information'!$AT$20*COS(N30)*SIN(N30))/((AA30*(Z30^(-0.12)))+(AB30*(Z30^(0.88))))</f>
        <v>1.1650397692164054</v>
      </c>
      <c r="AG30" s="351">
        <f>(1.16*'Structural Information'!$AT$20*TAN(N30))/((AA30)+(AB30*Z30))</f>
        <v>3.6369017530603651</v>
      </c>
      <c r="AH30" s="367">
        <f t="shared" si="64"/>
        <v>0.6399054336892227</v>
      </c>
      <c r="AI30" s="366">
        <f>AH30*AC30*'Structural Information'!$AV$18</f>
        <v>71.389915254187002</v>
      </c>
      <c r="AJ30" s="351">
        <f t="shared" si="65"/>
        <v>57.111932203349603</v>
      </c>
      <c r="AK30" s="367">
        <f t="shared" si="66"/>
        <v>7.1389915254187004</v>
      </c>
      <c r="AL30" s="12"/>
      <c r="AM30" s="875"/>
      <c r="AN30" s="597">
        <v>2</v>
      </c>
      <c r="AO30" s="597">
        <v>201</v>
      </c>
      <c r="AP30" s="618">
        <f>'Structural Information'!$AC$11</f>
        <v>2.75</v>
      </c>
      <c r="AQ30" s="618">
        <f t="shared" si="4"/>
        <v>57.111932203349603</v>
      </c>
      <c r="AR30" s="58">
        <f t="shared" si="45"/>
        <v>8.0000000000000004E-4</v>
      </c>
      <c r="AS30" s="608">
        <f t="shared" si="6"/>
        <v>20994.763825966424</v>
      </c>
      <c r="AT30" s="138">
        <f t="shared" si="7"/>
        <v>6459.9273310665922</v>
      </c>
      <c r="AU30" s="618">
        <f t="shared" si="8"/>
        <v>71.389915254187002</v>
      </c>
      <c r="AV30" s="58">
        <f t="shared" si="46"/>
        <v>2.2000000000000001E-3</v>
      </c>
      <c r="AW30" s="608">
        <f t="shared" si="10"/>
        <v>9543.0744663483729</v>
      </c>
      <c r="AX30" s="99">
        <f t="shared" si="11"/>
        <v>2999.2519751380596</v>
      </c>
      <c r="AY30" s="138">
        <f t="shared" si="22"/>
        <v>922.84676158094146</v>
      </c>
      <c r="AZ30" s="608">
        <f t="shared" si="12"/>
        <v>7.1389915254187004</v>
      </c>
      <c r="BA30" s="58">
        <f t="shared" si="47"/>
        <v>8.8999999999999999E-3</v>
      </c>
      <c r="BB30" s="608">
        <f t="shared" si="23"/>
        <v>-1934.3283582089559</v>
      </c>
      <c r="BC30" s="612">
        <f t="shared" si="24"/>
        <v>-595.17795637198651</v>
      </c>
      <c r="BD30" s="116"/>
      <c r="BE30" s="875"/>
      <c r="BF30" s="426">
        <v>3</v>
      </c>
      <c r="BG30" s="426">
        <v>7312</v>
      </c>
      <c r="BH30" s="426" t="s">
        <v>24</v>
      </c>
      <c r="BI30" s="432">
        <f>'Structural Information'!$AC$10</f>
        <v>3</v>
      </c>
      <c r="BJ30" s="436">
        <f>('Structural Information'!$AF$30)*(200)/$BI30</f>
        <v>53616.514621265807</v>
      </c>
      <c r="BK30" s="447">
        <f>Hcol2*Wcol2*(4700*SQRT(Fck))/(hstr2*1000)</f>
        <v>624233.61011723801</v>
      </c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12"/>
      <c r="CF30" s="882"/>
      <c r="CG30" s="403">
        <v>2</v>
      </c>
      <c r="CH30" s="904"/>
      <c r="CI30" s="904"/>
      <c r="CJ30" s="880"/>
      <c r="CK30" s="172"/>
      <c r="DD30" s="12"/>
      <c r="DE30" s="12"/>
      <c r="DF30" s="12"/>
      <c r="DG30" s="12"/>
      <c r="DH30" s="12"/>
      <c r="DI30" s="12"/>
    </row>
    <row r="31" spans="1:115" ht="16.5" customHeight="1" x14ac:dyDescent="0.25">
      <c r="A31" s="12"/>
      <c r="B31" s="875"/>
      <c r="C31" s="338">
        <v>3</v>
      </c>
      <c r="D31" s="338">
        <v>311</v>
      </c>
      <c r="E31" s="366">
        <f>'Structural Information'!$AC$11</f>
        <v>2.75</v>
      </c>
      <c r="F31" s="351">
        <f>'Structural Information'!$AM$8</f>
        <v>4.5</v>
      </c>
      <c r="G31" s="432">
        <f>'Structural Information'!$AB$19/1000</f>
        <v>0.5</v>
      </c>
      <c r="H31" s="432">
        <f>'Structural Information'!$AB$34/1000</f>
        <v>0.5</v>
      </c>
      <c r="I31" s="437">
        <f>'Structural Information'!$AB$35/1000</f>
        <v>0.35</v>
      </c>
      <c r="J31" s="143">
        <f t="shared" si="67"/>
        <v>3.645833333333333E-3</v>
      </c>
      <c r="K31" s="351">
        <f t="shared" ref="K31:K33" si="69">F31-H31</f>
        <v>4</v>
      </c>
      <c r="L31" s="351">
        <f t="shared" ref="L31:L33" si="70">E31-G31</f>
        <v>2.25</v>
      </c>
      <c r="M31" s="351">
        <f t="shared" si="68"/>
        <v>4.5893899376714549</v>
      </c>
      <c r="N31" s="354">
        <f t="shared" ref="N31:N33" si="71">ATAN(L31/K31)</f>
        <v>0.51238946031073773</v>
      </c>
      <c r="O31" s="12"/>
      <c r="P31" s="12"/>
      <c r="Q31" s="12"/>
      <c r="R31" s="12"/>
      <c r="T31" s="12"/>
      <c r="U31" s="875"/>
      <c r="V31" s="338">
        <v>3</v>
      </c>
      <c r="W31" s="338">
        <v>311</v>
      </c>
      <c r="X31" s="366">
        <f>1/((((COS(N31))^4)/'Structural Information'!$AR$18)+(((SIN(N31))^4)/'Structural Information'!$AR$19)+(((SIN(N31))^2)*((COS(N31))^2)*((1/'Structural Information'!$AR$20)-(2*'Structural Information'!$AV$20/'Structural Information'!$AR$19))))</f>
        <v>1348.0474292734677</v>
      </c>
      <c r="Y31" s="351">
        <f>((X31*('Structural Information'!$AV$18/1000)*SIN(2*N31))/(4*'Structural Information'!$AR$21*J31*L31))^(1/4)</f>
        <v>0.60614026291819856</v>
      </c>
      <c r="Z31" s="351">
        <f t="shared" si="1"/>
        <v>1.666885723025046</v>
      </c>
      <c r="AA31" s="120">
        <f t="shared" si="51"/>
        <v>1.3</v>
      </c>
      <c r="AB31" s="120">
        <f t="shared" si="41"/>
        <v>-0.17799999999999999</v>
      </c>
      <c r="AC31" s="367">
        <f t="shared" si="20"/>
        <v>2.7623423075073159</v>
      </c>
      <c r="AD31" s="366">
        <f>((0.6*'Structural Information'!$AT$18)+(0.3*'Structural Information'!$AV$19))/(AC31/M31)</f>
        <v>0.54826611289830851</v>
      </c>
      <c r="AE31" s="351">
        <f>(((1.2*SIN(N31)+0.45*COS(N31))*'Structural Information'!$AT$19)+(0.3*'Structural Information'!$AV$19))/(AC31/M31)</f>
        <v>0.71678299775479803</v>
      </c>
      <c r="AF31" s="351">
        <f>(1.12*'Structural Information'!$AT$20*COS(N31)*SIN(N31))/((AA31*(Z31^(-0.12)))+(AB31*(Z31^(0.88))))</f>
        <v>1.0244772525341361</v>
      </c>
      <c r="AG31" s="351">
        <f>(1.16*'Structural Information'!$AT$20*TAN(N31))/((AA31)+(AB31*Z31))</f>
        <v>1.3137221508596726</v>
      </c>
      <c r="AH31" s="367">
        <f t="shared" si="64"/>
        <v>0.54826611289830851</v>
      </c>
      <c r="AI31" s="366">
        <f>AH31*AC31*'Structural Information'!$AV$18</f>
        <v>121.1598943545264</v>
      </c>
      <c r="AJ31" s="351">
        <f t="shared" si="65"/>
        <v>96.927915483621121</v>
      </c>
      <c r="AK31" s="367">
        <f t="shared" si="66"/>
        <v>12.11598943545264</v>
      </c>
      <c r="AL31" s="12"/>
      <c r="AM31" s="875"/>
      <c r="AN31" s="597">
        <v>3</v>
      </c>
      <c r="AO31" s="597">
        <v>301</v>
      </c>
      <c r="AP31" s="618">
        <f>'Structural Information'!$AC$11</f>
        <v>2.75</v>
      </c>
      <c r="AQ31" s="618">
        <f t="shared" si="4"/>
        <v>96.927915483621121</v>
      </c>
      <c r="AR31" s="58">
        <f t="shared" si="45"/>
        <v>8.0000000000000004E-4</v>
      </c>
      <c r="AS31" s="608">
        <f t="shared" si="6"/>
        <v>22974.11929331287</v>
      </c>
      <c r="AT31" s="138">
        <f t="shared" si="7"/>
        <v>17452.149967620458</v>
      </c>
      <c r="AU31" s="618">
        <f t="shared" si="8"/>
        <v>121.1598943545264</v>
      </c>
      <c r="AV31" s="58">
        <f t="shared" si="46"/>
        <v>2.2000000000000001E-3</v>
      </c>
      <c r="AW31" s="608">
        <f t="shared" si="10"/>
        <v>10442.781496960395</v>
      </c>
      <c r="AX31" s="99">
        <f t="shared" si="11"/>
        <v>3282.0170419018382</v>
      </c>
      <c r="AY31" s="138">
        <f t="shared" si="22"/>
        <v>2493.1642810886369</v>
      </c>
      <c r="AZ31" s="608">
        <f t="shared" si="12"/>
        <v>12.11598943545264</v>
      </c>
      <c r="BA31" s="58">
        <f t="shared" si="47"/>
        <v>8.8999999999999999E-3</v>
      </c>
      <c r="BB31" s="608">
        <f t="shared" si="23"/>
        <v>-5158.2089552238813</v>
      </c>
      <c r="BC31" s="612">
        <f t="shared" si="24"/>
        <v>-3918.4020550068653</v>
      </c>
      <c r="BD31" s="116"/>
      <c r="BE31" s="875"/>
      <c r="BF31" s="426">
        <v>4</v>
      </c>
      <c r="BG31" s="426">
        <v>7412</v>
      </c>
      <c r="BH31" s="426" t="s">
        <v>24</v>
      </c>
      <c r="BI31" s="432">
        <f>'Structural Information'!$AC$10</f>
        <v>3</v>
      </c>
      <c r="BJ31" s="436">
        <f>('Structural Information'!$AF$30)*(200)/$BI31</f>
        <v>53616.514621265807</v>
      </c>
      <c r="BK31" s="447">
        <f>Hcol2*Wcol2*(4700*SQRT(Fck))/(hstr2*1000)</f>
        <v>624233.61011723801</v>
      </c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12"/>
      <c r="CF31" s="882"/>
      <c r="CG31" s="403">
        <v>3</v>
      </c>
      <c r="CH31" s="904"/>
      <c r="CI31" s="904"/>
      <c r="CJ31" s="880"/>
      <c r="CK31" s="172"/>
      <c r="DD31" s="12"/>
      <c r="DE31" s="12"/>
      <c r="DF31" s="12"/>
      <c r="DG31" s="12"/>
      <c r="DH31" s="12"/>
      <c r="DI31" s="12"/>
    </row>
    <row r="32" spans="1:115" ht="15" customHeight="1" x14ac:dyDescent="0.25">
      <c r="A32" s="12"/>
      <c r="B32" s="875"/>
      <c r="C32" s="338">
        <v>4</v>
      </c>
      <c r="D32" s="338">
        <v>411</v>
      </c>
      <c r="E32" s="366">
        <f>'Structural Information'!$AC$11</f>
        <v>2.75</v>
      </c>
      <c r="F32" s="351">
        <f>'Structural Information'!$AM$7</f>
        <v>2</v>
      </c>
      <c r="G32" s="432">
        <f>'Structural Information'!$AB$19/1000</f>
        <v>0.5</v>
      </c>
      <c r="H32" s="432">
        <f>'Structural Information'!$AB$34/1000</f>
        <v>0.5</v>
      </c>
      <c r="I32" s="367">
        <f>'Structural Information'!$AB$35/1000</f>
        <v>0.35</v>
      </c>
      <c r="J32" s="143">
        <f t="shared" si="67"/>
        <v>3.645833333333333E-3</v>
      </c>
      <c r="K32" s="351">
        <f t="shared" si="69"/>
        <v>1.5</v>
      </c>
      <c r="L32" s="351">
        <f t="shared" si="70"/>
        <v>2.25</v>
      </c>
      <c r="M32" s="351">
        <f t="shared" si="68"/>
        <v>2.7041634565979922</v>
      </c>
      <c r="N32" s="354">
        <f t="shared" si="71"/>
        <v>0.98279372324732905</v>
      </c>
      <c r="O32" s="12"/>
      <c r="P32" s="12"/>
      <c r="Q32" s="12"/>
      <c r="R32" s="12"/>
      <c r="T32" s="12"/>
      <c r="U32" s="875"/>
      <c r="V32" s="338">
        <v>4</v>
      </c>
      <c r="W32" s="338">
        <v>411</v>
      </c>
      <c r="X32" s="366">
        <f>1/((((COS(N32))^4)/'Structural Information'!$AR$18)+(((SIN(N32))^4)/'Structural Information'!$AR$19)+(((SIN(N32))^2)*((COS(N32))^2)*((1/'Structural Information'!$AR$20)-(2*'Structural Information'!$AV$20/'Structural Information'!$AR$19))))</f>
        <v>1993.8394498130422</v>
      </c>
      <c r="Y32" s="351">
        <f>((X32*('Structural Information'!$AV$18/1000)*SIN(2*N32))/(4*'Structural Information'!$AR$21*J32*L32))^(1/4)</f>
        <v>0.68145661672478886</v>
      </c>
      <c r="Z32" s="351">
        <f t="shared" si="1"/>
        <v>1.8740056959931692</v>
      </c>
      <c r="AA32" s="120">
        <f t="shared" si="51"/>
        <v>1.3</v>
      </c>
      <c r="AB32" s="120">
        <f t="shared" si="41"/>
        <v>-0.17799999999999999</v>
      </c>
      <c r="AC32" s="367">
        <f t="shared" si="20"/>
        <v>1.3945403393944751</v>
      </c>
      <c r="AD32" s="366">
        <f>((0.6*'Structural Information'!$AT$18)+(0.3*'Structural Information'!$AV$19))/(AC32/M32)</f>
        <v>0.6399054336892227</v>
      </c>
      <c r="AE32" s="351">
        <f>(((1.2*SIN(N32)+0.45*COS(N32))*'Structural Information'!$AT$19)+(0.3*'Structural Information'!$AV$19))/(AC32/M32)</f>
        <v>1.0648670088990064</v>
      </c>
      <c r="AF32" s="351">
        <f>(1.12*'Structural Information'!$AT$20*COS(N32)*SIN(N32))/((AA32*(Z32^(-0.12)))+(AB32*(Z32^(0.88))))</f>
        <v>1.1650397692164054</v>
      </c>
      <c r="AG32" s="351">
        <f>(1.16*'Structural Information'!$AT$20*TAN(N32))/((AA32)+(AB32*Z32))</f>
        <v>3.6369017530603651</v>
      </c>
      <c r="AH32" s="367">
        <f t="shared" si="64"/>
        <v>0.6399054336892227</v>
      </c>
      <c r="AI32" s="366">
        <f>AH32*AC32*'Structural Information'!$AV$18</f>
        <v>71.389915254187002</v>
      </c>
      <c r="AJ32" s="351">
        <f t="shared" si="65"/>
        <v>57.111932203349603</v>
      </c>
      <c r="AK32" s="367">
        <f t="shared" si="66"/>
        <v>7.1389915254187004</v>
      </c>
      <c r="AL32" s="12"/>
      <c r="AM32" s="875"/>
      <c r="AN32" s="597">
        <v>4</v>
      </c>
      <c r="AO32" s="597">
        <v>401</v>
      </c>
      <c r="AP32" s="618">
        <f>'Structural Information'!$AC$11</f>
        <v>2.75</v>
      </c>
      <c r="AQ32" s="618">
        <f t="shared" si="4"/>
        <v>57.111932203349603</v>
      </c>
      <c r="AR32" s="58">
        <f t="shared" si="45"/>
        <v>8.0000000000000004E-4</v>
      </c>
      <c r="AS32" s="608">
        <f t="shared" si="6"/>
        <v>20994.763825966424</v>
      </c>
      <c r="AT32" s="138">
        <f t="shared" si="7"/>
        <v>6459.9273310665922</v>
      </c>
      <c r="AU32" s="618">
        <f t="shared" si="8"/>
        <v>71.389915254187002</v>
      </c>
      <c r="AV32" s="58">
        <f t="shared" si="46"/>
        <v>2.2000000000000001E-3</v>
      </c>
      <c r="AW32" s="608">
        <f t="shared" si="10"/>
        <v>9543.0744663483729</v>
      </c>
      <c r="AX32" s="99">
        <f t="shared" si="11"/>
        <v>2999.2519751380596</v>
      </c>
      <c r="AY32" s="138">
        <f t="shared" si="22"/>
        <v>922.84676158094146</v>
      </c>
      <c r="AZ32" s="608">
        <f t="shared" si="12"/>
        <v>7.1389915254187004</v>
      </c>
      <c r="BA32" s="58">
        <f t="shared" si="47"/>
        <v>8.8999999999999999E-3</v>
      </c>
      <c r="BB32" s="608">
        <f t="shared" si="23"/>
        <v>-1934.3283582089559</v>
      </c>
      <c r="BC32" s="612">
        <f t="shared" si="24"/>
        <v>-595.17795637198651</v>
      </c>
      <c r="BD32" s="116"/>
      <c r="BE32" s="875"/>
      <c r="BF32" s="426">
        <v>5</v>
      </c>
      <c r="BG32" s="426">
        <v>7512</v>
      </c>
      <c r="BH32" s="426" t="s">
        <v>24</v>
      </c>
      <c r="BI32" s="432">
        <f>'Structural Information'!$AC$10</f>
        <v>3</v>
      </c>
      <c r="BJ32" s="436">
        <f>('Structural Information'!$AF$30)*(200)/$BI32</f>
        <v>53616.514621265807</v>
      </c>
      <c r="BK32" s="447">
        <f>Hcol2*Wcol2*(4700*SQRT(Fck))/(hstr2*1000)</f>
        <v>624233.61011723801</v>
      </c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12"/>
      <c r="CF32" s="882"/>
      <c r="CG32" s="403">
        <v>4</v>
      </c>
      <c r="CH32" s="904"/>
      <c r="CI32" s="904"/>
      <c r="CJ32" s="880"/>
      <c r="CK32" s="172"/>
      <c r="DE32" s="12"/>
      <c r="DF32" s="12"/>
      <c r="DG32" s="12"/>
      <c r="DH32" s="12"/>
      <c r="DI32" s="12"/>
    </row>
    <row r="33" spans="1:114" ht="15" customHeight="1" thickBot="1" x14ac:dyDescent="0.3">
      <c r="A33" s="12"/>
      <c r="B33" s="876"/>
      <c r="C33" s="340">
        <v>5</v>
      </c>
      <c r="D33" s="340">
        <v>511</v>
      </c>
      <c r="E33" s="52">
        <f>'Structural Information'!$AC$11</f>
        <v>2.75</v>
      </c>
      <c r="F33" s="352">
        <f>'Structural Information'!$AM$6</f>
        <v>4.5</v>
      </c>
      <c r="G33" s="352">
        <f>'Structural Information'!$AB$19/1000</f>
        <v>0.5</v>
      </c>
      <c r="H33" s="435">
        <f>'Structural Information'!$AB$29/1000</f>
        <v>0.3</v>
      </c>
      <c r="I33" s="161">
        <f>'Structural Information'!$AB$30/1000</f>
        <v>0.3</v>
      </c>
      <c r="J33" s="162">
        <f t="shared" si="67"/>
        <v>6.7499999999999993E-4</v>
      </c>
      <c r="K33" s="352">
        <f t="shared" si="69"/>
        <v>4.2</v>
      </c>
      <c r="L33" s="352">
        <f t="shared" si="70"/>
        <v>2.25</v>
      </c>
      <c r="M33" s="352">
        <f t="shared" si="68"/>
        <v>4.7647140522805778</v>
      </c>
      <c r="N33" s="355">
        <f t="shared" si="71"/>
        <v>0.49180917598869855</v>
      </c>
      <c r="O33" s="12"/>
      <c r="P33" s="12"/>
      <c r="Q33" s="12"/>
      <c r="R33" s="12"/>
      <c r="T33" s="12"/>
      <c r="U33" s="876"/>
      <c r="V33" s="340">
        <v>5</v>
      </c>
      <c r="W33" s="340">
        <v>511</v>
      </c>
      <c r="X33" s="52">
        <f>1/((((COS(N33))^4)/'Structural Information'!$AR$18)+(((SIN(N33))^4)/'Structural Information'!$AR$19)+(((SIN(N33))^2)*((COS(N33))^2)*((1/'Structural Information'!$AR$20)-(2*'Structural Information'!$AV$20/'Structural Information'!$AR$19))))</f>
        <v>1319.4785945384108</v>
      </c>
      <c r="Y33" s="352">
        <f>((X33*('Structural Information'!$AV$18/1000)*SIN(2*N33))/(4*'Structural Information'!$AR$21*J33*L33))^(1/4)</f>
        <v>0.91311834914850387</v>
      </c>
      <c r="Z33" s="352">
        <f t="shared" si="1"/>
        <v>2.5110754601583856</v>
      </c>
      <c r="AA33" s="124">
        <f t="shared" si="51"/>
        <v>1.3</v>
      </c>
      <c r="AB33" s="124">
        <f t="shared" si="41"/>
        <v>-0.17799999999999999</v>
      </c>
      <c r="AC33" s="161">
        <f t="shared" si="20"/>
        <v>1.6186041677646166</v>
      </c>
      <c r="AD33" s="52">
        <f>((0.6*'Structural Information'!$AT$18)+(0.3*'Structural Information'!$AV$19))/(AC33/M33)</f>
        <v>0.97142690508705565</v>
      </c>
      <c r="AE33" s="352">
        <f>(((1.2*SIN(N33)+0.45*COS(N33))*'Structural Information'!$AT$19)+(0.3*'Structural Information'!$AV$19))/(AC33/M33)</f>
        <v>1.2477417519498799</v>
      </c>
      <c r="AF33" s="352">
        <f>(1.12*'Structural Information'!$AT$20*COS(N33)*SIN(N33))/((AA33*(Z33^(-0.12)))+(AB33*(Z33^(0.88))))</f>
        <v>1.232954675734526</v>
      </c>
      <c r="AG33" s="352">
        <f>(1.16*'Structural Information'!$AT$20*TAN(N33))/((AA33)+(AB33*Z33))</f>
        <v>1.4715635105794178</v>
      </c>
      <c r="AH33" s="161">
        <f t="shared" si="64"/>
        <v>0.97142690508705565</v>
      </c>
      <c r="AI33" s="52">
        <f>AH33*AC33*'Structural Information'!$AV$18</f>
        <v>125.78845098020727</v>
      </c>
      <c r="AJ33" s="352">
        <f t="shared" si="65"/>
        <v>100.63076078416583</v>
      </c>
      <c r="AK33" s="161">
        <f t="shared" si="66"/>
        <v>12.578845098020729</v>
      </c>
      <c r="AL33" s="12"/>
      <c r="AM33" s="876"/>
      <c r="AN33" s="605">
        <v>5</v>
      </c>
      <c r="AO33" s="605">
        <v>501</v>
      </c>
      <c r="AP33" s="52">
        <f>'Structural Information'!$AC$11</f>
        <v>2.75</v>
      </c>
      <c r="AQ33" s="52">
        <f t="shared" si="4"/>
        <v>100.63076078416583</v>
      </c>
      <c r="AR33" s="89">
        <f t="shared" si="45"/>
        <v>8.0000000000000004E-4</v>
      </c>
      <c r="AS33" s="610">
        <f t="shared" si="6"/>
        <v>23851.777801029071</v>
      </c>
      <c r="AT33" s="163">
        <f t="shared" si="7"/>
        <v>18532.996824585523</v>
      </c>
      <c r="AU33" s="52">
        <f t="shared" si="8"/>
        <v>125.78845098020727</v>
      </c>
      <c r="AV33" s="89">
        <f t="shared" si="46"/>
        <v>2.2000000000000001E-3</v>
      </c>
      <c r="AW33" s="610">
        <f t="shared" si="10"/>
        <v>10841.71718228594</v>
      </c>
      <c r="AX33" s="105">
        <f t="shared" si="11"/>
        <v>3407.3968287184366</v>
      </c>
      <c r="AY33" s="163">
        <f t="shared" si="22"/>
        <v>2647.5709749407874</v>
      </c>
      <c r="AZ33" s="610">
        <f t="shared" si="12"/>
        <v>12.578845098020729</v>
      </c>
      <c r="BA33" s="89">
        <f t="shared" si="47"/>
        <v>8.8999999999999999E-3</v>
      </c>
      <c r="BB33" s="610">
        <f t="shared" si="23"/>
        <v>-5416.1194029850767</v>
      </c>
      <c r="BC33" s="613">
        <f t="shared" si="24"/>
        <v>-4208.3623507832517</v>
      </c>
      <c r="BD33" s="116"/>
      <c r="BE33" s="895"/>
      <c r="BF33" s="427">
        <v>6</v>
      </c>
      <c r="BG33" s="427">
        <v>7612</v>
      </c>
      <c r="BH33" s="427" t="s">
        <v>23</v>
      </c>
      <c r="BI33" s="433">
        <f>'Structural Information'!$AC$10</f>
        <v>3</v>
      </c>
      <c r="BJ33" s="147">
        <f>('Structural Information'!$AF$25)*(200)/$BI33</f>
        <v>53616.514621265807</v>
      </c>
      <c r="BK33" s="448">
        <f>Hcol1*Wcol1*(4700*SQRT(Fck))/(hstr2*1000)</f>
        <v>433495.56258141535</v>
      </c>
      <c r="BL33" s="12"/>
      <c r="BM33" s="12"/>
      <c r="BN33" s="12"/>
      <c r="BO33" s="12"/>
      <c r="BP33" s="12"/>
      <c r="BQ33" s="12"/>
      <c r="BR33" s="12"/>
      <c r="BS33" s="12"/>
      <c r="BT33" s="12"/>
      <c r="BU33" s="12"/>
      <c r="BV33" s="12"/>
      <c r="BW33" s="12"/>
      <c r="BX33" s="12"/>
      <c r="BY33" s="12"/>
      <c r="BZ33" s="12"/>
      <c r="CA33" s="12"/>
      <c r="CB33" s="12"/>
      <c r="CC33" s="12"/>
      <c r="CD33" s="12"/>
      <c r="CE33" s="12"/>
      <c r="CF33" s="911"/>
      <c r="CG33" s="405">
        <v>5</v>
      </c>
      <c r="CH33" s="906"/>
      <c r="CI33" s="906"/>
      <c r="CJ33" s="907"/>
      <c r="CK33" s="172"/>
      <c r="DE33" s="12"/>
      <c r="DF33" s="12"/>
      <c r="DG33" s="12"/>
      <c r="DH33" s="12"/>
      <c r="DI33" s="12"/>
    </row>
    <row r="34" spans="1:114" ht="15" customHeight="1" x14ac:dyDescent="0.2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T34" s="12"/>
      <c r="AA34" s="12"/>
      <c r="AB34" s="171"/>
      <c r="AC34" s="12"/>
      <c r="AD34" s="12"/>
      <c r="AE34" s="12"/>
      <c r="AL34" s="12"/>
      <c r="AM34" s="116"/>
      <c r="AN34" s="116"/>
      <c r="AO34" s="116"/>
      <c r="AP34" s="116"/>
      <c r="AQ34" s="116"/>
      <c r="AR34" s="116"/>
      <c r="AS34" s="116"/>
      <c r="AT34" s="116"/>
      <c r="AU34" s="116"/>
      <c r="AV34" s="116"/>
      <c r="AW34" s="116"/>
      <c r="AX34" s="116"/>
      <c r="AY34" s="116"/>
      <c r="AZ34" s="116"/>
      <c r="BA34" s="116"/>
      <c r="BB34" s="116"/>
      <c r="BC34" s="116"/>
      <c r="BD34" s="116"/>
      <c r="BE34" s="874">
        <v>1</v>
      </c>
      <c r="BF34" s="425">
        <v>1</v>
      </c>
      <c r="BG34" s="425">
        <v>7111</v>
      </c>
      <c r="BH34" s="425" t="s">
        <v>24</v>
      </c>
      <c r="BI34" s="431">
        <f>'Structural Information'!$AC$11</f>
        <v>2.75</v>
      </c>
      <c r="BJ34" s="133">
        <f>('Structural Information'!$AF$30)*(200)/$BI34</f>
        <v>58490.743223199061</v>
      </c>
      <c r="BK34" s="449">
        <f>Hcol2*Wcol2*(4700*SQRT(Fck))/(hstr1*1000)</f>
        <v>680982.12012789608</v>
      </c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12"/>
      <c r="CF34" s="12"/>
      <c r="CG34" s="12"/>
      <c r="CH34" s="172"/>
      <c r="CI34" s="172"/>
      <c r="CJ34" s="172"/>
      <c r="CK34" s="172"/>
      <c r="DE34" s="12"/>
      <c r="DF34" s="12"/>
      <c r="DG34" s="12"/>
      <c r="DH34" s="12"/>
      <c r="DI34" s="12"/>
    </row>
    <row r="35" spans="1:114" ht="15" customHeight="1" thickBot="1" x14ac:dyDescent="0.3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T35" s="12"/>
      <c r="AA35" s="12"/>
      <c r="AB35" s="171"/>
      <c r="AC35" s="12"/>
      <c r="AD35" s="12"/>
      <c r="AE35" s="12"/>
      <c r="AL35" s="12"/>
      <c r="AM35" s="116"/>
      <c r="AN35" s="116"/>
      <c r="AO35" s="116"/>
      <c r="AP35" s="116"/>
      <c r="AQ35" s="116"/>
      <c r="AR35" s="116"/>
      <c r="AS35" s="116"/>
      <c r="AT35" s="116"/>
      <c r="AU35" s="116"/>
      <c r="AV35" s="116"/>
      <c r="AW35" s="116"/>
      <c r="AX35" s="116"/>
      <c r="AY35" s="116"/>
      <c r="AZ35" s="116"/>
      <c r="BA35" s="116"/>
      <c r="BB35" s="116"/>
      <c r="BC35" s="116"/>
      <c r="BD35" s="116"/>
      <c r="BE35" s="875"/>
      <c r="BF35" s="426">
        <v>2</v>
      </c>
      <c r="BG35" s="426">
        <v>7211</v>
      </c>
      <c r="BH35" s="426" t="s">
        <v>25</v>
      </c>
      <c r="BI35" s="432">
        <f>'Structural Information'!$AC$11</f>
        <v>2.75</v>
      </c>
      <c r="BJ35" s="436">
        <f>('Structural Information'!$AF$35)*(200)/$BI35</f>
        <v>74027.346891861307</v>
      </c>
      <c r="BK35" s="447">
        <f>Hcol3*Wcol3*(4700*SQRT(Fck))/(hstr1*1000)</f>
        <v>1324131.9002486868</v>
      </c>
      <c r="BL35" s="12"/>
      <c r="BM35" s="12"/>
      <c r="BN35" s="12"/>
      <c r="BO35" s="12"/>
      <c r="BP35" s="12"/>
      <c r="BQ35" s="12"/>
      <c r="BR35" s="12"/>
      <c r="BS35" s="12"/>
      <c r="BT35" s="12"/>
      <c r="BU35" s="12"/>
      <c r="BV35" s="12"/>
      <c r="BW35" s="12"/>
      <c r="BX35" s="12"/>
      <c r="BY35" s="12"/>
      <c r="BZ35" s="12"/>
      <c r="CA35" s="12"/>
      <c r="CB35" s="12"/>
      <c r="CC35" s="12"/>
      <c r="CD35" s="12"/>
      <c r="CE35" s="12"/>
      <c r="CF35" s="12"/>
      <c r="CG35" s="12"/>
      <c r="CH35" s="172"/>
      <c r="CI35" s="172"/>
      <c r="CJ35" s="172"/>
      <c r="CK35" s="172"/>
      <c r="CL35" s="172"/>
      <c r="CM35" s="172"/>
      <c r="CN35" s="172"/>
      <c r="CO35" s="172"/>
      <c r="CP35" s="172"/>
      <c r="CQ35" s="172"/>
      <c r="CR35" s="12"/>
      <c r="CS35" s="12"/>
      <c r="CT35" s="12"/>
      <c r="DE35" s="12"/>
      <c r="DF35" s="12"/>
      <c r="DG35" s="12"/>
      <c r="DH35" s="12"/>
      <c r="DI35" s="12"/>
    </row>
    <row r="36" spans="1:114" ht="15" customHeight="1" thickBot="1" x14ac:dyDescent="0.3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T36" s="12"/>
      <c r="U36" s="899" t="s">
        <v>229</v>
      </c>
      <c r="V36" s="900"/>
      <c r="W36" s="900"/>
      <c r="X36" s="900"/>
      <c r="Y36" s="900"/>
      <c r="Z36" s="901"/>
      <c r="AA36" s="12"/>
      <c r="AB36" s="171"/>
      <c r="AC36" s="12"/>
      <c r="AD36" s="12"/>
      <c r="AE36" s="12"/>
      <c r="AL36" s="12"/>
      <c r="BD36" s="116"/>
      <c r="BE36" s="875"/>
      <c r="BF36" s="426">
        <v>3</v>
      </c>
      <c r="BG36" s="426">
        <v>7311</v>
      </c>
      <c r="BH36" s="426" t="s">
        <v>25</v>
      </c>
      <c r="BI36" s="432">
        <f>'Structural Information'!$AC$11</f>
        <v>2.75</v>
      </c>
      <c r="BJ36" s="436">
        <f>('Structural Information'!$AF$35)*(200)/$BI36</f>
        <v>74027.346891861307</v>
      </c>
      <c r="BK36" s="447">
        <f>Hcol3*Wcol3*(4700*SQRT(Fck))/(hstr1*1000)</f>
        <v>1324131.9002486868</v>
      </c>
      <c r="BL36" s="12"/>
      <c r="BM36" s="12"/>
      <c r="BN36" s="12"/>
      <c r="BO36" s="12"/>
      <c r="BP36" s="12"/>
      <c r="BQ36" s="12"/>
      <c r="BR36" s="12"/>
      <c r="BS36" s="12"/>
      <c r="BT36" s="12"/>
      <c r="BU36" s="12"/>
      <c r="BV36" s="12"/>
      <c r="BW36" s="12"/>
      <c r="BX36" s="12"/>
      <c r="BY36" s="12"/>
      <c r="BZ36" s="12"/>
      <c r="CA36" s="12"/>
      <c r="CB36" s="12"/>
      <c r="CC36" s="12"/>
      <c r="CD36" s="12"/>
      <c r="CE36" s="12"/>
      <c r="CF36" s="12"/>
      <c r="CG36" s="12"/>
      <c r="CH36" s="172"/>
      <c r="CI36" s="172"/>
      <c r="CJ36" s="172"/>
      <c r="CK36" s="172"/>
      <c r="CL36" s="172"/>
      <c r="CM36" s="172"/>
      <c r="CN36" s="172"/>
      <c r="CO36" s="172"/>
      <c r="CP36" s="172"/>
      <c r="CQ36" s="172"/>
      <c r="CR36" s="12"/>
      <c r="CS36" s="12"/>
      <c r="CT36" s="12"/>
      <c r="DE36" s="12"/>
      <c r="DF36" s="12"/>
      <c r="DG36" s="12"/>
      <c r="DH36" s="12"/>
      <c r="DI36" s="12"/>
    </row>
    <row r="37" spans="1:114" ht="15" customHeight="1" x14ac:dyDescent="0.2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T37" s="12"/>
      <c r="U37" s="347" t="s">
        <v>5</v>
      </c>
      <c r="V37" s="361" t="s">
        <v>55</v>
      </c>
      <c r="W37" s="344" t="s">
        <v>28</v>
      </c>
      <c r="X37" s="344" t="s">
        <v>26</v>
      </c>
      <c r="Y37" s="345" t="s">
        <v>228</v>
      </c>
      <c r="Z37" s="166" t="s">
        <v>223</v>
      </c>
      <c r="AA37" s="171"/>
      <c r="AL37" s="12"/>
      <c r="BD37" s="116"/>
      <c r="BE37" s="875"/>
      <c r="BF37" s="426">
        <v>4</v>
      </c>
      <c r="BG37" s="426">
        <v>7411</v>
      </c>
      <c r="BH37" s="426" t="s">
        <v>25</v>
      </c>
      <c r="BI37" s="432">
        <f>'Structural Information'!$AC$11</f>
        <v>2.75</v>
      </c>
      <c r="BJ37" s="436">
        <f>('Structural Information'!$AF$35)*(200)/$BI37</f>
        <v>74027.346891861307</v>
      </c>
      <c r="BK37" s="447">
        <f>Hcol3*Wcol3*(4700*SQRT(Fck))/(hstr1*1000)</f>
        <v>1324131.9002486868</v>
      </c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2"/>
      <c r="BY37" s="12"/>
      <c r="BZ37" s="12"/>
      <c r="CA37" s="12"/>
      <c r="CB37" s="12"/>
      <c r="CC37" s="12"/>
      <c r="CD37" s="12"/>
      <c r="CE37" s="12"/>
      <c r="CF37" s="12"/>
      <c r="CG37" s="12"/>
      <c r="CH37" s="172"/>
      <c r="CI37" s="172"/>
      <c r="CJ37" s="172"/>
      <c r="CK37" s="172"/>
      <c r="CL37" s="172"/>
      <c r="CM37" s="172"/>
      <c r="CN37" s="172"/>
      <c r="CO37" s="172"/>
      <c r="CP37" s="172"/>
      <c r="CQ37" s="172"/>
      <c r="CR37" s="12"/>
      <c r="CS37" s="12"/>
      <c r="CT37" s="12"/>
      <c r="DE37" s="12"/>
      <c r="DF37" s="12"/>
      <c r="DG37" s="12"/>
      <c r="DH37" s="12"/>
      <c r="DI37" s="12"/>
    </row>
    <row r="38" spans="1:114" ht="15.75" customHeight="1" x14ac:dyDescent="0.2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T38" s="12"/>
      <c r="U38" s="874">
        <v>6</v>
      </c>
      <c r="V38" s="336">
        <v>1</v>
      </c>
      <c r="W38" s="426">
        <v>7116</v>
      </c>
      <c r="X38" s="336" t="s">
        <v>8</v>
      </c>
      <c r="Y38" s="350">
        <f>'Structural Information'!$AM$10</f>
        <v>4.5</v>
      </c>
      <c r="Z38" s="139">
        <f>2*(SUM('Structural Information'!$AF$20:$AF$21))*(200)/$Y38</f>
        <v>107233.0292425316</v>
      </c>
      <c r="AA38" s="171"/>
      <c r="AL38" s="12"/>
      <c r="BD38" s="116"/>
      <c r="BE38" s="875"/>
      <c r="BF38" s="426">
        <v>5</v>
      </c>
      <c r="BG38" s="426">
        <v>7511</v>
      </c>
      <c r="BH38" s="426" t="s">
        <v>25</v>
      </c>
      <c r="BI38" s="432">
        <f>'Structural Information'!$AC$11</f>
        <v>2.75</v>
      </c>
      <c r="BJ38" s="436">
        <f>('Structural Information'!$AF$35)*(200)/$BI38</f>
        <v>74027.346891861307</v>
      </c>
      <c r="BK38" s="447">
        <f>Hcol3*Wcol3*(4700*SQRT(Fck))/(hstr1*1000)</f>
        <v>1324131.9002486868</v>
      </c>
      <c r="BL38" s="12"/>
      <c r="BM38" s="12"/>
      <c r="BN38" s="12"/>
      <c r="BO38" s="12"/>
      <c r="BP38" s="12"/>
      <c r="BQ38" s="12"/>
      <c r="BR38" s="12"/>
      <c r="BS38" s="12"/>
      <c r="BT38" s="12"/>
      <c r="BU38" s="12"/>
      <c r="BV38" s="12"/>
      <c r="BW38" s="12"/>
      <c r="BX38" s="12"/>
      <c r="BY38" s="12"/>
      <c r="BZ38" s="12"/>
      <c r="CA38" s="12"/>
      <c r="CB38" s="12"/>
      <c r="CC38" s="12"/>
      <c r="CD38" s="12"/>
      <c r="CE38" s="12"/>
      <c r="CF38" s="12"/>
      <c r="CG38" s="12"/>
      <c r="CH38" s="172"/>
      <c r="CI38" s="172"/>
      <c r="CJ38" s="172"/>
      <c r="CK38" s="172"/>
      <c r="CL38" s="172"/>
      <c r="CM38" s="172"/>
      <c r="CN38" s="172"/>
      <c r="CO38" s="172"/>
      <c r="CP38" s="172"/>
      <c r="CQ38" s="172"/>
      <c r="CR38" s="12"/>
      <c r="CS38" s="12"/>
      <c r="CT38" s="12"/>
      <c r="DE38" s="12"/>
      <c r="DF38" s="12"/>
      <c r="DG38" s="12"/>
      <c r="DH38" s="12"/>
      <c r="DI38" s="12"/>
    </row>
    <row r="39" spans="1:114" ht="15.75" customHeight="1" thickBot="1" x14ac:dyDescent="0.3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T39" s="12"/>
      <c r="U39" s="875"/>
      <c r="V39" s="338">
        <v>2</v>
      </c>
      <c r="W39" s="426">
        <v>7216</v>
      </c>
      <c r="X39" s="338" t="s">
        <v>8</v>
      </c>
      <c r="Y39" s="351">
        <f>'Structural Information'!$AM$9</f>
        <v>2</v>
      </c>
      <c r="Z39" s="144">
        <f>2*(SUM('Structural Information'!$AF$20:$AF$21))*(200)/$Y39</f>
        <v>241274.31579569611</v>
      </c>
      <c r="AA39" s="171"/>
      <c r="AL39" s="12"/>
      <c r="BD39" s="116"/>
      <c r="BE39" s="876"/>
      <c r="BF39" s="428">
        <v>6</v>
      </c>
      <c r="BG39" s="428">
        <v>7611</v>
      </c>
      <c r="BH39" s="428" t="s">
        <v>24</v>
      </c>
      <c r="BI39" s="435">
        <f>'Structural Information'!$AC$11</f>
        <v>2.75</v>
      </c>
      <c r="BJ39" s="52">
        <f>('Structural Information'!$AF$30)*(200)/$BI39</f>
        <v>58490.743223199061</v>
      </c>
      <c r="BK39" s="450">
        <f>Hcol2*Wcol2*(4700*SQRT(Fck))/(hstr1*1000)</f>
        <v>680982.12012789608</v>
      </c>
      <c r="BL39" s="12"/>
      <c r="BM39" s="12"/>
      <c r="BN39" s="12"/>
      <c r="BO39" s="12"/>
      <c r="BP39" s="12"/>
      <c r="BQ39" s="12"/>
      <c r="BR39" s="12"/>
      <c r="BS39" s="12"/>
      <c r="BT39" s="12"/>
      <c r="BU39" s="12"/>
      <c r="BV39" s="12"/>
      <c r="BW39" s="12"/>
      <c r="BX39" s="12"/>
      <c r="BY39" s="12"/>
      <c r="BZ39" s="12"/>
      <c r="CA39" s="12"/>
      <c r="CB39" s="12"/>
      <c r="CC39" s="12"/>
      <c r="CD39" s="12"/>
      <c r="CE39" s="12"/>
      <c r="CF39" s="12"/>
      <c r="CG39" s="12"/>
      <c r="CH39" s="172"/>
      <c r="CI39" s="172"/>
      <c r="CJ39" s="172"/>
      <c r="CK39" s="172"/>
      <c r="CL39" s="172"/>
      <c r="CM39" s="172"/>
      <c r="CN39" s="172"/>
      <c r="CO39" s="172"/>
      <c r="CP39" s="172"/>
      <c r="CQ39" s="172"/>
      <c r="CR39" s="12"/>
      <c r="CS39" s="12"/>
      <c r="CT39" s="12"/>
      <c r="DE39" s="12"/>
      <c r="DF39" s="12"/>
      <c r="DG39" s="12"/>
      <c r="DH39" s="12"/>
      <c r="DI39" s="12"/>
    </row>
    <row r="40" spans="1:114" ht="15" customHeight="1" x14ac:dyDescent="0.25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T40" s="12"/>
      <c r="U40" s="875"/>
      <c r="V40" s="338">
        <v>3</v>
      </c>
      <c r="W40" s="426">
        <v>7316</v>
      </c>
      <c r="X40" s="338" t="s">
        <v>8</v>
      </c>
      <c r="Y40" s="351">
        <f>'Structural Information'!$AM$8</f>
        <v>4.5</v>
      </c>
      <c r="Z40" s="144">
        <f>2*(SUM('Structural Information'!$AF$20:$AF$21))*(200)/$Y40</f>
        <v>107233.0292425316</v>
      </c>
      <c r="AA40" s="171"/>
      <c r="AL40" s="12"/>
      <c r="BD40" s="116"/>
      <c r="BE40" s="116"/>
      <c r="BF40" s="116"/>
      <c r="BG40" s="116"/>
      <c r="BH40" s="116"/>
      <c r="BI40" s="116"/>
      <c r="BJ40" s="116"/>
      <c r="BK40" s="116"/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72"/>
      <c r="CA40" s="172"/>
      <c r="CB40" s="172"/>
      <c r="CC40" s="172"/>
      <c r="CD40" s="172"/>
      <c r="CE40" s="172"/>
      <c r="CF40" s="172"/>
      <c r="CG40" s="172"/>
      <c r="CH40" s="172"/>
      <c r="CI40" s="172"/>
      <c r="CJ40" s="172"/>
      <c r="CK40" s="172"/>
      <c r="CL40" s="172"/>
      <c r="CM40" s="172"/>
      <c r="CN40" s="172"/>
      <c r="CO40" s="172"/>
      <c r="CP40" s="172"/>
      <c r="CQ40" s="172"/>
      <c r="CR40" s="12"/>
      <c r="CS40" s="12"/>
      <c r="CT40" s="12"/>
      <c r="DE40" s="12"/>
      <c r="DF40" s="12"/>
      <c r="DG40" s="12"/>
      <c r="DH40" s="12"/>
      <c r="DI40" s="12"/>
    </row>
    <row r="41" spans="1:114" ht="15" customHeight="1" x14ac:dyDescent="0.25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T41" s="12"/>
      <c r="U41" s="875"/>
      <c r="V41" s="338">
        <v>4</v>
      </c>
      <c r="W41" s="426">
        <v>7416</v>
      </c>
      <c r="X41" s="338" t="s">
        <v>8</v>
      </c>
      <c r="Y41" s="351">
        <f>'Structural Information'!$AM$7</f>
        <v>2</v>
      </c>
      <c r="Z41" s="144">
        <f>2*(SUM('Structural Information'!$AF$20:$AF$21))*(200)/$Y41</f>
        <v>241274.31579569611</v>
      </c>
      <c r="AA41" s="171"/>
      <c r="AL41" s="12"/>
      <c r="BD41" s="116"/>
      <c r="BE41" s="116"/>
      <c r="BF41" s="116"/>
      <c r="BG41" s="116"/>
      <c r="BH41" s="116"/>
      <c r="BI41" s="116"/>
      <c r="BJ41" s="116"/>
      <c r="BK41" s="116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72"/>
      <c r="CA41" s="172"/>
      <c r="CB41" s="172"/>
      <c r="CC41" s="172"/>
      <c r="CD41" s="172"/>
      <c r="CE41" s="172"/>
      <c r="CF41" s="172"/>
      <c r="CG41" s="172"/>
      <c r="CH41" s="172"/>
      <c r="CI41" s="172"/>
      <c r="CJ41" s="172"/>
      <c r="CK41" s="172"/>
      <c r="CL41" s="172"/>
      <c r="CM41" s="172"/>
      <c r="CN41" s="172"/>
      <c r="CO41" s="172"/>
      <c r="CP41" s="172"/>
      <c r="CQ41" s="172"/>
      <c r="CR41" s="12"/>
      <c r="CS41" s="12"/>
      <c r="CT41" s="12"/>
      <c r="DE41" s="12"/>
      <c r="DF41" s="12"/>
      <c r="DG41" s="12"/>
      <c r="DH41" s="12"/>
      <c r="DI41" s="12"/>
    </row>
    <row r="42" spans="1:114" ht="15" customHeight="1" x14ac:dyDescent="0.25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T42" s="12"/>
      <c r="U42" s="895"/>
      <c r="V42" s="342">
        <v>5</v>
      </c>
      <c r="W42" s="427">
        <v>7516</v>
      </c>
      <c r="X42" s="342" t="s">
        <v>8</v>
      </c>
      <c r="Y42" s="362">
        <f>'Structural Information'!$AM$6</f>
        <v>4.5</v>
      </c>
      <c r="Z42" s="38">
        <f>2*(SUM('Structural Information'!$AF$20:$AF$21))*(200)/$Y42</f>
        <v>107233.0292425316</v>
      </c>
      <c r="AA42" s="171"/>
      <c r="AL42" s="12"/>
      <c r="AM42" s="116"/>
      <c r="AN42" s="116"/>
      <c r="AO42" s="116"/>
      <c r="AP42" s="116"/>
      <c r="AQ42" s="116"/>
      <c r="AR42" s="116"/>
      <c r="AS42" s="116"/>
      <c r="AT42" s="116"/>
      <c r="AU42" s="116"/>
      <c r="AV42" s="116"/>
      <c r="AW42" s="116"/>
      <c r="AX42" s="116"/>
      <c r="AY42" s="116"/>
      <c r="AZ42" s="116"/>
      <c r="BA42" s="116"/>
      <c r="BB42" s="116"/>
      <c r="BC42" s="116"/>
      <c r="BD42" s="116"/>
      <c r="BE42" s="116"/>
      <c r="BF42" s="116"/>
      <c r="BG42" s="116"/>
      <c r="BH42" s="116"/>
      <c r="BI42" s="116"/>
      <c r="BJ42" s="116"/>
      <c r="BK42" s="116"/>
      <c r="BL42" s="12"/>
      <c r="BM42" s="12"/>
      <c r="BN42" s="12"/>
      <c r="BO42" s="12"/>
      <c r="BP42" s="12"/>
      <c r="BQ42" s="12"/>
      <c r="BR42" s="12"/>
      <c r="BS42" s="12"/>
      <c r="BT42" s="12"/>
      <c r="BU42" s="12"/>
      <c r="BV42" s="12"/>
      <c r="BW42" s="12"/>
      <c r="BX42" s="12"/>
      <c r="BY42" s="12"/>
      <c r="BZ42" s="172"/>
      <c r="CA42" s="172"/>
      <c r="CB42" s="172"/>
      <c r="CC42" s="172"/>
      <c r="CD42" s="172"/>
      <c r="CE42" s="172"/>
      <c r="CF42" s="172"/>
      <c r="CG42" s="172"/>
      <c r="CH42" s="172"/>
      <c r="CI42" s="172"/>
      <c r="CJ42" s="172"/>
      <c r="CK42" s="172"/>
      <c r="CL42" s="172"/>
      <c r="CM42" s="172"/>
      <c r="CN42" s="172"/>
      <c r="CO42" s="172"/>
      <c r="CP42" s="172"/>
      <c r="CQ42" s="172"/>
      <c r="CR42" s="12"/>
      <c r="CS42" s="173"/>
      <c r="CT42" s="173"/>
      <c r="DE42" s="173"/>
      <c r="DF42" s="173"/>
      <c r="DG42" s="173"/>
      <c r="DH42" s="173"/>
      <c r="DI42" s="173"/>
      <c r="DJ42" s="173"/>
    </row>
    <row r="43" spans="1:114" ht="15" customHeight="1" x14ac:dyDescent="0.25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T43" s="12"/>
      <c r="U43" s="874">
        <v>5</v>
      </c>
      <c r="V43" s="336">
        <v>1</v>
      </c>
      <c r="W43" s="426">
        <v>7115</v>
      </c>
      <c r="X43" s="336" t="s">
        <v>8</v>
      </c>
      <c r="Y43" s="350">
        <f>'Structural Information'!$AM$10</f>
        <v>4.5</v>
      </c>
      <c r="Z43" s="139">
        <f>2*(SUM('Structural Information'!$AF$20:$AF$21))*(200)/$Y43</f>
        <v>107233.0292425316</v>
      </c>
      <c r="AA43" s="171"/>
      <c r="AL43" s="12"/>
      <c r="AM43" s="116"/>
      <c r="AN43" s="116"/>
      <c r="AO43" s="116"/>
      <c r="AP43" s="116"/>
      <c r="AQ43" s="116"/>
      <c r="AR43" s="116"/>
      <c r="AS43" s="116"/>
      <c r="AT43" s="116"/>
      <c r="AU43" s="116"/>
      <c r="AV43" s="116"/>
      <c r="AW43" s="116"/>
      <c r="AX43" s="116"/>
      <c r="AY43" s="116"/>
      <c r="AZ43" s="116"/>
      <c r="BA43" s="116"/>
      <c r="BB43" s="116"/>
      <c r="BC43" s="116"/>
      <c r="BD43" s="116"/>
      <c r="BE43" s="116"/>
      <c r="BF43" s="116"/>
      <c r="BG43" s="116"/>
      <c r="BH43" s="116"/>
      <c r="BI43" s="116"/>
      <c r="BJ43" s="116"/>
      <c r="BK43" s="116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72"/>
      <c r="CA43" s="172"/>
      <c r="CB43" s="172"/>
      <c r="CC43" s="172"/>
      <c r="CD43" s="172"/>
      <c r="CE43" s="172"/>
      <c r="CF43" s="172"/>
      <c r="CG43" s="172"/>
      <c r="CH43" s="172"/>
      <c r="CI43" s="172"/>
      <c r="CJ43" s="172"/>
      <c r="CK43" s="172"/>
      <c r="CL43" s="172"/>
      <c r="CM43" s="172"/>
      <c r="CN43" s="172"/>
      <c r="CO43" s="172"/>
      <c r="CP43" s="172"/>
      <c r="CQ43" s="172"/>
      <c r="CR43" s="12"/>
      <c r="CS43" s="173"/>
      <c r="CT43" s="173"/>
      <c r="DE43" s="173"/>
      <c r="DF43" s="173"/>
      <c r="DG43" s="173"/>
      <c r="DH43" s="173"/>
      <c r="DI43" s="173"/>
      <c r="DJ43" s="173"/>
    </row>
    <row r="44" spans="1:114" ht="15" customHeight="1" x14ac:dyDescent="0.25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T44" s="12"/>
      <c r="U44" s="875"/>
      <c r="V44" s="338">
        <v>2</v>
      </c>
      <c r="W44" s="426">
        <v>7215</v>
      </c>
      <c r="X44" s="338" t="s">
        <v>8</v>
      </c>
      <c r="Y44" s="351">
        <f>'Structural Information'!$AM$9</f>
        <v>2</v>
      </c>
      <c r="Z44" s="144">
        <f>2*(SUM('Structural Information'!$AF$20:$AF$21))*(200)/$Y44</f>
        <v>241274.31579569611</v>
      </c>
      <c r="AA44" s="171"/>
      <c r="AL44" s="12"/>
      <c r="AM44" s="116"/>
      <c r="AN44" s="116"/>
      <c r="AO44" s="116"/>
      <c r="AP44" s="116"/>
      <c r="AQ44" s="116"/>
      <c r="AR44" s="116"/>
      <c r="AS44" s="116"/>
      <c r="AT44" s="116"/>
      <c r="AU44" s="116"/>
      <c r="AV44" s="116"/>
      <c r="AW44" s="116"/>
      <c r="AX44" s="116"/>
      <c r="AY44" s="116"/>
      <c r="AZ44" s="116"/>
      <c r="BA44" s="116"/>
      <c r="BB44" s="116"/>
      <c r="BC44" s="116"/>
      <c r="BD44" s="116"/>
      <c r="BE44" s="116"/>
      <c r="BF44" s="116"/>
      <c r="BG44" s="116"/>
      <c r="BH44" s="116"/>
      <c r="BI44" s="116"/>
      <c r="BJ44" s="116"/>
      <c r="BK44" s="116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72"/>
      <c r="CA44" s="172"/>
      <c r="CB44" s="172"/>
      <c r="CC44" s="172"/>
      <c r="CD44" s="172"/>
      <c r="CE44" s="172"/>
      <c r="CF44" s="172"/>
      <c r="CG44" s="172"/>
      <c r="CH44" s="172"/>
      <c r="CI44" s="172"/>
      <c r="CJ44" s="172"/>
      <c r="CK44" s="172"/>
      <c r="CL44" s="172"/>
      <c r="CM44" s="172"/>
      <c r="CN44" s="172"/>
      <c r="CO44" s="172"/>
      <c r="CP44" s="172"/>
      <c r="CQ44" s="172"/>
      <c r="CR44" s="12"/>
      <c r="CS44" s="173"/>
      <c r="CT44" s="173"/>
      <c r="DE44" s="173"/>
      <c r="DF44" s="173"/>
      <c r="DG44" s="173"/>
      <c r="DH44" s="173"/>
      <c r="DI44" s="173"/>
      <c r="DJ44" s="173"/>
    </row>
    <row r="45" spans="1:114" ht="15" customHeight="1" x14ac:dyDescent="0.25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T45" s="12"/>
      <c r="U45" s="875"/>
      <c r="V45" s="338">
        <v>3</v>
      </c>
      <c r="W45" s="426">
        <v>7315</v>
      </c>
      <c r="X45" s="338" t="s">
        <v>8</v>
      </c>
      <c r="Y45" s="351">
        <f>'Structural Information'!$AM$8</f>
        <v>4.5</v>
      </c>
      <c r="Z45" s="144">
        <f>2*(SUM('Structural Information'!$AF$20:$AF$21))*(200)/$Y45</f>
        <v>107233.0292425316</v>
      </c>
      <c r="AA45" s="171"/>
      <c r="AL45" s="12"/>
      <c r="AM45" s="116"/>
      <c r="AN45" s="116"/>
      <c r="AO45" s="116"/>
      <c r="AP45" s="116"/>
      <c r="AQ45" s="116"/>
      <c r="AR45" s="116"/>
      <c r="AS45" s="116"/>
      <c r="AT45" s="116"/>
      <c r="AU45" s="116"/>
      <c r="AV45" s="116"/>
      <c r="AW45" s="116"/>
      <c r="AX45" s="116"/>
      <c r="AY45" s="116"/>
      <c r="AZ45" s="116"/>
      <c r="BA45" s="116"/>
      <c r="BB45" s="116"/>
      <c r="BC45" s="116"/>
      <c r="BD45" s="116"/>
      <c r="BE45" s="116"/>
      <c r="BF45" s="116"/>
      <c r="BG45" s="116"/>
      <c r="BH45" s="116"/>
      <c r="BI45" s="116"/>
      <c r="BJ45" s="116"/>
      <c r="BK45" s="116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72"/>
      <c r="CA45" s="172"/>
      <c r="CB45" s="172"/>
      <c r="CC45" s="172"/>
      <c r="CD45" s="172"/>
      <c r="CE45" s="172"/>
      <c r="CF45" s="172"/>
      <c r="CG45" s="172"/>
      <c r="CH45" s="172"/>
      <c r="CI45" s="172"/>
      <c r="CJ45" s="172"/>
      <c r="CK45" s="172"/>
      <c r="CL45" s="172"/>
      <c r="CM45" s="172"/>
      <c r="CN45" s="172"/>
      <c r="CO45" s="172"/>
      <c r="CP45" s="172"/>
      <c r="CQ45" s="172"/>
      <c r="CR45" s="12"/>
      <c r="CS45" s="173"/>
      <c r="CT45" s="173"/>
      <c r="CU45" s="173"/>
      <c r="CV45" s="173"/>
      <c r="CW45" s="173"/>
      <c r="CX45" s="173"/>
      <c r="CY45" s="173"/>
      <c r="CZ45" s="173"/>
      <c r="DA45" s="173"/>
      <c r="DB45" s="173"/>
      <c r="DC45" s="173"/>
      <c r="DD45" s="173"/>
      <c r="DE45" s="173"/>
      <c r="DF45" s="173"/>
      <c r="DG45" s="173"/>
      <c r="DH45" s="173"/>
      <c r="DI45" s="173"/>
      <c r="DJ45" s="173"/>
    </row>
    <row r="46" spans="1:114" ht="15.75" customHeight="1" x14ac:dyDescent="0.25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U46" s="875"/>
      <c r="V46" s="338">
        <v>4</v>
      </c>
      <c r="W46" s="426">
        <v>7415</v>
      </c>
      <c r="X46" s="338" t="s">
        <v>8</v>
      </c>
      <c r="Y46" s="351">
        <f>'Structural Information'!$AM$7</f>
        <v>2</v>
      </c>
      <c r="Z46" s="144">
        <f>2*(SUM('Structural Information'!$AF$20:$AF$21))*(200)/$Y46</f>
        <v>241274.31579569611</v>
      </c>
      <c r="AA46" s="171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  <c r="AZ46" s="116"/>
      <c r="BA46" s="116"/>
      <c r="BB46" s="116"/>
      <c r="BC46" s="116"/>
      <c r="BD46" s="116"/>
      <c r="BE46" s="116"/>
      <c r="BF46" s="116"/>
      <c r="BG46" s="116"/>
      <c r="BH46" s="116"/>
      <c r="BI46" s="116"/>
      <c r="BJ46" s="116"/>
      <c r="BK46" s="116"/>
      <c r="BZ46" s="172"/>
      <c r="CA46" s="172"/>
      <c r="CB46" s="172"/>
      <c r="CC46" s="172"/>
      <c r="CD46" s="172"/>
      <c r="CE46" s="172"/>
      <c r="CF46" s="172"/>
      <c r="CG46" s="172"/>
      <c r="CH46" s="172"/>
      <c r="CI46" s="172"/>
      <c r="CJ46" s="172"/>
      <c r="CK46" s="172"/>
      <c r="CL46" s="172"/>
      <c r="CM46" s="172"/>
      <c r="CN46" s="172"/>
      <c r="CO46" s="172"/>
      <c r="CP46" s="172"/>
      <c r="CQ46" s="172"/>
      <c r="CS46" s="173"/>
      <c r="CT46" s="173"/>
      <c r="CU46" s="173"/>
      <c r="CV46" s="173"/>
      <c r="CW46" s="173"/>
      <c r="CX46" s="173"/>
      <c r="CY46" s="173"/>
      <c r="CZ46" s="173"/>
      <c r="DA46" s="173"/>
      <c r="DB46" s="173"/>
      <c r="DC46" s="173"/>
      <c r="DD46" s="173"/>
      <c r="DE46" s="173"/>
      <c r="DF46" s="173"/>
      <c r="DG46" s="173"/>
      <c r="DH46" s="173"/>
      <c r="DI46" s="173"/>
      <c r="DJ46" s="173"/>
    </row>
    <row r="47" spans="1:114" ht="15.75" customHeight="1" x14ac:dyDescent="0.25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U47" s="895"/>
      <c r="V47" s="342">
        <v>5</v>
      </c>
      <c r="W47" s="427">
        <v>7515</v>
      </c>
      <c r="X47" s="342" t="s">
        <v>8</v>
      </c>
      <c r="Y47" s="362">
        <f>'Structural Information'!$AM$6</f>
        <v>4.5</v>
      </c>
      <c r="Z47" s="38">
        <f>2*(SUM('Structural Information'!$AF$20:$AF$21))*(200)/$Y47</f>
        <v>107233.0292425316</v>
      </c>
      <c r="AA47" s="171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  <c r="AZ47" s="116"/>
      <c r="BA47" s="116"/>
      <c r="BB47" s="116"/>
      <c r="BC47" s="116"/>
      <c r="BD47" s="116"/>
      <c r="BE47" s="116"/>
      <c r="BF47" s="116"/>
      <c r="BG47" s="116"/>
      <c r="BH47" s="116"/>
      <c r="BI47" s="116"/>
      <c r="BJ47" s="116"/>
      <c r="BK47" s="116"/>
      <c r="BZ47" s="172"/>
      <c r="CA47" s="172"/>
      <c r="CB47" s="172"/>
      <c r="CC47" s="172"/>
      <c r="CD47" s="172"/>
      <c r="CE47" s="172"/>
      <c r="CF47" s="172"/>
      <c r="CG47" s="172"/>
      <c r="CH47" s="172"/>
      <c r="CI47" s="172"/>
      <c r="CJ47" s="172"/>
      <c r="CK47" s="172"/>
      <c r="CL47" s="172"/>
      <c r="CM47" s="172"/>
      <c r="CN47" s="172"/>
      <c r="CO47" s="172"/>
      <c r="CP47" s="172"/>
      <c r="CQ47" s="172"/>
      <c r="CS47" s="173"/>
      <c r="CT47" s="173"/>
      <c r="CU47" s="173"/>
      <c r="CV47" s="173"/>
      <c r="CW47" s="173"/>
      <c r="CX47" s="173"/>
      <c r="CY47" s="173"/>
      <c r="CZ47" s="173"/>
      <c r="DA47" s="173"/>
      <c r="DB47" s="173"/>
      <c r="DC47" s="173"/>
      <c r="DD47" s="173"/>
      <c r="DE47" s="173"/>
      <c r="DF47" s="173"/>
      <c r="DG47" s="173"/>
      <c r="DH47" s="173"/>
      <c r="DI47" s="173"/>
      <c r="DJ47" s="173"/>
    </row>
    <row r="48" spans="1:114" ht="15.75" customHeight="1" x14ac:dyDescent="0.25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U48" s="874">
        <v>4</v>
      </c>
      <c r="V48" s="336">
        <v>1</v>
      </c>
      <c r="W48" s="426">
        <v>7114</v>
      </c>
      <c r="X48" s="336" t="s">
        <v>8</v>
      </c>
      <c r="Y48" s="350">
        <f>'Structural Information'!$AM$10</f>
        <v>4.5</v>
      </c>
      <c r="Z48" s="139">
        <f>2*(SUM('Structural Information'!$AF$20:$AF$21))*(200)/$Y48</f>
        <v>107233.0292425316</v>
      </c>
      <c r="AA48" s="171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  <c r="AZ48" s="116"/>
      <c r="BA48" s="116"/>
      <c r="BB48" s="116"/>
      <c r="BC48" s="116"/>
      <c r="BD48" s="116"/>
      <c r="BE48" s="116"/>
      <c r="BF48" s="116"/>
      <c r="BG48" s="116"/>
      <c r="BH48" s="116"/>
      <c r="BI48" s="116"/>
      <c r="BJ48" s="116"/>
      <c r="BK48" s="116"/>
      <c r="BZ48" s="172"/>
      <c r="CA48" s="172"/>
      <c r="CB48" s="172"/>
      <c r="CC48" s="172"/>
      <c r="CD48" s="172"/>
      <c r="CE48" s="172"/>
      <c r="CF48" s="172"/>
      <c r="CG48" s="172"/>
      <c r="CH48" s="172"/>
      <c r="CI48" s="172"/>
      <c r="CJ48" s="172"/>
      <c r="CK48" s="172"/>
      <c r="CL48" s="172"/>
      <c r="CM48" s="172"/>
      <c r="CN48" s="172"/>
      <c r="CO48" s="172"/>
      <c r="CP48" s="172"/>
      <c r="CQ48" s="172"/>
      <c r="CS48" s="173"/>
      <c r="CT48" s="173"/>
      <c r="CU48" s="173"/>
      <c r="CV48" s="173"/>
      <c r="CW48" s="173"/>
      <c r="CX48" s="173"/>
      <c r="CY48" s="173"/>
      <c r="CZ48" s="173"/>
      <c r="DA48" s="173"/>
      <c r="DB48" s="173"/>
      <c r="DC48" s="173"/>
      <c r="DD48" s="173"/>
      <c r="DE48" s="173"/>
      <c r="DF48" s="173"/>
      <c r="DG48" s="173"/>
      <c r="DH48" s="173"/>
      <c r="DI48" s="173"/>
      <c r="DJ48" s="173"/>
    </row>
    <row r="49" spans="1:114" ht="15.75" x14ac:dyDescent="0.25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U49" s="875"/>
      <c r="V49" s="338">
        <v>2</v>
      </c>
      <c r="W49" s="426">
        <v>7214</v>
      </c>
      <c r="X49" s="338" t="s">
        <v>8</v>
      </c>
      <c r="Y49" s="351">
        <f>'Structural Information'!$AM$9</f>
        <v>2</v>
      </c>
      <c r="Z49" s="144">
        <f>2*(SUM('Structural Information'!$AF$20:$AF$21))*(200)/$Y49</f>
        <v>241274.31579569611</v>
      </c>
      <c r="AA49" s="171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  <c r="AZ49" s="116"/>
      <c r="BA49" s="116"/>
      <c r="BB49" s="116"/>
      <c r="BC49" s="116"/>
      <c r="BD49" s="116"/>
      <c r="BE49" s="116"/>
      <c r="BF49" s="116"/>
      <c r="BG49" s="116"/>
      <c r="BH49" s="116"/>
      <c r="BI49" s="116"/>
      <c r="BJ49" s="116"/>
      <c r="BK49" s="116"/>
      <c r="BZ49" s="172"/>
      <c r="CA49" s="172"/>
      <c r="CB49" s="172"/>
      <c r="CC49" s="172"/>
      <c r="CD49" s="172"/>
      <c r="CE49" s="172"/>
      <c r="CF49" s="172"/>
      <c r="CG49" s="172"/>
      <c r="CH49" s="172"/>
      <c r="CI49" s="172"/>
      <c r="CJ49" s="172"/>
      <c r="CK49" s="172"/>
      <c r="CL49" s="172"/>
      <c r="CM49" s="172"/>
      <c r="CN49" s="172"/>
      <c r="CO49" s="172"/>
      <c r="CP49" s="172"/>
      <c r="CQ49" s="172"/>
      <c r="CS49" s="173"/>
      <c r="CT49" s="173"/>
      <c r="CU49" s="173"/>
      <c r="CV49" s="173"/>
      <c r="CW49" s="173"/>
      <c r="CX49" s="173"/>
      <c r="CY49" s="173"/>
      <c r="CZ49" s="173"/>
      <c r="DA49" s="173"/>
      <c r="DB49" s="173"/>
      <c r="DC49" s="173"/>
      <c r="DD49" s="173"/>
      <c r="DE49" s="173"/>
      <c r="DF49" s="173"/>
      <c r="DG49" s="173"/>
      <c r="DH49" s="173"/>
      <c r="DI49" s="173"/>
      <c r="DJ49" s="173"/>
    </row>
    <row r="50" spans="1:114" ht="15" customHeight="1" x14ac:dyDescent="0.25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U50" s="875"/>
      <c r="V50" s="338">
        <v>3</v>
      </c>
      <c r="W50" s="426">
        <v>7314</v>
      </c>
      <c r="X50" s="338" t="s">
        <v>8</v>
      </c>
      <c r="Y50" s="351">
        <f>'Structural Information'!$AM$8</f>
        <v>4.5</v>
      </c>
      <c r="Z50" s="144">
        <f>2*(SUM('Structural Information'!$AF$20:$AF$21))*(200)/$Y50</f>
        <v>107233.0292425316</v>
      </c>
      <c r="AA50" s="171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  <c r="AZ50" s="116"/>
      <c r="BA50" s="116"/>
      <c r="BB50" s="116"/>
      <c r="BC50" s="116"/>
      <c r="BD50" s="116"/>
      <c r="BE50" s="116"/>
      <c r="BF50" s="116"/>
      <c r="BG50" s="116"/>
      <c r="BH50" s="116"/>
      <c r="BI50" s="116"/>
      <c r="BJ50" s="116"/>
      <c r="BK50" s="116"/>
      <c r="BZ50" s="172"/>
      <c r="CA50" s="172"/>
      <c r="CB50" s="172"/>
      <c r="CC50" s="172"/>
      <c r="CD50" s="172"/>
      <c r="CE50" s="172"/>
      <c r="CF50" s="172"/>
      <c r="CG50" s="172"/>
      <c r="CH50" s="172"/>
      <c r="CI50" s="172"/>
      <c r="CJ50" s="172"/>
      <c r="CK50" s="172"/>
      <c r="CL50" s="172"/>
      <c r="CM50" s="172"/>
      <c r="CN50" s="172"/>
      <c r="CO50" s="172"/>
      <c r="CP50" s="172"/>
      <c r="CQ50" s="172"/>
      <c r="CS50" s="173"/>
      <c r="CT50" s="173"/>
      <c r="CU50" s="173"/>
      <c r="CV50" s="173"/>
      <c r="CW50" s="173"/>
      <c r="CX50" s="173"/>
      <c r="CY50" s="173"/>
      <c r="CZ50" s="173"/>
      <c r="DA50" s="173"/>
      <c r="DB50" s="173"/>
      <c r="DC50" s="173"/>
      <c r="DD50" s="173"/>
      <c r="DE50" s="173"/>
      <c r="DF50" s="173"/>
      <c r="DG50" s="173"/>
      <c r="DH50" s="173"/>
      <c r="DI50" s="173"/>
      <c r="DJ50" s="173"/>
    </row>
    <row r="51" spans="1:114" ht="15" customHeight="1" x14ac:dyDescent="0.25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U51" s="875"/>
      <c r="V51" s="338">
        <v>4</v>
      </c>
      <c r="W51" s="426">
        <v>7414</v>
      </c>
      <c r="X51" s="338" t="s">
        <v>8</v>
      </c>
      <c r="Y51" s="351">
        <f>'Structural Information'!$AM$7</f>
        <v>2</v>
      </c>
      <c r="Z51" s="144">
        <f>2*(SUM('Structural Information'!$AF$20:$AF$21))*(200)/$Y51</f>
        <v>241274.31579569611</v>
      </c>
      <c r="AA51" s="171"/>
      <c r="AH51" s="171"/>
      <c r="AI51" s="171"/>
      <c r="AJ51" s="171"/>
      <c r="AK51" s="171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  <c r="AZ51" s="116"/>
      <c r="BA51" s="116"/>
      <c r="BB51" s="116"/>
      <c r="BC51" s="116"/>
      <c r="BD51" s="116"/>
      <c r="BE51" s="116"/>
      <c r="BF51" s="116"/>
      <c r="BG51" s="116"/>
      <c r="BH51" s="116"/>
      <c r="BI51" s="116"/>
      <c r="BJ51" s="116"/>
      <c r="BK51" s="116"/>
      <c r="BZ51" s="172"/>
      <c r="CA51" s="172"/>
      <c r="CB51" s="172"/>
      <c r="CC51" s="172"/>
      <c r="CD51" s="172"/>
      <c r="CE51" s="172"/>
      <c r="CF51" s="172"/>
      <c r="CG51" s="172"/>
      <c r="CH51" s="172"/>
      <c r="CI51" s="172"/>
      <c r="CJ51" s="172"/>
      <c r="CK51" s="172"/>
      <c r="CL51" s="172"/>
      <c r="CM51" s="172"/>
      <c r="CN51" s="172"/>
      <c r="CO51" s="172"/>
      <c r="CP51" s="172"/>
      <c r="CQ51" s="172"/>
      <c r="CS51" s="173"/>
      <c r="CT51" s="173"/>
      <c r="CU51" s="173"/>
      <c r="CV51" s="173"/>
      <c r="CW51" s="173"/>
      <c r="CX51" s="173"/>
      <c r="CY51" s="173"/>
      <c r="CZ51" s="173"/>
      <c r="DA51" s="173"/>
      <c r="DB51" s="173"/>
      <c r="DC51" s="173"/>
      <c r="DD51" s="173"/>
      <c r="DE51" s="173"/>
      <c r="DF51" s="173"/>
      <c r="DG51" s="173"/>
      <c r="DH51" s="173"/>
      <c r="DI51" s="173"/>
      <c r="DJ51" s="173"/>
    </row>
    <row r="52" spans="1:114" ht="15" customHeight="1" x14ac:dyDescent="0.25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U52" s="895"/>
      <c r="V52" s="342">
        <v>5</v>
      </c>
      <c r="W52" s="427">
        <v>7514</v>
      </c>
      <c r="X52" s="342" t="s">
        <v>8</v>
      </c>
      <c r="Y52" s="362">
        <f>'Structural Information'!$AM$6</f>
        <v>4.5</v>
      </c>
      <c r="Z52" s="38">
        <f>2*(SUM('Structural Information'!$AF$20:$AF$21))*(200)/$Y52</f>
        <v>107233.0292425316</v>
      </c>
      <c r="AA52" s="171"/>
      <c r="AH52" s="171"/>
      <c r="AI52" s="171"/>
      <c r="AJ52" s="171"/>
      <c r="AK52" s="171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  <c r="AZ52" s="116"/>
      <c r="BA52" s="116"/>
      <c r="BB52" s="116"/>
      <c r="BC52" s="116"/>
      <c r="BD52" s="116"/>
      <c r="BE52" s="116"/>
      <c r="BF52" s="116"/>
      <c r="BG52" s="116"/>
      <c r="BH52" s="116"/>
      <c r="BI52" s="116"/>
      <c r="BJ52" s="116"/>
      <c r="BK52" s="116"/>
      <c r="BZ52" s="172"/>
      <c r="CA52" s="172"/>
      <c r="CB52" s="172"/>
      <c r="CC52" s="172"/>
      <c r="CD52" s="172"/>
      <c r="CE52" s="172"/>
      <c r="CF52" s="172"/>
      <c r="CG52" s="172"/>
      <c r="CH52" s="172"/>
      <c r="CI52" s="172"/>
      <c r="CJ52" s="172"/>
      <c r="CK52" s="172"/>
      <c r="CL52" s="172"/>
      <c r="CM52" s="172"/>
      <c r="CN52" s="172"/>
      <c r="CO52" s="172"/>
      <c r="CP52" s="172"/>
      <c r="CQ52" s="172"/>
      <c r="CS52" s="173"/>
      <c r="CT52" s="173"/>
      <c r="CU52" s="173"/>
      <c r="CV52" s="173"/>
      <c r="CW52" s="173"/>
      <c r="CX52" s="173"/>
      <c r="CY52" s="173"/>
      <c r="CZ52" s="173"/>
      <c r="DA52" s="173"/>
      <c r="DB52" s="173"/>
      <c r="DC52" s="173"/>
      <c r="DD52" s="173"/>
      <c r="DE52" s="173"/>
      <c r="DF52" s="173"/>
      <c r="DG52" s="173"/>
      <c r="DH52" s="173"/>
      <c r="DI52" s="173"/>
      <c r="DJ52" s="173"/>
    </row>
    <row r="53" spans="1:114" ht="15" customHeight="1" x14ac:dyDescent="0.25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U53" s="875">
        <v>3</v>
      </c>
      <c r="V53" s="338">
        <v>1</v>
      </c>
      <c r="W53" s="338">
        <v>7113</v>
      </c>
      <c r="X53" s="338" t="s">
        <v>8</v>
      </c>
      <c r="Y53" s="351">
        <f>'Structural Information'!$AM$10</f>
        <v>4.5</v>
      </c>
      <c r="Z53" s="144">
        <f>2*(SUM('Structural Information'!$AF$20:$AF$21))*(200)/$Y53</f>
        <v>107233.0292425316</v>
      </c>
      <c r="AA53" s="171"/>
      <c r="AH53" s="171"/>
      <c r="AI53" s="171"/>
      <c r="AJ53" s="171"/>
      <c r="AK53" s="171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  <c r="AZ53" s="116"/>
      <c r="BA53" s="116"/>
      <c r="BB53" s="116"/>
      <c r="BC53" s="116"/>
      <c r="BD53" s="116"/>
      <c r="BE53" s="116"/>
      <c r="BF53" s="116"/>
      <c r="BG53" s="116"/>
      <c r="BH53" s="116"/>
      <c r="BI53" s="116"/>
      <c r="BJ53" s="116"/>
      <c r="BK53" s="116"/>
      <c r="BZ53" s="172"/>
      <c r="CA53" s="172"/>
      <c r="CB53" s="172"/>
      <c r="CC53" s="172"/>
      <c r="CD53" s="172"/>
      <c r="CE53" s="172"/>
      <c r="CF53" s="172"/>
      <c r="CG53" s="172"/>
      <c r="CH53" s="172"/>
      <c r="CI53" s="172"/>
      <c r="CJ53" s="172"/>
      <c r="CK53" s="172"/>
      <c r="CL53" s="172"/>
      <c r="CM53" s="172"/>
      <c r="CN53" s="172"/>
      <c r="CO53" s="172"/>
      <c r="CP53" s="172"/>
      <c r="CQ53" s="172"/>
      <c r="CS53" s="173"/>
      <c r="CT53" s="173"/>
      <c r="CU53" s="173"/>
      <c r="CV53" s="173"/>
      <c r="CW53" s="173"/>
      <c r="CX53" s="173"/>
      <c r="CY53" s="173"/>
      <c r="CZ53" s="173"/>
      <c r="DA53" s="173"/>
      <c r="DB53" s="173"/>
      <c r="DC53" s="173"/>
      <c r="DD53" s="173"/>
      <c r="DE53" s="173"/>
      <c r="DF53" s="173"/>
      <c r="DG53" s="173"/>
      <c r="DH53" s="173"/>
      <c r="DI53" s="173"/>
      <c r="DJ53" s="173"/>
    </row>
    <row r="54" spans="1:114" ht="15" customHeight="1" x14ac:dyDescent="0.25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U54" s="875"/>
      <c r="V54" s="338">
        <v>2</v>
      </c>
      <c r="W54" s="338">
        <v>7213</v>
      </c>
      <c r="X54" s="338" t="s">
        <v>8</v>
      </c>
      <c r="Y54" s="351">
        <f>'Structural Information'!$AM$9</f>
        <v>2</v>
      </c>
      <c r="Z54" s="144">
        <f>2*(SUM('Structural Information'!$AF$20:$AF$21))*(200)/$Y54</f>
        <v>241274.31579569611</v>
      </c>
      <c r="AA54" s="171"/>
      <c r="AH54" s="171"/>
      <c r="AI54" s="171"/>
      <c r="AJ54" s="171"/>
      <c r="AK54" s="171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  <c r="AZ54" s="116"/>
      <c r="BA54" s="116"/>
      <c r="BB54" s="116"/>
      <c r="BC54" s="116"/>
      <c r="BD54" s="116"/>
      <c r="BE54" s="116"/>
      <c r="BF54" s="116"/>
      <c r="BG54" s="116"/>
      <c r="BH54" s="116"/>
      <c r="BI54" s="116"/>
      <c r="BJ54" s="116"/>
      <c r="BK54" s="116"/>
      <c r="BZ54" s="172"/>
      <c r="CA54" s="172"/>
      <c r="CB54" s="172"/>
      <c r="CC54" s="172"/>
      <c r="CD54" s="172"/>
      <c r="CE54" s="172"/>
      <c r="CF54" s="172"/>
      <c r="CG54" s="172"/>
      <c r="CH54" s="172"/>
      <c r="CI54" s="172"/>
      <c r="CJ54" s="172"/>
      <c r="CK54" s="172"/>
      <c r="CL54" s="172"/>
      <c r="CM54" s="172"/>
      <c r="CN54" s="172"/>
      <c r="CO54" s="172"/>
      <c r="CP54" s="172"/>
      <c r="CQ54" s="172"/>
      <c r="CS54" s="173"/>
      <c r="CT54" s="173"/>
      <c r="CU54" s="173"/>
      <c r="CV54" s="173"/>
      <c r="CW54" s="173"/>
      <c r="CX54" s="173"/>
      <c r="CY54" s="173"/>
      <c r="CZ54" s="173"/>
      <c r="DA54" s="173"/>
      <c r="DB54" s="173"/>
      <c r="DC54" s="173"/>
      <c r="DD54" s="173"/>
      <c r="DE54" s="173"/>
      <c r="DF54" s="173"/>
      <c r="DG54" s="173"/>
      <c r="DH54" s="173"/>
      <c r="DI54" s="173"/>
      <c r="DJ54" s="173"/>
    </row>
    <row r="55" spans="1:114" ht="15.75" customHeight="1" x14ac:dyDescent="0.25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U55" s="875"/>
      <c r="V55" s="338">
        <v>3</v>
      </c>
      <c r="W55" s="338">
        <v>7313</v>
      </c>
      <c r="X55" s="338" t="s">
        <v>8</v>
      </c>
      <c r="Y55" s="351">
        <f>'Structural Information'!$AM$8</f>
        <v>4.5</v>
      </c>
      <c r="Z55" s="144">
        <f>2*(SUM('Structural Information'!$AF$20:$AF$21))*(200)/$Y55</f>
        <v>107233.0292425316</v>
      </c>
      <c r="AA55" s="171"/>
      <c r="AH55" s="171"/>
      <c r="AI55" s="171"/>
      <c r="AJ55" s="171"/>
      <c r="AK55" s="171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  <c r="AZ55" s="116"/>
      <c r="BA55" s="116"/>
      <c r="BB55" s="116"/>
      <c r="BC55" s="116"/>
      <c r="BD55" s="116"/>
      <c r="BE55" s="116"/>
      <c r="BF55" s="116"/>
      <c r="BG55" s="116"/>
      <c r="BH55" s="116"/>
      <c r="BI55" s="116"/>
      <c r="BJ55" s="116"/>
      <c r="BK55" s="116"/>
      <c r="BZ55" s="172"/>
      <c r="CA55" s="172"/>
      <c r="CB55" s="172"/>
      <c r="CC55" s="172"/>
      <c r="CD55" s="172"/>
      <c r="CE55" s="172"/>
      <c r="CF55" s="172"/>
      <c r="CG55" s="172"/>
      <c r="CH55" s="172"/>
      <c r="CI55" s="172"/>
      <c r="CJ55" s="172"/>
      <c r="CK55" s="172"/>
      <c r="CL55" s="172"/>
      <c r="CM55" s="172"/>
      <c r="CN55" s="172"/>
      <c r="CO55" s="172"/>
      <c r="CP55" s="172"/>
      <c r="CQ55" s="172"/>
      <c r="CS55" s="173"/>
      <c r="CT55" s="173"/>
      <c r="CU55" s="173"/>
      <c r="CV55" s="173"/>
      <c r="CW55" s="173"/>
      <c r="CX55" s="173"/>
      <c r="CY55" s="173"/>
      <c r="CZ55" s="173"/>
      <c r="DA55" s="173"/>
      <c r="DB55" s="173"/>
      <c r="DC55" s="173"/>
      <c r="DD55" s="173"/>
      <c r="DE55" s="173"/>
      <c r="DF55" s="173"/>
      <c r="DG55" s="173"/>
      <c r="DH55" s="173"/>
      <c r="DI55" s="173"/>
      <c r="DJ55" s="173"/>
    </row>
    <row r="56" spans="1:114" ht="15" customHeight="1" x14ac:dyDescent="0.25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U56" s="875"/>
      <c r="V56" s="338">
        <v>4</v>
      </c>
      <c r="W56" s="338">
        <v>7413</v>
      </c>
      <c r="X56" s="338" t="s">
        <v>8</v>
      </c>
      <c r="Y56" s="351">
        <f>'Structural Information'!$AM$7</f>
        <v>2</v>
      </c>
      <c r="Z56" s="144">
        <f>2*(SUM('Structural Information'!$AF$20:$AF$21))*(200)/$Y56</f>
        <v>241274.31579569611</v>
      </c>
      <c r="AA56" s="171"/>
      <c r="AH56" s="171"/>
      <c r="AI56" s="171"/>
      <c r="AJ56" s="171"/>
      <c r="AK56" s="171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  <c r="AZ56" s="116"/>
      <c r="BA56" s="116"/>
      <c r="BB56" s="116"/>
      <c r="BC56" s="116"/>
      <c r="BD56" s="116"/>
      <c r="BE56" s="116"/>
      <c r="BF56" s="116"/>
      <c r="BG56" s="116"/>
      <c r="BH56" s="116"/>
      <c r="BI56" s="116"/>
      <c r="BJ56" s="116"/>
      <c r="BK56" s="116"/>
      <c r="BZ56" s="172"/>
      <c r="CA56" s="172"/>
      <c r="CB56" s="172"/>
      <c r="CC56" s="172"/>
      <c r="CD56" s="172"/>
      <c r="CE56" s="172"/>
      <c r="CF56" s="172"/>
      <c r="CG56" s="172"/>
      <c r="CH56" s="172"/>
      <c r="CI56" s="172"/>
      <c r="CJ56" s="172"/>
      <c r="CK56" s="172"/>
      <c r="CL56" s="172"/>
      <c r="CM56" s="172"/>
      <c r="CN56" s="172"/>
      <c r="CO56" s="172"/>
      <c r="CP56" s="172"/>
      <c r="CQ56" s="172"/>
      <c r="CS56" s="173"/>
      <c r="CT56" s="173"/>
      <c r="CU56" s="173"/>
      <c r="CV56" s="173"/>
      <c r="CW56" s="173"/>
      <c r="CX56" s="173"/>
      <c r="CY56" s="173"/>
      <c r="CZ56" s="173"/>
      <c r="DA56" s="173"/>
      <c r="DB56" s="173"/>
      <c r="DC56" s="173"/>
      <c r="DD56" s="173"/>
      <c r="DE56" s="173"/>
      <c r="DF56" s="173"/>
      <c r="DG56" s="173"/>
      <c r="DH56" s="173"/>
      <c r="DI56" s="173"/>
      <c r="DJ56" s="173"/>
    </row>
    <row r="57" spans="1:114" ht="15.75" customHeight="1" x14ac:dyDescent="0.25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74"/>
      <c r="O57" s="12"/>
      <c r="P57" s="12"/>
      <c r="Q57" s="12"/>
      <c r="R57" s="12"/>
      <c r="U57" s="895"/>
      <c r="V57" s="342">
        <v>5</v>
      </c>
      <c r="W57" s="342">
        <v>7513</v>
      </c>
      <c r="X57" s="342" t="s">
        <v>8</v>
      </c>
      <c r="Y57" s="362">
        <f>'Structural Information'!$AM$6</f>
        <v>4.5</v>
      </c>
      <c r="Z57" s="38">
        <f>2*(SUM('Structural Information'!$AF$20:$AF$21))*(200)/$Y57</f>
        <v>107233.0292425316</v>
      </c>
      <c r="AA57" s="171"/>
      <c r="AH57" s="171"/>
      <c r="AI57" s="171"/>
      <c r="AJ57" s="171"/>
      <c r="AK57" s="171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  <c r="AZ57" s="116"/>
      <c r="BA57" s="116"/>
      <c r="BB57" s="116"/>
      <c r="BC57" s="116"/>
      <c r="BD57" s="116"/>
      <c r="BE57" s="116"/>
      <c r="BF57" s="116"/>
      <c r="BG57" s="116"/>
      <c r="BH57" s="116"/>
      <c r="BI57" s="116"/>
      <c r="BJ57" s="116"/>
      <c r="BK57" s="116"/>
      <c r="BZ57" s="172"/>
      <c r="CA57" s="172"/>
      <c r="CB57" s="172"/>
      <c r="CC57" s="172"/>
      <c r="CD57" s="172"/>
      <c r="CE57" s="172"/>
      <c r="CF57" s="172"/>
      <c r="CG57" s="172"/>
      <c r="CH57" s="172"/>
      <c r="CI57" s="172"/>
      <c r="CJ57" s="172"/>
      <c r="CK57" s="172"/>
      <c r="CL57" s="172"/>
      <c r="CM57" s="172"/>
      <c r="CN57" s="172"/>
      <c r="CO57" s="172"/>
      <c r="CP57" s="172"/>
      <c r="CQ57" s="172"/>
      <c r="CS57" s="173"/>
      <c r="CT57" s="173"/>
      <c r="CU57" s="173"/>
      <c r="CV57" s="173"/>
      <c r="CW57" s="173"/>
      <c r="CX57" s="173"/>
      <c r="CY57" s="173"/>
      <c r="CZ57" s="173"/>
      <c r="DA57" s="173"/>
      <c r="DB57" s="173"/>
      <c r="DC57" s="173"/>
      <c r="DD57" s="173"/>
      <c r="DE57" s="173"/>
      <c r="DF57" s="173"/>
      <c r="DG57" s="173"/>
      <c r="DH57" s="173"/>
      <c r="DI57" s="173"/>
      <c r="DJ57" s="173"/>
    </row>
    <row r="58" spans="1:114" ht="16.5" customHeight="1" x14ac:dyDescent="0.25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0"/>
      <c r="O58" s="12"/>
      <c r="P58" s="12"/>
      <c r="Q58" s="12"/>
      <c r="R58" s="12"/>
      <c r="U58" s="874">
        <v>2</v>
      </c>
      <c r="V58" s="336">
        <v>1</v>
      </c>
      <c r="W58" s="336">
        <v>7112</v>
      </c>
      <c r="X58" s="336" t="s">
        <v>8</v>
      </c>
      <c r="Y58" s="350">
        <f>'Structural Information'!$AM$10</f>
        <v>4.5</v>
      </c>
      <c r="Z58" s="139">
        <f>2*(SUM('Structural Information'!$AF$20:$AF$21))*(200)/$Y58</f>
        <v>107233.0292425316</v>
      </c>
      <c r="AA58" s="171"/>
      <c r="AH58" s="171"/>
      <c r="AI58" s="171"/>
      <c r="AJ58" s="171"/>
      <c r="AK58" s="171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  <c r="AZ58" s="116"/>
      <c r="BA58" s="116"/>
      <c r="BB58" s="116"/>
      <c r="BC58" s="116"/>
      <c r="BD58" s="116"/>
      <c r="BE58" s="116"/>
      <c r="BF58" s="116"/>
      <c r="BG58" s="116"/>
      <c r="BH58" s="116"/>
      <c r="BI58" s="116"/>
      <c r="BJ58" s="116"/>
      <c r="BK58" s="116"/>
      <c r="BZ58" s="172"/>
      <c r="CA58" s="172"/>
      <c r="CB58" s="172"/>
      <c r="CC58" s="172"/>
      <c r="CD58" s="172"/>
      <c r="CE58" s="172"/>
      <c r="CF58" s="172"/>
      <c r="CG58" s="172"/>
      <c r="CH58" s="172"/>
      <c r="CI58" s="172"/>
      <c r="CJ58" s="172"/>
      <c r="CK58" s="172"/>
      <c r="CL58" s="172"/>
      <c r="CM58" s="172"/>
      <c r="CN58" s="172"/>
      <c r="CO58" s="172"/>
      <c r="CP58" s="172"/>
      <c r="CQ58" s="172"/>
      <c r="CS58" s="173"/>
      <c r="CT58" s="173"/>
      <c r="CU58" s="173"/>
      <c r="CV58" s="173"/>
      <c r="CW58" s="173"/>
      <c r="CX58" s="173"/>
      <c r="CY58" s="173"/>
      <c r="CZ58" s="173"/>
      <c r="DA58" s="173"/>
      <c r="DB58" s="173"/>
      <c r="DC58" s="173"/>
      <c r="DD58" s="173"/>
      <c r="DE58" s="173"/>
      <c r="DF58" s="173"/>
      <c r="DG58" s="173"/>
      <c r="DH58" s="173"/>
      <c r="DI58" s="173"/>
      <c r="DJ58" s="173"/>
    </row>
    <row r="59" spans="1:114" ht="16.5" customHeight="1" x14ac:dyDescent="0.25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U59" s="875"/>
      <c r="V59" s="338">
        <v>2</v>
      </c>
      <c r="W59" s="338">
        <v>7212</v>
      </c>
      <c r="X59" s="338" t="s">
        <v>8</v>
      </c>
      <c r="Y59" s="351">
        <f>'Structural Information'!$AM$9</f>
        <v>2</v>
      </c>
      <c r="Z59" s="144">
        <f>2*(SUM('Structural Information'!$AF$20:$AF$21))*(200)/$Y59</f>
        <v>241274.31579569611</v>
      </c>
      <c r="AA59" s="171"/>
      <c r="AH59" s="171"/>
      <c r="AI59" s="171"/>
      <c r="AJ59" s="171"/>
      <c r="AK59" s="171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  <c r="AZ59" s="116"/>
      <c r="BA59" s="116"/>
      <c r="BB59" s="116"/>
      <c r="BC59" s="116"/>
      <c r="BD59" s="116"/>
      <c r="BE59" s="116"/>
      <c r="BF59" s="116"/>
      <c r="BG59" s="116"/>
      <c r="BH59" s="116"/>
      <c r="BI59" s="116"/>
      <c r="BJ59" s="116"/>
      <c r="BK59" s="116"/>
      <c r="BZ59" s="172"/>
      <c r="CA59" s="172"/>
      <c r="CB59" s="172"/>
      <c r="CC59" s="172"/>
      <c r="CD59" s="172"/>
      <c r="CE59" s="172"/>
      <c r="CF59" s="172"/>
      <c r="CG59" s="172"/>
      <c r="CH59" s="172"/>
      <c r="CI59" s="172"/>
      <c r="CJ59" s="172"/>
      <c r="CK59" s="172"/>
      <c r="CL59" s="172"/>
      <c r="CM59" s="172"/>
      <c r="CN59" s="172"/>
      <c r="CO59" s="172"/>
      <c r="CP59" s="172"/>
      <c r="CQ59" s="172"/>
      <c r="CS59" s="173"/>
      <c r="CT59" s="173"/>
      <c r="CU59" s="173"/>
      <c r="CV59" s="173"/>
      <c r="CW59" s="173"/>
      <c r="CX59" s="173"/>
      <c r="CY59" s="173"/>
      <c r="CZ59" s="173"/>
      <c r="DA59" s="173"/>
      <c r="DB59" s="173"/>
      <c r="DC59" s="173"/>
      <c r="DD59" s="173"/>
      <c r="DE59" s="173"/>
      <c r="DF59" s="173"/>
      <c r="DG59" s="173"/>
      <c r="DH59" s="173"/>
      <c r="DI59" s="173"/>
      <c r="DJ59" s="173"/>
    </row>
    <row r="60" spans="1:114" ht="15" customHeight="1" x14ac:dyDescent="0.25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U60" s="875"/>
      <c r="V60" s="338">
        <v>3</v>
      </c>
      <c r="W60" s="338">
        <v>7312</v>
      </c>
      <c r="X60" s="338" t="s">
        <v>8</v>
      </c>
      <c r="Y60" s="351">
        <f>'Structural Information'!$AM$8</f>
        <v>4.5</v>
      </c>
      <c r="Z60" s="144">
        <f>2*(SUM('Structural Information'!$AF$20:$AF$21))*(200)/$Y60</f>
        <v>107233.0292425316</v>
      </c>
      <c r="AA60" s="171"/>
      <c r="AH60" s="171"/>
      <c r="AI60" s="171"/>
      <c r="AJ60" s="171"/>
      <c r="AK60" s="171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  <c r="AZ60" s="116"/>
      <c r="BA60" s="116"/>
      <c r="BB60" s="116"/>
      <c r="BC60" s="116"/>
      <c r="BD60" s="116"/>
      <c r="BE60" s="116"/>
      <c r="BF60" s="116"/>
      <c r="BG60" s="116"/>
      <c r="BH60" s="116"/>
      <c r="BI60" s="116"/>
      <c r="BJ60" s="116"/>
      <c r="BK60" s="116"/>
      <c r="BZ60" s="172"/>
      <c r="CA60" s="172"/>
      <c r="CB60" s="172"/>
      <c r="CC60" s="172"/>
      <c r="CD60" s="172"/>
      <c r="CE60" s="172"/>
      <c r="CF60" s="172"/>
      <c r="CG60" s="172"/>
      <c r="CH60" s="172"/>
      <c r="CI60" s="172"/>
      <c r="CJ60" s="172"/>
      <c r="CK60" s="172"/>
      <c r="CL60" s="172"/>
      <c r="CM60" s="172"/>
      <c r="CN60" s="172"/>
      <c r="CO60" s="172"/>
      <c r="CP60" s="172"/>
      <c r="CQ60" s="172"/>
      <c r="CS60" s="173"/>
      <c r="CT60" s="173"/>
      <c r="CU60" s="173"/>
      <c r="CV60" s="173"/>
      <c r="CW60" s="173"/>
      <c r="CX60" s="173"/>
      <c r="CY60" s="173"/>
      <c r="CZ60" s="173"/>
      <c r="DA60" s="173"/>
      <c r="DB60" s="173"/>
      <c r="DC60" s="173"/>
      <c r="DD60" s="173"/>
      <c r="DE60" s="173"/>
      <c r="DF60" s="173"/>
      <c r="DG60" s="173"/>
      <c r="DH60" s="173"/>
      <c r="DI60" s="173"/>
      <c r="DJ60" s="173"/>
    </row>
    <row r="61" spans="1:114" ht="15" customHeight="1" x14ac:dyDescent="0.25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U61" s="875"/>
      <c r="V61" s="338">
        <v>4</v>
      </c>
      <c r="W61" s="338">
        <v>7412</v>
      </c>
      <c r="X61" s="338" t="s">
        <v>8</v>
      </c>
      <c r="Y61" s="351">
        <f>'Structural Information'!$AM$7</f>
        <v>2</v>
      </c>
      <c r="Z61" s="144">
        <f>2*(SUM('Structural Information'!$AF$20:$AF$21))*(200)/$Y61</f>
        <v>241274.31579569611</v>
      </c>
      <c r="AA61" s="171"/>
      <c r="AH61" s="171"/>
      <c r="AI61" s="171"/>
      <c r="AJ61" s="171"/>
      <c r="AK61" s="171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  <c r="AZ61" s="116"/>
      <c r="BA61" s="116"/>
      <c r="BB61" s="116"/>
      <c r="BC61" s="116"/>
      <c r="BD61" s="116"/>
      <c r="BE61" s="116"/>
      <c r="BF61" s="116"/>
      <c r="BG61" s="116"/>
      <c r="BH61" s="116"/>
      <c r="BI61" s="116"/>
      <c r="BJ61" s="116"/>
      <c r="BK61" s="116"/>
      <c r="BZ61" s="172"/>
      <c r="CA61" s="172"/>
      <c r="CB61" s="172"/>
      <c r="CC61" s="172"/>
      <c r="CD61" s="172"/>
      <c r="CE61" s="172"/>
      <c r="CF61" s="172"/>
      <c r="CG61" s="172"/>
      <c r="CH61" s="172"/>
      <c r="CI61" s="172"/>
      <c r="CJ61" s="172"/>
      <c r="CK61" s="172"/>
      <c r="CL61" s="172"/>
      <c r="CM61" s="172"/>
      <c r="CN61" s="172"/>
      <c r="CO61" s="172"/>
      <c r="CP61" s="172"/>
      <c r="CQ61" s="172"/>
      <c r="CS61" s="173"/>
      <c r="CT61" s="173"/>
      <c r="CU61" s="173"/>
      <c r="CV61" s="173"/>
      <c r="CW61" s="173"/>
      <c r="CX61" s="173"/>
      <c r="CY61" s="173"/>
      <c r="CZ61" s="173"/>
      <c r="DA61" s="173"/>
      <c r="DB61" s="173"/>
      <c r="DC61" s="173"/>
      <c r="DD61" s="173"/>
      <c r="DE61" s="173"/>
      <c r="DF61" s="173"/>
      <c r="DG61" s="173"/>
      <c r="DH61" s="173"/>
      <c r="DI61" s="173"/>
      <c r="DJ61" s="173"/>
    </row>
    <row r="62" spans="1:114" ht="15.75" customHeight="1" x14ac:dyDescent="0.25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U62" s="895"/>
      <c r="V62" s="342">
        <v>5</v>
      </c>
      <c r="W62" s="342">
        <v>7512</v>
      </c>
      <c r="X62" s="342" t="s">
        <v>8</v>
      </c>
      <c r="Y62" s="362">
        <f>'Structural Information'!$AM$6</f>
        <v>4.5</v>
      </c>
      <c r="Z62" s="38">
        <f>2*(SUM('Structural Information'!$AF$20:$AF$21))*(200)/$Y62</f>
        <v>107233.0292425316</v>
      </c>
      <c r="AA62" s="171"/>
      <c r="AH62" s="171"/>
      <c r="AI62" s="171"/>
      <c r="AJ62" s="171"/>
      <c r="AK62" s="171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  <c r="AZ62" s="116"/>
      <c r="BA62" s="116"/>
      <c r="BB62" s="116"/>
      <c r="BC62" s="116"/>
      <c r="BD62" s="116"/>
      <c r="BE62" s="116"/>
      <c r="BF62" s="116"/>
      <c r="BG62" s="116"/>
      <c r="BH62" s="116"/>
      <c r="BI62" s="116"/>
      <c r="BJ62" s="116"/>
      <c r="BK62" s="116"/>
      <c r="BZ62" s="172"/>
      <c r="CA62" s="172"/>
      <c r="CB62" s="172"/>
      <c r="CC62" s="172"/>
      <c r="CD62" s="172"/>
      <c r="CE62" s="172"/>
      <c r="CF62" s="172"/>
      <c r="CG62" s="172"/>
      <c r="CH62" s="172"/>
      <c r="CI62" s="172"/>
      <c r="CJ62" s="172"/>
      <c r="CK62" s="172"/>
      <c r="CL62" s="172"/>
      <c r="CM62" s="172"/>
      <c r="CN62" s="172"/>
      <c r="CO62" s="172"/>
      <c r="CP62" s="172"/>
      <c r="CQ62" s="172"/>
      <c r="CS62" s="173"/>
      <c r="CT62" s="173"/>
      <c r="CU62" s="173"/>
      <c r="CV62" s="173"/>
      <c r="CW62" s="173"/>
      <c r="CX62" s="173"/>
      <c r="CY62" s="173"/>
      <c r="CZ62" s="173"/>
      <c r="DA62" s="173"/>
      <c r="DB62" s="173"/>
      <c r="DC62" s="173"/>
      <c r="DD62" s="173"/>
      <c r="DE62" s="173"/>
      <c r="DF62" s="173"/>
      <c r="DG62" s="173"/>
      <c r="DH62" s="173"/>
      <c r="DI62" s="173"/>
      <c r="DJ62" s="173"/>
    </row>
    <row r="63" spans="1:114" ht="15.75" customHeight="1" x14ac:dyDescent="0.25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U63" s="874">
        <v>1</v>
      </c>
      <c r="V63" s="336">
        <v>1</v>
      </c>
      <c r="W63" s="336">
        <v>7111</v>
      </c>
      <c r="X63" s="336" t="s">
        <v>8</v>
      </c>
      <c r="Y63" s="350">
        <f>'Structural Information'!$AM$10</f>
        <v>4.5</v>
      </c>
      <c r="Z63" s="139">
        <f>2*(SUM('Structural Information'!$AF$20:$AF$21))*(200)/$Y63</f>
        <v>107233.0292425316</v>
      </c>
      <c r="AA63" s="171"/>
      <c r="AH63" s="171"/>
      <c r="AI63" s="171"/>
      <c r="AJ63" s="171"/>
      <c r="AK63" s="171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  <c r="AZ63" s="116"/>
      <c r="BA63" s="116"/>
      <c r="BB63" s="116"/>
      <c r="BC63" s="116"/>
      <c r="BD63" s="116"/>
      <c r="BE63" s="116"/>
      <c r="BF63" s="116"/>
      <c r="BG63" s="116"/>
      <c r="BH63" s="116"/>
      <c r="BI63" s="116"/>
      <c r="BJ63" s="116"/>
      <c r="BK63" s="116"/>
      <c r="BZ63" s="172"/>
      <c r="CA63" s="172"/>
      <c r="CB63" s="172"/>
      <c r="CC63" s="172"/>
      <c r="CD63" s="172"/>
      <c r="CE63" s="172"/>
      <c r="CF63" s="172"/>
      <c r="CG63" s="172"/>
      <c r="CH63" s="172"/>
      <c r="CI63" s="172"/>
      <c r="CJ63" s="172"/>
      <c r="CK63" s="172"/>
      <c r="CL63" s="172"/>
      <c r="CM63" s="172"/>
      <c r="CN63" s="172"/>
      <c r="CO63" s="172"/>
      <c r="CP63" s="172"/>
      <c r="CQ63" s="172"/>
      <c r="CS63" s="173"/>
      <c r="CT63" s="173"/>
      <c r="CU63" s="173"/>
      <c r="CV63" s="173"/>
      <c r="CW63" s="173"/>
      <c r="CX63" s="173"/>
      <c r="CY63" s="173"/>
      <c r="CZ63" s="173"/>
      <c r="DA63" s="173"/>
      <c r="DB63" s="173"/>
      <c r="DC63" s="173"/>
      <c r="DD63" s="173"/>
      <c r="DE63" s="173"/>
      <c r="DF63" s="173"/>
      <c r="DG63" s="173"/>
      <c r="DH63" s="173"/>
      <c r="DI63" s="173"/>
      <c r="DJ63" s="173"/>
    </row>
    <row r="64" spans="1:114" ht="15" customHeight="1" x14ac:dyDescent="0.25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U64" s="875"/>
      <c r="V64" s="338">
        <v>2</v>
      </c>
      <c r="W64" s="338">
        <v>7211</v>
      </c>
      <c r="X64" s="338" t="s">
        <v>8</v>
      </c>
      <c r="Y64" s="351">
        <f>'Structural Information'!$AM$9</f>
        <v>2</v>
      </c>
      <c r="Z64" s="144">
        <f>2*(SUM('Structural Information'!$AF$20:$AF$21))*(200)/$Y64</f>
        <v>241274.31579569611</v>
      </c>
      <c r="AA64" s="171"/>
      <c r="AH64" s="171"/>
      <c r="AI64" s="171"/>
      <c r="AJ64" s="171"/>
      <c r="AK64" s="171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  <c r="AZ64" s="116"/>
      <c r="BA64" s="116"/>
      <c r="BB64" s="116"/>
      <c r="BC64" s="116"/>
      <c r="BD64" s="116"/>
      <c r="BE64" s="116"/>
      <c r="BF64" s="116"/>
      <c r="BG64" s="116"/>
      <c r="BH64" s="116"/>
      <c r="BI64" s="116"/>
      <c r="BJ64" s="116"/>
      <c r="BK64" s="116"/>
      <c r="BZ64" s="172"/>
      <c r="CA64" s="172"/>
      <c r="CB64" s="172"/>
      <c r="CC64" s="172"/>
      <c r="CD64" s="172"/>
      <c r="CE64" s="172"/>
      <c r="CF64" s="172"/>
      <c r="CG64" s="172"/>
      <c r="CH64" s="172"/>
      <c r="CI64" s="172"/>
      <c r="CJ64" s="172"/>
      <c r="CK64" s="172"/>
      <c r="CL64" s="172"/>
      <c r="CM64" s="172"/>
      <c r="CN64" s="172"/>
      <c r="CO64" s="172"/>
      <c r="CP64" s="172"/>
      <c r="CQ64" s="172"/>
      <c r="CS64" s="173"/>
      <c r="CT64" s="173"/>
      <c r="CU64" s="173"/>
      <c r="CV64" s="173"/>
      <c r="CW64" s="173"/>
      <c r="CX64" s="173"/>
      <c r="CY64" s="173"/>
      <c r="CZ64" s="173"/>
      <c r="DA64" s="173"/>
      <c r="DB64" s="173"/>
      <c r="DC64" s="173"/>
      <c r="DD64" s="173"/>
      <c r="DE64" s="173"/>
      <c r="DF64" s="173"/>
      <c r="DG64" s="173"/>
      <c r="DH64" s="173"/>
      <c r="DI64" s="173"/>
      <c r="DJ64" s="173"/>
    </row>
    <row r="65" spans="1:114" ht="15.75" customHeight="1" x14ac:dyDescent="0.25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U65" s="875"/>
      <c r="V65" s="338">
        <v>3</v>
      </c>
      <c r="W65" s="338">
        <v>7311</v>
      </c>
      <c r="X65" s="338" t="s">
        <v>8</v>
      </c>
      <c r="Y65" s="351">
        <f>'Structural Information'!$AM$8</f>
        <v>4.5</v>
      </c>
      <c r="Z65" s="144">
        <f>2*(SUM('Structural Information'!$AF$20:$AF$21))*(200)/$Y65</f>
        <v>107233.0292425316</v>
      </c>
      <c r="AA65" s="171"/>
      <c r="AH65" s="171"/>
      <c r="AI65" s="171"/>
      <c r="AJ65" s="171"/>
      <c r="AK65" s="171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  <c r="AZ65" s="116"/>
      <c r="BA65" s="116"/>
      <c r="BB65" s="116"/>
      <c r="BC65" s="116"/>
      <c r="BD65" s="116"/>
      <c r="BE65" s="116"/>
      <c r="BF65" s="116"/>
      <c r="BG65" s="116"/>
      <c r="BH65" s="116"/>
      <c r="BI65" s="116"/>
      <c r="BJ65" s="116"/>
      <c r="BK65" s="116"/>
      <c r="BZ65" s="172"/>
      <c r="CA65" s="172"/>
      <c r="CB65" s="172"/>
      <c r="CC65" s="172"/>
      <c r="CD65" s="172"/>
      <c r="CE65" s="172"/>
      <c r="CF65" s="172"/>
      <c r="CG65" s="172"/>
      <c r="CH65" s="172"/>
      <c r="CI65" s="172"/>
      <c r="CJ65" s="172"/>
      <c r="CK65" s="172"/>
      <c r="CL65" s="172"/>
      <c r="CM65" s="172"/>
      <c r="CN65" s="172"/>
      <c r="CO65" s="172"/>
      <c r="CP65" s="172"/>
      <c r="CQ65" s="172"/>
      <c r="CS65" s="173"/>
      <c r="CT65" s="173"/>
      <c r="CU65" s="173"/>
      <c r="CV65" s="173"/>
      <c r="CW65" s="173"/>
      <c r="CX65" s="173"/>
      <c r="CY65" s="173"/>
      <c r="CZ65" s="173"/>
      <c r="DA65" s="173"/>
      <c r="DB65" s="173"/>
      <c r="DC65" s="173"/>
      <c r="DD65" s="173"/>
      <c r="DE65" s="173"/>
      <c r="DF65" s="173"/>
      <c r="DG65" s="173"/>
      <c r="DH65" s="173"/>
      <c r="DI65" s="173"/>
      <c r="DJ65" s="173"/>
    </row>
    <row r="66" spans="1:114" ht="15.75" customHeight="1" x14ac:dyDescent="0.25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U66" s="875"/>
      <c r="V66" s="338">
        <v>4</v>
      </c>
      <c r="W66" s="338">
        <v>7411</v>
      </c>
      <c r="X66" s="338" t="s">
        <v>8</v>
      </c>
      <c r="Y66" s="351">
        <f>'Structural Information'!$AM$7</f>
        <v>2</v>
      </c>
      <c r="Z66" s="144">
        <f>2*(SUM('Structural Information'!$AF$20:$AF$21))*(200)/$Y66</f>
        <v>241274.31579569611</v>
      </c>
      <c r="AA66" s="171"/>
      <c r="AH66" s="171"/>
      <c r="AI66" s="171"/>
      <c r="AJ66" s="171"/>
      <c r="AK66" s="171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  <c r="AZ66" s="116"/>
      <c r="BA66" s="116"/>
      <c r="BB66" s="116"/>
      <c r="BC66" s="116"/>
      <c r="BD66" s="116"/>
      <c r="BE66" s="116"/>
      <c r="BF66" s="116"/>
      <c r="BG66" s="116"/>
      <c r="BH66" s="116"/>
      <c r="BI66" s="116"/>
      <c r="BJ66" s="116"/>
      <c r="BK66" s="116"/>
      <c r="BZ66" s="172"/>
      <c r="CA66" s="172"/>
      <c r="CB66" s="172"/>
      <c r="CC66" s="172"/>
      <c r="CD66" s="172"/>
      <c r="CE66" s="172"/>
      <c r="CF66" s="172"/>
      <c r="CG66" s="172"/>
      <c r="CH66" s="172"/>
      <c r="CI66" s="172"/>
      <c r="CJ66" s="172"/>
      <c r="CK66" s="172"/>
      <c r="CL66" s="172"/>
      <c r="CM66" s="172"/>
      <c r="CN66" s="172"/>
      <c r="CO66" s="172"/>
      <c r="CP66" s="172"/>
      <c r="CQ66" s="172"/>
      <c r="CS66" s="173"/>
      <c r="CT66" s="173"/>
      <c r="CU66" s="173"/>
      <c r="CV66" s="173"/>
      <c r="CW66" s="173"/>
      <c r="CX66" s="173"/>
      <c r="CY66" s="173"/>
      <c r="CZ66" s="173"/>
      <c r="DA66" s="173"/>
      <c r="DB66" s="173"/>
      <c r="DC66" s="173"/>
      <c r="DD66" s="173"/>
      <c r="DE66" s="173"/>
      <c r="DF66" s="173"/>
      <c r="DG66" s="173"/>
      <c r="DH66" s="173"/>
      <c r="DI66" s="173"/>
      <c r="DJ66" s="173"/>
    </row>
    <row r="67" spans="1:114" ht="15.75" customHeight="1" thickBot="1" x14ac:dyDescent="0.3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U67" s="876"/>
      <c r="V67" s="340">
        <v>5</v>
      </c>
      <c r="W67" s="340">
        <v>7511</v>
      </c>
      <c r="X67" s="340" t="s">
        <v>8</v>
      </c>
      <c r="Y67" s="352">
        <f>'Structural Information'!$AM$6</f>
        <v>4.5</v>
      </c>
      <c r="Z67" s="60">
        <f>2*(SUM('Structural Information'!$AF$20:$AF$21))*(200)/$Y67</f>
        <v>107233.0292425316</v>
      </c>
      <c r="AA67" s="171"/>
      <c r="AH67" s="171"/>
      <c r="AI67" s="171"/>
      <c r="AJ67" s="171"/>
      <c r="AK67" s="171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  <c r="AZ67" s="116"/>
      <c r="BA67" s="116"/>
      <c r="BB67" s="116"/>
      <c r="BC67" s="116"/>
      <c r="BD67" s="116"/>
      <c r="BE67" s="116"/>
      <c r="BF67" s="116"/>
      <c r="BG67" s="116"/>
      <c r="BH67" s="116"/>
      <c r="BI67" s="116"/>
      <c r="BJ67" s="116"/>
      <c r="BK67" s="116"/>
      <c r="BZ67" s="172"/>
      <c r="CA67" s="172"/>
      <c r="CB67" s="172"/>
      <c r="CC67" s="172"/>
      <c r="CD67" s="172"/>
      <c r="CE67" s="172"/>
      <c r="CF67" s="172"/>
      <c r="CG67" s="172"/>
      <c r="CH67" s="172"/>
      <c r="CI67" s="172"/>
      <c r="CJ67" s="172"/>
      <c r="CK67" s="172"/>
      <c r="CL67" s="172"/>
      <c r="CM67" s="172"/>
      <c r="CN67" s="172"/>
      <c r="CO67" s="172"/>
      <c r="CP67" s="172"/>
      <c r="CQ67" s="172"/>
      <c r="CS67" s="173"/>
      <c r="CT67" s="173"/>
      <c r="CU67" s="173"/>
      <c r="CV67" s="173"/>
      <c r="CW67" s="173"/>
      <c r="CX67" s="173"/>
      <c r="CY67" s="173"/>
      <c r="CZ67" s="173"/>
      <c r="DA67" s="173"/>
      <c r="DB67" s="173"/>
      <c r="DC67" s="173"/>
      <c r="DD67" s="173"/>
      <c r="DE67" s="173"/>
      <c r="DF67" s="173"/>
      <c r="DG67" s="173"/>
      <c r="DH67" s="173"/>
      <c r="DI67" s="173"/>
      <c r="DJ67" s="173"/>
    </row>
    <row r="68" spans="1:114" ht="15.75" customHeight="1" x14ac:dyDescent="0.25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AA68" s="171"/>
      <c r="AH68" s="171"/>
      <c r="AI68" s="171"/>
      <c r="AJ68" s="171"/>
      <c r="AK68" s="171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  <c r="AZ68" s="116"/>
      <c r="BA68" s="116"/>
      <c r="BB68" s="116"/>
      <c r="BC68" s="116"/>
      <c r="BD68" s="116"/>
      <c r="BE68" s="116"/>
      <c r="BF68" s="116"/>
      <c r="BG68" s="116"/>
      <c r="BH68" s="116"/>
      <c r="BI68" s="116"/>
      <c r="BJ68" s="116"/>
      <c r="BK68" s="116"/>
      <c r="BZ68" s="172"/>
      <c r="CA68" s="172"/>
      <c r="CB68" s="172"/>
      <c r="CC68" s="172"/>
      <c r="CD68" s="172"/>
      <c r="CE68" s="172"/>
      <c r="CF68" s="172"/>
      <c r="CG68" s="172"/>
      <c r="CH68" s="172"/>
      <c r="CI68" s="172"/>
      <c r="CJ68" s="172"/>
      <c r="CK68" s="172"/>
      <c r="CL68" s="172"/>
      <c r="CM68" s="172"/>
      <c r="CN68" s="172"/>
      <c r="CO68" s="172"/>
      <c r="CP68" s="172"/>
      <c r="CQ68" s="172"/>
      <c r="CS68" s="173"/>
      <c r="CT68" s="173"/>
      <c r="CU68" s="173"/>
      <c r="CV68" s="173"/>
      <c r="CW68" s="173"/>
      <c r="CX68" s="173"/>
      <c r="CY68" s="173"/>
      <c r="CZ68" s="173"/>
      <c r="DA68" s="173"/>
      <c r="DB68" s="173"/>
      <c r="DC68" s="173"/>
      <c r="DD68" s="173"/>
      <c r="DE68" s="173"/>
      <c r="DF68" s="173"/>
      <c r="DG68" s="173"/>
      <c r="DH68" s="173"/>
      <c r="DI68" s="173"/>
      <c r="DJ68" s="173"/>
    </row>
    <row r="69" spans="1:114" ht="15" customHeight="1" x14ac:dyDescent="0.25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AA69" s="171"/>
      <c r="AB69" s="171"/>
      <c r="AC69" s="171"/>
      <c r="AD69" s="171"/>
      <c r="AE69" s="171"/>
      <c r="AF69" s="171"/>
      <c r="AG69" s="171"/>
      <c r="AH69" s="171"/>
      <c r="AI69" s="171"/>
      <c r="AJ69" s="171"/>
      <c r="AK69" s="171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  <c r="AZ69" s="116"/>
      <c r="BA69" s="116"/>
      <c r="BB69" s="116"/>
      <c r="BC69" s="116"/>
      <c r="BD69" s="116"/>
      <c r="BE69" s="116"/>
      <c r="BF69" s="116"/>
      <c r="BG69" s="116"/>
      <c r="BH69" s="116"/>
      <c r="BI69" s="116"/>
      <c r="BJ69" s="116"/>
      <c r="BK69" s="116"/>
      <c r="BZ69" s="172"/>
      <c r="CA69" s="172"/>
      <c r="CB69" s="172"/>
      <c r="CC69" s="172"/>
      <c r="CD69" s="172"/>
      <c r="CE69" s="172"/>
      <c r="CF69" s="172"/>
      <c r="CG69" s="172"/>
      <c r="CH69" s="172"/>
      <c r="CI69" s="172"/>
      <c r="CJ69" s="172"/>
      <c r="CK69" s="172"/>
      <c r="CL69" s="172"/>
      <c r="CM69" s="172"/>
      <c r="CN69" s="172"/>
      <c r="CO69" s="172"/>
      <c r="CP69" s="172"/>
      <c r="CQ69" s="172"/>
      <c r="CS69" s="173"/>
      <c r="CT69" s="173"/>
      <c r="CU69" s="173"/>
      <c r="CV69" s="173"/>
      <c r="CW69" s="173"/>
      <c r="CX69" s="173"/>
      <c r="CY69" s="173"/>
      <c r="CZ69" s="173"/>
      <c r="DA69" s="173"/>
      <c r="DB69" s="173"/>
      <c r="DC69" s="173"/>
      <c r="DD69" s="173"/>
      <c r="DE69" s="173"/>
      <c r="DF69" s="173"/>
      <c r="DG69" s="173"/>
      <c r="DH69" s="173"/>
      <c r="DI69" s="173"/>
      <c r="DJ69" s="173"/>
    </row>
    <row r="70" spans="1:114" ht="15" customHeight="1" x14ac:dyDescent="0.25">
      <c r="AA70" s="171"/>
      <c r="AB70" s="171"/>
      <c r="AC70" s="171"/>
      <c r="AD70" s="171"/>
      <c r="AE70" s="171"/>
      <c r="AF70" s="171"/>
      <c r="AG70" s="171"/>
      <c r="AH70" s="171"/>
      <c r="AI70" s="171"/>
      <c r="AJ70" s="171"/>
      <c r="AK70" s="171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  <c r="AZ70" s="116"/>
      <c r="BA70" s="116"/>
      <c r="BB70" s="116"/>
      <c r="BC70" s="116"/>
      <c r="BD70" s="116"/>
      <c r="BE70" s="116"/>
      <c r="BF70" s="116"/>
      <c r="BG70" s="116"/>
      <c r="BH70" s="116"/>
      <c r="BI70" s="116"/>
      <c r="BJ70" s="116"/>
      <c r="BK70" s="116"/>
      <c r="BZ70" s="172"/>
      <c r="CA70" s="172"/>
      <c r="CB70" s="172"/>
      <c r="CC70" s="172"/>
      <c r="CD70" s="172"/>
      <c r="CE70" s="172"/>
      <c r="CF70" s="172"/>
      <c r="CG70" s="172"/>
      <c r="CH70" s="172"/>
      <c r="CI70" s="172"/>
      <c r="CJ70" s="172"/>
      <c r="CK70" s="172"/>
      <c r="CL70" s="172"/>
      <c r="CM70" s="172"/>
      <c r="CN70" s="172"/>
      <c r="CO70" s="172"/>
      <c r="CP70" s="172"/>
      <c r="CQ70" s="172"/>
      <c r="CS70" s="173"/>
      <c r="CT70" s="173"/>
      <c r="CU70" s="173"/>
      <c r="CV70" s="173"/>
      <c r="CW70" s="173"/>
      <c r="CX70" s="173"/>
      <c r="CY70" s="173"/>
      <c r="CZ70" s="173"/>
      <c r="DA70" s="173"/>
      <c r="DB70" s="173"/>
      <c r="DC70" s="173"/>
      <c r="DD70" s="173"/>
      <c r="DE70" s="173"/>
      <c r="DF70" s="173"/>
      <c r="DG70" s="173"/>
      <c r="DH70" s="173"/>
      <c r="DI70" s="173"/>
      <c r="DJ70" s="173"/>
    </row>
    <row r="71" spans="1:114" ht="15.75" customHeight="1" x14ac:dyDescent="0.25">
      <c r="AA71" s="171"/>
      <c r="AB71" s="171"/>
      <c r="AC71" s="171"/>
      <c r="AD71" s="171"/>
      <c r="AE71" s="171"/>
      <c r="AF71" s="171"/>
      <c r="AG71" s="171"/>
      <c r="AH71" s="171"/>
      <c r="AI71" s="171"/>
      <c r="AJ71" s="171"/>
      <c r="AK71" s="171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AX71" s="116"/>
      <c r="AY71" s="116"/>
      <c r="AZ71" s="116"/>
      <c r="BA71" s="116"/>
      <c r="BB71" s="116"/>
      <c r="BC71" s="116"/>
      <c r="BD71" s="116"/>
      <c r="BE71" s="116"/>
      <c r="BF71" s="116"/>
      <c r="BG71" s="116"/>
      <c r="BH71" s="116"/>
      <c r="BI71" s="116"/>
      <c r="BJ71" s="116"/>
      <c r="BK71" s="116"/>
      <c r="BZ71" s="172"/>
      <c r="CA71" s="172"/>
      <c r="CB71" s="172"/>
      <c r="CC71" s="172"/>
      <c r="CD71" s="172"/>
      <c r="CE71" s="172"/>
      <c r="CF71" s="172"/>
      <c r="CG71" s="172"/>
      <c r="CH71" s="172"/>
      <c r="CI71" s="172"/>
      <c r="CJ71" s="172"/>
      <c r="CK71" s="172"/>
      <c r="CL71" s="172"/>
      <c r="CM71" s="172"/>
      <c r="CN71" s="172"/>
      <c r="CO71" s="172"/>
      <c r="CP71" s="172"/>
      <c r="CQ71" s="172"/>
      <c r="CS71" s="173"/>
      <c r="CT71" s="173"/>
      <c r="CU71" s="173"/>
      <c r="CV71" s="173"/>
      <c r="CW71" s="173"/>
      <c r="CX71" s="173"/>
      <c r="CY71" s="173"/>
      <c r="CZ71" s="173"/>
      <c r="DA71" s="173"/>
      <c r="DB71" s="173"/>
      <c r="DC71" s="173"/>
      <c r="DD71" s="173"/>
      <c r="DE71" s="173"/>
      <c r="DF71" s="173"/>
      <c r="DG71" s="173"/>
      <c r="DH71" s="173"/>
      <c r="DI71" s="173"/>
      <c r="DJ71" s="173"/>
    </row>
    <row r="72" spans="1:114" ht="15" customHeight="1" x14ac:dyDescent="0.25">
      <c r="AA72" s="171"/>
      <c r="AB72" s="171"/>
      <c r="AC72" s="171"/>
      <c r="AD72" s="171"/>
      <c r="AE72" s="171"/>
      <c r="AF72" s="171"/>
      <c r="AG72" s="171"/>
      <c r="AH72" s="171"/>
      <c r="AI72" s="171"/>
      <c r="AJ72" s="171"/>
      <c r="AK72" s="171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  <c r="AZ72" s="116"/>
      <c r="BA72" s="116"/>
      <c r="BB72" s="116"/>
      <c r="BC72" s="116"/>
      <c r="BD72" s="116"/>
      <c r="BE72" s="116"/>
      <c r="BF72" s="116"/>
      <c r="BG72" s="116"/>
      <c r="BH72" s="116"/>
      <c r="BI72" s="116"/>
      <c r="BJ72" s="116"/>
      <c r="BK72" s="116"/>
      <c r="BZ72" s="172"/>
      <c r="CA72" s="172"/>
      <c r="CB72" s="172"/>
      <c r="CC72" s="172"/>
      <c r="CD72" s="172"/>
      <c r="CE72" s="172"/>
      <c r="CF72" s="172"/>
      <c r="CG72" s="172"/>
      <c r="CH72" s="172"/>
      <c r="CI72" s="172"/>
      <c r="CJ72" s="172"/>
      <c r="CK72" s="172"/>
      <c r="CL72" s="172"/>
      <c r="CM72" s="172"/>
      <c r="CN72" s="172"/>
      <c r="CO72" s="172"/>
      <c r="CP72" s="172"/>
      <c r="CQ72" s="172"/>
      <c r="CS72" s="173"/>
      <c r="CT72" s="173"/>
      <c r="CU72" s="173"/>
      <c r="CV72" s="173"/>
      <c r="CW72" s="173"/>
      <c r="CX72" s="173"/>
      <c r="CY72" s="173"/>
      <c r="CZ72" s="173"/>
      <c r="DA72" s="173"/>
      <c r="DB72" s="173"/>
      <c r="DC72" s="173"/>
      <c r="DD72" s="173"/>
      <c r="DE72" s="173"/>
      <c r="DF72" s="173"/>
      <c r="DG72" s="173"/>
      <c r="DH72" s="173"/>
      <c r="DI72" s="173"/>
      <c r="DJ72" s="173"/>
    </row>
    <row r="73" spans="1:114" ht="15" customHeight="1" x14ac:dyDescent="0.25">
      <c r="AA73" s="171"/>
      <c r="AB73" s="171"/>
      <c r="AC73" s="171"/>
      <c r="AD73" s="171"/>
      <c r="AE73" s="171"/>
      <c r="AF73" s="171"/>
      <c r="AG73" s="171"/>
      <c r="AH73" s="171"/>
      <c r="AI73" s="171"/>
      <c r="AJ73" s="171"/>
      <c r="AK73" s="171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  <c r="AZ73" s="116"/>
      <c r="BA73" s="116"/>
      <c r="BB73" s="116"/>
      <c r="BC73" s="116"/>
      <c r="BD73" s="116"/>
      <c r="BE73" s="116"/>
      <c r="BF73" s="116"/>
      <c r="BG73" s="116"/>
      <c r="BH73" s="116"/>
      <c r="BI73" s="116"/>
      <c r="BJ73" s="116"/>
      <c r="BK73" s="116"/>
      <c r="BZ73" s="172"/>
      <c r="CA73" s="172"/>
      <c r="CB73" s="172"/>
      <c r="CC73" s="172"/>
      <c r="CD73" s="172"/>
      <c r="CE73" s="172"/>
      <c r="CF73" s="172"/>
      <c r="CG73" s="172"/>
      <c r="CH73" s="172"/>
      <c r="CI73" s="172"/>
      <c r="CJ73" s="172"/>
      <c r="CK73" s="172"/>
      <c r="CL73" s="172"/>
      <c r="CM73" s="172"/>
      <c r="CN73" s="172"/>
      <c r="CO73" s="172"/>
      <c r="CP73" s="172"/>
      <c r="CQ73" s="172"/>
      <c r="CS73" s="173"/>
      <c r="CT73" s="173"/>
      <c r="CU73" s="173"/>
      <c r="CV73" s="173"/>
      <c r="CW73" s="173"/>
      <c r="CX73" s="173"/>
      <c r="CY73" s="173"/>
      <c r="CZ73" s="173"/>
      <c r="DA73" s="173"/>
      <c r="DB73" s="173"/>
      <c r="DC73" s="173"/>
      <c r="DD73" s="173"/>
      <c r="DE73" s="173"/>
      <c r="DF73" s="173"/>
      <c r="DG73" s="173"/>
      <c r="DH73" s="173"/>
      <c r="DI73" s="173"/>
      <c r="DJ73" s="173"/>
    </row>
    <row r="74" spans="1:114" ht="15.75" customHeight="1" x14ac:dyDescent="0.25">
      <c r="AA74" s="171"/>
      <c r="AB74" s="171"/>
      <c r="AC74" s="171"/>
      <c r="AD74" s="171"/>
      <c r="AE74" s="171"/>
      <c r="AF74" s="171"/>
      <c r="AG74" s="171"/>
      <c r="AH74" s="171"/>
      <c r="AI74" s="171"/>
      <c r="AJ74" s="171"/>
      <c r="AK74" s="171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  <c r="AZ74" s="116"/>
      <c r="BA74" s="116"/>
      <c r="BB74" s="116"/>
      <c r="BC74" s="116"/>
      <c r="BD74" s="116"/>
      <c r="BE74" s="116"/>
      <c r="BF74" s="116"/>
      <c r="BG74" s="116"/>
      <c r="BH74" s="116"/>
      <c r="BI74" s="116"/>
      <c r="BJ74" s="116"/>
      <c r="BK74" s="116"/>
      <c r="BZ74" s="172"/>
      <c r="CA74" s="172"/>
      <c r="CB74" s="172"/>
      <c r="CC74" s="172"/>
      <c r="CD74" s="172"/>
      <c r="CE74" s="172"/>
      <c r="CF74" s="172"/>
      <c r="CG74" s="172"/>
      <c r="CH74" s="172"/>
      <c r="CI74" s="172"/>
      <c r="CJ74" s="172"/>
      <c r="CK74" s="172"/>
      <c r="CL74" s="172"/>
      <c r="CM74" s="172"/>
      <c r="CN74" s="172"/>
      <c r="CO74" s="172"/>
      <c r="CP74" s="172"/>
      <c r="CQ74" s="172"/>
      <c r="CS74" s="173"/>
      <c r="CT74" s="173"/>
      <c r="CU74" s="173"/>
      <c r="CV74" s="173"/>
      <c r="CW74" s="173"/>
      <c r="CX74" s="173"/>
      <c r="CY74" s="173"/>
      <c r="CZ74" s="173"/>
      <c r="DA74" s="173"/>
      <c r="DB74" s="173"/>
      <c r="DC74" s="173"/>
      <c r="DD74" s="173"/>
      <c r="DE74" s="173"/>
      <c r="DF74" s="173"/>
      <c r="DG74" s="173"/>
      <c r="DH74" s="173"/>
      <c r="DI74" s="173"/>
      <c r="DJ74" s="173"/>
    </row>
    <row r="75" spans="1:114" ht="15.75" customHeight="1" x14ac:dyDescent="0.25">
      <c r="AA75" s="171"/>
      <c r="AB75" s="171"/>
      <c r="AC75" s="171"/>
      <c r="AD75" s="171"/>
      <c r="AE75" s="171"/>
      <c r="AF75" s="171"/>
      <c r="AG75" s="171"/>
      <c r="AH75" s="171"/>
      <c r="AI75" s="171"/>
      <c r="AJ75" s="171"/>
      <c r="AK75" s="171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  <c r="AZ75" s="116"/>
      <c r="BA75" s="116"/>
      <c r="BB75" s="116"/>
      <c r="BC75" s="116"/>
      <c r="BD75" s="116"/>
      <c r="BE75" s="116"/>
      <c r="BF75" s="116"/>
      <c r="BG75" s="116"/>
      <c r="BH75" s="116"/>
      <c r="BI75" s="116"/>
      <c r="BJ75" s="116"/>
      <c r="BK75" s="116"/>
      <c r="BZ75" s="172"/>
      <c r="CA75" s="172"/>
      <c r="CB75" s="172"/>
      <c r="CC75" s="172"/>
      <c r="CD75" s="172"/>
      <c r="CE75" s="172"/>
      <c r="CF75" s="172"/>
      <c r="CG75" s="172"/>
      <c r="CH75" s="172"/>
      <c r="CI75" s="172"/>
      <c r="CJ75" s="172"/>
      <c r="CK75" s="172"/>
      <c r="CL75" s="172"/>
      <c r="CM75" s="172"/>
      <c r="CN75" s="172"/>
      <c r="CO75" s="172"/>
      <c r="CP75" s="172"/>
      <c r="CQ75" s="172"/>
      <c r="CS75" s="173"/>
      <c r="CT75" s="173"/>
      <c r="CU75" s="173"/>
      <c r="CV75" s="173"/>
      <c r="CW75" s="173"/>
      <c r="CX75" s="173"/>
      <c r="CY75" s="173"/>
      <c r="CZ75" s="173"/>
      <c r="DA75" s="173"/>
      <c r="DB75" s="173"/>
      <c r="DC75" s="173"/>
      <c r="DD75" s="173"/>
      <c r="DE75" s="173"/>
      <c r="DF75" s="173"/>
      <c r="DG75" s="173"/>
      <c r="DH75" s="173"/>
      <c r="DI75" s="173"/>
      <c r="DJ75" s="173"/>
    </row>
    <row r="76" spans="1:114" ht="15.75" customHeight="1" x14ac:dyDescent="0.25">
      <c r="AA76" s="171"/>
      <c r="AB76" s="171"/>
      <c r="AC76" s="171"/>
      <c r="AD76" s="171"/>
      <c r="AE76" s="171"/>
      <c r="AF76" s="171"/>
      <c r="AG76" s="171"/>
      <c r="AH76" s="171"/>
      <c r="AI76" s="171"/>
      <c r="AJ76" s="171"/>
      <c r="AK76" s="171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  <c r="AZ76" s="116"/>
      <c r="BA76" s="116"/>
      <c r="BB76" s="116"/>
      <c r="BC76" s="116"/>
      <c r="BD76" s="116"/>
      <c r="BE76" s="116"/>
      <c r="BF76" s="116"/>
      <c r="BG76" s="116"/>
      <c r="BH76" s="116"/>
      <c r="BI76" s="116"/>
      <c r="BJ76" s="116"/>
      <c r="BK76" s="116"/>
      <c r="BZ76" s="172"/>
      <c r="CA76" s="172"/>
      <c r="CB76" s="172"/>
      <c r="CC76" s="172"/>
      <c r="CD76" s="172"/>
      <c r="CE76" s="172"/>
      <c r="CF76" s="172"/>
      <c r="CG76" s="172"/>
      <c r="CH76" s="172"/>
      <c r="CI76" s="172"/>
      <c r="CJ76" s="172"/>
      <c r="CK76" s="172"/>
      <c r="CL76" s="172"/>
      <c r="CM76" s="172"/>
      <c r="CN76" s="172"/>
      <c r="CO76" s="172"/>
      <c r="CP76" s="172"/>
      <c r="CQ76" s="172"/>
      <c r="CS76" s="173"/>
      <c r="CT76" s="173"/>
      <c r="CU76" s="173"/>
      <c r="CV76" s="173"/>
      <c r="CW76" s="173"/>
      <c r="CX76" s="173"/>
      <c r="CY76" s="173"/>
      <c r="CZ76" s="173"/>
      <c r="DA76" s="173"/>
      <c r="DB76" s="173"/>
      <c r="DC76" s="173"/>
      <c r="DD76" s="173"/>
      <c r="DE76" s="173"/>
      <c r="DF76" s="173"/>
      <c r="DG76" s="173"/>
      <c r="DH76" s="173"/>
      <c r="DI76" s="173"/>
      <c r="DJ76" s="173"/>
    </row>
    <row r="77" spans="1:114" ht="15.75" x14ac:dyDescent="0.25">
      <c r="AA77" s="171"/>
      <c r="AB77" s="171"/>
      <c r="AC77" s="171"/>
      <c r="AD77" s="171"/>
      <c r="AE77" s="171"/>
      <c r="AF77" s="171"/>
      <c r="AG77" s="171"/>
      <c r="AH77" s="171"/>
      <c r="AI77" s="171"/>
      <c r="AJ77" s="171"/>
      <c r="AK77" s="171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  <c r="AZ77" s="116"/>
      <c r="BA77" s="116"/>
      <c r="BB77" s="116"/>
      <c r="BC77" s="116"/>
      <c r="BD77" s="116"/>
      <c r="BE77" s="116"/>
      <c r="BF77" s="116"/>
      <c r="BG77" s="116"/>
      <c r="BH77" s="116"/>
      <c r="BI77" s="116"/>
      <c r="BJ77" s="116"/>
      <c r="BK77" s="116"/>
      <c r="BZ77" s="172"/>
      <c r="CA77" s="172"/>
      <c r="CB77" s="172"/>
      <c r="CC77" s="172"/>
      <c r="CD77" s="172"/>
      <c r="CE77" s="172"/>
      <c r="CF77" s="172"/>
      <c r="CG77" s="172"/>
      <c r="CH77" s="172"/>
      <c r="CI77" s="172"/>
      <c r="CJ77" s="172"/>
      <c r="CK77" s="172"/>
      <c r="CL77" s="172"/>
      <c r="CM77" s="172"/>
      <c r="CN77" s="172"/>
      <c r="CO77" s="172"/>
      <c r="CP77" s="172"/>
      <c r="CQ77" s="172"/>
      <c r="CS77" s="173"/>
      <c r="CT77" s="173"/>
      <c r="CU77" s="173"/>
      <c r="CV77" s="173"/>
      <c r="CW77" s="173"/>
      <c r="CX77" s="173"/>
      <c r="CY77" s="173"/>
      <c r="CZ77" s="173"/>
      <c r="DA77" s="173"/>
      <c r="DB77" s="173"/>
      <c r="DC77" s="173"/>
      <c r="DD77" s="173"/>
      <c r="DE77" s="173"/>
      <c r="DF77" s="173"/>
      <c r="DG77" s="173"/>
      <c r="DH77" s="173"/>
      <c r="DI77" s="173"/>
      <c r="DJ77" s="173"/>
    </row>
    <row r="78" spans="1:114" ht="15" customHeight="1" x14ac:dyDescent="0.25"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  <c r="AZ78" s="116"/>
      <c r="BA78" s="116"/>
      <c r="BB78" s="116"/>
      <c r="BC78" s="116"/>
      <c r="BD78" s="116"/>
      <c r="BE78" s="116"/>
      <c r="BF78" s="116"/>
      <c r="BG78" s="116"/>
      <c r="BH78" s="116"/>
      <c r="BI78" s="116"/>
      <c r="BJ78" s="116"/>
      <c r="BK78" s="116"/>
      <c r="CS78" s="173"/>
      <c r="CT78" s="173"/>
      <c r="CU78" s="173"/>
      <c r="CV78" s="173"/>
      <c r="CW78" s="173"/>
      <c r="CX78" s="173"/>
      <c r="CY78" s="173"/>
      <c r="CZ78" s="173"/>
      <c r="DA78" s="173"/>
      <c r="DB78" s="173"/>
      <c r="DC78" s="173"/>
      <c r="DD78" s="173"/>
      <c r="DE78" s="173"/>
      <c r="DF78" s="173"/>
      <c r="DG78" s="173"/>
      <c r="DH78" s="173"/>
      <c r="DI78" s="173"/>
      <c r="DJ78" s="173"/>
    </row>
    <row r="79" spans="1:114" ht="15" customHeight="1" x14ac:dyDescent="0.25"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  <c r="AZ79" s="116"/>
      <c r="BA79" s="116"/>
      <c r="BB79" s="116"/>
      <c r="BC79" s="116"/>
      <c r="BD79" s="116"/>
      <c r="BE79" s="116"/>
      <c r="BF79" s="116"/>
      <c r="BG79" s="116"/>
      <c r="BH79" s="116"/>
      <c r="BI79" s="116"/>
      <c r="BJ79" s="116"/>
      <c r="BK79" s="116"/>
      <c r="CS79" s="173"/>
      <c r="CT79" s="173"/>
      <c r="CU79" s="173"/>
      <c r="CV79" s="173"/>
      <c r="CW79" s="173"/>
      <c r="CX79" s="173"/>
      <c r="CY79" s="173"/>
      <c r="CZ79" s="173"/>
      <c r="DA79" s="173"/>
      <c r="DB79" s="173"/>
      <c r="DC79" s="173"/>
      <c r="DD79" s="173"/>
      <c r="DE79" s="173"/>
      <c r="DF79" s="173"/>
      <c r="DG79" s="173"/>
      <c r="DH79" s="173"/>
      <c r="DI79" s="173"/>
      <c r="DJ79" s="173"/>
    </row>
    <row r="80" spans="1:114" ht="15" customHeight="1" x14ac:dyDescent="0.25"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  <c r="AZ80" s="116"/>
      <c r="BA80" s="116"/>
      <c r="BB80" s="116"/>
      <c r="BC80" s="116"/>
      <c r="BD80" s="116"/>
      <c r="BE80" s="116"/>
      <c r="BF80" s="116"/>
      <c r="BG80" s="116"/>
      <c r="BH80" s="116"/>
      <c r="BI80" s="116"/>
      <c r="BJ80" s="116"/>
      <c r="BK80" s="116"/>
      <c r="CS80" s="173"/>
      <c r="CT80" s="173"/>
      <c r="CU80" s="173"/>
      <c r="CV80" s="173"/>
      <c r="CW80" s="173"/>
      <c r="CX80" s="173"/>
      <c r="CY80" s="173"/>
      <c r="CZ80" s="173"/>
      <c r="DA80" s="173"/>
      <c r="DB80" s="173"/>
      <c r="DC80" s="173"/>
      <c r="DD80" s="173"/>
      <c r="DE80" s="173"/>
      <c r="DF80" s="173"/>
      <c r="DG80" s="173"/>
      <c r="DH80" s="173"/>
      <c r="DI80" s="173"/>
      <c r="DJ80" s="173"/>
    </row>
    <row r="81" spans="39:114" ht="15" customHeight="1" x14ac:dyDescent="0.25"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  <c r="AZ81" s="116"/>
      <c r="BA81" s="116"/>
      <c r="BB81" s="116"/>
      <c r="BC81" s="116"/>
      <c r="BD81" s="116"/>
      <c r="BE81" s="116"/>
      <c r="BF81" s="116"/>
      <c r="BG81" s="116"/>
      <c r="BH81" s="116"/>
      <c r="BI81" s="116"/>
      <c r="BJ81" s="116"/>
      <c r="BK81" s="116"/>
      <c r="CS81" s="173"/>
      <c r="CT81" s="173"/>
      <c r="CU81" s="173"/>
      <c r="CV81" s="173"/>
      <c r="CW81" s="173"/>
      <c r="CX81" s="173"/>
      <c r="CY81" s="173"/>
      <c r="CZ81" s="173"/>
      <c r="DA81" s="173"/>
      <c r="DB81" s="173"/>
      <c r="DC81" s="173"/>
      <c r="DD81" s="173"/>
      <c r="DE81" s="173"/>
      <c r="DF81" s="173"/>
      <c r="DG81" s="173"/>
      <c r="DH81" s="173"/>
      <c r="DI81" s="173"/>
      <c r="DJ81" s="173"/>
    </row>
    <row r="82" spans="39:114" ht="15" customHeight="1" x14ac:dyDescent="0.25"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  <c r="AZ82" s="116"/>
      <c r="BA82" s="116"/>
      <c r="BB82" s="116"/>
      <c r="BC82" s="116"/>
      <c r="BD82" s="116"/>
      <c r="BE82" s="116"/>
      <c r="BF82" s="116"/>
      <c r="BG82" s="116"/>
      <c r="BH82" s="116"/>
      <c r="BI82" s="116"/>
      <c r="BJ82" s="116"/>
      <c r="BK82" s="116"/>
      <c r="CS82" s="173"/>
      <c r="CT82" s="173"/>
      <c r="CU82" s="173"/>
      <c r="CV82" s="173"/>
      <c r="CW82" s="173"/>
      <c r="CX82" s="173"/>
      <c r="CY82" s="173"/>
      <c r="CZ82" s="173"/>
      <c r="DA82" s="173"/>
      <c r="DB82" s="173"/>
      <c r="DC82" s="173"/>
      <c r="DD82" s="173"/>
      <c r="DE82" s="173"/>
      <c r="DF82" s="173"/>
      <c r="DG82" s="173"/>
      <c r="DH82" s="173"/>
      <c r="DI82" s="173"/>
      <c r="DJ82" s="173"/>
    </row>
    <row r="83" spans="39:114" ht="15" customHeight="1" x14ac:dyDescent="0.25">
      <c r="AM83" s="116"/>
      <c r="AN83" s="116"/>
      <c r="AO83" s="116"/>
      <c r="AP83" s="116"/>
      <c r="AQ83" s="116"/>
      <c r="AR83" s="116"/>
      <c r="AS83" s="116"/>
      <c r="AT83" s="116"/>
      <c r="AU83" s="116"/>
      <c r="AV83" s="116"/>
      <c r="AW83" s="116"/>
      <c r="AX83" s="116"/>
      <c r="AY83" s="116"/>
      <c r="AZ83" s="116"/>
      <c r="BA83" s="116"/>
      <c r="BB83" s="116"/>
      <c r="BC83" s="116"/>
      <c r="BD83" s="116"/>
      <c r="BE83" s="116"/>
      <c r="BF83" s="116"/>
      <c r="BG83" s="116"/>
      <c r="BH83" s="116"/>
      <c r="BI83" s="116"/>
      <c r="BJ83" s="116"/>
      <c r="BK83" s="116"/>
      <c r="CS83" s="173"/>
      <c r="CT83" s="173"/>
      <c r="CU83" s="173"/>
      <c r="CV83" s="173"/>
      <c r="CW83" s="173"/>
      <c r="CX83" s="173"/>
      <c r="CY83" s="173"/>
      <c r="CZ83" s="173"/>
      <c r="DA83" s="173"/>
      <c r="DB83" s="173"/>
      <c r="DC83" s="173"/>
      <c r="DD83" s="173"/>
      <c r="DE83" s="173"/>
      <c r="DF83" s="173"/>
      <c r="DG83" s="173"/>
      <c r="DH83" s="173"/>
      <c r="DI83" s="173"/>
      <c r="DJ83" s="173"/>
    </row>
    <row r="84" spans="39:114" ht="15" customHeight="1" x14ac:dyDescent="0.25">
      <c r="CS84" s="173"/>
      <c r="CT84" s="173"/>
      <c r="CU84" s="173"/>
      <c r="CV84" s="173"/>
      <c r="CW84" s="173"/>
      <c r="CX84" s="173"/>
      <c r="CY84" s="173"/>
      <c r="CZ84" s="173"/>
      <c r="DA84" s="173"/>
      <c r="DB84" s="173"/>
      <c r="DC84" s="173"/>
      <c r="DD84" s="173"/>
      <c r="DE84" s="173"/>
      <c r="DF84" s="173"/>
      <c r="DG84" s="173"/>
      <c r="DH84" s="173"/>
      <c r="DI84" s="173"/>
      <c r="DJ84" s="173"/>
    </row>
    <row r="85" spans="39:114" ht="15" customHeight="1" x14ac:dyDescent="0.25">
      <c r="CS85" s="173"/>
      <c r="CT85" s="173"/>
      <c r="CU85" s="173"/>
      <c r="CV85" s="173"/>
      <c r="CW85" s="173"/>
      <c r="CX85" s="173"/>
      <c r="CY85" s="173"/>
      <c r="CZ85" s="173"/>
      <c r="DA85" s="173"/>
      <c r="DB85" s="173"/>
      <c r="DC85" s="173"/>
      <c r="DD85" s="173"/>
      <c r="DE85" s="173"/>
      <c r="DF85" s="173"/>
      <c r="DG85" s="173"/>
      <c r="DH85" s="173"/>
      <c r="DI85" s="173"/>
      <c r="DJ85" s="173"/>
    </row>
  </sheetData>
  <mergeCells count="107">
    <mergeCell ref="CQ9:CQ10"/>
    <mergeCell ref="CW9:CW10"/>
    <mergeCell ref="DC9:DC10"/>
    <mergeCell ref="BM2:BU2"/>
    <mergeCell ref="BW2:CD2"/>
    <mergeCell ref="CF4:CF8"/>
    <mergeCell ref="CH4:CH8"/>
    <mergeCell ref="CI4:CI8"/>
    <mergeCell ref="BM3:BN3"/>
    <mergeCell ref="CF2:CJ2"/>
    <mergeCell ref="CZ9:CZ10"/>
    <mergeCell ref="CY9:CY10"/>
    <mergeCell ref="CP9:CP10"/>
    <mergeCell ref="CR9:CR10"/>
    <mergeCell ref="CV9:CV10"/>
    <mergeCell ref="CS9:CS10"/>
    <mergeCell ref="CU9:CU10"/>
    <mergeCell ref="CL8:CQ8"/>
    <mergeCell ref="CR8:CW8"/>
    <mergeCell ref="CX8:DC8"/>
    <mergeCell ref="CJ29:CJ33"/>
    <mergeCell ref="BW19:BW23"/>
    <mergeCell ref="BW24:BW28"/>
    <mergeCell ref="CF24:CF28"/>
    <mergeCell ref="CF29:CF33"/>
    <mergeCell ref="BW14:BW18"/>
    <mergeCell ref="BW4:BW8"/>
    <mergeCell ref="BW9:BW13"/>
    <mergeCell ref="CJ4:CJ8"/>
    <mergeCell ref="CF9:CF13"/>
    <mergeCell ref="CH9:CH13"/>
    <mergeCell ref="CI9:CI13"/>
    <mergeCell ref="CJ9:CJ13"/>
    <mergeCell ref="BE22:BE27"/>
    <mergeCell ref="B29:B33"/>
    <mergeCell ref="CF14:CF18"/>
    <mergeCell ref="AM24:AM28"/>
    <mergeCell ref="AM29:AM33"/>
    <mergeCell ref="BE28:BE33"/>
    <mergeCell ref="CH24:CH28"/>
    <mergeCell ref="CI24:CI28"/>
    <mergeCell ref="CH14:CH18"/>
    <mergeCell ref="CI14:CI18"/>
    <mergeCell ref="CH19:CH23"/>
    <mergeCell ref="CI19:CI23"/>
    <mergeCell ref="B19:B23"/>
    <mergeCell ref="B24:B28"/>
    <mergeCell ref="CH29:CH33"/>
    <mergeCell ref="CI29:CI33"/>
    <mergeCell ref="BE2:BK2"/>
    <mergeCell ref="P12:R12"/>
    <mergeCell ref="B9:B13"/>
    <mergeCell ref="B14:B18"/>
    <mergeCell ref="U63:U67"/>
    <mergeCell ref="U53:U57"/>
    <mergeCell ref="U58:U62"/>
    <mergeCell ref="U19:U23"/>
    <mergeCell ref="U24:U28"/>
    <mergeCell ref="U29:U33"/>
    <mergeCell ref="U38:U42"/>
    <mergeCell ref="U43:U47"/>
    <mergeCell ref="U48:U52"/>
    <mergeCell ref="U36:Z36"/>
    <mergeCell ref="U9:U13"/>
    <mergeCell ref="U14:U18"/>
    <mergeCell ref="AM9:AM13"/>
    <mergeCell ref="AM14:AM18"/>
    <mergeCell ref="BE4:BE9"/>
    <mergeCell ref="BE10:BE15"/>
    <mergeCell ref="BE16:BE21"/>
    <mergeCell ref="U4:U8"/>
    <mergeCell ref="AM4:AM8"/>
    <mergeCell ref="AM19:AM23"/>
    <mergeCell ref="B2:N2"/>
    <mergeCell ref="AM2:BC2"/>
    <mergeCell ref="P9:R9"/>
    <mergeCell ref="P10:R10"/>
    <mergeCell ref="P11:R11"/>
    <mergeCell ref="P2:S2"/>
    <mergeCell ref="P7:S7"/>
    <mergeCell ref="P8:R8"/>
    <mergeCell ref="U2:AK2"/>
    <mergeCell ref="B4:B8"/>
    <mergeCell ref="CX18:DB18"/>
    <mergeCell ref="CX19:CX20"/>
    <mergeCell ref="CY19:CY20"/>
    <mergeCell ref="CZ19:CZ20"/>
    <mergeCell ref="DA19:DA20"/>
    <mergeCell ref="DB19:DB20"/>
    <mergeCell ref="BE34:BE39"/>
    <mergeCell ref="BM5:BM6"/>
    <mergeCell ref="BM7:BM8"/>
    <mergeCell ref="BM9:BM10"/>
    <mergeCell ref="BM11:BM12"/>
    <mergeCell ref="BM13:BM14"/>
    <mergeCell ref="CJ24:CJ28"/>
    <mergeCell ref="CJ14:CJ18"/>
    <mergeCell ref="CJ19:CJ23"/>
    <mergeCell ref="CL9:CL10"/>
    <mergeCell ref="CM9:CM10"/>
    <mergeCell ref="CN9:CN10"/>
    <mergeCell ref="CO9:CO10"/>
    <mergeCell ref="DB9:DB10"/>
    <mergeCell ref="CX9:CX10"/>
    <mergeCell ref="CT9:CT10"/>
    <mergeCell ref="CF19:CF23"/>
    <mergeCell ref="DA9:DA10"/>
  </mergeCells>
  <phoneticPr fontId="35" type="noConversion"/>
  <conditionalFormatting sqref="V58:W62 V43:V47">
    <cfRule type="cellIs" dxfId="6" priority="96" operator="equal">
      <formula>$AH$31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9E583-41E2-4646-9E86-40077290938D}">
  <sheetPr codeName="Sheet4"/>
  <dimension ref="B1:AT89"/>
  <sheetViews>
    <sheetView zoomScale="80" zoomScaleNormal="80" workbookViewId="0">
      <selection activeCell="O24" sqref="O24"/>
    </sheetView>
  </sheetViews>
  <sheetFormatPr defaultColWidth="9.140625" defaultRowHeight="15" x14ac:dyDescent="0.25"/>
  <cols>
    <col min="1" max="1" width="9.140625" style="1"/>
    <col min="2" max="2" width="10.5703125" style="1" bestFit="1" customWidth="1"/>
    <col min="3" max="3" width="8.140625" style="1" customWidth="1"/>
    <col min="4" max="4" width="11.5703125" style="1" bestFit="1" customWidth="1"/>
    <col min="5" max="5" width="12.42578125" style="1" bestFit="1" customWidth="1"/>
    <col min="6" max="6" width="13.42578125" style="1" bestFit="1" customWidth="1"/>
    <col min="7" max="7" width="13.5703125" style="1" bestFit="1" customWidth="1"/>
    <col min="8" max="8" width="13.42578125" style="1" bestFit="1" customWidth="1"/>
    <col min="9" max="9" width="14.5703125" style="1" bestFit="1" customWidth="1"/>
    <col min="10" max="10" width="12" style="1" bestFit="1" customWidth="1"/>
    <col min="11" max="11" width="11.28515625" style="1" bestFit="1" customWidth="1"/>
    <col min="12" max="12" width="11.42578125" style="1" bestFit="1" customWidth="1"/>
    <col min="13" max="13" width="12.42578125" style="1" bestFit="1" customWidth="1"/>
    <col min="14" max="14" width="11.7109375" style="1" bestFit="1" customWidth="1"/>
    <col min="15" max="15" width="13.5703125" style="1" bestFit="1" customWidth="1"/>
    <col min="16" max="16" width="13.140625" style="1" bestFit="1" customWidth="1"/>
    <col min="17" max="17" width="11.42578125" style="1" bestFit="1" customWidth="1"/>
    <col min="18" max="18" width="13.7109375" style="1" bestFit="1" customWidth="1"/>
    <col min="19" max="20" width="9.140625" style="1"/>
    <col min="21" max="21" width="14.85546875" style="1" bestFit="1" customWidth="1"/>
    <col min="22" max="22" width="10.7109375" style="1" bestFit="1" customWidth="1"/>
    <col min="23" max="24" width="9.140625" style="1"/>
    <col min="25" max="25" width="9.28515625" style="1" bestFit="1" customWidth="1"/>
    <col min="26" max="26" width="7.85546875" style="1" bestFit="1" customWidth="1"/>
    <col min="27" max="27" width="8.85546875" style="1" customWidth="1"/>
    <col min="28" max="28" width="7.140625" style="1" bestFit="1" customWidth="1"/>
    <col min="29" max="29" width="10" style="1" bestFit="1" customWidth="1"/>
    <col min="30" max="30" width="10.85546875" style="1" bestFit="1" customWidth="1"/>
    <col min="31" max="31" width="7.140625" style="1" bestFit="1" customWidth="1"/>
    <col min="32" max="33" width="12" style="1" bestFit="1" customWidth="1"/>
    <col min="34" max="35" width="7.85546875" style="1" bestFit="1" customWidth="1"/>
    <col min="36" max="36" width="10.140625" style="1" bestFit="1" customWidth="1"/>
    <col min="37" max="16384" width="9.140625" style="1"/>
  </cols>
  <sheetData>
    <row r="1" spans="2:22" ht="14.45" thickBot="1" x14ac:dyDescent="0.3"/>
    <row r="2" spans="2:22" ht="15" customHeight="1" x14ac:dyDescent="0.25">
      <c r="B2" s="932" t="s">
        <v>285</v>
      </c>
      <c r="C2" s="933"/>
      <c r="D2" s="933"/>
      <c r="E2" s="933"/>
      <c r="F2" s="933"/>
      <c r="G2" s="933"/>
      <c r="H2" s="933"/>
      <c r="I2" s="933"/>
      <c r="J2" s="933"/>
      <c r="K2" s="933"/>
      <c r="L2" s="933"/>
      <c r="M2" s="933"/>
      <c r="N2" s="933"/>
      <c r="O2" s="933"/>
      <c r="P2" s="933"/>
      <c r="Q2" s="933"/>
      <c r="R2" s="933"/>
      <c r="S2" s="934"/>
    </row>
    <row r="3" spans="2:22" ht="15.75" customHeight="1" thickBot="1" x14ac:dyDescent="0.3">
      <c r="B3" s="935"/>
      <c r="C3" s="936"/>
      <c r="D3" s="936"/>
      <c r="E3" s="936"/>
      <c r="F3" s="936"/>
      <c r="G3" s="936"/>
      <c r="H3" s="936"/>
      <c r="I3" s="936"/>
      <c r="J3" s="936"/>
      <c r="K3" s="936"/>
      <c r="L3" s="936"/>
      <c r="M3" s="936"/>
      <c r="N3" s="936"/>
      <c r="O3" s="936"/>
      <c r="P3" s="936"/>
      <c r="Q3" s="936"/>
      <c r="R3" s="936"/>
      <c r="S3" s="937"/>
    </row>
    <row r="4" spans="2:22" ht="16.899999999999999" thickBot="1" x14ac:dyDescent="0.35">
      <c r="B4" s="5"/>
      <c r="C4" s="929" t="s">
        <v>231</v>
      </c>
      <c r="D4" s="930"/>
      <c r="E4" s="930"/>
      <c r="F4" s="930"/>
      <c r="G4" s="930"/>
      <c r="H4" s="930"/>
      <c r="I4" s="930"/>
      <c r="J4" s="931"/>
      <c r="K4" s="175"/>
      <c r="L4" s="175"/>
      <c r="M4" s="929" t="s">
        <v>235</v>
      </c>
      <c r="N4" s="930"/>
      <c r="O4" s="930"/>
      <c r="P4" s="930"/>
      <c r="Q4" s="930"/>
      <c r="R4" s="931"/>
      <c r="S4" s="7"/>
      <c r="U4" s="926" t="s">
        <v>298</v>
      </c>
      <c r="V4" s="926"/>
    </row>
    <row r="5" spans="2:22" x14ac:dyDescent="0.25">
      <c r="B5" s="5"/>
      <c r="C5" s="478" t="s">
        <v>5</v>
      </c>
      <c r="D5" s="165" t="s">
        <v>69</v>
      </c>
      <c r="E5" s="477" t="s">
        <v>212</v>
      </c>
      <c r="F5" s="477" t="s">
        <v>211</v>
      </c>
      <c r="G5" s="477" t="s">
        <v>210</v>
      </c>
      <c r="H5" s="477" t="s">
        <v>213</v>
      </c>
      <c r="I5" s="477" t="s">
        <v>214</v>
      </c>
      <c r="J5" s="480" t="s">
        <v>215</v>
      </c>
      <c r="K5" s="176"/>
      <c r="L5" s="176"/>
      <c r="M5" s="478" t="s">
        <v>5</v>
      </c>
      <c r="N5" s="479" t="s">
        <v>188</v>
      </c>
      <c r="O5" s="406" t="s">
        <v>189</v>
      </c>
      <c r="P5" s="165" t="s">
        <v>216</v>
      </c>
      <c r="Q5" s="165" t="s">
        <v>70</v>
      </c>
      <c r="R5" s="407" t="s">
        <v>178</v>
      </c>
      <c r="S5" s="7"/>
      <c r="U5" s="177" t="s">
        <v>322</v>
      </c>
      <c r="V5" s="178" t="s">
        <v>239</v>
      </c>
    </row>
    <row r="6" spans="2:22" ht="13.9" x14ac:dyDescent="0.25">
      <c r="B6" s="5"/>
      <c r="C6" s="179">
        <v>6</v>
      </c>
      <c r="D6" s="481">
        <f>hstr6</f>
        <v>3</v>
      </c>
      <c r="E6" s="483">
        <f>G32*H32</f>
        <v>407.19999999999993</v>
      </c>
      <c r="F6" s="481">
        <f>G32*H32*I32</f>
        <v>3.3848611415698446</v>
      </c>
      <c r="G6" s="180">
        <f t="shared" ref="G6:G11" si="0">F6/E6</f>
        <v>8.3125273614190701E-3</v>
      </c>
      <c r="H6" s="483">
        <f>G19*H19</f>
        <v>1029.6000000000001</v>
      </c>
      <c r="I6" s="481">
        <f>'System Capacities'!G19*'System Capacities'!H19*'System Capacities'!I19</f>
        <v>2.0567290433706189</v>
      </c>
      <c r="J6" s="59">
        <f t="shared" ref="J6:J11" si="1">I6/H6</f>
        <v>1.9976000809737945E-3</v>
      </c>
      <c r="K6" s="181"/>
      <c r="L6" s="182"/>
      <c r="M6" s="179">
        <v>6</v>
      </c>
      <c r="N6" s="483">
        <f>G32</f>
        <v>135.73333333333332</v>
      </c>
      <c r="O6" s="183">
        <f>G19</f>
        <v>343.20000000000005</v>
      </c>
      <c r="P6" s="99">
        <f>_xlfn.IFS((($N$19+$N$32)=2),(C$47),(($N$19+$N$32)=3),(C$48),(($N$19+$N$32)=4),(C$49),(($N$19+$N$32)=5),(C$50),(($N$19+$N$32)=6),(C$51),(($N$19+$N$32)=7),(C$52),(($N$19+$N$32)=8),(C$53),(($N$19+$N$32)=9),(C$54),(($N$19+$N$32)=10),(C$55))</f>
        <v>375.81834889301615</v>
      </c>
      <c r="Q6" s="55">
        <f>_xlfn.IFS((($N$19+$N$32)=2),(D$47),(($N$19+$N$32)=3),(D$48),(($N$19+$N$32)=4),(D$49),(($N$19+$N$32)=5),(D$50),(($N$19+$N$32)=6),(D$51),(($N$19+$N$32)=7),(D$52),(($N$19+$N$32)=8),(D$53),(($N$19+$N$32)=9),(D$54),(($N$19+$N$32)=10),(D$55))</f>
        <v>1.9976000809737945E-3</v>
      </c>
      <c r="R6" s="185">
        <f>_xlfn.IFS((($N$19+$N$32)=2),(E$47),(($N$19+$N$32)=3),(E$48),(($N$19+$N$32)=4),(E$49),(($N$19+$N$32)=5),(E$50),(($N$19+$N$32)=6),(E$51),(($N$19+$N$32)=7),(E$52),(($N$19+$N$32)=8),(E$53),(($N$19+$N$32)=9),(E$54),(($N$19+$N$32)=10),(E$55))</f>
        <v>62711.642914667114</v>
      </c>
      <c r="S6" s="7"/>
      <c r="U6" s="78">
        <f>'Post-yield Mechanism'!O226</f>
        <v>58022.029624960582</v>
      </c>
      <c r="V6" s="186">
        <f>((U6-R9)/U6)</f>
        <v>-0.26582508951136818</v>
      </c>
    </row>
    <row r="7" spans="2:22" ht="13.9" x14ac:dyDescent="0.25">
      <c r="B7" s="5"/>
      <c r="C7" s="187">
        <v>5</v>
      </c>
      <c r="D7" s="481">
        <f>hstr5</f>
        <v>3</v>
      </c>
      <c r="E7" s="483">
        <f t="shared" ref="E7:E11" si="2">G33*H33</f>
        <v>484.80000000000007</v>
      </c>
      <c r="F7" s="481">
        <f t="shared" ref="F7:F11" si="3">G33*H33*I33</f>
        <v>4.6529164800000009</v>
      </c>
      <c r="G7" s="180">
        <f t="shared" si="0"/>
        <v>9.5976000000000013E-3</v>
      </c>
      <c r="H7" s="483">
        <f t="shared" ref="H7:H11" si="4">G20*H20</f>
        <v>1029.6000000000001</v>
      </c>
      <c r="I7" s="481">
        <f>'System Capacities'!G20*'System Capacities'!H20*'System Capacities'!I20</f>
        <v>1.9810986452680874</v>
      </c>
      <c r="J7" s="59">
        <f t="shared" si="1"/>
        <v>1.9241439833606131E-3</v>
      </c>
      <c r="K7" s="181"/>
      <c r="L7" s="182"/>
      <c r="M7" s="187">
        <v>5</v>
      </c>
      <c r="N7" s="483">
        <f t="shared" ref="N7:N11" si="5">G33</f>
        <v>161.60000000000002</v>
      </c>
      <c r="O7" s="183">
        <f t="shared" ref="O7:O11" si="6">G20</f>
        <v>343.20000000000005</v>
      </c>
      <c r="P7" s="99">
        <f>_xlfn.IFS((($N$20+$N$33)=2),(G$47),(($N$20+$N$33)=3),(G$48),(($N$20+$N$33)=4),(G$49),(($N$20+$N$33)=5),(G$50),(($N$20+$N$33)=6),(G$51),(($N$20+$N$33)=7),(G$52),(($N$20+$N$33)=8),(G$53),(($N$20+$N$33)=9),(G$54),(($N$20+$N$33)=10),(G$55))</f>
        <v>375.59785651736638</v>
      </c>
      <c r="Q7" s="55">
        <f>_xlfn.IFS((($N$20+$N$33)=2),(H$47),(($N$20+$N$33)=3),(H$48),(($N$20+$N$33)=4),(H$49),(($N$20+$N$33)=5),(H$50),(($N$20+$N$33)=6),(H$51),(($N$20+$N$33)=7),(H$52),(($N$20+$N$33)=8),(H$53),(($N$20+$N$33)=9),(H$54),(($N$20+$N$33)=10),(H$55))</f>
        <v>1.9241439833606131E-3</v>
      </c>
      <c r="R7" s="185">
        <f>_xlfn.IFS((($N$20+$N$33)=2),(I$47),(($N$20+$N$33)=3),(I$48),(($N$20+$N$33)=4),(I$49),(($N$20+$N$33)=5),(I$50),(($N$20+$N$33)=6),(I$51),(($N$20+$N$33)=7),(I$52),(($N$20+$N$33)=8),(I$53),(($N$20+$N$33)=9),(I$54),(($N$20+$N$33)=10),(I$55))</f>
        <v>65067.524358089882</v>
      </c>
      <c r="S7" s="7"/>
      <c r="U7" s="78">
        <f>'Post-yield Mechanism'!O227</f>
        <v>59786.297180039051</v>
      </c>
      <c r="V7" s="186">
        <f>((U7-R10)/U7)</f>
        <v>-0.32732606560234845</v>
      </c>
    </row>
    <row r="8" spans="2:22" ht="13.9" x14ac:dyDescent="0.25">
      <c r="B8" s="5"/>
      <c r="C8" s="187">
        <v>4</v>
      </c>
      <c r="D8" s="481">
        <f>hstr4</f>
        <v>3</v>
      </c>
      <c r="E8" s="483">
        <f t="shared" si="2"/>
        <v>532.79999999999995</v>
      </c>
      <c r="F8" s="481">
        <f t="shared" si="3"/>
        <v>4.7245008651428577</v>
      </c>
      <c r="G8" s="180">
        <f t="shared" si="0"/>
        <v>8.8673064285714302E-3</v>
      </c>
      <c r="H8" s="483">
        <f t="shared" si="4"/>
        <v>1029.6000000000001</v>
      </c>
      <c r="I8" s="481">
        <f>'System Capacities'!G21*'System Capacities'!H21*'System Capacities'!I21</f>
        <v>1.9049386686529672</v>
      </c>
      <c r="J8" s="59">
        <f t="shared" si="1"/>
        <v>1.8501735321027263E-3</v>
      </c>
      <c r="K8" s="181"/>
      <c r="L8" s="182"/>
      <c r="M8" s="187">
        <v>4</v>
      </c>
      <c r="N8" s="483">
        <f t="shared" si="5"/>
        <v>177.6</v>
      </c>
      <c r="O8" s="183">
        <f t="shared" si="6"/>
        <v>343.20000000000005</v>
      </c>
      <c r="P8" s="99">
        <f>_xlfn.IFS((($N$21+$N$34)=2),(K$47),(($N$21+$N$34)=3),(K$48),(($N$21+$N$34)=4),(K$49),(($N$21+$N$34)=5),(K$50),(($N$21+$N$34)=6),(K$51),(($N$21+$N$34)=7),(K$52),(($N$21+$N$34)=8),(K$53),(($N$21+$N$34)=9),(K$54),(($N$21+$N$34)=10),(K$55))</f>
        <v>380.25644120323722</v>
      </c>
      <c r="Q8" s="55">
        <f>_xlfn.IFS((($N$21+$N$34)=2),(L$47),(($N$21+$N$34)=3),(L$48),(($N$21+$N$34)=4),(L$49),(($N$21+$N$34)=5),(L$50),(($N$21+$N$34)=6),(L$51),(($N$21+$N$34)=7),(L$52),(($N$21+$N$34)=8),(L$53),(($N$21+$N$34)=9),(L$54),(($N$21+$N$34)=10),(L$55))</f>
        <v>1.8501735321027263E-3</v>
      </c>
      <c r="R8" s="185">
        <f>_xlfn.IFS((($N$21+$N$34)=2),(M$47),(($N$21+$N$34)=3),(M$48),(($N$21+$N$34)=4),(M$49),(($N$21+$N$34)=5),(M$50),(($N$21+$N$34)=6),(M$51),(($N$21+$N$34)=7),(M$52),(($N$21+$N$34)=8),(M$53),(($N$21+$N$34)=9),(M$54),(($N$21+$N$34)=10),(M$55))</f>
        <v>68508.247939149602</v>
      </c>
      <c r="S8" s="7"/>
      <c r="U8" s="78">
        <f>'Post-yield Mechanism'!O228</f>
        <v>74754.364977729987</v>
      </c>
      <c r="V8" s="186">
        <f>((U8-R11)/U8)</f>
        <v>-0.3003287102932829</v>
      </c>
    </row>
    <row r="9" spans="2:22" ht="13.9" x14ac:dyDescent="0.25">
      <c r="B9" s="5"/>
      <c r="C9" s="179">
        <v>3</v>
      </c>
      <c r="D9" s="481">
        <f>hstr3</f>
        <v>3</v>
      </c>
      <c r="E9" s="483">
        <f t="shared" si="2"/>
        <v>763.99999999999989</v>
      </c>
      <c r="F9" s="481">
        <f t="shared" si="3"/>
        <v>6.3837446395297599</v>
      </c>
      <c r="G9" s="180">
        <f t="shared" si="0"/>
        <v>8.3556867009551838E-3</v>
      </c>
      <c r="H9" s="483">
        <f t="shared" si="4"/>
        <v>1020.0960000000001</v>
      </c>
      <c r="I9" s="481">
        <f>'System Capacities'!G22*'System Capacities'!H22*'System Capacities'!I22</f>
        <v>1.8269627680392877</v>
      </c>
      <c r="J9" s="59">
        <f t="shared" si="1"/>
        <v>1.7909714066512246E-3</v>
      </c>
      <c r="K9" s="192"/>
      <c r="L9" s="192"/>
      <c r="M9" s="179">
        <v>3</v>
      </c>
      <c r="N9" s="483">
        <f t="shared" si="5"/>
        <v>254.66666666666663</v>
      </c>
      <c r="O9" s="183">
        <f t="shared" si="6"/>
        <v>340.03200000000004</v>
      </c>
      <c r="P9" s="99">
        <f>_xlfn.IFS((($N$22+$N$35)=2),(C$60),(($N$22+$N$35)=3),(C$61),(($N$22+$N$35)=4),(C$62),(($N$22+$N$35)=5),(C$63),(($N$22+$N$35)=6),(C$64),(($N$22+$N$35)=7),(C$65),(($N$22+$N$35)=8),(C$66),(($N$22+$N$35)=9),(C$67),(($N$22+$N$35)=10),(C$68))</f>
        <v>394.61766537386319</v>
      </c>
      <c r="Q9" s="55">
        <f>_xlfn.IFS((($N$22+$N$35)=2),(D$60),(($N$22+$N$35)=3),(D$61),(($N$22+$N$35)=4),(D$62),(($N$22+$N$35)=5),(D$63),(($N$22+$N$35)=6),(D$64),(($N$22+$N$35)=7),(D$65),(($N$22+$N$35)=8),(D$66),(($N$22+$N$35)=9),(D$67),(($N$22+$N$35)=10),(D$68))</f>
        <v>1.7909714066512246E-3</v>
      </c>
      <c r="R9" s="185">
        <f>_xlfn.IFS((($N$22+$N$35)=2),(E$60),(($N$22+$N$35)=3),(E$61),(($N$22+$N$35)=4),(E$62),(($N$22+$N$35)=5),(E$63),(($N$22+$N$35)=6),(E$64),(($N$22+$N$35)=7),(E$65),(($N$22+$N$35)=8),(E$66),(($N$22+$N$35)=9),(E$67),(($N$22+$N$35)=10),(E$68))</f>
        <v>73445.740843646985</v>
      </c>
      <c r="S9" s="7"/>
      <c r="U9" s="78"/>
      <c r="V9" s="186"/>
    </row>
    <row r="10" spans="2:22" ht="13.9" x14ac:dyDescent="0.25">
      <c r="B10" s="5"/>
      <c r="C10" s="187">
        <v>2</v>
      </c>
      <c r="D10" s="481">
        <f>hstr2</f>
        <v>3</v>
      </c>
      <c r="E10" s="483">
        <f t="shared" si="2"/>
        <v>809.8</v>
      </c>
      <c r="F10" s="481">
        <f t="shared" si="3"/>
        <v>5.1955124809011446</v>
      </c>
      <c r="G10" s="180">
        <f t="shared" si="0"/>
        <v>6.4157970868129726E-3</v>
      </c>
      <c r="H10" s="483">
        <f t="shared" si="4"/>
        <v>1020.0960000000001</v>
      </c>
      <c r="I10" s="481">
        <f>'System Capacities'!G23*'System Capacities'!H23*'System Capacities'!I23</f>
        <v>1.7697705151362153</v>
      </c>
      <c r="J10" s="59">
        <f t="shared" si="1"/>
        <v>1.7349058472302754E-3</v>
      </c>
      <c r="K10" s="192"/>
      <c r="L10" s="192"/>
      <c r="M10" s="187">
        <v>2</v>
      </c>
      <c r="N10" s="483">
        <f t="shared" si="5"/>
        <v>269.93333333333334</v>
      </c>
      <c r="O10" s="183">
        <f t="shared" si="6"/>
        <v>340.03200000000004</v>
      </c>
      <c r="P10" s="99">
        <f>_xlfn.IFS((($N$23+$N$36)=2),(G$60),(($N$23+$N$36)=3),(G$61),(($N$23+$N$36)=4),(G$62),(($N$23+$N$36)=5),(G$63),(($N$23+$N$36)=6),(G$64),(($N$23+$N$36)=7),(G$65),(($N$23+$N$36)=8),(G$66),(($N$23+$N$36)=9),(G$67),(($N$23+$N$36)=10),(G$68))</f>
        <v>413.02510000388276</v>
      </c>
      <c r="Q10" s="55">
        <f>_xlfn.IFS((($N$23+$N$36)=2),(H$60),(($N$23+$N$36)=3),(H$61),(($N$23+$N$36)=4),(H$62),(($N$23+$N$36)=5),(H$63),(($N$23+$N$36)=6),(H$64),(($N$23+$N$36)=7),(H$65),(($N$23+$N$36)=8),(H$66),(($N$23+$N$36)=9),(H$67),(($N$23+$N$36)=10),(H$68))</f>
        <v>1.7349058472302754E-3</v>
      </c>
      <c r="R10" s="185">
        <f>_xlfn.IFS((($N$23+$N$36)=2),(I$60),(($N$23+$N$36)=3),(I$61),(($N$23+$N$36)=4),(I$62),(($N$23+$N$36)=5),(I$63),(($N$23+$N$36)=6),(I$64),(($N$23+$N$36)=7),(I$65),(($N$23+$N$36)=8),(I$66),(($N$23+$N$36)=9),(I$67),(($N$23+$N$36)=10),(I$68))</f>
        <v>79355.910612914013</v>
      </c>
      <c r="S10" s="7"/>
      <c r="U10" s="78"/>
      <c r="V10" s="186"/>
    </row>
    <row r="11" spans="2:22" ht="14.45" thickBot="1" x14ac:dyDescent="0.3">
      <c r="B11" s="5"/>
      <c r="C11" s="188">
        <v>1</v>
      </c>
      <c r="D11" s="482">
        <f>hstr1</f>
        <v>2.75</v>
      </c>
      <c r="E11" s="52">
        <f t="shared" si="2"/>
        <v>1109</v>
      </c>
      <c r="F11" s="482">
        <f t="shared" si="3"/>
        <v>5.3755137920761431</v>
      </c>
      <c r="G11" s="189">
        <f t="shared" si="0"/>
        <v>4.8471720397440425E-3</v>
      </c>
      <c r="H11" s="52">
        <f t="shared" si="4"/>
        <v>894.43200000000013</v>
      </c>
      <c r="I11" s="482">
        <f>'System Capacities'!G24*'System Capacities'!H24*'System Capacities'!I24</f>
        <v>1.5800408098473302</v>
      </c>
      <c r="J11" s="107">
        <f t="shared" si="1"/>
        <v>1.7665298310518072E-3</v>
      </c>
      <c r="K11" s="192"/>
      <c r="L11" s="192"/>
      <c r="M11" s="188">
        <v>1</v>
      </c>
      <c r="N11" s="52">
        <f t="shared" si="5"/>
        <v>403.27272727272725</v>
      </c>
      <c r="O11" s="190">
        <f t="shared" si="6"/>
        <v>325.24800000000005</v>
      </c>
      <c r="P11" s="105">
        <f>_xlfn.IFS((($N$24+$N$37)=2),(K$60),(($N$24+$N$37)=3),(K$61),(($N$24+$N$37)=4),(K$62),(($N$24+$N$37)=5),(K$63),(($N$24+$N$37)=6),(K$64),(($N$24+$N$37)=7),(K$65),(($N$24+$N$37)=8),(K$66),(($N$24+$N$37)=9),(K$67),(($N$24+$N$37)=10),(K$68))</f>
        <v>472.21891354209725</v>
      </c>
      <c r="Q11" s="106">
        <f>_xlfn.IFS((($N$24+$N$37)=2),(L$60),(($N$24+$N$37)=3),(L$61),(($N$24+$N$37)=4),(L$62),(($N$24+$N$37)=5),(L$63),(($N$24+$N$37)=6),(L$64),(($N$24+$N$37)=7),(L$65),(($N$24+$N$37)=8),(L$66),(($N$24+$N$37)=9),(L$67),(($N$24+$N$37)=10),(L$68))</f>
        <v>1.7665298310518072E-3</v>
      </c>
      <c r="R11" s="191">
        <f>_xlfn.IFS((($N$24+$N$37)=2),(M$60),(($N$24+$N$37)=3),(M$61),(($N$24+$N$37)=4),(M$62),(($N$24+$N$37)=5),(M$63),(($N$24+$N$37)=6),(M$64),(($N$24+$N$37)=7),(M$65),(($N$24+$N$37)=8),(M$66),(($N$24+$N$37)=9),(M$67),(($N$24+$N$37)=10),(M$68))</f>
        <v>97205.247000284988</v>
      </c>
      <c r="S11" s="7"/>
      <c r="U11" s="78"/>
      <c r="V11" s="186"/>
    </row>
    <row r="12" spans="2:22" ht="13.9" x14ac:dyDescent="0.25">
      <c r="B12" s="5"/>
      <c r="C12" s="192"/>
      <c r="D12" s="192"/>
      <c r="E12" s="192"/>
      <c r="F12" s="192"/>
      <c r="G12" s="192"/>
      <c r="H12" s="192"/>
      <c r="I12" s="192"/>
      <c r="J12" s="192"/>
      <c r="K12" s="192"/>
      <c r="L12" s="192"/>
      <c r="M12" s="192"/>
      <c r="N12" s="192"/>
      <c r="O12" s="192"/>
      <c r="P12" s="192"/>
      <c r="Q12" s="192"/>
      <c r="R12" s="192"/>
      <c r="S12" s="7"/>
    </row>
    <row r="13" spans="2:22" ht="14.45" thickBot="1" x14ac:dyDescent="0.3">
      <c r="B13" s="26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8"/>
    </row>
    <row r="14" spans="2:22" ht="14.45" thickBot="1" x14ac:dyDescent="0.3"/>
    <row r="15" spans="2:22" x14ac:dyDescent="0.25">
      <c r="B15" s="932" t="s">
        <v>282</v>
      </c>
      <c r="C15" s="933"/>
      <c r="D15" s="933"/>
      <c r="E15" s="933"/>
      <c r="F15" s="933"/>
      <c r="G15" s="933"/>
      <c r="H15" s="933"/>
      <c r="I15" s="933"/>
      <c r="J15" s="933"/>
      <c r="K15" s="933"/>
      <c r="L15" s="933"/>
      <c r="M15" s="933"/>
      <c r="N15" s="933"/>
      <c r="O15" s="933"/>
      <c r="P15" s="933"/>
      <c r="Q15" s="933"/>
      <c r="R15" s="933"/>
      <c r="S15" s="934"/>
    </row>
    <row r="16" spans="2:22" ht="15.75" thickBot="1" x14ac:dyDescent="0.3">
      <c r="B16" s="935"/>
      <c r="C16" s="936"/>
      <c r="D16" s="936"/>
      <c r="E16" s="936"/>
      <c r="F16" s="936"/>
      <c r="G16" s="936"/>
      <c r="H16" s="936"/>
      <c r="I16" s="936"/>
      <c r="J16" s="936"/>
      <c r="K16" s="936"/>
      <c r="L16" s="936"/>
      <c r="M16" s="936"/>
      <c r="N16" s="936"/>
      <c r="O16" s="936"/>
      <c r="P16" s="936"/>
      <c r="Q16" s="936"/>
      <c r="R16" s="936"/>
      <c r="S16" s="937"/>
    </row>
    <row r="17" spans="2:42" ht="16.5" thickBot="1" x14ac:dyDescent="0.3">
      <c r="B17" s="5"/>
      <c r="C17" s="946" t="s">
        <v>378</v>
      </c>
      <c r="D17" s="947"/>
      <c r="E17" s="947"/>
      <c r="F17" s="947"/>
      <c r="G17" s="947"/>
      <c r="H17" s="947"/>
      <c r="I17" s="947"/>
      <c r="J17" s="947"/>
      <c r="K17" s="947"/>
      <c r="L17" s="947"/>
      <c r="M17" s="947"/>
      <c r="N17" s="948"/>
      <c r="O17" s="192"/>
      <c r="P17" s="949" t="s">
        <v>283</v>
      </c>
      <c r="Q17" s="950"/>
      <c r="R17" s="950"/>
      <c r="S17" s="7"/>
      <c r="U17" s="926" t="s">
        <v>298</v>
      </c>
      <c r="V17" s="926"/>
    </row>
    <row r="18" spans="2:42" ht="16.5" customHeight="1" x14ac:dyDescent="0.25">
      <c r="B18" s="5"/>
      <c r="C18" s="604" t="s">
        <v>5</v>
      </c>
      <c r="D18" s="701" t="s">
        <v>168</v>
      </c>
      <c r="E18" s="701"/>
      <c r="F18" s="701"/>
      <c r="G18" s="193" t="s">
        <v>68</v>
      </c>
      <c r="H18" s="596" t="s">
        <v>69</v>
      </c>
      <c r="I18" s="193" t="s">
        <v>70</v>
      </c>
      <c r="J18" s="193" t="s">
        <v>71</v>
      </c>
      <c r="K18" s="927" t="s">
        <v>196</v>
      </c>
      <c r="L18" s="927"/>
      <c r="M18" s="927"/>
      <c r="N18" s="409" t="s">
        <v>195</v>
      </c>
      <c r="O18" s="192"/>
      <c r="P18" s="950"/>
      <c r="Q18" s="950"/>
      <c r="R18" s="950"/>
      <c r="S18" s="7"/>
      <c r="U18" s="177" t="s">
        <v>322</v>
      </c>
      <c r="V18" s="178" t="s">
        <v>239</v>
      </c>
      <c r="AK18" s="194"/>
      <c r="AL18" s="194"/>
      <c r="AM18" s="194"/>
      <c r="AN18" s="194"/>
      <c r="AO18" s="194"/>
      <c r="AP18" s="194"/>
    </row>
    <row r="19" spans="2:42" ht="15" customHeight="1" x14ac:dyDescent="0.25">
      <c r="B19" s="5"/>
      <c r="C19" s="77">
        <v>6</v>
      </c>
      <c r="D19" s="945" t="s">
        <v>179</v>
      </c>
      <c r="E19" s="938"/>
      <c r="F19" s="939"/>
      <c r="G19" s="618">
        <f>_xlfn.IFS(N19=1,'Infill Capacities'!CM11,N19=2,'Infill Capacities'!CN11,N19=3,'Infill Capacities'!CO11,N19=4,'Infill Capacities'!CP11,(N19=-1),'Infill Capacities'!CQ11)</f>
        <v>343.20000000000005</v>
      </c>
      <c r="H19" s="608">
        <f>hstr6</f>
        <v>3</v>
      </c>
      <c r="I19" s="55">
        <f>_xlfn.IFS(N19=1,'Infill Capacities'!CY11,N19=2,'Infill Capacities'!CZ11,N19=3,'Infill Capacities'!DA11,N19=4,'Infill Capacities'!DB11,(N19=-1),'Infill Capacities'!DC11)</f>
        <v>1.9976000809737945E-3</v>
      </c>
      <c r="J19" s="619">
        <f>_xlfn.IFS((N19=1),('Infill Capacities'!CS11),(N19=2),('Infill Capacities'!CT11),(N19=3),('Infill Capacities'!CU11),(N19=4),'Infill Capacities'!CV11,(N19=-1),'Infill Capacities'!CW11)</f>
        <v>57268.720145541869</v>
      </c>
      <c r="K19" s="927"/>
      <c r="L19" s="927"/>
      <c r="M19" s="927"/>
      <c r="N19" s="408">
        <v>1</v>
      </c>
      <c r="O19"/>
      <c r="P19" s="950"/>
      <c r="Q19" s="950"/>
      <c r="R19" s="950"/>
      <c r="S19" s="7"/>
      <c r="U19" s="78">
        <f>'Post-yield Mechanism'!Q226</f>
        <v>51966.669789053078</v>
      </c>
      <c r="V19" s="186">
        <f>((U19-J22)/U19)</f>
        <v>-0.21782531169501365</v>
      </c>
    </row>
    <row r="20" spans="2:42" x14ac:dyDescent="0.25">
      <c r="B20" s="5"/>
      <c r="C20" s="77">
        <v>5</v>
      </c>
      <c r="D20" s="945" t="s">
        <v>180</v>
      </c>
      <c r="E20" s="938"/>
      <c r="F20" s="939"/>
      <c r="G20" s="618">
        <f>_xlfn.IFS(N20=1,'Infill Capacities'!CM12,N20=2,'Infill Capacities'!CN12,N20=3,'Infill Capacities'!CO12,N20=4,'Infill Capacities'!CP12,(N20=-1),'Infill Capacities'!CQ12)</f>
        <v>343.20000000000005</v>
      </c>
      <c r="H20" s="608">
        <f>hstr5</f>
        <v>3</v>
      </c>
      <c r="I20" s="55">
        <f>_xlfn.IFS(N20=1,'Infill Capacities'!CY12,N20=2,'Infill Capacities'!CZ12,N20=3,'Infill Capacities'!DA12,N20=4,'Infill Capacities'!DB12,(N20=-1),'Infill Capacities'!DC12)</f>
        <v>1.9241439833606131E-3</v>
      </c>
      <c r="J20" s="619">
        <f>_xlfn.IFS((N20=1),('Infill Capacities'!CS12),(N20=2),('Infill Capacities'!CT12),(N20=3),('Infill Capacities'!CU12),(N20=4),'Infill Capacities'!CV12,(N20=-1),'Infill Capacities'!CW12)</f>
        <v>59455.010118418853</v>
      </c>
      <c r="K20" s="927"/>
      <c r="L20" s="927"/>
      <c r="M20" s="927"/>
      <c r="N20" s="408">
        <v>1</v>
      </c>
      <c r="O20"/>
      <c r="P20" s="950"/>
      <c r="Q20" s="950"/>
      <c r="R20" s="950"/>
      <c r="S20" s="7"/>
      <c r="U20" s="78">
        <f>'Post-yield Mechanism'!Q227</f>
        <v>53122.768965228119</v>
      </c>
      <c r="V20" s="186">
        <f>((U20-J23)/U20)</f>
        <v>-0.2298210445284696</v>
      </c>
    </row>
    <row r="21" spans="2:42" x14ac:dyDescent="0.25">
      <c r="B21" s="5"/>
      <c r="C21" s="77">
        <v>4</v>
      </c>
      <c r="D21" s="945" t="s">
        <v>180</v>
      </c>
      <c r="E21" s="938"/>
      <c r="F21" s="939"/>
      <c r="G21" s="618">
        <f>_xlfn.IFS(N21=1,'Infill Capacities'!CM13,N21=2,'Infill Capacities'!CN13,N21=3,'Infill Capacities'!CO13,N21=4,'Infill Capacities'!CP13,(N21=-1),'Infill Capacities'!CQ13)</f>
        <v>343.20000000000005</v>
      </c>
      <c r="H21" s="608">
        <f>hstr4</f>
        <v>3</v>
      </c>
      <c r="I21" s="55">
        <f>_xlfn.IFS(N21=1,'Infill Capacities'!CY13,N21=2,'Infill Capacities'!CZ13,N21=3,'Infill Capacities'!DA13,N21=4,'Infill Capacities'!DB13,(N21=-1),'Infill Capacities'!DC13)</f>
        <v>1.8501735321027263E-3</v>
      </c>
      <c r="J21" s="619">
        <f>_xlfn.IFS((N21=1),('Infill Capacities'!CS13),(N21=2),('Infill Capacities'!CT13),(N21=3),('Infill Capacities'!CU13),(N21=4),'Infill Capacities'!CV13,(N21=-1),'Infill Capacities'!CW13)</f>
        <v>61832.037922401883</v>
      </c>
      <c r="K21" s="927"/>
      <c r="L21" s="927"/>
      <c r="M21" s="927"/>
      <c r="N21" s="408">
        <v>1</v>
      </c>
      <c r="O21"/>
      <c r="P21" s="950"/>
      <c r="Q21" s="950"/>
      <c r="R21" s="950"/>
      <c r="S21" s="7"/>
      <c r="U21" s="78">
        <f>'Post-yield Mechanism'!Q228</f>
        <v>63449.396202520613</v>
      </c>
      <c r="V21" s="186">
        <f>((U21-J24)/U21)</f>
        <v>-5.5196814766672674E-2</v>
      </c>
    </row>
    <row r="22" spans="2:42" x14ac:dyDescent="0.25">
      <c r="B22" s="5"/>
      <c r="C22" s="77">
        <v>3</v>
      </c>
      <c r="D22" s="945" t="s">
        <v>179</v>
      </c>
      <c r="E22" s="938"/>
      <c r="F22" s="939"/>
      <c r="G22" s="618">
        <f>_xlfn.IFS(N22=1,'Infill Capacities'!CM14,N22=2,'Infill Capacities'!CN14,N22=3,'Infill Capacities'!CO14,N22=4,'Infill Capacities'!CP14,(N22=-1),'Infill Capacities'!CQ14)</f>
        <v>340.03200000000004</v>
      </c>
      <c r="H22" s="608">
        <f>hstr3</f>
        <v>3</v>
      </c>
      <c r="I22" s="55">
        <f>_xlfn.IFS(N22=1,'Infill Capacities'!CY14,N22=2,'Infill Capacities'!CZ14,N22=3,'Infill Capacities'!DA14,N22=4,'Infill Capacities'!DB14,(N22=-1),'Infill Capacities'!DC14)</f>
        <v>1.7909714066512246E-3</v>
      </c>
      <c r="J22" s="619">
        <f>_xlfn.IFS((N22=1),('Infill Capacities'!CS14),(N22=2),('Infill Capacities'!CT14),(N22=3),('Infill Capacities'!CU14),(N22=4),'Infill Capacities'!CV14,(N22=-1),'Infill Capacities'!CW14)</f>
        <v>63286.325833605413</v>
      </c>
      <c r="K22" s="927"/>
      <c r="L22" s="927"/>
      <c r="M22" s="927"/>
      <c r="N22" s="408">
        <v>1</v>
      </c>
      <c r="O22"/>
      <c r="P22" s="950"/>
      <c r="Q22" s="950"/>
      <c r="R22" s="950"/>
      <c r="S22" s="7"/>
      <c r="U22" s="78"/>
      <c r="V22" s="186"/>
    </row>
    <row r="23" spans="2:42" x14ac:dyDescent="0.25">
      <c r="B23" s="5"/>
      <c r="C23" s="77">
        <v>2</v>
      </c>
      <c r="D23" s="945" t="s">
        <v>180</v>
      </c>
      <c r="E23" s="938"/>
      <c r="F23" s="939"/>
      <c r="G23" s="618">
        <f>_xlfn.IFS(N23=1,'Infill Capacities'!CM15,N23=2,'Infill Capacities'!CN15,N23=3,'Infill Capacities'!CO15,N23=4,'Infill Capacities'!CP15,(N23=-1),'Infill Capacities'!CQ15)</f>
        <v>340.03200000000004</v>
      </c>
      <c r="H23" s="608">
        <f>hstr2</f>
        <v>3</v>
      </c>
      <c r="I23" s="55">
        <f>_xlfn.IFS(N23=1,'Infill Capacities'!CY15,N23=2,'Infill Capacities'!CZ15,N23=3,'Infill Capacities'!DA15,N23=4,'Infill Capacities'!DB15,(N23=-1),'Infill Capacities'!DC15)</f>
        <v>1.7349058472302754E-3</v>
      </c>
      <c r="J23" s="619">
        <f>_xlfn.IFS((N23=1),('Infill Capacities'!CS15),(N23=2),('Infill Capacities'!CT15),(N23=3),('Infill Capacities'!CU15),(N23=4),'Infill Capacities'!CV15,(N23=-1),'Infill Capacities'!CW15)</f>
        <v>65331.499217061413</v>
      </c>
      <c r="K23" s="927"/>
      <c r="L23" s="927"/>
      <c r="M23" s="927"/>
      <c r="N23" s="408">
        <v>1</v>
      </c>
      <c r="O23"/>
      <c r="P23" s="950"/>
      <c r="Q23" s="950"/>
      <c r="R23" s="950"/>
      <c r="S23" s="7"/>
      <c r="U23" s="78"/>
      <c r="V23" s="186"/>
      <c r="Y23" s="195"/>
      <c r="Z23" s="196"/>
      <c r="AA23" s="197"/>
      <c r="AB23" s="196"/>
      <c r="AC23" s="195"/>
      <c r="AD23" s="196"/>
      <c r="AE23" s="197"/>
      <c r="AF23" s="196"/>
      <c r="AG23" s="195"/>
      <c r="AH23" s="196"/>
      <c r="AI23" s="197"/>
      <c r="AJ23" s="196"/>
    </row>
    <row r="24" spans="2:42" ht="15.75" thickBot="1" x14ac:dyDescent="0.3">
      <c r="B24" s="5"/>
      <c r="C24" s="88">
        <v>1</v>
      </c>
      <c r="D24" s="951" t="s">
        <v>180</v>
      </c>
      <c r="E24" s="940"/>
      <c r="F24" s="941"/>
      <c r="G24" s="52">
        <f>_xlfn.IFS(N24=1,'Infill Capacities'!CM16,N24=2,'Infill Capacities'!CN16,N24=3,'Infill Capacities'!CO16,N24=4,'Infill Capacities'!CP16,(N24=-1),'Infill Capacities'!CQ16)</f>
        <v>325.24800000000005</v>
      </c>
      <c r="H24" s="610">
        <f>hstr1</f>
        <v>2.75</v>
      </c>
      <c r="I24" s="106">
        <f>_xlfn.IFS(N24=1,'Infill Capacities'!CY16,N24=2,'Infill Capacities'!CZ16,N24=3,'Infill Capacities'!DA16,N24=4,'Infill Capacities'!DB16,(N24=-1),'Infill Capacities'!DC16)</f>
        <v>1.7665298310518072E-3</v>
      </c>
      <c r="J24" s="161">
        <f>_xlfn.IFS((N24=1),('Infill Capacities'!CS16),(N24=2),('Infill Capacities'!CT16),(N24=3),('Infill Capacities'!CU16),(N24=4),'Infill Capacities'!CV16,(N24=-1),'Infill Capacities'!CW16)</f>
        <v>66951.600771768368</v>
      </c>
      <c r="K24" s="928"/>
      <c r="L24" s="928"/>
      <c r="M24" s="928"/>
      <c r="N24" s="410">
        <v>1</v>
      </c>
      <c r="O24"/>
      <c r="P24" s="950"/>
      <c r="Q24" s="950"/>
      <c r="R24" s="950"/>
      <c r="S24" s="7"/>
      <c r="U24" s="78"/>
      <c r="V24" s="186"/>
    </row>
    <row r="25" spans="2:42" x14ac:dyDescent="0.25">
      <c r="B25" s="5"/>
      <c r="C25" s="192"/>
      <c r="D25" s="192"/>
      <c r="E25" s="192"/>
      <c r="F25" s="192"/>
      <c r="G25" s="192"/>
      <c r="H25" s="192"/>
      <c r="I25" s="192"/>
      <c r="J25" s="192"/>
      <c r="K25" s="192"/>
      <c r="L25" s="192"/>
      <c r="M25" s="192"/>
      <c r="N25" s="192"/>
      <c r="O25" s="192"/>
      <c r="P25" s="192"/>
      <c r="Q25" s="192"/>
      <c r="R25" s="192"/>
      <c r="S25" s="7"/>
    </row>
    <row r="26" spans="2:42" ht="14.45" thickBot="1" x14ac:dyDescent="0.3">
      <c r="B26" s="26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8"/>
    </row>
    <row r="27" spans="2:42" ht="14.45" thickBot="1" x14ac:dyDescent="0.3">
      <c r="U27" s="169"/>
    </row>
    <row r="28" spans="2:42" x14ac:dyDescent="0.25">
      <c r="B28" s="932" t="s">
        <v>284</v>
      </c>
      <c r="C28" s="933"/>
      <c r="D28" s="933"/>
      <c r="E28" s="933"/>
      <c r="F28" s="933"/>
      <c r="G28" s="933"/>
      <c r="H28" s="933"/>
      <c r="I28" s="933"/>
      <c r="J28" s="933"/>
      <c r="K28" s="933"/>
      <c r="L28" s="933"/>
      <c r="M28" s="933"/>
      <c r="N28" s="933"/>
      <c r="O28" s="933"/>
      <c r="P28" s="933"/>
      <c r="Q28" s="933"/>
      <c r="R28" s="933"/>
      <c r="S28" s="934"/>
      <c r="AD28" s="78"/>
      <c r="AE28" s="79"/>
    </row>
    <row r="29" spans="2:42" ht="15.75" thickBot="1" x14ac:dyDescent="0.3">
      <c r="B29" s="935"/>
      <c r="C29" s="936"/>
      <c r="D29" s="936"/>
      <c r="E29" s="936"/>
      <c r="F29" s="936"/>
      <c r="G29" s="936"/>
      <c r="H29" s="936"/>
      <c r="I29" s="936"/>
      <c r="J29" s="936"/>
      <c r="K29" s="936"/>
      <c r="L29" s="936"/>
      <c r="M29" s="936"/>
      <c r="N29" s="936"/>
      <c r="O29" s="936"/>
      <c r="P29" s="936"/>
      <c r="Q29" s="936"/>
      <c r="R29" s="936"/>
      <c r="S29" s="937"/>
      <c r="X29" s="169"/>
      <c r="AD29" s="78"/>
      <c r="AE29" s="79"/>
    </row>
    <row r="30" spans="2:42" ht="16.5" thickBot="1" x14ac:dyDescent="0.3">
      <c r="B30" s="5"/>
      <c r="C30" s="952" t="s">
        <v>176</v>
      </c>
      <c r="D30" s="953"/>
      <c r="E30" s="953"/>
      <c r="F30" s="953"/>
      <c r="G30" s="953"/>
      <c r="H30" s="953"/>
      <c r="I30" s="953"/>
      <c r="J30" s="953"/>
      <c r="K30" s="953"/>
      <c r="L30" s="953"/>
      <c r="M30" s="953"/>
      <c r="N30" s="954"/>
      <c r="O30" s="192"/>
      <c r="P30" s="949" t="s">
        <v>283</v>
      </c>
      <c r="Q30" s="950"/>
      <c r="R30" s="950"/>
      <c r="S30" s="7"/>
      <c r="U30" s="926" t="s">
        <v>298</v>
      </c>
      <c r="V30" s="926"/>
      <c r="AD30" s="196"/>
      <c r="AE30" s="197"/>
    </row>
    <row r="31" spans="2:42" ht="15.75" customHeight="1" x14ac:dyDescent="0.25">
      <c r="B31" s="5"/>
      <c r="C31" s="604" t="s">
        <v>5</v>
      </c>
      <c r="D31" s="701" t="s">
        <v>67</v>
      </c>
      <c r="E31" s="701"/>
      <c r="F31" s="701"/>
      <c r="G31" s="596" t="s">
        <v>68</v>
      </c>
      <c r="H31" s="596" t="s">
        <v>69</v>
      </c>
      <c r="I31" s="596" t="s">
        <v>70</v>
      </c>
      <c r="J31" s="596" t="s">
        <v>71</v>
      </c>
      <c r="K31" s="927" t="s">
        <v>196</v>
      </c>
      <c r="L31" s="927"/>
      <c r="M31" s="927"/>
      <c r="N31" s="409" t="s">
        <v>195</v>
      </c>
      <c r="O31" s="192"/>
      <c r="P31" s="950"/>
      <c r="Q31" s="950"/>
      <c r="R31" s="950"/>
      <c r="S31" s="7"/>
      <c r="U31" s="177" t="s">
        <v>322</v>
      </c>
      <c r="V31" s="178" t="s">
        <v>239</v>
      </c>
      <c r="AD31" s="196"/>
      <c r="AE31" s="197"/>
    </row>
    <row r="32" spans="2:42" x14ac:dyDescent="0.25">
      <c r="B32" s="5"/>
      <c r="C32" s="77">
        <v>6</v>
      </c>
      <c r="D32" s="938" t="s">
        <v>38</v>
      </c>
      <c r="E32" s="938"/>
      <c r="F32" s="939"/>
      <c r="G32" s="618">
        <f>_xlfn.IFS(N32=1,'Frame Capacities'!BJ11,N32=2,'Frame Capacities'!BK11,N32=3,'Frame Capacities'!BL11,N32=4,'Frame Capacities'!BM11,N32=5,'Frame Capacities'!BN11,(N32=-1),'Frame Capacities'!BO11)</f>
        <v>135.73333333333332</v>
      </c>
      <c r="H32" s="608">
        <f>hstr6</f>
        <v>3</v>
      </c>
      <c r="I32" s="55">
        <f>_xlfn.IFS(N32=1,'Frame Capacities'!BX11,N32=2,'Frame Capacities'!BY11,N32=3,'Frame Capacities'!BZ11,N32=4,'Frame Capacities'!CA11,N32=5,'Frame Capacities'!CB11,(N32=-1),'Frame Capacities'!BV11)</f>
        <v>8.3125273614190701E-3</v>
      </c>
      <c r="J32" s="619">
        <f>_xlfn.IFS((N32=1),('Frame Capacities'!BQ11),(N32=2),('Frame Capacities'!BR11),(N32=3),('Frame Capacities'!BS11),(N32=4),'Frame Capacities'!BT11,(N32=5),'Frame Capacities'!BU11,(N32=-1),'Frame Capacities'!CC11)</f>
        <v>5442.9227691252436</v>
      </c>
      <c r="K32" s="927"/>
      <c r="L32" s="927"/>
      <c r="M32" s="927"/>
      <c r="N32" s="408">
        <v>1</v>
      </c>
      <c r="O32"/>
      <c r="P32" s="950"/>
      <c r="Q32" s="950"/>
      <c r="R32" s="950"/>
      <c r="S32" s="7"/>
      <c r="U32" s="78">
        <f>'Post-yield Mechanism'!P226</f>
        <v>6055.3598359075004</v>
      </c>
      <c r="V32" s="186">
        <f>((U32-J35)/U32)</f>
        <v>-0.67775578749219179</v>
      </c>
      <c r="AD32" s="78"/>
      <c r="AE32" s="79"/>
    </row>
    <row r="33" spans="2:46" x14ac:dyDescent="0.25">
      <c r="B33" s="5"/>
      <c r="C33" s="77">
        <v>5</v>
      </c>
      <c r="D33" s="938" t="s">
        <v>38</v>
      </c>
      <c r="E33" s="938"/>
      <c r="F33" s="939"/>
      <c r="G33" s="618">
        <f>_xlfn.IFS(N33=1,'Frame Capacities'!BJ12,N33=2,'Frame Capacities'!BK12,N33=3,'Frame Capacities'!BL12,N33=4,'Frame Capacities'!BM12,N33=5,'Frame Capacities'!BN12,(N33=-1),'Frame Capacities'!BO12)</f>
        <v>161.60000000000002</v>
      </c>
      <c r="H33" s="608">
        <f>hstr5</f>
        <v>3</v>
      </c>
      <c r="I33" s="55">
        <f>_xlfn.IFS(N33=1,'Frame Capacities'!BX12,N33=2,'Frame Capacities'!BY12,N33=3,'Frame Capacities'!BZ12,N33=4,'Frame Capacities'!CA12,N33=5,'Frame Capacities'!CB12,(N33=-1),'Frame Capacities'!BV12)</f>
        <v>9.5976000000000013E-3</v>
      </c>
      <c r="J33" s="619">
        <f>_xlfn.IFS((N33=1),('Frame Capacities'!BQ12),(N33=2),('Frame Capacities'!BR12),(N33=3),('Frame Capacities'!BS12),(N33=4),'Frame Capacities'!BT12,(N33=5),'Frame Capacities'!BU12,(N33=-1),'Frame Capacities'!CC12)</f>
        <v>5612.5142396710289</v>
      </c>
      <c r="K33" s="927"/>
      <c r="L33" s="927"/>
      <c r="M33" s="927"/>
      <c r="N33" s="408">
        <v>1</v>
      </c>
      <c r="O33"/>
      <c r="P33" s="950"/>
      <c r="Q33" s="950"/>
      <c r="R33" s="950"/>
      <c r="S33" s="7"/>
      <c r="U33" s="78">
        <f>'Post-yield Mechanism'!P227</f>
        <v>6663.5282148109345</v>
      </c>
      <c r="V33" s="186">
        <f>((U33-J36)/U33)</f>
        <v>-1.1046525119651678</v>
      </c>
      <c r="AD33" s="196"/>
      <c r="AE33" s="197"/>
    </row>
    <row r="34" spans="2:46" x14ac:dyDescent="0.25">
      <c r="B34" s="5"/>
      <c r="C34" s="77">
        <v>4</v>
      </c>
      <c r="D34" s="938" t="s">
        <v>38</v>
      </c>
      <c r="E34" s="938"/>
      <c r="F34" s="939"/>
      <c r="G34" s="618">
        <f>_xlfn.IFS(N34=1,'Frame Capacities'!BJ13,N34=2,'Frame Capacities'!BK13,N34=3,'Frame Capacities'!BL13,N34=4,'Frame Capacities'!BM13,N34=5,'Frame Capacities'!BN13,(N34=-1),'Frame Capacities'!BO13)</f>
        <v>177.6</v>
      </c>
      <c r="H34" s="608">
        <f>hstr4</f>
        <v>3</v>
      </c>
      <c r="I34" s="55">
        <f>_xlfn.IFS(N34=1,'Frame Capacities'!BX13,N34=2,'Frame Capacities'!BY13,N34=3,'Frame Capacities'!BZ13,N34=4,'Frame Capacities'!CA13,N34=5,'Frame Capacities'!CB13,(N34=-1),'Frame Capacities'!BV13)</f>
        <v>8.8673064285714302E-3</v>
      </c>
      <c r="J34" s="619">
        <f>_xlfn.IFS((N34=1),('Frame Capacities'!BQ13),(N34=2),('Frame Capacities'!BR13),(N34=3),('Frame Capacities'!BS13),(N34=4),'Frame Capacities'!BT13,(N34=5),'Frame Capacities'!BU13,(N34=-1),'Frame Capacities'!CC13)</f>
        <v>6676.2100167477156</v>
      </c>
      <c r="K34" s="927"/>
      <c r="L34" s="927"/>
      <c r="M34" s="927"/>
      <c r="N34" s="408">
        <v>1</v>
      </c>
      <c r="O34"/>
      <c r="P34" s="950"/>
      <c r="Q34" s="950"/>
      <c r="R34" s="950"/>
      <c r="S34" s="7"/>
      <c r="U34" s="78">
        <f>'Post-yield Mechanism'!P228</f>
        <v>11304.968775209372</v>
      </c>
      <c r="V34" s="186">
        <f>((U34-J37)/U34)</f>
        <v>-1.6761370889285192</v>
      </c>
      <c r="AD34" s="78"/>
      <c r="AE34" s="79"/>
    </row>
    <row r="35" spans="2:46" x14ac:dyDescent="0.25">
      <c r="B35" s="5"/>
      <c r="C35" s="77">
        <v>3</v>
      </c>
      <c r="D35" s="938" t="s">
        <v>38</v>
      </c>
      <c r="E35" s="938"/>
      <c r="F35" s="939"/>
      <c r="G35" s="618">
        <f>_xlfn.IFS(N35=1,'Frame Capacities'!BJ14,N35=2,'Frame Capacities'!BK14,N35=3,'Frame Capacities'!BL14,N35=4,'Frame Capacities'!BM14,N35=5,'Frame Capacities'!BN14,(N35=-1),'Frame Capacities'!BO14)</f>
        <v>254.66666666666663</v>
      </c>
      <c r="H35" s="608">
        <f>hstr3</f>
        <v>3</v>
      </c>
      <c r="I35" s="55">
        <f>_xlfn.IFS(N35=1,'Frame Capacities'!BX14,N35=2,'Frame Capacities'!BY14,N35=3,'Frame Capacities'!BZ14,N35=4,'Frame Capacities'!CA14,N35=5,'Frame Capacities'!CB14,(N35=-1),'Frame Capacities'!BV14)</f>
        <v>8.3556867009551838E-3</v>
      </c>
      <c r="J35" s="619">
        <f>_xlfn.IFS((N35=1),('Frame Capacities'!BQ14),(N35=2),('Frame Capacities'!BR14),(N35=3),('Frame Capacities'!BS14),(N35=4),'Frame Capacities'!BT14,(N35=5),'Frame Capacities'!BU14,(N35=-1),'Frame Capacities'!CC14)</f>
        <v>10159.415010041577</v>
      </c>
      <c r="K35" s="927"/>
      <c r="L35" s="927"/>
      <c r="M35" s="927"/>
      <c r="N35" s="408">
        <v>1</v>
      </c>
      <c r="O35"/>
      <c r="P35" s="950"/>
      <c r="Q35" s="950"/>
      <c r="R35" s="950"/>
      <c r="S35" s="7"/>
      <c r="U35" s="78"/>
      <c r="V35" s="186"/>
    </row>
    <row r="36" spans="2:46" x14ac:dyDescent="0.25">
      <c r="B36" s="5"/>
      <c r="C36" s="77">
        <v>2</v>
      </c>
      <c r="D36" s="938" t="s">
        <v>38</v>
      </c>
      <c r="E36" s="938"/>
      <c r="F36" s="939"/>
      <c r="G36" s="618">
        <f>_xlfn.IFS(N36=1,'Frame Capacities'!BJ15,N36=2,'Frame Capacities'!BK15,N36=3,'Frame Capacities'!BL15,N36=4,'Frame Capacities'!BM15,N36=5,'Frame Capacities'!BN15,(N36=-1),'Frame Capacities'!BO15)</f>
        <v>269.93333333333334</v>
      </c>
      <c r="H36" s="608">
        <f>hstr2</f>
        <v>3</v>
      </c>
      <c r="I36" s="55">
        <f>_xlfn.IFS(N36=1,'Frame Capacities'!BX15,N36=2,'Frame Capacities'!BY15,N36=3,'Frame Capacities'!BZ15,N36=4,'Frame Capacities'!CA15,N36=5,'Frame Capacities'!CB15,(N36=-1),'Frame Capacities'!BV15)</f>
        <v>6.4157970868129726E-3</v>
      </c>
      <c r="J36" s="619">
        <f>_xlfn.IFS((N36=1),('Frame Capacities'!BQ15),(N36=2),('Frame Capacities'!BR15),(N36=3),('Frame Capacities'!BS15),(N36=4),'Frame Capacities'!BT15,(N36=5),'Frame Capacities'!BU15,(N36=-1),'Frame Capacities'!CC15)</f>
        <v>14024.411395852603</v>
      </c>
      <c r="K36" s="927"/>
      <c r="L36" s="927"/>
      <c r="M36" s="927"/>
      <c r="N36" s="408">
        <v>1</v>
      </c>
      <c r="O36"/>
      <c r="P36" s="950"/>
      <c r="Q36" s="950"/>
      <c r="R36" s="950"/>
      <c r="S36" s="7"/>
      <c r="U36" s="78"/>
      <c r="V36" s="186"/>
    </row>
    <row r="37" spans="2:46" ht="15.75" thickBot="1" x14ac:dyDescent="0.3">
      <c r="B37" s="5"/>
      <c r="C37" s="88">
        <v>1</v>
      </c>
      <c r="D37" s="940" t="s">
        <v>38</v>
      </c>
      <c r="E37" s="940"/>
      <c r="F37" s="941"/>
      <c r="G37" s="52">
        <f>_xlfn.IFS(N37=1,'Frame Capacities'!BJ16,N37=2,'Frame Capacities'!BK16,N37=3,'Frame Capacities'!BL16,N37=4,'Frame Capacities'!BM16,N37=5,'Frame Capacities'!BN16,(N37=-1),'Frame Capacities'!BO16)</f>
        <v>403.27272727272725</v>
      </c>
      <c r="H37" s="610">
        <f>hstr1</f>
        <v>2.75</v>
      </c>
      <c r="I37" s="106">
        <f>_xlfn.IFS(N37=1,'Frame Capacities'!BX16,N37=2,'Frame Capacities'!BY16,N37=3,'Frame Capacities'!BZ16,N37=4,'Frame Capacities'!CA16,N37=5,'Frame Capacities'!CB16,(N37=-1),'Frame Capacities'!BV16)</f>
        <v>4.8471720397440425E-3</v>
      </c>
      <c r="J37" s="161">
        <f>_xlfn.IFS((N37=1),('Frame Capacities'!BQ16),(N37=2),('Frame Capacities'!BR16),(N37=3),('Frame Capacities'!BS16),(N37=4),'Frame Capacities'!BT16,(N37=5),'Frame Capacities'!BU16,(N37=-1),'Frame Capacities'!CC16)</f>
        <v>30253.646228516616</v>
      </c>
      <c r="K37" s="928"/>
      <c r="L37" s="928"/>
      <c r="M37" s="928"/>
      <c r="N37" s="410">
        <v>1</v>
      </c>
      <c r="O37"/>
      <c r="P37" s="950"/>
      <c r="Q37" s="950"/>
      <c r="R37" s="950"/>
      <c r="S37" s="7"/>
      <c r="U37" s="78"/>
      <c r="V37" s="186"/>
    </row>
    <row r="38" spans="2:46" x14ac:dyDescent="0.25">
      <c r="B38" s="5"/>
      <c r="C38" s="192"/>
      <c r="D38" s="192"/>
      <c r="E38" s="192"/>
      <c r="F38" s="192"/>
      <c r="G38" s="192"/>
      <c r="H38" s="192"/>
      <c r="I38" s="192"/>
      <c r="J38" s="192"/>
      <c r="K38" s="192"/>
      <c r="L38" s="192"/>
      <c r="M38" s="192"/>
      <c r="N38" s="192"/>
      <c r="O38" s="192"/>
      <c r="P38" s="192"/>
      <c r="Q38" s="192"/>
      <c r="R38" s="192"/>
      <c r="S38" s="7"/>
    </row>
    <row r="39" spans="2:46" ht="15.75" thickBot="1" x14ac:dyDescent="0.3">
      <c r="B39" s="26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8"/>
    </row>
    <row r="42" spans="2:46" ht="15.75" thickBot="1" x14ac:dyDescent="0.3">
      <c r="AO42" s="922" t="s">
        <v>478</v>
      </c>
      <c r="AP42" s="923"/>
      <c r="AQ42" s="923"/>
      <c r="AR42" s="922" t="s">
        <v>479</v>
      </c>
      <c r="AS42" s="923"/>
      <c r="AT42" s="924"/>
    </row>
    <row r="43" spans="2:46" ht="16.5" thickBot="1" x14ac:dyDescent="0.3">
      <c r="B43" s="942" t="s">
        <v>335</v>
      </c>
      <c r="C43" s="943"/>
      <c r="D43" s="943"/>
      <c r="E43" s="943"/>
      <c r="F43" s="943"/>
      <c r="G43" s="943"/>
      <c r="H43" s="943"/>
      <c r="I43" s="943"/>
      <c r="J43" s="943"/>
      <c r="K43" s="943"/>
      <c r="L43" s="943"/>
      <c r="M43" s="944"/>
      <c r="AO43" s="593" t="s">
        <v>480</v>
      </c>
      <c r="AP43" s="593" t="s">
        <v>481</v>
      </c>
      <c r="AQ43" s="594" t="s">
        <v>482</v>
      </c>
      <c r="AR43" s="593" t="s">
        <v>483</v>
      </c>
      <c r="AS43" s="593" t="s">
        <v>484</v>
      </c>
      <c r="AT43" s="593" t="s">
        <v>485</v>
      </c>
    </row>
    <row r="44" spans="2:46" x14ac:dyDescent="0.25">
      <c r="B44" s="761" t="s">
        <v>461</v>
      </c>
      <c r="C44" s="701"/>
      <c r="D44" s="701"/>
      <c r="E44" s="701"/>
      <c r="F44" s="701" t="s">
        <v>462</v>
      </c>
      <c r="G44" s="701"/>
      <c r="H44" s="701"/>
      <c r="I44" s="701"/>
      <c r="J44" s="701" t="s">
        <v>463</v>
      </c>
      <c r="K44" s="701"/>
      <c r="L44" s="701"/>
      <c r="M44" s="763"/>
      <c r="AO44" s="526">
        <v>0</v>
      </c>
      <c r="AP44" s="622">
        <v>0</v>
      </c>
      <c r="AQ44" s="597" t="s">
        <v>66</v>
      </c>
      <c r="AR44" s="526">
        <v>0</v>
      </c>
      <c r="AS44" s="622">
        <v>0</v>
      </c>
      <c r="AT44" s="598" t="s">
        <v>66</v>
      </c>
    </row>
    <row r="45" spans="2:46" x14ac:dyDescent="0.25">
      <c r="B45" s="602" t="s">
        <v>331</v>
      </c>
      <c r="C45" s="595" t="s">
        <v>75</v>
      </c>
      <c r="D45" s="593" t="s">
        <v>101</v>
      </c>
      <c r="E45" s="593" t="s">
        <v>323</v>
      </c>
      <c r="F45" s="593" t="s">
        <v>331</v>
      </c>
      <c r="G45" s="595" t="s">
        <v>75</v>
      </c>
      <c r="H45" s="593" t="s">
        <v>101</v>
      </c>
      <c r="I45" s="593" t="s">
        <v>323</v>
      </c>
      <c r="J45" s="593" t="s">
        <v>331</v>
      </c>
      <c r="K45" s="595" t="s">
        <v>75</v>
      </c>
      <c r="L45" s="593" t="s">
        <v>101</v>
      </c>
      <c r="M45" s="616" t="s">
        <v>323</v>
      </c>
      <c r="AO45" s="526">
        <f>'Frame Capacities'!$BJ$11</f>
        <v>135.73333333333332</v>
      </c>
      <c r="AP45" s="533">
        <f>'Frame Capacities'!$BX$11</f>
        <v>8.3125273614190701E-3</v>
      </c>
      <c r="AQ45" s="484">
        <f>(AO45-AO44)/((AP45-AP44)*$D$6)</f>
        <v>5442.9227691252436</v>
      </c>
      <c r="AR45" s="526">
        <f>'Infill Capacities'!$CM$16</f>
        <v>325.24800000000005</v>
      </c>
      <c r="AS45" s="533">
        <f>'Infill Capacities'!$CY$11</f>
        <v>1.9976000809737945E-3</v>
      </c>
      <c r="AT45" s="523">
        <f>(AR45-AR44)/((AS45-AS44)*$D$6)</f>
        <v>54273.125553313519</v>
      </c>
    </row>
    <row r="46" spans="2:46" x14ac:dyDescent="0.25">
      <c r="B46" s="535" t="s">
        <v>464</v>
      </c>
      <c r="C46" s="151">
        <v>0</v>
      </c>
      <c r="D46" s="151">
        <v>0</v>
      </c>
      <c r="E46" s="528" t="s">
        <v>66</v>
      </c>
      <c r="F46" s="531" t="s">
        <v>464</v>
      </c>
      <c r="G46" s="151">
        <v>0</v>
      </c>
      <c r="H46" s="151">
        <v>0</v>
      </c>
      <c r="I46" s="528" t="s">
        <v>66</v>
      </c>
      <c r="J46" s="531" t="s">
        <v>464</v>
      </c>
      <c r="K46" s="151">
        <v>0</v>
      </c>
      <c r="L46" s="151">
        <v>0</v>
      </c>
      <c r="M46" s="530" t="s">
        <v>66</v>
      </c>
      <c r="AO46" s="526">
        <f>'Frame Capacities'!$BK$11</f>
        <v>145.99999999999997</v>
      </c>
      <c r="AP46" s="533">
        <f>'Frame Capacities'!$BY$11</f>
        <v>2.1371535666611437E-2</v>
      </c>
      <c r="AQ46" s="484">
        <f t="shared" ref="AQ46:AQ49" si="7">(AO46-AO45)/((AP46-AP45)*$D$6)</f>
        <v>262.05835406824224</v>
      </c>
      <c r="AR46" s="526">
        <f>'Infill Capacities'!$CN$11</f>
        <v>427.68</v>
      </c>
      <c r="AS46" s="533">
        <f>'Infill Capacities'!$CZ$11</f>
        <v>4.9627112664062554E-3</v>
      </c>
      <c r="AT46" s="523">
        <f t="shared" ref="AT46:AT48" si="8">(AR46-AR45)/((AS46-AS45)*$D$6)</f>
        <v>11515.251154071002</v>
      </c>
    </row>
    <row r="47" spans="2:46" x14ac:dyDescent="0.25">
      <c r="B47" s="615" t="s">
        <v>324</v>
      </c>
      <c r="C47" s="608">
        <f>E47*D47*hstr6</f>
        <v>375.81834889301615</v>
      </c>
      <c r="D47" s="58">
        <f>'Infill Capacities'!$CY$11</f>
        <v>1.9976000809737945E-3</v>
      </c>
      <c r="E47" s="523">
        <f>'Infill Capacities'!$CS$11+'Frame Capacities'!$BQ$11</f>
        <v>62711.642914667114</v>
      </c>
      <c r="F47" s="403" t="s">
        <v>324</v>
      </c>
      <c r="G47" s="608">
        <f>I47*H47*hstr5</f>
        <v>375.59785651736638</v>
      </c>
      <c r="H47" s="58">
        <f>'Infill Capacities'!$CY$12</f>
        <v>1.9241439833606131E-3</v>
      </c>
      <c r="I47" s="523">
        <f>'Infill Capacities'!$CS$12+'Frame Capacities'!$BQ$12</f>
        <v>65067.524358089882</v>
      </c>
      <c r="J47" s="403" t="s">
        <v>324</v>
      </c>
      <c r="K47" s="608">
        <f>M47*L47*hstr4</f>
        <v>380.25644120323722</v>
      </c>
      <c r="L47" s="58">
        <f>'Infill Capacities'!$CY$13</f>
        <v>1.8501735321027263E-3</v>
      </c>
      <c r="M47" s="525">
        <f>'Infill Capacities'!$CS$13+'Frame Capacities'!$BQ$13</f>
        <v>68508.247939149602</v>
      </c>
      <c r="AO47" s="526">
        <f>'Frame Capacities'!$BL$11</f>
        <v>116.8</v>
      </c>
      <c r="AP47" s="533">
        <f>'Frame Capacities'!$BZ$11</f>
        <v>5.391216902151031E-2</v>
      </c>
      <c r="AQ47" s="484">
        <f t="shared" si="7"/>
        <v>-299.11321107915705</v>
      </c>
      <c r="AR47" s="526">
        <f>'Infill Capacities'!$CO$11</f>
        <v>42.768000000000001</v>
      </c>
      <c r="AS47" s="533">
        <f>'Infill Capacities'!$DA$11</f>
        <v>1.4836644199633393E-2</v>
      </c>
      <c r="AT47" s="523">
        <f t="shared" si="8"/>
        <v>-12994.214247520305</v>
      </c>
    </row>
    <row r="48" spans="2:46" x14ac:dyDescent="0.25">
      <c r="B48" s="615" t="s">
        <v>325</v>
      </c>
      <c r="C48" s="608">
        <f t="shared" ref="C48:C55" si="9">C47+E48*(D48-D47)*hstr6</f>
        <v>508.71496244555101</v>
      </c>
      <c r="D48" s="58">
        <f>'Infill Capacities'!$CZ$11</f>
        <v>4.9627112664062554E-3</v>
      </c>
      <c r="E48" s="523">
        <f>'Infill Capacities'!$CT$11+'Frame Capacities'!$BQ$11</f>
        <v>14940.037122998236</v>
      </c>
      <c r="F48" s="403" t="s">
        <v>325</v>
      </c>
      <c r="G48" s="608">
        <f t="shared" ref="G48:G55" si="10">G47+I48*(H48-H47)*hstr5</f>
        <v>507.59603728332871</v>
      </c>
      <c r="H48" s="58">
        <f>'Infill Capacities'!$CZ$12</f>
        <v>4.8246967291489824E-3</v>
      </c>
      <c r="I48" s="523">
        <f>'Infill Capacities'!$CT$12+'Frame Capacities'!$BQ$12</f>
        <v>15169.313384333956</v>
      </c>
      <c r="J48" s="403" t="s">
        <v>325</v>
      </c>
      <c r="K48" s="608">
        <f t="shared" ref="K48:K55" si="11">K47+M48*(L48-L47)*hstr4</f>
        <v>518.90855680909203</v>
      </c>
      <c r="L48" s="58">
        <f>'Infill Capacities'!$CZ$13</f>
        <v>4.6867187907318961E-3</v>
      </c>
      <c r="M48" s="525">
        <f>'Infill Capacities'!$CT$13+'Frame Capacities'!$BQ$13</f>
        <v>16293.542903297082</v>
      </c>
      <c r="AO48" s="526">
        <f>'Frame Capacities'!$BM$11</f>
        <v>14.533333333333333</v>
      </c>
      <c r="AP48" s="533">
        <f>'Frame Capacities'!$CA$11</f>
        <v>0.16787867944711513</v>
      </c>
      <c r="AQ48" s="484">
        <f t="shared" si="7"/>
        <v>-299.11321107915705</v>
      </c>
      <c r="AR48" s="526">
        <f>'Infill Capacities'!$CP$11</f>
        <v>42.768000000000001</v>
      </c>
      <c r="AS48" s="533">
        <f>'Infill Capacities'!$DB$11</f>
        <v>0.08</v>
      </c>
      <c r="AT48" s="523">
        <f t="shared" si="8"/>
        <v>0</v>
      </c>
    </row>
    <row r="49" spans="2:46" x14ac:dyDescent="0.25">
      <c r="B49" s="536" t="s">
        <v>326</v>
      </c>
      <c r="C49" s="199">
        <f t="shared" si="9"/>
        <v>432.82864924816835</v>
      </c>
      <c r="D49" s="200">
        <f>'Frame Capacities'!$BX$11</f>
        <v>8.3125273614190701E-3</v>
      </c>
      <c r="E49" s="625">
        <f>'Infill Capacities'!$CU$11+'Frame Capacities'!$BQ$11</f>
        <v>-7551.29147839506</v>
      </c>
      <c r="F49" s="532" t="s">
        <v>326</v>
      </c>
      <c r="G49" s="199">
        <f t="shared" si="10"/>
        <v>403.34947115447875</v>
      </c>
      <c r="H49" s="200">
        <f>'Frame Capacities'!$BX$12</f>
        <v>9.5976000000000013E-3</v>
      </c>
      <c r="I49" s="625">
        <f>'Infill Capacities'!$CU$12+'Frame Capacities'!$BQ$12</f>
        <v>-7280.4440828501265</v>
      </c>
      <c r="J49" s="532" t="s">
        <v>326</v>
      </c>
      <c r="K49" s="199">
        <f t="shared" si="11"/>
        <v>442.18985024761321</v>
      </c>
      <c r="L49" s="200">
        <f>'Frame Capacities'!$BX$13</f>
        <v>8.8673064285714302E-3</v>
      </c>
      <c r="M49" s="624">
        <f>'Infill Capacities'!$CU$13+'Frame Capacities'!$BQ$13</f>
        <v>-6117.0592276772122</v>
      </c>
      <c r="AO49" s="526">
        <f>'Frame Capacities'!$BN$11</f>
        <v>14.533333333333333</v>
      </c>
      <c r="AP49" s="623">
        <f>'Frame Capacities'!$CB$11</f>
        <v>0.2</v>
      </c>
      <c r="AQ49" s="484">
        <f t="shared" si="7"/>
        <v>0</v>
      </c>
      <c r="AR49" s="527"/>
      <c r="AS49" s="623"/>
      <c r="AT49" s="524"/>
    </row>
    <row r="50" spans="2:46" x14ac:dyDescent="0.25">
      <c r="B50" s="615" t="s">
        <v>328</v>
      </c>
      <c r="C50" s="608">
        <f t="shared" si="9"/>
        <v>183.63043129444739</v>
      </c>
      <c r="D50" s="58">
        <f>'Infill Capacities'!$DA$11</f>
        <v>1.4836644199633393E-2</v>
      </c>
      <c r="E50" s="523">
        <f>'Infill Capacities'!$CU$11+'Frame Capacities'!$BR$11</f>
        <v>-12732.155893452062</v>
      </c>
      <c r="F50" s="403" t="s">
        <v>328</v>
      </c>
      <c r="G50" s="608">
        <f t="shared" si="10"/>
        <v>209.69623377172314</v>
      </c>
      <c r="H50" s="58">
        <f>'Infill Capacities'!$DA$12</f>
        <v>1.47454609789312E-2</v>
      </c>
      <c r="I50" s="523">
        <f>'Infill Capacities'!$CU$12+'Frame Capacities'!$BR$12</f>
        <v>-12539.39828440886</v>
      </c>
      <c r="J50" s="403" t="s">
        <v>328</v>
      </c>
      <c r="K50" s="608">
        <f t="shared" si="11"/>
        <v>227.6512421283135</v>
      </c>
      <c r="L50" s="58">
        <f>'Infill Capacities'!$DA$13</f>
        <v>1.4653834901851607E-2</v>
      </c>
      <c r="M50" s="525">
        <f>'Infill Capacities'!$CU$13+'Frame Capacities'!$BR$13</f>
        <v>-12358.509891261594</v>
      </c>
      <c r="AO50" s="922" t="s">
        <v>476</v>
      </c>
      <c r="AP50" s="923"/>
      <c r="AQ50" s="923"/>
      <c r="AR50" s="922" t="s">
        <v>477</v>
      </c>
      <c r="AS50" s="923"/>
      <c r="AT50" s="924"/>
    </row>
    <row r="51" spans="2:46" x14ac:dyDescent="0.25">
      <c r="B51" s="536" t="s">
        <v>327</v>
      </c>
      <c r="C51" s="199">
        <f t="shared" si="9"/>
        <v>188.768</v>
      </c>
      <c r="D51" s="200">
        <f>'Frame Capacities'!$BY$11</f>
        <v>2.1371535666611437E-2</v>
      </c>
      <c r="E51" s="625">
        <f>'Infill Capacities'!$CV$11+'Frame Capacities'!$BR$11</f>
        <v>262.05835406824224</v>
      </c>
      <c r="F51" s="532" t="s">
        <v>327</v>
      </c>
      <c r="G51" s="199">
        <f t="shared" si="10"/>
        <v>216.75266666666664</v>
      </c>
      <c r="H51" s="200">
        <f>'Frame Capacities'!$BY$12</f>
        <v>2.139820462856119E-2</v>
      </c>
      <c r="I51" s="625">
        <f>'Infill Capacities'!$CV$12+'Frame Capacities'!$BR$12</f>
        <v>353.56003811229408</v>
      </c>
      <c r="J51" s="532" t="s">
        <v>327</v>
      </c>
      <c r="K51" s="199">
        <f t="shared" si="11"/>
        <v>233.60400000000001</v>
      </c>
      <c r="L51" s="200">
        <f>'Frame Capacities'!$BY$13</f>
        <v>1.9217860056130562E-2</v>
      </c>
      <c r="M51" s="624">
        <f>'Infill Capacities'!$CV$13+'Frame Capacities'!$BR$13</f>
        <v>434.75935316333317</v>
      </c>
      <c r="AO51" s="593" t="s">
        <v>480</v>
      </c>
      <c r="AP51" s="593" t="s">
        <v>481</v>
      </c>
      <c r="AQ51" s="594" t="s">
        <v>482</v>
      </c>
      <c r="AR51" s="593" t="s">
        <v>483</v>
      </c>
      <c r="AS51" s="593" t="s">
        <v>484</v>
      </c>
      <c r="AT51" s="593" t="s">
        <v>485</v>
      </c>
    </row>
    <row r="52" spans="2:46" x14ac:dyDescent="0.25">
      <c r="B52" s="536" t="s">
        <v>329</v>
      </c>
      <c r="C52" s="199">
        <f t="shared" si="9"/>
        <v>159.56800000000004</v>
      </c>
      <c r="D52" s="200">
        <f>'Frame Capacities'!$BZ$11</f>
        <v>5.391216902151031E-2</v>
      </c>
      <c r="E52" s="625">
        <f>'Infill Capacities'!$CV$11+'Frame Capacities'!$BS$11</f>
        <v>-299.11321107915705</v>
      </c>
      <c r="F52" s="532" t="s">
        <v>329</v>
      </c>
      <c r="G52" s="199">
        <f t="shared" si="10"/>
        <v>181.85266666666666</v>
      </c>
      <c r="H52" s="200">
        <f>'Frame Capacities'!$BZ$12</f>
        <v>4.0576731785095327E-2</v>
      </c>
      <c r="I52" s="625">
        <f>'Infill Capacities'!$CV$12+'Frame Capacities'!$BS$12</f>
        <v>-606.58116436067621</v>
      </c>
      <c r="J52" s="532" t="s">
        <v>329</v>
      </c>
      <c r="K52" s="199">
        <f t="shared" si="11"/>
        <v>195.33733333333336</v>
      </c>
      <c r="L52" s="200">
        <f>'Frame Capacities'!$BZ$13</f>
        <v>3.3892235601287048E-2</v>
      </c>
      <c r="M52" s="624">
        <f>'Infill Capacities'!$CV$13+'Frame Capacities'!$BS$13</f>
        <v>-869.24009245256957</v>
      </c>
      <c r="AO52" s="526">
        <v>0</v>
      </c>
      <c r="AP52" s="622">
        <v>0</v>
      </c>
      <c r="AQ52" s="597" t="s">
        <v>66</v>
      </c>
      <c r="AR52" s="526">
        <v>0</v>
      </c>
      <c r="AS52" s="622">
        <v>0</v>
      </c>
      <c r="AT52" s="598" t="s">
        <v>66</v>
      </c>
    </row>
    <row r="53" spans="2:46" x14ac:dyDescent="0.25">
      <c r="B53" s="537" t="s">
        <v>330</v>
      </c>
      <c r="C53" s="608">
        <f t="shared" si="9"/>
        <v>136.15835531780095</v>
      </c>
      <c r="D53" s="58">
        <f>'Infill Capacities'!$DB$11</f>
        <v>0.08</v>
      </c>
      <c r="E53" s="523">
        <f>'Infill Capacities'!$CV$11+'Frame Capacities'!$BT$11</f>
        <v>-299.11321107915705</v>
      </c>
      <c r="F53" s="533" t="s">
        <v>330</v>
      </c>
      <c r="G53" s="608">
        <f t="shared" si="10"/>
        <v>110.11243085656632</v>
      </c>
      <c r="H53" s="58">
        <f>'Infill Capacities'!$DB$12</f>
        <v>0.08</v>
      </c>
      <c r="I53" s="523">
        <f>'Infill Capacities'!$CV$12+'Frame Capacities'!$BT$12</f>
        <v>-606.58116436067621</v>
      </c>
      <c r="J53" s="533" t="s">
        <v>330</v>
      </c>
      <c r="K53" s="608">
        <f t="shared" si="11"/>
        <v>75.101181167177728</v>
      </c>
      <c r="L53" s="58">
        <f>'Infill Capacities'!$DB$13</f>
        <v>0.08</v>
      </c>
      <c r="M53" s="525">
        <f>'Infill Capacities'!$CV$13+'Frame Capacities'!$BT$13</f>
        <v>-869.24009245256957</v>
      </c>
      <c r="AO53" s="526">
        <f>'Frame Capacities'!$BJ$12</f>
        <v>161.60000000000002</v>
      </c>
      <c r="AP53" s="533">
        <f>'Frame Capacities'!$BX$12</f>
        <v>9.5976000000000013E-3</v>
      </c>
      <c r="AQ53" s="484">
        <f>(AO53-AO52)/((AP53-AP52)*$D$7)</f>
        <v>5612.5142396710289</v>
      </c>
      <c r="AR53" s="526">
        <f>'Infill Capacities'!$CM$12</f>
        <v>343.20000000000005</v>
      </c>
      <c r="AS53" s="533">
        <f>'Infill Capacities'!$CY$12</f>
        <v>1.9241439833606131E-3</v>
      </c>
      <c r="AT53" s="523">
        <f>(AR53-AR52)/((AS53-AS52)*$D$7)</f>
        <v>59455.010118418853</v>
      </c>
    </row>
    <row r="54" spans="2:46" x14ac:dyDescent="0.25">
      <c r="B54" s="536" t="s">
        <v>468</v>
      </c>
      <c r="C54" s="199">
        <f t="shared" si="9"/>
        <v>57.301333333333375</v>
      </c>
      <c r="D54" s="200">
        <f>'Frame Capacities'!$CA$11</f>
        <v>0.16787867944711513</v>
      </c>
      <c r="E54" s="625">
        <f>'Infill Capacities'!$CV$11+'Frame Capacities'!$BT$11</f>
        <v>-299.11321107915705</v>
      </c>
      <c r="F54" s="532" t="s">
        <v>468</v>
      </c>
      <c r="G54" s="199">
        <f t="shared" si="10"/>
        <v>59.969333333333338</v>
      </c>
      <c r="H54" s="200">
        <f>'Frame Capacities'!$CA$12</f>
        <v>0.10755503603329697</v>
      </c>
      <c r="I54" s="625">
        <f>'Infill Capacities'!$CV$12+'Frame Capacities'!$BT$12</f>
        <v>-606.58116436067621</v>
      </c>
      <c r="J54" s="532" t="s">
        <v>468</v>
      </c>
      <c r="K54" s="199">
        <f t="shared" si="11"/>
        <v>61.504000000000019</v>
      </c>
      <c r="L54" s="200">
        <f>'Frame Capacities'!$CA$13</f>
        <v>8.5214202338049522E-2</v>
      </c>
      <c r="M54" s="624">
        <f>'Infill Capacities'!$CV$13+'Frame Capacities'!$BT$13</f>
        <v>-869.24009245256957</v>
      </c>
      <c r="AO54" s="526">
        <f>'Frame Capacities'!$BK$12</f>
        <v>174.11666666666665</v>
      </c>
      <c r="AP54" s="533">
        <f>'Frame Capacities'!$BY$12</f>
        <v>2.139820462856119E-2</v>
      </c>
      <c r="AQ54" s="484">
        <f t="shared" ref="AQ54:AQ57" si="12">(AO54-AO53)/((AP54-AP53)*$D$7)</f>
        <v>353.56003811229408</v>
      </c>
      <c r="AR54" s="526">
        <f>'Infill Capacities'!$CN$12</f>
        <v>426.36</v>
      </c>
      <c r="AS54" s="533">
        <f>'Infill Capacities'!$CZ$12</f>
        <v>4.8246967291489824E-3</v>
      </c>
      <c r="AT54" s="523">
        <f t="shared" ref="AT54:AT55" si="13">(AR54-AR53)/((AS54-AS53)*$D$7)</f>
        <v>9556.7991446629258</v>
      </c>
    </row>
    <row r="55" spans="2:46" x14ac:dyDescent="0.25">
      <c r="B55" s="538" t="s">
        <v>469</v>
      </c>
      <c r="C55" s="199">
        <f t="shared" si="9"/>
        <v>57.301333333333375</v>
      </c>
      <c r="D55" s="529">
        <f>'Frame Capacities'!$CB$11</f>
        <v>0.2</v>
      </c>
      <c r="E55" s="626">
        <f>'Infill Capacities'!$CV$11+'Frame Capacities'!$BU$11</f>
        <v>0</v>
      </c>
      <c r="F55" s="534" t="s">
        <v>469</v>
      </c>
      <c r="G55" s="199">
        <f t="shared" si="10"/>
        <v>59.969333333333338</v>
      </c>
      <c r="H55" s="529">
        <f>'Frame Capacities'!$CB$12</f>
        <v>0.2</v>
      </c>
      <c r="I55" s="626">
        <f>'Infill Capacities'!$CV$12+'Frame Capacities'!$BU$12</f>
        <v>0</v>
      </c>
      <c r="J55" s="534" t="s">
        <v>469</v>
      </c>
      <c r="K55" s="199">
        <f t="shared" si="11"/>
        <v>61.504000000000019</v>
      </c>
      <c r="L55" s="529">
        <f>'Frame Capacities'!$CB$13</f>
        <v>0.2</v>
      </c>
      <c r="M55" s="627">
        <f>'Infill Capacities'!$CV$13+'Frame Capacities'!$BU$13</f>
        <v>0</v>
      </c>
      <c r="AO55" s="526">
        <f>'Frame Capacities'!$BL$12</f>
        <v>139.21666666666667</v>
      </c>
      <c r="AP55" s="533">
        <f>'Frame Capacities'!$BZ$12</f>
        <v>4.0576731785095327E-2</v>
      </c>
      <c r="AQ55" s="484">
        <f t="shared" si="12"/>
        <v>-606.58116436067621</v>
      </c>
      <c r="AR55" s="526">
        <f>'Infill Capacities'!$CO$12</f>
        <v>42.636000000000003</v>
      </c>
      <c r="AS55" s="533">
        <f>'Infill Capacities'!$DA$12</f>
        <v>1.47454609789312E-2</v>
      </c>
      <c r="AT55" s="523">
        <f t="shared" si="13"/>
        <v>-12892.958322521155</v>
      </c>
    </row>
    <row r="56" spans="2:46" ht="16.5" thickBot="1" x14ac:dyDescent="0.3">
      <c r="B56" s="661" t="s">
        <v>501</v>
      </c>
      <c r="C56" s="658">
        <f>'Frame Capacities'!$BO$11+'Infill Capacities'!$CQ$11</f>
        <v>0</v>
      </c>
      <c r="D56" s="659">
        <f>'Frame Capacities'!$CC$11</f>
        <v>0</v>
      </c>
      <c r="E56" s="665">
        <f>'Infill Capacities'!$CW$11+'Frame Capacities'!$BV$11</f>
        <v>188134.92874400131</v>
      </c>
      <c r="F56" s="662" t="s">
        <v>501</v>
      </c>
      <c r="G56" s="658">
        <f>'Frame Capacities'!$BO$12+'Infill Capacities'!$CQ$12</f>
        <v>0</v>
      </c>
      <c r="H56" s="659">
        <f>'Frame Capacities'!$CC$12</f>
        <v>0</v>
      </c>
      <c r="I56" s="665">
        <f>'Infill Capacities'!$CW$12+'Frame Capacities'!$BV$12</f>
        <v>195202.57307426966</v>
      </c>
      <c r="J56" s="662" t="s">
        <v>501</v>
      </c>
      <c r="K56" s="658">
        <f>'Frame Capacities'!$BO$13+'Infill Capacities'!$CQ$13</f>
        <v>0</v>
      </c>
      <c r="L56" s="659">
        <f>'Frame Capacities'!$CC$13</f>
        <v>0</v>
      </c>
      <c r="M56" s="666">
        <f>'Infill Capacities'!$CW$13+'Frame Capacities'!$BV$13</f>
        <v>205524.74381744879</v>
      </c>
      <c r="AO56" s="526">
        <f>'Frame Capacities'!$BM$12</f>
        <v>17.333333333333332</v>
      </c>
      <c r="AP56" s="533">
        <f>'Frame Capacities'!$CA$12</f>
        <v>0.10755503603329697</v>
      </c>
      <c r="AQ56" s="484">
        <f>(AO56-AO55)/((AP56-AP55)*$D$7)</f>
        <v>-606.58116436067621</v>
      </c>
      <c r="AR56" s="526">
        <f>'Infill Capacities'!$CP$12</f>
        <v>42.636000000000003</v>
      </c>
      <c r="AS56" s="533">
        <f>'Infill Capacities'!$DB$12</f>
        <v>0.08</v>
      </c>
      <c r="AT56" s="523">
        <f>(AR56-AR55)/((AS56-AS55)*$D$7)</f>
        <v>0</v>
      </c>
    </row>
    <row r="57" spans="2:46" x14ac:dyDescent="0.25">
      <c r="B57" s="835" t="s">
        <v>334</v>
      </c>
      <c r="C57" s="729"/>
      <c r="D57" s="729"/>
      <c r="E57" s="729"/>
      <c r="F57" s="729" t="s">
        <v>333</v>
      </c>
      <c r="G57" s="729"/>
      <c r="H57" s="729"/>
      <c r="I57" s="729"/>
      <c r="J57" s="729" t="s">
        <v>332</v>
      </c>
      <c r="K57" s="729"/>
      <c r="L57" s="729"/>
      <c r="M57" s="735"/>
      <c r="AO57" s="526">
        <f>'Frame Capacities'!$BN$12</f>
        <v>17.333333333333332</v>
      </c>
      <c r="AP57" s="623">
        <f>'Frame Capacities'!$CB$12</f>
        <v>0.2</v>
      </c>
      <c r="AQ57" s="484">
        <f t="shared" si="12"/>
        <v>0</v>
      </c>
      <c r="AR57" s="527"/>
      <c r="AS57" s="623"/>
      <c r="AT57" s="524"/>
    </row>
    <row r="58" spans="2:46" x14ac:dyDescent="0.25">
      <c r="B58" s="602" t="s">
        <v>331</v>
      </c>
      <c r="C58" s="595" t="s">
        <v>75</v>
      </c>
      <c r="D58" s="593" t="s">
        <v>101</v>
      </c>
      <c r="E58" s="593" t="s">
        <v>323</v>
      </c>
      <c r="F58" s="593" t="s">
        <v>331</v>
      </c>
      <c r="G58" s="595" t="s">
        <v>75</v>
      </c>
      <c r="H58" s="593" t="s">
        <v>101</v>
      </c>
      <c r="I58" s="593" t="s">
        <v>323</v>
      </c>
      <c r="J58" s="593" t="s">
        <v>331</v>
      </c>
      <c r="K58" s="595" t="s">
        <v>75</v>
      </c>
      <c r="L58" s="593" t="s">
        <v>101</v>
      </c>
      <c r="M58" s="616" t="s">
        <v>323</v>
      </c>
      <c r="AO58" s="922" t="s">
        <v>474</v>
      </c>
      <c r="AP58" s="923"/>
      <c r="AQ58" s="923"/>
      <c r="AR58" s="922" t="s">
        <v>475</v>
      </c>
      <c r="AS58" s="923"/>
      <c r="AT58" s="924"/>
    </row>
    <row r="59" spans="2:46" x14ac:dyDescent="0.25">
      <c r="B59" s="535" t="s">
        <v>464</v>
      </c>
      <c r="C59" s="151">
        <v>0</v>
      </c>
      <c r="D59" s="151">
        <v>0</v>
      </c>
      <c r="E59" s="528" t="s">
        <v>66</v>
      </c>
      <c r="F59" s="531" t="s">
        <v>464</v>
      </c>
      <c r="G59" s="151">
        <v>0</v>
      </c>
      <c r="H59" s="151">
        <v>0</v>
      </c>
      <c r="I59" s="528" t="s">
        <v>66</v>
      </c>
      <c r="J59" s="531" t="s">
        <v>464</v>
      </c>
      <c r="K59" s="151">
        <v>0</v>
      </c>
      <c r="L59" s="621">
        <v>0</v>
      </c>
      <c r="M59" s="530" t="s">
        <v>66</v>
      </c>
      <c r="AO59" s="593" t="s">
        <v>480</v>
      </c>
      <c r="AP59" s="593" t="s">
        <v>481</v>
      </c>
      <c r="AQ59" s="594" t="s">
        <v>482</v>
      </c>
      <c r="AR59" s="593" t="s">
        <v>483</v>
      </c>
      <c r="AS59" s="593" t="s">
        <v>484</v>
      </c>
      <c r="AT59" s="593" t="s">
        <v>485</v>
      </c>
    </row>
    <row r="60" spans="2:46" x14ac:dyDescent="0.25">
      <c r="B60" s="615" t="s">
        <v>324</v>
      </c>
      <c r="C60" s="608">
        <f>E60*D60*hstr3</f>
        <v>394.61766537386319</v>
      </c>
      <c r="D60" s="58">
        <f>'Infill Capacities'!$CY$14</f>
        <v>1.7909714066512246E-3</v>
      </c>
      <c r="E60" s="523">
        <f>'Infill Capacities'!$CS$14+'Frame Capacities'!$BQ$14</f>
        <v>73445.740843646985</v>
      </c>
      <c r="F60" s="403" t="s">
        <v>324</v>
      </c>
      <c r="G60" s="608">
        <f>I60*H60*hstr2</f>
        <v>413.02510000388276</v>
      </c>
      <c r="H60" s="58">
        <f>'Infill Capacities'!$CY$15</f>
        <v>1.7349058472302754E-3</v>
      </c>
      <c r="I60" s="523">
        <f>'Infill Capacities'!$CS$15+'Frame Capacities'!$BQ$15</f>
        <v>79355.910612914013</v>
      </c>
      <c r="J60" s="403" t="s">
        <v>324</v>
      </c>
      <c r="K60" s="608">
        <f>M60*L60*hstr1</f>
        <v>472.21891354209725</v>
      </c>
      <c r="L60" s="58">
        <f>'Infill Capacities'!$CY$16</f>
        <v>1.7665298310518072E-3</v>
      </c>
      <c r="M60" s="525">
        <f>'Infill Capacities'!$CS$16+'Frame Capacities'!$BQ$16</f>
        <v>97205.247000284988</v>
      </c>
      <c r="AO60" s="526">
        <v>0</v>
      </c>
      <c r="AP60" s="622">
        <v>0</v>
      </c>
      <c r="AQ60" s="597" t="s">
        <v>66</v>
      </c>
      <c r="AR60" s="526">
        <v>0</v>
      </c>
      <c r="AS60" s="622">
        <v>0</v>
      </c>
      <c r="AT60" s="598" t="s">
        <v>66</v>
      </c>
    </row>
    <row r="61" spans="2:46" x14ac:dyDescent="0.25">
      <c r="B61" s="615" t="s">
        <v>325</v>
      </c>
      <c r="C61" s="608">
        <f t="shared" ref="C61:C68" si="14">C60+E61*(D61-D60)*hstr3</f>
        <v>570.18044303383181</v>
      </c>
      <c r="D61" s="58">
        <f>'Infill Capacities'!$CZ$14</f>
        <v>4.7620997498502553E-3</v>
      </c>
      <c r="E61" s="523">
        <f>'Infill Capacities'!$CT$14+'Frame Capacities'!$BQ$14</f>
        <v>19696.53247077384</v>
      </c>
      <c r="F61" s="403" t="s">
        <v>325</v>
      </c>
      <c r="G61" s="608">
        <f t="shared" ref="G61:G68" si="15">G60+I61*(H61-H60)*hstr2</f>
        <v>622.44534775876718</v>
      </c>
      <c r="H61" s="58">
        <f>'Infill Capacities'!$CZ$15</f>
        <v>4.6919461165917508E-3</v>
      </c>
      <c r="I61" s="523">
        <f>'Infill Capacities'!$CT$15+'Frame Capacities'!$BQ$15</f>
        <v>23606.966051463936</v>
      </c>
      <c r="J61" s="403" t="s">
        <v>325</v>
      </c>
      <c r="K61" s="608">
        <f t="shared" ref="K61:K68" si="16">K60+M61*(L61-L60)*hstr1</f>
        <v>809.140141327376</v>
      </c>
      <c r="L61" s="58">
        <f>'Infill Capacities'!$CZ$16</f>
        <v>4.838847442015526E-3</v>
      </c>
      <c r="M61" s="525">
        <f>'Infill Capacities'!$CT$16+'Frame Capacities'!$BQ$16</f>
        <v>39877.651212404075</v>
      </c>
      <c r="AO61" s="526">
        <f>'Frame Capacities'!$BJ$13</f>
        <v>177.6</v>
      </c>
      <c r="AP61" s="533">
        <f>'Frame Capacities'!$BX$13</f>
        <v>8.8673064285714302E-3</v>
      </c>
      <c r="AQ61" s="484">
        <f>(AO61-AO60)/((AP61-AP60)*$D$8)</f>
        <v>6676.2100167477156</v>
      </c>
      <c r="AR61" s="526">
        <f>'Infill Capacities'!$CM$13</f>
        <v>343.20000000000005</v>
      </c>
      <c r="AS61" s="533">
        <f>'Infill Capacities'!$CY$13</f>
        <v>1.8501735321027263E-3</v>
      </c>
      <c r="AT61" s="523">
        <f>(AR61-AR60)/((AS61-AS60)*$D$8)</f>
        <v>61832.037922401883</v>
      </c>
    </row>
    <row r="62" spans="2:46" x14ac:dyDescent="0.25">
      <c r="B62" s="536" t="s">
        <v>326</v>
      </c>
      <c r="C62" s="199">
        <f t="shared" si="14"/>
        <v>544.44819676185193</v>
      </c>
      <c r="D62" s="200">
        <f>'Frame Capacities'!$BX$14</f>
        <v>8.3556867009551838E-3</v>
      </c>
      <c r="E62" s="625">
        <f>'Infill Capacities'!$CU$14+'Frame Capacities'!$BQ$14</f>
        <v>-2386.8673669788241</v>
      </c>
      <c r="F62" s="532" t="s">
        <v>326</v>
      </c>
      <c r="G62" s="199">
        <f t="shared" si="15"/>
        <v>630.47567305364907</v>
      </c>
      <c r="H62" s="200">
        <f>'Frame Capacities'!$BX$15</f>
        <v>6.4157970868129726E-3</v>
      </c>
      <c r="I62" s="625">
        <f>'Infill Capacities'!$CU$15+'Frame Capacities'!$BQ$15</f>
        <v>1552.7879988085297</v>
      </c>
      <c r="J62" s="532" t="s">
        <v>326</v>
      </c>
      <c r="K62" s="199">
        <f t="shared" si="16"/>
        <v>809.52263345162191</v>
      </c>
      <c r="L62" s="200">
        <f>'Frame Capacities'!$BX$16</f>
        <v>4.8471720397440425E-3</v>
      </c>
      <c r="M62" s="624">
        <f>'Infill Capacities'!$CU$16+'Frame Capacities'!$BQ$16</f>
        <v>16708.080043782953</v>
      </c>
      <c r="AO62" s="526">
        <f>'Frame Capacities'!$BK$13</f>
        <v>191.1</v>
      </c>
      <c r="AP62" s="533">
        <f>'Frame Capacities'!$BY$13</f>
        <v>1.9217860056130562E-2</v>
      </c>
      <c r="AQ62" s="484">
        <f t="shared" ref="AQ62:AQ65" si="17">(AO62-AO61)/((AP62-AP61)*$D$8)</f>
        <v>434.75935316333317</v>
      </c>
      <c r="AR62" s="526">
        <f>'Infill Capacities'!$CN$13</f>
        <v>425.04</v>
      </c>
      <c r="AS62" s="533">
        <f>'Infill Capacities'!$CZ$13</f>
        <v>4.6867187907318961E-3</v>
      </c>
      <c r="AT62" s="523">
        <f t="shared" ref="AT62:AT64" si="18">(AR62-AR61)/((AS62-AS61)*$D$8)</f>
        <v>9617.3328865493677</v>
      </c>
    </row>
    <row r="63" spans="2:46" x14ac:dyDescent="0.25">
      <c r="B63" s="615" t="s">
        <v>328</v>
      </c>
      <c r="C63" s="608">
        <f t="shared" si="14"/>
        <v>309.60880087157477</v>
      </c>
      <c r="D63" s="58">
        <f>'Infill Capacities'!$DA$14</f>
        <v>1.4925429106564659E-2</v>
      </c>
      <c r="E63" s="523">
        <f>'Infill Capacities'!$CU$14+'Frame Capacities'!$BR$14</f>
        <v>-11915.200596488283</v>
      </c>
      <c r="F63" s="532" t="s">
        <v>327</v>
      </c>
      <c r="G63" s="199">
        <f t="shared" si="15"/>
        <v>441.76706923263066</v>
      </c>
      <c r="H63" s="200">
        <f>'Frame Capacities'!$BY$15</f>
        <v>1.2000259523458645E-2</v>
      </c>
      <c r="I63" s="625">
        <f>'Infill Capacities'!$CU$15+'Frame Capacities'!$BR$15</f>
        <v>-11263.90743136994</v>
      </c>
      <c r="J63" s="532" t="s">
        <v>327</v>
      </c>
      <c r="K63" s="199">
        <f t="shared" si="16"/>
        <v>528.4386318148438</v>
      </c>
      <c r="L63" s="200">
        <f>'Frame Capacities'!$BY$16</f>
        <v>1.3162720387918327E-2</v>
      </c>
      <c r="M63" s="624">
        <f>'Infill Capacities'!$CU$16+'Frame Capacities'!$BR$16</f>
        <v>-12291.716667608202</v>
      </c>
      <c r="AO63" s="526">
        <f>'Frame Capacities'!$BL$13</f>
        <v>152.83333333333334</v>
      </c>
      <c r="AP63" s="533">
        <f>'Frame Capacities'!$BZ$13</f>
        <v>3.3892235601287048E-2</v>
      </c>
      <c r="AQ63" s="484">
        <f t="shared" si="17"/>
        <v>-869.24009245256957</v>
      </c>
      <c r="AR63" s="526">
        <f>'Infill Capacities'!$CO$13</f>
        <v>42.504000000000005</v>
      </c>
      <c r="AS63" s="533">
        <f>'Infill Capacities'!$DA$13</f>
        <v>1.4653834901851607E-2</v>
      </c>
      <c r="AT63" s="523">
        <f t="shared" si="18"/>
        <v>-12793.26924442493</v>
      </c>
    </row>
    <row r="64" spans="2:46" x14ac:dyDescent="0.25">
      <c r="B64" s="536" t="s">
        <v>327</v>
      </c>
      <c r="C64" s="199">
        <f t="shared" si="14"/>
        <v>316.73733333333325</v>
      </c>
      <c r="D64" s="200">
        <f>'Frame Capacities'!$BY$14</f>
        <v>1.8690674056671252E-2</v>
      </c>
      <c r="E64" s="625">
        <f>'Infill Capacities'!$CV$14+'Frame Capacities'!$BR$14</f>
        <v>631.08178053211793</v>
      </c>
      <c r="F64" s="631" t="s">
        <v>329</v>
      </c>
      <c r="G64" s="632">
        <f t="shared" si="15"/>
        <v>344.40438395195491</v>
      </c>
      <c r="H64" s="633">
        <f>'Frame Capacities'!$BZ$15</f>
        <v>1.3691993806931075E-2</v>
      </c>
      <c r="I64" s="634">
        <f>'Infill Capacities'!$CU$15+'Frame Capacities'!$BS$15</f>
        <v>-19183.998778033172</v>
      </c>
      <c r="J64" s="628" t="s">
        <v>328</v>
      </c>
      <c r="K64" s="574">
        <f t="shared" si="16"/>
        <v>533.60721737280869</v>
      </c>
      <c r="L64" s="630">
        <f>'Infill Capacities'!$DA$16</f>
        <v>1.466169265833132E-2</v>
      </c>
      <c r="M64" s="629">
        <f>'Infill Capacities'!$CV$16+'Frame Capacities'!$BR$16</f>
        <v>1253.8495171254599</v>
      </c>
      <c r="AO64" s="526">
        <f>'Frame Capacities'!$BM$13</f>
        <v>19</v>
      </c>
      <c r="AP64" s="533">
        <f>'Frame Capacities'!$CA$13</f>
        <v>8.5214202338049522E-2</v>
      </c>
      <c r="AQ64" s="484">
        <f t="shared" si="17"/>
        <v>-869.24009245256968</v>
      </c>
      <c r="AR64" s="526">
        <f>'Infill Capacities'!$CP$13</f>
        <v>42.504000000000005</v>
      </c>
      <c r="AS64" s="533">
        <f>'Infill Capacities'!$DB$13</f>
        <v>0.08</v>
      </c>
      <c r="AT64" s="523">
        <f t="shared" si="18"/>
        <v>0</v>
      </c>
    </row>
    <row r="65" spans="2:46" x14ac:dyDescent="0.25">
      <c r="B65" s="536" t="s">
        <v>329</v>
      </c>
      <c r="C65" s="199">
        <f t="shared" si="14"/>
        <v>261.9373333333333</v>
      </c>
      <c r="D65" s="200">
        <f>'Frame Capacities'!$BZ$14</f>
        <v>2.5915446502910899E-2</v>
      </c>
      <c r="E65" s="625">
        <f>'Infill Capacities'!$CV$14+'Frame Capacities'!$BS$14</f>
        <v>-2528.3379930082233</v>
      </c>
      <c r="F65" s="403" t="s">
        <v>328</v>
      </c>
      <c r="G65" s="608">
        <f t="shared" si="15"/>
        <v>319.754075015284</v>
      </c>
      <c r="H65" s="58">
        <f>'Infill Capacities'!$DA$15</f>
        <v>1.4916116294006016E-2</v>
      </c>
      <c r="I65" s="523">
        <f>'Infill Capacities'!$CV$15+'Frame Capacities'!$BS$15</f>
        <v>-6712.3753809890995</v>
      </c>
      <c r="J65" s="532" t="s">
        <v>329</v>
      </c>
      <c r="K65" s="199">
        <f t="shared" si="16"/>
        <v>466.44054690838919</v>
      </c>
      <c r="L65" s="200">
        <f>'Frame Capacities'!$BZ$16</f>
        <v>2.0491615374369852E-2</v>
      </c>
      <c r="M65" s="624">
        <f>'Infill Capacities'!$CV$16+'Frame Capacities'!$BS$16</f>
        <v>-4189.4627072929507</v>
      </c>
      <c r="AO65" s="526">
        <f>'Frame Capacities'!$BN$13</f>
        <v>19</v>
      </c>
      <c r="AP65" s="623">
        <f>'Frame Capacities'!$CB$13</f>
        <v>0.2</v>
      </c>
      <c r="AQ65" s="484">
        <f t="shared" si="17"/>
        <v>0</v>
      </c>
      <c r="AR65" s="527"/>
      <c r="AS65" s="623"/>
      <c r="AT65" s="524"/>
    </row>
    <row r="66" spans="2:46" x14ac:dyDescent="0.25">
      <c r="B66" s="636" t="s">
        <v>329</v>
      </c>
      <c r="C66" s="199">
        <f t="shared" si="14"/>
        <v>70.037333333333379</v>
      </c>
      <c r="D66" s="200">
        <f>'Frame Capacities'!$CA$14</f>
        <v>5.1215333956074915E-2</v>
      </c>
      <c r="E66" s="625">
        <f>'Infill Capacities'!$CV$14+'Frame Capacities'!$BT$14</f>
        <v>-2528.3379930082233</v>
      </c>
      <c r="F66" s="532" t="s">
        <v>468</v>
      </c>
      <c r="G66" s="199">
        <f t="shared" si="15"/>
        <v>199.63771728528837</v>
      </c>
      <c r="H66" s="200">
        <f>'Frame Capacities'!$CA$15</f>
        <v>2.088103685303748E-2</v>
      </c>
      <c r="I66" s="625">
        <f>'Infill Capacities'!$CV$15+'Frame Capacities'!$BT$15</f>
        <v>-6712.3753809890995</v>
      </c>
      <c r="J66" s="532" t="s">
        <v>468</v>
      </c>
      <c r="K66" s="199">
        <f t="shared" si="16"/>
        <v>162.31327418111641</v>
      </c>
      <c r="L66" s="200">
        <f>'Frame Capacities'!$CA$16</f>
        <v>4.6889209353348053E-2</v>
      </c>
      <c r="M66" s="624">
        <f>'Infill Capacities'!$CV$16+'Frame Capacities'!$BT$16</f>
        <v>-4189.4627072929507</v>
      </c>
      <c r="AO66" s="922" t="s">
        <v>472</v>
      </c>
      <c r="AP66" s="923"/>
      <c r="AQ66" s="923"/>
      <c r="AR66" s="922" t="s">
        <v>473</v>
      </c>
      <c r="AS66" s="923"/>
      <c r="AT66" s="924"/>
    </row>
    <row r="67" spans="2:46" x14ac:dyDescent="0.25">
      <c r="B67" s="637" t="s">
        <v>330</v>
      </c>
      <c r="C67" s="574">
        <f t="shared" si="14"/>
        <v>70.037333333333379</v>
      </c>
      <c r="D67" s="630">
        <f>'Infill Capacities'!$DB$14</f>
        <v>0.08</v>
      </c>
      <c r="E67" s="638">
        <f>'Infill Capacities'!$CV$14+'Frame Capacities'!$BU$14</f>
        <v>0</v>
      </c>
      <c r="F67" s="533" t="s">
        <v>330</v>
      </c>
      <c r="G67" s="608">
        <f t="shared" si="15"/>
        <v>199.63771728528837</v>
      </c>
      <c r="H67" s="58">
        <f>'Infill Capacities'!$DB$15</f>
        <v>0.08</v>
      </c>
      <c r="I67" s="523">
        <f>'Infill Capacities'!$CV$15+'Frame Capacities'!$BU$15</f>
        <v>0</v>
      </c>
      <c r="J67" s="533" t="s">
        <v>330</v>
      </c>
      <c r="K67" s="608">
        <f t="shared" si="16"/>
        <v>162.31327418111641</v>
      </c>
      <c r="L67" s="58">
        <f>'Infill Capacities'!$DB$16</f>
        <v>0.08</v>
      </c>
      <c r="M67" s="525">
        <f>'Infill Capacities'!$CV$16+'Frame Capacities'!$BU$16</f>
        <v>0</v>
      </c>
      <c r="AO67" s="593" t="s">
        <v>480</v>
      </c>
      <c r="AP67" s="593" t="s">
        <v>481</v>
      </c>
      <c r="AQ67" s="594" t="s">
        <v>482</v>
      </c>
      <c r="AR67" s="593" t="s">
        <v>483</v>
      </c>
      <c r="AS67" s="593" t="s">
        <v>484</v>
      </c>
      <c r="AT67" s="593" t="s">
        <v>485</v>
      </c>
    </row>
    <row r="68" spans="2:46" x14ac:dyDescent="0.25">
      <c r="B68" s="538" t="s">
        <v>469</v>
      </c>
      <c r="C68" s="660">
        <f t="shared" si="14"/>
        <v>70.037333333333379</v>
      </c>
      <c r="D68" s="529">
        <f>'Frame Capacities'!$CB$14</f>
        <v>0.2</v>
      </c>
      <c r="E68" s="626">
        <f>'Infill Capacities'!$CV$14+'Frame Capacities'!$BU$14</f>
        <v>0</v>
      </c>
      <c r="F68" s="534" t="s">
        <v>469</v>
      </c>
      <c r="G68" s="660">
        <f t="shared" si="15"/>
        <v>199.63771728528837</v>
      </c>
      <c r="H68" s="529">
        <f>'Frame Capacities'!$CB$15</f>
        <v>0.2</v>
      </c>
      <c r="I68" s="626">
        <f>'Infill Capacities'!$CV$15+'Frame Capacities'!$BU$15</f>
        <v>0</v>
      </c>
      <c r="J68" s="534" t="s">
        <v>469</v>
      </c>
      <c r="K68" s="660">
        <f t="shared" si="16"/>
        <v>162.31327418111641</v>
      </c>
      <c r="L68" s="529">
        <f>'Frame Capacities'!$CB$16</f>
        <v>0.2</v>
      </c>
      <c r="M68" s="627">
        <f>'Infill Capacities'!$CV$16+'Frame Capacities'!$BU$16</f>
        <v>0</v>
      </c>
      <c r="AO68" s="526">
        <v>0</v>
      </c>
      <c r="AP68" s="622">
        <v>0</v>
      </c>
      <c r="AQ68" s="597" t="s">
        <v>66</v>
      </c>
      <c r="AR68" s="526">
        <v>0</v>
      </c>
      <c r="AS68" s="622">
        <v>0</v>
      </c>
      <c r="AT68" s="598" t="s">
        <v>66</v>
      </c>
    </row>
    <row r="69" spans="2:46" ht="16.5" thickBot="1" x14ac:dyDescent="0.3">
      <c r="B69" s="663" t="s">
        <v>501</v>
      </c>
      <c r="C69" s="658">
        <f>'Frame Capacities'!$BO$14+'Infill Capacities'!$CQ$14</f>
        <v>0</v>
      </c>
      <c r="D69" s="659">
        <f>'Frame Capacities'!$CC$14</f>
        <v>0</v>
      </c>
      <c r="E69" s="665">
        <f>'Infill Capacities'!$CW$14+'Frame Capacities'!$BV$14</f>
        <v>220337.22253094096</v>
      </c>
      <c r="F69" s="664" t="s">
        <v>501</v>
      </c>
      <c r="G69" s="658">
        <f>'Frame Capacities'!$BO$15+'Infill Capacities'!$CQ$15</f>
        <v>0</v>
      </c>
      <c r="H69" s="659">
        <f>'Frame Capacities'!$CC$15</f>
        <v>0</v>
      </c>
      <c r="I69" s="665">
        <f>'Infill Capacities'!$CW$15+'Frame Capacities'!$BV$15</f>
        <v>238067.73183874204</v>
      </c>
      <c r="J69" s="664" t="s">
        <v>501</v>
      </c>
      <c r="K69" s="658">
        <f>'Frame Capacities'!$BO$16+'Infill Capacities'!$CQ$16</f>
        <v>0</v>
      </c>
      <c r="L69" s="659">
        <f>'Frame Capacities'!$CC$16</f>
        <v>0</v>
      </c>
      <c r="M69" s="666">
        <f>'Infill Capacities'!$CW$16+'Frame Capacities'!$BV$16</f>
        <v>291615.74100085493</v>
      </c>
      <c r="AO69" s="526">
        <f>'Frame Capacities'!$BJ$14</f>
        <v>254.66666666666663</v>
      </c>
      <c r="AP69" s="533">
        <f>'Frame Capacities'!$BX$14</f>
        <v>8.3556867009551838E-3</v>
      </c>
      <c r="AQ69" s="484">
        <f>(AO69-AO68)/((AP69-AP68)*$D$9)</f>
        <v>10159.415010041577</v>
      </c>
      <c r="AR69" s="526">
        <f>'Infill Capacities'!$CM$14</f>
        <v>340.03200000000004</v>
      </c>
      <c r="AS69" s="533">
        <f>'Infill Capacities'!$CY$14</f>
        <v>1.7909714066512246E-3</v>
      </c>
      <c r="AT69" s="523">
        <f>(AR69-AR68)/((AS69-AS68)*$D$9)</f>
        <v>63286.325833605413</v>
      </c>
    </row>
    <row r="70" spans="2:46" x14ac:dyDescent="0.25">
      <c r="AO70" s="526">
        <f>'Frame Capacities'!$BK$14</f>
        <v>274.23333333333329</v>
      </c>
      <c r="AP70" s="533">
        <f>'Frame Capacities'!$BY$14</f>
        <v>1.8690674056671252E-2</v>
      </c>
      <c r="AQ70" s="484">
        <f t="shared" ref="AQ70:AQ73" si="19">(AO70-AO69)/((AP70-AP69)*$D$9)</f>
        <v>631.08178053211793</v>
      </c>
      <c r="AR70" s="526">
        <f>'Infill Capacities'!$CN$14</f>
        <v>425.04</v>
      </c>
      <c r="AS70" s="533">
        <f>'Infill Capacities'!$CZ$14</f>
        <v>4.7620997498502553E-3</v>
      </c>
      <c r="AT70" s="523">
        <f t="shared" ref="AT70:AT72" si="20">(AR70-AR69)/((AS70-AS69)*$D$9)</f>
        <v>9537.1174607322628</v>
      </c>
    </row>
    <row r="71" spans="2:46" x14ac:dyDescent="0.25">
      <c r="AO71" s="526">
        <f>'Frame Capacities'!$BL$14</f>
        <v>219.43333333333331</v>
      </c>
      <c r="AP71" s="533">
        <f>'Frame Capacities'!$BZ$14</f>
        <v>2.5915446502910899E-2</v>
      </c>
      <c r="AQ71" s="484">
        <f t="shared" si="19"/>
        <v>-2528.3379930082233</v>
      </c>
      <c r="AR71" s="526">
        <f>'Infill Capacities'!$CO$14</f>
        <v>42.504000000000005</v>
      </c>
      <c r="AS71" s="533">
        <f>'Infill Capacities'!$DA$14</f>
        <v>1.4925429106564659E-2</v>
      </c>
      <c r="AT71" s="523">
        <f t="shared" si="20"/>
        <v>-12546.2823770204</v>
      </c>
    </row>
    <row r="72" spans="2:46" x14ac:dyDescent="0.25">
      <c r="AO72" s="526">
        <f>'Frame Capacities'!$BM$14</f>
        <v>27.533333333333331</v>
      </c>
      <c r="AP72" s="533">
        <f>'Frame Capacities'!$CA$14</f>
        <v>5.1215333956074915E-2</v>
      </c>
      <c r="AQ72" s="484">
        <f t="shared" si="19"/>
        <v>-2528.3379930082237</v>
      </c>
      <c r="AR72" s="526">
        <f>'Infill Capacities'!$CP$14</f>
        <v>42.504000000000005</v>
      </c>
      <c r="AS72" s="533">
        <f>'Infill Capacities'!$DB$14</f>
        <v>0.08</v>
      </c>
      <c r="AT72" s="523">
        <f t="shared" si="20"/>
        <v>0</v>
      </c>
    </row>
    <row r="73" spans="2:46" x14ac:dyDescent="0.25">
      <c r="AO73" s="526">
        <f>'Frame Capacities'!$BN$14</f>
        <v>27.533333333333331</v>
      </c>
      <c r="AP73" s="623">
        <f>'Frame Capacities'!$CB$14</f>
        <v>0.2</v>
      </c>
      <c r="AQ73" s="484">
        <f t="shared" si="19"/>
        <v>0</v>
      </c>
      <c r="AR73" s="527"/>
      <c r="AS73" s="623"/>
      <c r="AT73" s="524"/>
    </row>
    <row r="74" spans="2:46" x14ac:dyDescent="0.25">
      <c r="AO74" s="708" t="s">
        <v>470</v>
      </c>
      <c r="AP74" s="925"/>
      <c r="AQ74" s="709"/>
      <c r="AR74" s="708" t="s">
        <v>471</v>
      </c>
      <c r="AS74" s="925"/>
      <c r="AT74" s="709"/>
    </row>
    <row r="75" spans="2:46" x14ac:dyDescent="0.25">
      <c r="AO75" s="593" t="s">
        <v>480</v>
      </c>
      <c r="AP75" s="593" t="s">
        <v>481</v>
      </c>
      <c r="AQ75" s="594" t="s">
        <v>482</v>
      </c>
      <c r="AR75" s="593" t="s">
        <v>483</v>
      </c>
      <c r="AS75" s="593" t="s">
        <v>484</v>
      </c>
      <c r="AT75" s="593" t="s">
        <v>485</v>
      </c>
    </row>
    <row r="76" spans="2:46" x14ac:dyDescent="0.25">
      <c r="AO76" s="526">
        <v>0</v>
      </c>
      <c r="AP76" s="622">
        <v>0</v>
      </c>
      <c r="AQ76" s="597" t="s">
        <v>66</v>
      </c>
      <c r="AR76" s="526">
        <v>0</v>
      </c>
      <c r="AS76" s="622">
        <v>0</v>
      </c>
      <c r="AT76" s="598" t="s">
        <v>66</v>
      </c>
    </row>
    <row r="77" spans="2:46" x14ac:dyDescent="0.25">
      <c r="AO77" s="526">
        <f>'Frame Capacities'!$BJ$15</f>
        <v>269.93333333333334</v>
      </c>
      <c r="AP77" s="533">
        <f>'Frame Capacities'!$BX$15</f>
        <v>6.4157970868129726E-3</v>
      </c>
      <c r="AQ77" s="484">
        <f>(AO77-AO76)/((AP77-AP76)*$D$10)</f>
        <v>14024.411395852603</v>
      </c>
      <c r="AR77" s="526">
        <f>'Infill Capacities'!$CM$15</f>
        <v>340.03200000000004</v>
      </c>
      <c r="AS77" s="533">
        <f>'Infill Capacities'!$CY$15</f>
        <v>1.7349058472302754E-3</v>
      </c>
      <c r="AT77" s="523">
        <f>(AR77-AR76)/((AS77-AS76)*$D$10)</f>
        <v>65331.49921706142</v>
      </c>
    </row>
    <row r="78" spans="2:46" x14ac:dyDescent="0.25">
      <c r="AO78" s="526">
        <f>'Frame Capacities'!$BK$15</f>
        <v>290.16666666666669</v>
      </c>
      <c r="AP78" s="533">
        <f>'Frame Capacities'!$BY$15</f>
        <v>1.2000259523458645E-2</v>
      </c>
      <c r="AQ78" s="484">
        <f t="shared" ref="AQ78:AQ81" si="21">(AO78-AO77)/((AP78-AP77)*$D$10)</f>
        <v>1207.7159656741328</v>
      </c>
      <c r="AR78" s="526">
        <f>'Infill Capacities'!$CN$15</f>
        <v>425.04</v>
      </c>
      <c r="AS78" s="533">
        <f>'Infill Capacities'!$CZ$15</f>
        <v>4.6919461165917508E-3</v>
      </c>
      <c r="AT78" s="523">
        <f t="shared" ref="AT78:AT80" si="22">(AR78-AR77)/((AS78-AS77)*$D$10)</f>
        <v>9582.5546556113331</v>
      </c>
    </row>
    <row r="79" spans="2:46" x14ac:dyDescent="0.25">
      <c r="AO79" s="526">
        <f>'Frame Capacities'!$BL$15</f>
        <v>256.09999999999997</v>
      </c>
      <c r="AP79" s="533">
        <f>'Frame Capacities'!$BZ$15</f>
        <v>1.3691993806931075E-2</v>
      </c>
      <c r="AQ79" s="484">
        <f t="shared" si="21"/>
        <v>-6712.3753809890995</v>
      </c>
      <c r="AR79" s="526">
        <f>'Infill Capacities'!$CO$15</f>
        <v>42.504000000000005</v>
      </c>
      <c r="AS79" s="533">
        <f>'Infill Capacities'!$DA$15</f>
        <v>1.4916116294006016E-2</v>
      </c>
      <c r="AT79" s="523">
        <f t="shared" si="22"/>
        <v>-12471.623397044073</v>
      </c>
    </row>
    <row r="80" spans="2:46" x14ac:dyDescent="0.25">
      <c r="AO80" s="526">
        <f>'Frame Capacities'!$BM$15</f>
        <v>111.33333333333336</v>
      </c>
      <c r="AP80" s="533">
        <f>'Frame Capacities'!$CA$15</f>
        <v>2.088103685303748E-2</v>
      </c>
      <c r="AQ80" s="484">
        <f t="shared" si="21"/>
        <v>-6712.3753809891014</v>
      </c>
      <c r="AR80" s="526">
        <f>'Infill Capacities'!$CP$15</f>
        <v>42.504000000000005</v>
      </c>
      <c r="AS80" s="533">
        <f>'Infill Capacities'!$DB$15</f>
        <v>0.08</v>
      </c>
      <c r="AT80" s="523">
        <f t="shared" si="22"/>
        <v>0</v>
      </c>
    </row>
    <row r="81" spans="41:46" x14ac:dyDescent="0.25">
      <c r="AO81" s="526">
        <f>'Frame Capacities'!$BN$15</f>
        <v>111.33333333333336</v>
      </c>
      <c r="AP81" s="623">
        <f>'Frame Capacities'!$CB$15</f>
        <v>0.2</v>
      </c>
      <c r="AQ81" s="484">
        <f t="shared" si="21"/>
        <v>0</v>
      </c>
      <c r="AR81" s="527"/>
      <c r="AS81" s="623"/>
      <c r="AT81" s="524"/>
    </row>
    <row r="82" spans="41:46" x14ac:dyDescent="0.25">
      <c r="AO82" s="708" t="s">
        <v>465</v>
      </c>
      <c r="AP82" s="925"/>
      <c r="AQ82" s="709"/>
      <c r="AR82" s="708" t="s">
        <v>466</v>
      </c>
      <c r="AS82" s="925"/>
      <c r="AT82" s="709"/>
    </row>
    <row r="83" spans="41:46" x14ac:dyDescent="0.25">
      <c r="AO83" s="593" t="s">
        <v>480</v>
      </c>
      <c r="AP83" s="593" t="s">
        <v>481</v>
      </c>
      <c r="AQ83" s="594" t="s">
        <v>482</v>
      </c>
      <c r="AR83" s="593" t="s">
        <v>483</v>
      </c>
      <c r="AS83" s="593" t="s">
        <v>484</v>
      </c>
      <c r="AT83" s="593" t="s">
        <v>485</v>
      </c>
    </row>
    <row r="84" spans="41:46" x14ac:dyDescent="0.25">
      <c r="AO84" s="526">
        <v>0</v>
      </c>
      <c r="AP84" s="622">
        <v>0</v>
      </c>
      <c r="AQ84" s="597" t="s">
        <v>66</v>
      </c>
      <c r="AR84" s="526">
        <v>0</v>
      </c>
      <c r="AS84" s="622">
        <v>0</v>
      </c>
      <c r="AT84" s="598" t="s">
        <v>66</v>
      </c>
    </row>
    <row r="85" spans="41:46" x14ac:dyDescent="0.25">
      <c r="AO85" s="526">
        <f>'Frame Capacities'!$BJ$16</f>
        <v>403.27272727272725</v>
      </c>
      <c r="AP85" s="533">
        <f>'Frame Capacities'!$BX$16</f>
        <v>4.8471720397440425E-3</v>
      </c>
      <c r="AQ85" s="484">
        <f>(AO85-AO84)/((AP85-AP84)*$D$11)</f>
        <v>30253.646228516616</v>
      </c>
      <c r="AR85" s="526">
        <f>'Infill Capacities'!$CM$16</f>
        <v>325.24800000000005</v>
      </c>
      <c r="AS85" s="533">
        <f>'Infill Capacities'!$CY$16</f>
        <v>1.7665298310518072E-3</v>
      </c>
      <c r="AT85" s="523">
        <f>(AR85-AR84)/((AS85-AS84)*$D$11)</f>
        <v>66951.600771768368</v>
      </c>
    </row>
    <row r="86" spans="41:46" x14ac:dyDescent="0.25">
      <c r="AO86" s="526">
        <f>'Frame Capacities'!$BK$16</f>
        <v>431.94545454545454</v>
      </c>
      <c r="AP86" s="533">
        <f>'Frame Capacities'!$BY$16</f>
        <v>1.3162720387918327E-2</v>
      </c>
      <c r="AQ86" s="484">
        <f t="shared" ref="AQ86:AQ89" si="23">(AO86-AO85)/((AP86-AP85)*$D$11)</f>
        <v>1253.8495171254599</v>
      </c>
      <c r="AR86" s="526">
        <f>'Infill Capacities'!$CN$16</f>
        <v>406.56000000000012</v>
      </c>
      <c r="AS86" s="533">
        <f>'Infill Capacities'!$CZ$16</f>
        <v>4.838847442015526E-3</v>
      </c>
      <c r="AT86" s="523">
        <f t="shared" ref="AT86:AT87" si="24">(AR86-AR85)/((AS86-AS85)*$D$11)</f>
        <v>9624.0049838874529</v>
      </c>
    </row>
    <row r="87" spans="41:46" x14ac:dyDescent="0.25">
      <c r="AO87" s="526">
        <f>'Frame Capacities'!$BL$16</f>
        <v>347.50909090909096</v>
      </c>
      <c r="AP87" s="533">
        <f>'Frame Capacities'!$BZ$16</f>
        <v>2.0491615374369852E-2</v>
      </c>
      <c r="AQ87" s="484">
        <f t="shared" si="23"/>
        <v>-4189.4627072929507</v>
      </c>
      <c r="AR87" s="526">
        <f>'Infill Capacities'!$CO$16</f>
        <v>40.656000000000006</v>
      </c>
      <c r="AS87" s="533">
        <f>'Infill Capacities'!$DA$16</f>
        <v>1.466169265833132E-2</v>
      </c>
      <c r="AT87" s="523">
        <f t="shared" si="24"/>
        <v>-13545.566184733661</v>
      </c>
    </row>
    <row r="88" spans="41:46" x14ac:dyDescent="0.25">
      <c r="AO88" s="526">
        <f>'Frame Capacities'!$BM$16</f>
        <v>43.381818181818176</v>
      </c>
      <c r="AP88" s="533">
        <f>'Frame Capacities'!$CA$16</f>
        <v>4.6889209353348053E-2</v>
      </c>
      <c r="AQ88" s="484">
        <f t="shared" si="23"/>
        <v>-4189.4627072929507</v>
      </c>
      <c r="AR88" s="526">
        <f>'Infill Capacities'!$CP$16</f>
        <v>40.656000000000006</v>
      </c>
      <c r="AS88" s="533">
        <f>'Infill Capacities'!$DB$16</f>
        <v>0.08</v>
      </c>
      <c r="AT88" s="523">
        <f>(AR88-AR87)/((AS88-AS87)*$D$11)</f>
        <v>0</v>
      </c>
    </row>
    <row r="89" spans="41:46" x14ac:dyDescent="0.25">
      <c r="AO89" s="527">
        <f>'Frame Capacities'!$BN$16</f>
        <v>43.381818181818176</v>
      </c>
      <c r="AP89" s="623">
        <f>'Frame Capacities'!$CB$16</f>
        <v>0.2</v>
      </c>
      <c r="AQ89" s="635">
        <f t="shared" si="23"/>
        <v>0</v>
      </c>
      <c r="AR89" s="527"/>
      <c r="AS89" s="623"/>
      <c r="AT89" s="524"/>
    </row>
  </sheetData>
  <mergeCells count="47">
    <mergeCell ref="B44:E44"/>
    <mergeCell ref="F44:I44"/>
    <mergeCell ref="J44:M44"/>
    <mergeCell ref="B57:E57"/>
    <mergeCell ref="F57:I57"/>
    <mergeCell ref="J57:M57"/>
    <mergeCell ref="B43:M43"/>
    <mergeCell ref="B2:S3"/>
    <mergeCell ref="B15:S16"/>
    <mergeCell ref="D23:F23"/>
    <mergeCell ref="C17:N17"/>
    <mergeCell ref="P17:R24"/>
    <mergeCell ref="D24:F24"/>
    <mergeCell ref="D18:F18"/>
    <mergeCell ref="D22:F22"/>
    <mergeCell ref="D19:F19"/>
    <mergeCell ref="D20:F20"/>
    <mergeCell ref="D21:F21"/>
    <mergeCell ref="K18:M24"/>
    <mergeCell ref="C30:N30"/>
    <mergeCell ref="P30:R37"/>
    <mergeCell ref="D35:F35"/>
    <mergeCell ref="K31:M37"/>
    <mergeCell ref="U4:V4"/>
    <mergeCell ref="U17:V17"/>
    <mergeCell ref="M4:R4"/>
    <mergeCell ref="B28:S29"/>
    <mergeCell ref="C4:J4"/>
    <mergeCell ref="D36:F36"/>
    <mergeCell ref="D37:F37"/>
    <mergeCell ref="D31:F31"/>
    <mergeCell ref="D32:F32"/>
    <mergeCell ref="D33:F33"/>
    <mergeCell ref="D34:F34"/>
    <mergeCell ref="AO42:AQ42"/>
    <mergeCell ref="AR42:AT42"/>
    <mergeCell ref="AO50:AQ50"/>
    <mergeCell ref="AR50:AT50"/>
    <mergeCell ref="U30:V30"/>
    <mergeCell ref="AR58:AT58"/>
    <mergeCell ref="AR66:AT66"/>
    <mergeCell ref="AR74:AT74"/>
    <mergeCell ref="AR82:AT82"/>
    <mergeCell ref="AO58:AQ58"/>
    <mergeCell ref="AO66:AQ66"/>
    <mergeCell ref="AO74:AQ74"/>
    <mergeCell ref="AO82:AQ82"/>
  </mergeCells>
  <phoneticPr fontId="35" type="noConversion"/>
  <conditionalFormatting sqref="N32:N37 N19:N24">
    <cfRule type="cellIs" dxfId="5" priority="9" operator="equal">
      <formula>4</formula>
    </cfRule>
    <cfRule type="cellIs" dxfId="4" priority="10" operator="equal">
      <formula>3</formula>
    </cfRule>
    <cfRule type="cellIs" dxfId="3" priority="11" operator="equal">
      <formula>2</formula>
    </cfRule>
    <cfRule type="cellIs" dxfId="2" priority="1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95883-B2F1-455E-A103-A5C25C00F2BB}">
  <sheetPr codeName="Sheet5"/>
  <dimension ref="A1:AL142"/>
  <sheetViews>
    <sheetView tabSelected="1" zoomScale="80" zoomScaleNormal="80" workbookViewId="0">
      <selection activeCell="L20" sqref="L20"/>
    </sheetView>
  </sheetViews>
  <sheetFormatPr defaultColWidth="10.85546875" defaultRowHeight="15" x14ac:dyDescent="0.25"/>
  <cols>
    <col min="1" max="1" width="8.140625" style="1" customWidth="1"/>
    <col min="2" max="2" width="10.85546875" style="1" customWidth="1"/>
    <col min="3" max="3" width="11.7109375" style="1" bestFit="1" customWidth="1"/>
    <col min="4" max="4" width="12.85546875" style="1" bestFit="1" customWidth="1"/>
    <col min="5" max="5" width="10.7109375" style="1" customWidth="1"/>
    <col min="6" max="6" width="13.5703125" style="1" customWidth="1"/>
    <col min="7" max="7" width="13.7109375" style="1" bestFit="1" customWidth="1"/>
    <col min="8" max="8" width="13.7109375" style="1" customWidth="1"/>
    <col min="9" max="9" width="12.85546875" style="1" bestFit="1" customWidth="1"/>
    <col min="10" max="10" width="10.85546875" style="1" customWidth="1"/>
    <col min="11" max="11" width="12.85546875" style="1" bestFit="1" customWidth="1"/>
    <col min="12" max="12" width="10.85546875" style="1" customWidth="1"/>
    <col min="13" max="13" width="11.7109375" style="1" bestFit="1" customWidth="1"/>
    <col min="14" max="14" width="13.85546875" style="1" bestFit="1" customWidth="1"/>
    <col min="15" max="15" width="11.42578125" style="1" bestFit="1" customWidth="1"/>
    <col min="16" max="16" width="12.140625" style="1" bestFit="1" customWidth="1"/>
    <col min="17" max="17" width="10.85546875" style="1" customWidth="1"/>
    <col min="18" max="18" width="12.140625" style="1" bestFit="1" customWidth="1"/>
    <col min="19" max="28" width="10.85546875" style="1" customWidth="1"/>
    <col min="29" max="29" width="12.7109375" style="1" bestFit="1" customWidth="1"/>
    <col min="30" max="30" width="12.7109375" style="1" customWidth="1"/>
    <col min="31" max="32" width="10.85546875" style="1" customWidth="1"/>
    <col min="33" max="33" width="11.7109375" style="1" bestFit="1" customWidth="1"/>
    <col min="34" max="34" width="13.85546875" style="1" bestFit="1" customWidth="1"/>
    <col min="35" max="35" width="11.42578125" style="1" bestFit="1" customWidth="1"/>
    <col min="36" max="38" width="10.85546875" style="1" customWidth="1"/>
    <col min="39" max="16384" width="10.85546875" style="1"/>
  </cols>
  <sheetData>
    <row r="1" spans="1:38" ht="15.75" thickBot="1" x14ac:dyDescent="0.3">
      <c r="A1" s="990" t="s">
        <v>82</v>
      </c>
      <c r="B1" s="991"/>
      <c r="C1" s="991"/>
      <c r="D1" s="991"/>
      <c r="E1" s="991"/>
      <c r="F1" s="991"/>
      <c r="G1" s="991"/>
      <c r="H1" s="991"/>
      <c r="I1" s="991"/>
      <c r="J1" s="991"/>
      <c r="K1" s="991"/>
      <c r="L1" s="991"/>
      <c r="M1" s="991"/>
      <c r="N1" s="991"/>
      <c r="O1" s="991"/>
      <c r="P1" s="992"/>
      <c r="Q1" s="192"/>
      <c r="R1" s="192"/>
      <c r="S1" s="192"/>
      <c r="T1" s="192"/>
      <c r="U1" s="192"/>
      <c r="V1" s="192"/>
      <c r="W1" s="192"/>
      <c r="X1" s="192"/>
      <c r="Y1" s="192"/>
      <c r="Z1" s="192"/>
      <c r="AA1" s="192"/>
      <c r="AB1" s="192"/>
      <c r="AC1" s="192"/>
      <c r="AD1" s="192"/>
      <c r="AE1" s="192"/>
      <c r="AF1" s="192"/>
      <c r="AG1" s="192"/>
      <c r="AH1" s="192"/>
      <c r="AI1" s="192"/>
      <c r="AJ1" s="192"/>
      <c r="AK1" s="192"/>
      <c r="AL1" s="192"/>
    </row>
    <row r="2" spans="1:38" ht="15.75" thickBot="1" x14ac:dyDescent="0.3">
      <c r="A2" s="993"/>
      <c r="B2" s="994"/>
      <c r="C2" s="994"/>
      <c r="D2" s="994"/>
      <c r="E2" s="994"/>
      <c r="F2" s="994"/>
      <c r="G2" s="994"/>
      <c r="H2" s="994"/>
      <c r="I2" s="994"/>
      <c r="J2" s="994"/>
      <c r="K2" s="994"/>
      <c r="L2" s="994"/>
      <c r="M2" s="994"/>
      <c r="N2" s="994"/>
      <c r="O2" s="994"/>
      <c r="P2" s="995"/>
      <c r="Q2" s="192"/>
      <c r="R2" s="960" t="s">
        <v>243</v>
      </c>
      <c r="S2" s="961"/>
      <c r="T2" s="202"/>
      <c r="U2" s="998" t="s">
        <v>243</v>
      </c>
      <c r="V2" s="999"/>
      <c r="W2" s="999"/>
      <c r="X2" s="999"/>
      <c r="Y2" s="999"/>
      <c r="Z2" s="999"/>
      <c r="AA2" s="999"/>
      <c r="AB2" s="999"/>
      <c r="AC2" s="999"/>
      <c r="AD2" s="999"/>
      <c r="AE2" s="999"/>
      <c r="AF2" s="999"/>
      <c r="AG2" s="999"/>
      <c r="AH2" s="999"/>
      <c r="AI2" s="999"/>
      <c r="AJ2" s="1000"/>
      <c r="AK2" s="192"/>
      <c r="AL2" s="192"/>
    </row>
    <row r="3" spans="1:38" x14ac:dyDescent="0.25">
      <c r="A3" s="703" t="s">
        <v>0</v>
      </c>
      <c r="B3" s="698" t="s">
        <v>72</v>
      </c>
      <c r="C3" s="698" t="s">
        <v>73</v>
      </c>
      <c r="D3" s="696" t="s">
        <v>74</v>
      </c>
      <c r="E3" s="698" t="s">
        <v>76</v>
      </c>
      <c r="F3" s="698" t="s">
        <v>77</v>
      </c>
      <c r="G3" s="956" t="s">
        <v>495</v>
      </c>
      <c r="H3" s="956" t="s">
        <v>496</v>
      </c>
      <c r="I3" s="956" t="s">
        <v>497</v>
      </c>
      <c r="J3" s="956" t="s">
        <v>498</v>
      </c>
      <c r="K3" s="696" t="s">
        <v>185</v>
      </c>
      <c r="L3" s="696" t="s">
        <v>184</v>
      </c>
      <c r="M3" s="696" t="s">
        <v>186</v>
      </c>
      <c r="N3" s="708" t="s">
        <v>187</v>
      </c>
      <c r="O3" s="955" t="s">
        <v>349</v>
      </c>
      <c r="P3" s="996" t="s">
        <v>393</v>
      </c>
      <c r="Q3" s="192"/>
      <c r="R3" s="701" t="s">
        <v>81</v>
      </c>
      <c r="S3" s="697" t="s">
        <v>80</v>
      </c>
      <c r="T3" s="192"/>
      <c r="U3" s="698" t="s">
        <v>0</v>
      </c>
      <c r="V3" s="968" t="s">
        <v>72</v>
      </c>
      <c r="W3" s="698" t="s">
        <v>101</v>
      </c>
      <c r="X3" s="708" t="s">
        <v>74</v>
      </c>
      <c r="Y3" s="698" t="s">
        <v>76</v>
      </c>
      <c r="Z3" s="698" t="s">
        <v>77</v>
      </c>
      <c r="AA3" s="985" t="s">
        <v>495</v>
      </c>
      <c r="AB3" s="956" t="s">
        <v>496</v>
      </c>
      <c r="AC3" s="956" t="s">
        <v>497</v>
      </c>
      <c r="AD3" s="956" t="s">
        <v>498</v>
      </c>
      <c r="AE3" s="696" t="s">
        <v>185</v>
      </c>
      <c r="AF3" s="696" t="s">
        <v>184</v>
      </c>
      <c r="AG3" s="696" t="s">
        <v>186</v>
      </c>
      <c r="AH3" s="696" t="s">
        <v>187</v>
      </c>
      <c r="AI3" s="955" t="s">
        <v>349</v>
      </c>
      <c r="AJ3" s="955" t="s">
        <v>393</v>
      </c>
      <c r="AK3" s="986" t="s">
        <v>239</v>
      </c>
      <c r="AL3" s="192"/>
    </row>
    <row r="4" spans="1:38" x14ac:dyDescent="0.25">
      <c r="A4" s="703"/>
      <c r="B4" s="698"/>
      <c r="C4" s="698"/>
      <c r="D4" s="696"/>
      <c r="E4" s="698"/>
      <c r="F4" s="698"/>
      <c r="G4" s="956"/>
      <c r="H4" s="956"/>
      <c r="I4" s="956"/>
      <c r="J4" s="956"/>
      <c r="K4" s="696"/>
      <c r="L4" s="696"/>
      <c r="M4" s="696"/>
      <c r="N4" s="708"/>
      <c r="O4" s="955"/>
      <c r="P4" s="996"/>
      <c r="Q4" s="192"/>
      <c r="R4" s="964"/>
      <c r="S4" s="965"/>
      <c r="T4" s="192"/>
      <c r="U4" s="698"/>
      <c r="V4" s="968"/>
      <c r="W4" s="698"/>
      <c r="X4" s="708"/>
      <c r="Y4" s="698"/>
      <c r="Z4" s="698"/>
      <c r="AA4" s="985"/>
      <c r="AB4" s="956"/>
      <c r="AC4" s="956"/>
      <c r="AD4" s="956"/>
      <c r="AE4" s="964"/>
      <c r="AF4" s="964"/>
      <c r="AG4" s="696"/>
      <c r="AH4" s="696"/>
      <c r="AI4" s="955"/>
      <c r="AJ4" s="955"/>
      <c r="AK4" s="986"/>
      <c r="AL4" s="192"/>
    </row>
    <row r="5" spans="1:38" ht="15.75" x14ac:dyDescent="0.25">
      <c r="A5" s="343">
        <v>6</v>
      </c>
      <c r="B5" s="17">
        <f>B6+hstr6</f>
        <v>17.75</v>
      </c>
      <c r="C5" s="21">
        <f t="shared" ref="C5:C10" si="0">(D5-D6)/(B5-B6)</f>
        <v>1.2889052100359955E-5</v>
      </c>
      <c r="D5" s="203">
        <f>_xlfn.IFS(($C$24=1),(theta_c*B5),($C$24=2),(theta_c*(B5-B6)*((4*$B$5-B5)/(4*$B$5-$B$10))),($C$24=3),(C35))</f>
        <v>5.5160561424730486E-4</v>
      </c>
      <c r="E5" s="17">
        <f>mstr6</f>
        <v>63.074599999999997</v>
      </c>
      <c r="F5" s="21">
        <f t="shared" ref="F5:F10" si="1">E5*D5</f>
        <v>3.4792303476403053E-2</v>
      </c>
      <c r="G5" s="568">
        <f>((E5*D5)/(F12)*$L$15)</f>
        <v>2.4248588898975423</v>
      </c>
      <c r="H5" s="568">
        <f>J5+$O$15</f>
        <v>2.4248588898975423</v>
      </c>
      <c r="I5" s="568">
        <f>G5</f>
        <v>2.4248588898975423</v>
      </c>
      <c r="J5" s="569">
        <f>I5-$O$15</f>
        <v>2.4248588898975423</v>
      </c>
      <c r="K5" s="204">
        <f>IF(($H$16=0),(_xlfn.IFS((C5&lt;='Frame Capacities'!$BX$11),(C5*hstr6*'Frame Capacities'!$BQ$11),(AND((C5&gt;'Frame Capacities'!$BX$11),(C5&lt;='Frame Capacities'!$BY$11))),((C5-'Frame Capacities'!$BX$11)*hstr6*('Frame Capacities'!$BR$11)+'Frame Capacities'!$BJ$11),(AND((C5&gt;'Frame Capacities'!$BY$11),(C5&lt;='Frame Capacities'!$BZ$11))),((C5-'Frame Capacities'!$BY$11)*hstr6*('Frame Capacities'!$BS$11)+'Frame Capacities'!$BK$11),(AND((C5&gt;'Frame Capacities'!$BZ$11),(C5&lt;='Frame Capacities'!$CA$11))),((C5-'Frame Capacities'!$BZ$11)*hstr6*('Frame Capacities'!$BT$11)+'Frame Capacities'!$BL$11),(AND((C5&gt;'Frame Capacities'!$CA$11),(C5&lt;='Frame Capacities'!$CB$11))),((C5-'Frame Capacities'!$CA$11)*hstr6*('Frame Capacities'!$BU$11)+'Frame Capacities'!$BM$11))),((C5-'Frame Capacities'!$CC$11)*hstr6*'Frame Capacities'!$BV$11+'Frame Capacities'!$BO$11))</f>
        <v>0.21046234544847225</v>
      </c>
      <c r="L5" s="205">
        <f>IF(($H$16=0),(_xlfn.IFS((C5&lt;='Infill Capacities'!$CY$11),(C5*'Infill Capacities'!$CS$11*hstr6),(AND((C5&gt;'Infill Capacities'!$CY$11),(C5&lt;='Infill Capacities'!$CZ$11))),((C5-'Infill Capacities'!$CY$11)*hstr6*('Infill Capacities'!$CT$11)+'Infill Capacities'!$CM$11),(AND((C5&gt;'Infill Capacities'!$CZ$11),(C5&lt;='Infill Capacities'!$DA$11))),((C5-'Infill Capacities'!$CZ$11)*hstr6*('Infill Capacities'!$CU$11)+'Infill Capacities'!$CN$11),(AND((C5&gt;'Infill Capacities'!$DA$11),(C5&lt;='Infill Capacities'!$DB$11))),((C5-'Infill Capacities'!$DA$11)*hstr6*('Infill Capacities'!$CV$11)+'Infill Capacities'!$CP$11))),((C5-'Infill Capacities'!$DC$11)*hstr6*'Infill Capacities'!$CW$11+'Infill Capacities'!$CQ$11))</f>
        <v>2.2144185530304688</v>
      </c>
      <c r="M5" s="21">
        <f>K5/$C$16</f>
        <v>1.5505575548757781E-3</v>
      </c>
      <c r="N5" s="206">
        <f>L5/$D$16</f>
        <v>6.4522685111610386E-3</v>
      </c>
      <c r="O5" s="207">
        <f>K5+L5</f>
        <v>2.4248808984789409</v>
      </c>
      <c r="P5" s="570">
        <f>J5-O5</f>
        <v>-2.2008581398669236E-5</v>
      </c>
      <c r="Q5" s="192"/>
      <c r="R5" s="49">
        <f>IF(($H$16=0),(_xlfn.IFS(('System Capacities'!$N$19+'System Capacities'!$N$32=2),((J5)/$G$16),('System Capacities'!$N$19+'System Capacities'!$N$32=3),(((J5)-'System Capacities'!$C$47/$G$16)+('System Capacities'!$D$47*hstr6)),('System Capacities'!$N$19+'System Capacities'!$N$32=4),(((J5-'System Capacities'!$C$48)/ABS($G$16))+('System Capacities'!$D$48*hstr6)),('System Capacities'!$N$19+'System Capacities'!$N$32=5),(((J5-'System Capacities'!$C$49)/($G$16))+('System Capacities'!$D$49*hstr6)),('System Capacities'!$N$19+'System Capacities'!$N$32=6),(((J5-'System Capacities'!$C$50)/($G$16))+('System Capacities'!$D$50*hstr6)),('System Capacities'!$N$19+'System Capacities'!$N$32=7),(((J5-'System Capacities'!$C$51)/($G$16))+('System Capacities'!$D$51*hstr6)),('System Capacities'!$N$19+'System Capacities'!$N$32=8),(((J5-'System Capacities'!$C$52)/($G$16))+('System Capacities'!$D$52*hstr6)),('System Capacities'!$N$19+'System Capacities'!$N$32=9),(((J5-'System Capacities'!$C$53)/($G$16))+('System Capacities'!$D$53*hstr6)),('System Capacities'!$N$19+'System Capacities'!$N$32=10),(((J5-'System Capacities'!$C$54)/($G$16))+('System Capacities'!$D$54*hstr6)))),((ABS(J5-$E$16)/(-1*$G$16))+($F$16*hstr6)))</f>
        <v>3.8666805352191015E-5</v>
      </c>
      <c r="S5" s="589">
        <f>S6+R5</f>
        <v>5.5159860165423613E-4</v>
      </c>
      <c r="T5" s="192"/>
      <c r="U5" s="553">
        <v>6</v>
      </c>
      <c r="V5" s="551">
        <f>V6+hstr6</f>
        <v>17.75</v>
      </c>
      <c r="W5" s="58">
        <f t="shared" ref="W5:W10" si="2">R5/(V5-V6)</f>
        <v>1.2888935117397005E-5</v>
      </c>
      <c r="X5" s="571">
        <f t="shared" ref="X5:X11" si="3">S5</f>
        <v>5.5159860165423613E-4</v>
      </c>
      <c r="Y5" s="554">
        <f>mstr6</f>
        <v>63.074599999999997</v>
      </c>
      <c r="Z5" s="261">
        <f>Y5*X5</f>
        <v>3.4791861159900281E-2</v>
      </c>
      <c r="AA5" s="572">
        <f>((Y5*X5)/(Z12)*$L$15)</f>
        <v>2.4248734505488279</v>
      </c>
      <c r="AB5" s="572">
        <f>AD5+$O$15</f>
        <v>2.4248734505488279</v>
      </c>
      <c r="AC5" s="572">
        <f>AA5</f>
        <v>2.4248734505488279</v>
      </c>
      <c r="AD5" s="573">
        <f>AC5-$O$15</f>
        <v>2.4248734505488279</v>
      </c>
      <c r="AE5" s="94">
        <f>IF(($H$16=0),(_xlfn.IFS((W5&lt;='Frame Capacities'!$BX$11),(W5*hstr6*'Frame Capacities'!$BQ$11),(AND((W5&gt;'Frame Capacities'!$BX$11),(W5&lt;='Frame Capacities'!$BY$11))),((W5-'Frame Capacities'!$BX$11)*hstr6*('Frame Capacities'!$BR$11)+'Frame Capacities'!$BJ$11),(AND((W5&gt;'Frame Capacities'!$BY$11),(W5&lt;='Frame Capacities'!$BZ$11))),((W5-'Frame Capacities'!$BY$11)*hstr6*('Frame Capacities'!$BS$11)+'Frame Capacities'!$BK$11),(AND((W5&gt;'Frame Capacities'!$BZ$11),(W5&lt;='Frame Capacities'!$CA$11))),((W5-'Frame Capacities'!$BZ$11)*hstr6*('Frame Capacities'!$BT$11)+'Frame Capacities'!$BL$11),(AND((W5&gt;'Frame Capacities'!$CA$11),(W5&lt;='Frame Capacities'!$CB$11))),((W5-'Frame Capacities'!$CA$11)*hstr6*('Frame Capacities'!$BU$11)+'Frame Capacities'!$BM$11))),((W5-'Frame Capacities'!$CC$11)*hstr6*'Frame Capacities'!$BV$11+'Frame Capacities'!$BO$11))</f>
        <v>0.21046043526077432</v>
      </c>
      <c r="AF5" s="667">
        <f>IF(($H$16=0),(_xlfn.IFS((W5&lt;='Infill Capacities'!$CY$11),(W5*'Infill Capacities'!$CS$11*hstr6),(AND((W5&gt;'Infill Capacities'!$CY$11),(W5&lt;='Infill Capacities'!$CZ$11))),((W5-'Infill Capacities'!$CY$11)*hstr6*('Infill Capacities'!$CT$11)+'Infill Capacities'!$CM$11),(AND((W5&gt;'Infill Capacities'!$CZ$11),(W5&lt;='Infill Capacities'!$DA$11))),((W5-'Infill Capacities'!$CZ$11)*hstr6*('Infill Capacities'!$CU$11)+'Infill Capacities'!$CN$11),(AND((W5&gt;'Infill Capacities'!$DA$11),(W5&lt;='Infill Capacities'!$DB$11))),((W5-'Infill Capacities'!$DA$11)*hstr6*('Infill Capacities'!$CV$11)+'Infill Capacities'!$CP$11))),((W5-'Infill Capacities'!$DC$11)*hstr6*'Infill Capacities'!$CW$11+'Infill Capacities'!$CQ$11))</f>
        <v>2.2143984546367679</v>
      </c>
      <c r="AG5" s="58">
        <f>AE5/$C$16</f>
        <v>1.550543481783701E-3</v>
      </c>
      <c r="AH5" s="55">
        <f>AF5/$D$16</f>
        <v>6.4522099494078305E-3</v>
      </c>
      <c r="AI5" s="575">
        <f t="shared" ref="AI5:AI10" si="4">AE5+AF5</f>
        <v>2.4248588898975423</v>
      </c>
      <c r="AJ5" s="576">
        <f>AD5-AI5</f>
        <v>1.4560651285577819E-5</v>
      </c>
      <c r="AK5" s="209">
        <f>(AD5-(AI5))/AD5</f>
        <v>6.004705640322083E-6</v>
      </c>
      <c r="AL5" s="192"/>
    </row>
    <row r="6" spans="1:38" ht="15.75" x14ac:dyDescent="0.25">
      <c r="A6" s="343">
        <v>5</v>
      </c>
      <c r="B6" s="17">
        <f>B7+hstr5</f>
        <v>14.75</v>
      </c>
      <c r="C6" s="21">
        <f t="shared" si="0"/>
        <v>2.4743759239564695E-5</v>
      </c>
      <c r="D6" s="203">
        <f t="shared" ref="D6:D11" si="5">_xlfn.IFS(($C$24=1),(theta_c*B6),($C$24=2),(theta_c*(B6-B7)*((4*$B$5-B6)/(4*$B$5-$B$10))),($C$24=3),(C36))</f>
        <v>5.12938457946225E-4</v>
      </c>
      <c r="E6" s="17">
        <f>mstr5</f>
        <v>67.278400000000005</v>
      </c>
      <c r="F6" s="21">
        <f t="shared" si="1"/>
        <v>3.4509678749089306E-2</v>
      </c>
      <c r="G6" s="568">
        <f>((E6*D6)/(F12)*$L$15)</f>
        <v>2.4051612839889138</v>
      </c>
      <c r="H6" s="568">
        <f>J6-J5+$O$16</f>
        <v>2.4051832925703125</v>
      </c>
      <c r="I6" s="568">
        <f>I5+G6</f>
        <v>4.8300201738864565</v>
      </c>
      <c r="J6" s="569">
        <f>I6-P5-$O$16</f>
        <v>4.8300421824678548</v>
      </c>
      <c r="K6" s="204">
        <f>IF(($H$17=0),(_xlfn.IFS((C6&lt;='Frame Capacities'!$BX$12),(C6*hstr5*'Frame Capacities'!$BQ$12),(AND((C6&gt;'Frame Capacities'!$BX$12),(C6&lt;='Frame Capacities'!$BY$12))),((C6-'Frame Capacities'!$BX$12)*hstr5*('Frame Capacities'!$BR$12)+'Frame Capacities'!$BJ$12),(AND((C6&gt;'Frame Capacities'!$BY$12),(C6&lt;='Frame Capacities'!$BZ$12))),((C6-'Frame Capacities'!$BY$12)*hstr5*('Frame Capacities'!$BS$12)+'Frame Capacities'!$BK$12),(AND((C6&gt;'Frame Capacities'!$BZ$12),(C6&lt;='Frame Capacities'!$CA$12))),((C6-'Frame Capacities'!$BZ$12)*hstr5*('Frame Capacities'!$BT$12)+'Frame Capacities'!$BL$12),(AND((C6&gt;'Frame Capacities'!$CA$12),(C6&lt;='Frame Capacities'!$CB$12))),((C6-'Frame Capacities'!$CA$12)*hstr5*('Frame Capacities'!$BU$12)+'Frame Capacities'!$BM$12))),((C6-'Frame Capacities'!$CC$12)*hstr5*'Frame Capacities'!$BV$12+'Frame Capacities'!$BO$12))</f>
        <v>0.41662410322514531</v>
      </c>
      <c r="L6" s="205">
        <f>IF(($H$17=0),(_xlfn.IFS((C6&lt;='Infill Capacities'!$CY$12),(C6*'Infill Capacities'!$CS$12*hstr5),(AND((C6&gt;'Infill Capacities'!$CY$12),(C6&lt;='Infill Capacities'!$CZ$12))),((C6-'Infill Capacities'!$CY$12)*hstr5*('Infill Capacities'!$CT$12)+'Infill Capacities'!$CM$12),(AND((C6&gt;'Infill Capacities'!$CZ$12),(C6&lt;='Infill Capacities'!$DA$12))),((C6-'Infill Capacities'!$CZ$12)*hstr5*('Infill Capacities'!$CU$12)+'Infill Capacities'!$CN$12),(AND((C6&gt;'Infill Capacities'!$DA$12),(C6&lt;='Infill Capacities'!$DB$12))),((C6-'Infill Capacities'!$DA$12)*hstr5*('Infill Capacities'!$CV$12)+'Infill Capacities'!$CP$12))),((C6-'Infill Capacities'!$DC$12)*hstr5*'Infill Capacities'!$CW$12+'Infill Capacities'!$CQ$12))</f>
        <v>4.4134213678681169</v>
      </c>
      <c r="M6" s="21">
        <f>K6/$C$17</f>
        <v>2.5781194506506512E-3</v>
      </c>
      <c r="N6" s="206">
        <f>L6/$D$17</f>
        <v>1.2859619370245094E-2</v>
      </c>
      <c r="O6" s="207">
        <f t="shared" ref="O6:O10" si="6">K6+L6</f>
        <v>4.8300454710932623</v>
      </c>
      <c r="P6" s="570">
        <f>J6-O6</f>
        <v>-3.2886254075492616E-6</v>
      </c>
      <c r="Q6" s="192"/>
      <c r="R6" s="56">
        <f>IF(($H$17=0),(_xlfn.IFS(('System Capacities'!$N$20+'System Capacities'!$N$33=2),((J6/$G$17)),('System Capacities'!$N$20+'System Capacities'!$N$33=3),(((J6-'System Capacities'!$G$47)/($G$17))+('System Capacities'!$H$47*hstr5)),('System Capacities'!$N$20+'System Capacities'!$N$33=4),(((J6-'System Capacities'!$G$48)/($G$17))+('System Capacities'!$H$48*hstr5)),('System Capacities'!$N$20+'System Capacities'!$N$33=5),(((J6-'System Capacities'!$G$49)/($G$17))+('System Capacities'!$H$49*hstr5)),('System Capacities'!$N$20+'System Capacities'!$N$33=6),(((J6-'System Capacities'!$G$50)/($G$17))+('System Capacities'!$H$50*hstr5)),('System Capacities'!$N$20+'System Capacities'!$N$33=7),(((J6-'System Capacities'!$G$51)/($G$17))+('System Capacities'!$H$51*hstr5)),('System Capacities'!$N$20+'System Capacities'!$N$33=8),(((J6-'System Capacities'!$G$52)/($G$17))+('System Capacities'!$H$52*hstr5)),('System Capacities'!$N$20+'System Capacities'!$N$33=9),(((J6-'System Capacities'!$G$53)/($G$17))+('System Capacities'!$H$53*hstr5)),('System Capacities'!$N$20+'System Capacities'!$N$33=10),(((J6-'System Capacities'!$G$54)/($G$17))+('System Capacities'!$H$54*hstr5)))),((ABS(J6-$E$17)/(-1*$G$17))+($F$17*hstr5)))</f>
        <v>7.4231227176961638E-5</v>
      </c>
      <c r="S6" s="590">
        <f>S7+R6</f>
        <v>5.1293179630204514E-4</v>
      </c>
      <c r="T6" s="192"/>
      <c r="U6" s="553">
        <v>5</v>
      </c>
      <c r="V6" s="551">
        <f>V7+hstr5</f>
        <v>14.75</v>
      </c>
      <c r="W6" s="58">
        <f t="shared" si="2"/>
        <v>2.4743742392320545E-5</v>
      </c>
      <c r="X6" s="571">
        <f t="shared" si="3"/>
        <v>5.1293179630204514E-4</v>
      </c>
      <c r="Y6" s="554">
        <f>mstr5</f>
        <v>67.278400000000005</v>
      </c>
      <c r="Z6" s="261">
        <f t="shared" ref="Z6:Z10" si="7">Y6*X6</f>
        <v>3.4509230564327517E-2</v>
      </c>
      <c r="AA6" s="572">
        <f>((Y6*X6)/(Z12)*$L$15)</f>
        <v>2.4051750669421725</v>
      </c>
      <c r="AB6" s="572">
        <f>AD6-AD5+$O$16</f>
        <v>2.4051605062908874</v>
      </c>
      <c r="AC6" s="572">
        <f>AC5+AA6</f>
        <v>4.8300485174910008</v>
      </c>
      <c r="AD6" s="573">
        <f>AC6-AJ5-$O$16</f>
        <v>4.8300339568397153</v>
      </c>
      <c r="AE6" s="99">
        <f>IF(($H$17=0),(_xlfn.IFS((W6&lt;='Frame Capacities'!$BX$12),(W6*hstr5*'Frame Capacities'!$BQ$12),(AND((W6&gt;'Frame Capacities'!$BX$12),(W6&lt;='Frame Capacities'!$BY$12))),((W6-'Frame Capacities'!$BX$12)*hstr5*('Frame Capacities'!$BR$12)+'Frame Capacities'!$BJ$12),(AND((W6&gt;'Frame Capacities'!$BY$12),(W6&lt;='Frame Capacities'!$BZ$12))),((W6-'Frame Capacities'!$BY$12)*hstr5*('Frame Capacities'!$BS$12)+'Frame Capacities'!$BK$12),(AND((W6&gt;'Frame Capacities'!$BZ$12),(W6&lt;='Frame Capacities'!$CA$12))),((W6-'Frame Capacities'!$BZ$12)*hstr5*('Frame Capacities'!$BT$12)+'Frame Capacities'!$BL$12),(AND((W6&gt;'Frame Capacities'!$CA$12),(W6&lt;='Frame Capacities'!$CB$12))),((W6-'Frame Capacities'!$CA$12)*hstr5*('Frame Capacities'!$BU$12)+'Frame Capacities'!$BM$12))),((W6-'Frame Capacities'!$CC$12)*hstr5*'Frame Capacities'!$BV$12+'Frame Capacities'!$BO$12))</f>
        <v>0.41662381955895228</v>
      </c>
      <c r="AF6" s="574">
        <f>IF(($H$17=0),(_xlfn.IFS((W6&lt;='Infill Capacities'!$CY$12),(W6*'Infill Capacities'!$CS$12*hstr5),(AND((W6&gt;'Infill Capacities'!$CY$12),(W6&lt;='Infill Capacities'!$CZ$12))),((W6-'Infill Capacities'!$CY$12)*hstr5*('Infill Capacities'!$CT$12)+'Infill Capacities'!$CM$12),(AND((W6&gt;'Infill Capacities'!$CZ$12),(W6&lt;='Infill Capacities'!$DA$12))),((W6-'Infill Capacities'!$CZ$12)*hstr5*('Infill Capacities'!$CU$12)+'Infill Capacities'!$CN$12),(AND((W6&gt;'Infill Capacities'!$DA$12),(W6&lt;='Infill Capacities'!$DB$12))),((W6-'Infill Capacities'!$DA$12)*hstr5*('Infill Capacities'!$CV$12)+'Infill Capacities'!$CP$12))),((W6-'Infill Capacities'!$DC$12)*hstr5*'Infill Capacities'!$CW$12+'Infill Capacities'!$CQ$12))</f>
        <v>4.4134183629089021</v>
      </c>
      <c r="AG6" s="58">
        <f>AE6/$C$17</f>
        <v>2.5781176952905461E-3</v>
      </c>
      <c r="AH6" s="55">
        <f>AF6/$D$17</f>
        <v>1.2859610614536426E-2</v>
      </c>
      <c r="AI6" s="575">
        <f t="shared" si="4"/>
        <v>4.8300421824678548</v>
      </c>
      <c r="AJ6" s="576">
        <f>AD6-AI6</f>
        <v>-8.2256281395132191E-6</v>
      </c>
      <c r="AK6" s="209">
        <f t="shared" ref="AK6:AK10" si="8">(AD6-(AI6))/AD6</f>
        <v>-1.7030166274224781E-6</v>
      </c>
      <c r="AL6" s="192"/>
    </row>
    <row r="7" spans="1:38" ht="15.75" x14ac:dyDescent="0.25">
      <c r="A7" s="343">
        <v>4</v>
      </c>
      <c r="B7" s="17">
        <f>B8+hstr4</f>
        <v>11.75</v>
      </c>
      <c r="C7" s="21">
        <f t="shared" si="0"/>
        <v>3.3510025443608879E-5</v>
      </c>
      <c r="D7" s="203">
        <f t="shared" si="5"/>
        <v>4.3870718022753091E-4</v>
      </c>
      <c r="E7" s="17">
        <f>mstr4</f>
        <v>67.278400000000005</v>
      </c>
      <c r="F7" s="21">
        <f t="shared" si="1"/>
        <v>2.9515517154219916E-2</v>
      </c>
      <c r="G7" s="568">
        <f>((E7*D7)/(F12)*$L$15)</f>
        <v>2.0570918568204219</v>
      </c>
      <c r="H7" s="568">
        <f>J7-J6+$O$17</f>
        <v>2.0570731368644317</v>
      </c>
      <c r="I7" s="568">
        <f t="shared" ref="I7:I10" si="9">I6+G7</f>
        <v>6.8871120307068789</v>
      </c>
      <c r="J7" s="569">
        <f>I7-P6-$O$17</f>
        <v>6.8871153193322865</v>
      </c>
      <c r="K7" s="204">
        <f>IF(($H$18=0),(_xlfn.IFS((C7&lt;='Frame Capacities'!$BX$13),(C7*hstr4*'Frame Capacities'!$BQ$13),(AND((C7&gt;'Frame Capacities'!$BX$13),(C7&lt;='Frame Capacities'!$BY$13))),((C7-'Frame Capacities'!$BX$13)*hstr4*('Frame Capacities'!$BR$13)+'Frame Capacities'!$BJ$13),(AND((C7&gt;'Frame Capacities'!$BY$13),(C7&lt;='Frame Capacities'!$BZ$13))),((C7-'Frame Capacities'!$BY$13)*hstr4*('Frame Capacities'!$BS$13)+'Frame Capacities'!$BK$13),(AND((C7&gt;'Frame Capacities'!$BZ$13),(C7&lt;='Frame Capacities'!$CA$13))),((C7-'Frame Capacities'!$BZ$13)*hstr4*('Frame Capacities'!$BT$13)+'Frame Capacities'!$BL$13),(AND((C7&gt;'Frame Capacities'!$CA$13),(C7&lt;='Frame Capacities'!$CB$13))),((C7-'Frame Capacities'!$CA$13)*hstr4*('Frame Capacities'!$BU$13)+'Frame Capacities'!$BM$13))),((C7-'Frame Capacities'!$CC$13)*hstr4*'Frame Capacities'!$BV$13+'Frame Capacities'!$BO$13))</f>
        <v>0.67115990258427716</v>
      </c>
      <c r="L7" s="205">
        <f>IF(($H$18=0),(_xlfn.IFS((C7&lt;='Infill Capacities'!$CY$13),(C7*'Infill Capacities'!$CS$13*hstr4),(AND((C7&gt;'Infill Capacities'!$CY$13),(C7&lt;='Infill Capacities'!$CZ$13))),((C7-'Infill Capacities'!$CY$13)*hstr4*('Infill Capacities'!$CT$13)+'Infill Capacities'!$CM$13),(AND((C7&gt;'Infill Capacities'!$CZ$13),(C7&lt;='Infill Capacities'!$DA$13))),((C7-'Infill Capacities'!$CZ$13)*hstr4*('Infill Capacities'!$CU$13)+'Infill Capacities'!$CN$13),(AND((C7&gt;'Infill Capacities'!$DA$13),(C7&lt;='Infill Capacities'!$DB$13))),((C7-'Infill Capacities'!$DA$13)*hstr4*('Infill Capacities'!$CV$13)+'Infill Capacities'!$CP$13))),((C7-'Infill Capacities'!$DC$13)*hstr4*'Infill Capacities'!$CW$13+'Infill Capacities'!$CQ$13))</f>
        <v>6.2159794920296285</v>
      </c>
      <c r="M7" s="21">
        <f>K7/$C$18</f>
        <v>3.7790535055421013E-3</v>
      </c>
      <c r="N7" s="206">
        <f>L7/$D$18</f>
        <v>1.8111828356729684E-2</v>
      </c>
      <c r="O7" s="207">
        <f t="shared" si="6"/>
        <v>6.8871393946139055</v>
      </c>
      <c r="P7" s="570">
        <f t="shared" ref="P7:P10" si="10">J7-O7</f>
        <v>-2.4075281618962663E-5</v>
      </c>
      <c r="Q7" s="192"/>
      <c r="R7" s="56">
        <f>IF(($H$18=0),(_xlfn.IFS(('System Capacities'!$N$21+'System Capacities'!$N$34=2),((J7/$G$18)),('System Capacities'!$N$21+'System Capacities'!$N$34=3),(((J7-'System Capacities'!$K$47)/($G$18))+('System Capacities'!$L$47*hstr4)),('System Capacities'!$N$21+'System Capacities'!$N$34=4),(((J7-'System Capacities'!$K$48)/ABS($G$18))+('System Capacities'!$L$48*hstr4)),('System Capacities'!$N$21+'System Capacities'!$N$34=5),(((J7-'System Capacities'!$K$49)/($G$18))+('System Capacities'!$L$49*hstr4)),('System Capacities'!$N$21+'System Capacities'!$N$34=6),(((J7-'System Capacities'!$K$50)/ABS($G$18))+('System Capacities'!$L$50*hstr4)),('System Capacities'!$N$21+'System Capacities'!$N$34=7),(((J7-'System Capacities'!$K$51)/($G$18))+('System Capacities'!$L$51*hstr4)),('System Capacities'!$N$21+'System Capacities'!$N$34=8),(((J7-'System Capacities'!$K$52)/($G$18))+('System Capacities'!$L$52*hstr4)),('System Capacities'!$N$21+'System Capacities'!$N$34=9),(((J7-'System Capacities'!$K$53)/($G$18))+('System Capacities'!$L$53*hstr4)),('System Capacities'!$N$21+'System Capacities'!$N$34=10),(((J7-'System Capacities'!$K$54)/($G$18))+('System Capacities'!$L$54*hstr4)))),((ABS(J7-$E$18)/(-1*$G$18))+($F$18*hstr4)))</f>
        <v>1.0052972490917532E-4</v>
      </c>
      <c r="S7" s="590">
        <f t="shared" ref="S7:S9" si="11">S8+R7</f>
        <v>4.3870056912508352E-4</v>
      </c>
      <c r="T7" s="192"/>
      <c r="U7" s="553">
        <v>4</v>
      </c>
      <c r="V7" s="551">
        <f>V8+hstr4</f>
        <v>11.75</v>
      </c>
      <c r="W7" s="58">
        <f t="shared" si="2"/>
        <v>3.3509908303058439E-5</v>
      </c>
      <c r="X7" s="571">
        <f t="shared" si="3"/>
        <v>4.3870056912508352E-4</v>
      </c>
      <c r="Y7" s="554">
        <f>mstr4</f>
        <v>67.278400000000005</v>
      </c>
      <c r="Z7" s="261">
        <f t="shared" si="7"/>
        <v>2.9515072369825021E-2</v>
      </c>
      <c r="AA7" s="572">
        <f>((Y7*X7)/(Z12)*$L$15)</f>
        <v>2.0570993615916437</v>
      </c>
      <c r="AB7" s="572">
        <f>AD7-AD6+$O$17</f>
        <v>2.0571221478710688</v>
      </c>
      <c r="AC7" s="572">
        <f t="shared" ref="AC7:AC10" si="12">AC6+AA7</f>
        <v>6.8871478790826446</v>
      </c>
      <c r="AD7" s="573">
        <f>AC7-AJ6-$O$17</f>
        <v>6.8871561047107841</v>
      </c>
      <c r="AE7" s="99">
        <f>IF(($H$18=0),(_xlfn.IFS((W7&lt;='Frame Capacities'!$BX$13),(W7*hstr4*'Frame Capacities'!$BQ$13),(AND((W7&gt;'Frame Capacities'!$BX$13),(W7&lt;='Frame Capacities'!$BY$13))),((W7-'Frame Capacities'!$BX$13)*hstr4*('Frame Capacities'!$BR$13)+'Frame Capacities'!$BJ$13),(AND((W7&gt;'Frame Capacities'!$BY$13),(W7&lt;='Frame Capacities'!$BZ$13))),((W7-'Frame Capacities'!$BY$13)*hstr4*('Frame Capacities'!$BS$13)+'Frame Capacities'!$BK$13),(AND((W7&gt;'Frame Capacities'!$BZ$13),(W7&lt;='Frame Capacities'!$CA$13))),((W7-'Frame Capacities'!$BZ$13)*hstr4*('Frame Capacities'!$BT$13)+'Frame Capacities'!$BL$13),(AND((W7&gt;'Frame Capacities'!$CA$13),(W7&lt;='Frame Capacities'!$CB$13))),((W7-'Frame Capacities'!$CA$13)*hstr4*('Frame Capacities'!$BU$13)+'Frame Capacities'!$BM$13))),((W7-'Frame Capacities'!$CC$13)*hstr4*'Frame Capacities'!$BV$13+'Frame Capacities'!$BO$13))</f>
        <v>0.67115755641952857</v>
      </c>
      <c r="AF7" s="574">
        <f>IF(($H$18=0),(_xlfn.IFS((W7&lt;='Infill Capacities'!$CY$13),(W7*'Infill Capacities'!$CS$13*hstr4),(AND((W7&gt;'Infill Capacities'!$CY$13),(W7&lt;='Infill Capacities'!$CZ$13))),((W7-'Infill Capacities'!$CY$13)*hstr4*('Infill Capacities'!$CT$13)+'Infill Capacities'!$CM$13),(AND((W7&gt;'Infill Capacities'!$CZ$13),(W7&lt;='Infill Capacities'!$DA$13))),((W7-'Infill Capacities'!$CZ$13)*hstr4*('Infill Capacities'!$CU$13)+'Infill Capacities'!$CN$13),(AND((W7&gt;'Infill Capacities'!$DA$13),(W7&lt;='Infill Capacities'!$DB$13))),((W7-'Infill Capacities'!$DA$13)*hstr4*('Infill Capacities'!$CV$13)+'Infill Capacities'!$CP$13))),((W7-'Infill Capacities'!$DC$13)*hstr4*'Infill Capacities'!$CW$13+'Infill Capacities'!$CQ$13))</f>
        <v>6.2159577629127583</v>
      </c>
      <c r="AG7" s="58">
        <f>AE7/$C$18</f>
        <v>3.7790402951550033E-3</v>
      </c>
      <c r="AH7" s="55">
        <f>AF7/$D$18</f>
        <v>1.8111765043452091E-2</v>
      </c>
      <c r="AI7" s="575">
        <f t="shared" si="4"/>
        <v>6.8871153193322865</v>
      </c>
      <c r="AJ7" s="576">
        <f t="shared" ref="AJ7:AJ10" si="13">AD7-AI7</f>
        <v>4.078537849760977E-5</v>
      </c>
      <c r="AK7" s="209">
        <f t="shared" si="8"/>
        <v>5.9219477353958558E-6</v>
      </c>
      <c r="AL7" s="192"/>
    </row>
    <row r="8" spans="1:38" ht="15.75" x14ac:dyDescent="0.25">
      <c r="A8" s="16">
        <v>3</v>
      </c>
      <c r="B8" s="17">
        <f>B9+hstr3</f>
        <v>8.75</v>
      </c>
      <c r="C8" s="21">
        <f t="shared" si="0"/>
        <v>3.8454301591390691E-5</v>
      </c>
      <c r="D8" s="203">
        <f t="shared" si="5"/>
        <v>3.3817710389670428E-4</v>
      </c>
      <c r="E8" s="17">
        <f>mstr3</f>
        <v>67.278400000000005</v>
      </c>
      <c r="F8" s="21">
        <f t="shared" si="1"/>
        <v>2.275201446680403E-2</v>
      </c>
      <c r="G8" s="568">
        <f>((E8*D8)/(F12)*$L$15)</f>
        <v>1.5857077293064288</v>
      </c>
      <c r="H8" s="568">
        <f>J8-J7+$O$18</f>
        <v>1.5857285159626411</v>
      </c>
      <c r="I8" s="568">
        <f t="shared" si="9"/>
        <v>8.4728197600133086</v>
      </c>
      <c r="J8" s="569">
        <f>I8-P7-$O$18</f>
        <v>8.4728438352949276</v>
      </c>
      <c r="K8" s="204">
        <f>IF(($H$19=0),(_xlfn.IFS((C8&lt;='Frame Capacities'!$BX$14),(C8*hstr3*'Frame Capacities'!$BQ$14),(AND((C8&gt;'Frame Capacities'!$BX$14),(C8&lt;='Frame Capacities'!$BY$14))),((C8-'Frame Capacities'!$BX$14)*hstr3*('Frame Capacities'!$BR$14)+'Frame Capacities'!$BJ$14),(AND((C8&gt;'Frame Capacities'!$BY$14),(C8&lt;='Frame Capacities'!$BZ$14))),((C8-'Frame Capacities'!$BY$14)*hstr3*('Frame Capacities'!$BS$14)+'Frame Capacities'!$BK$14),(AND((C8&gt;'Frame Capacities'!$BZ$14),(C8&lt;='Frame Capacities'!$CA$14))),((C8-'Frame Capacities'!$BZ$14)*hstr3*('Frame Capacities'!$BT$14)+'Frame Capacities'!$BL$14),(AND((C8&gt;'Frame Capacities'!$CA$14),(C8&lt;='Frame Capacities'!$CB$14))),((C8-'Frame Capacities'!$CA$14)*hstr3*('Frame Capacities'!$BU$14)+'Frame Capacities'!$BM$14))),((C8-'Frame Capacities'!$CC$14)*hstr3*'Frame Capacities'!$BV$14+'Frame Capacities'!$BO$14))</f>
        <v>1.1720196263647209</v>
      </c>
      <c r="L8" s="205">
        <f>IF(($H$19=0),(_xlfn.IFS((C8&lt;='Infill Capacities'!$CY$14),(C8*'Infill Capacities'!$CS$14*hstr3),(AND((C8&gt;'Infill Capacities'!$CY$14),(C8&lt;='Infill Capacities'!$CZ$14))),((C8-'Infill Capacities'!$CY$14)*hstr3*('Infill Capacities'!$CT$14)+'Infill Capacities'!$CM$14),(AND((C8&gt;'Infill Capacities'!$CZ$14),(C8&lt;='Infill Capacities'!$DA$14))),((C8-'Infill Capacities'!$CZ$14)*hstr3*('Infill Capacities'!$CU$14)+'Infill Capacities'!$CN$14),(AND((C8&gt;'Infill Capacities'!$DA$14),(C8&lt;='Infill Capacities'!$DB$14))),((C8-'Infill Capacities'!$DA$14)*hstr3*('Infill Capacities'!$CV$14)+'Infill Capacities'!$CP$14))),((C8-'Infill Capacities'!$DC$14)*hstr3*'Infill Capacities'!$CW$14+'Infill Capacities'!$CQ$14))</f>
        <v>7.3008943806494475</v>
      </c>
      <c r="M8" s="21">
        <f>K8/$C$19</f>
        <v>4.6021713077148731E-3</v>
      </c>
      <c r="N8" s="206">
        <f>L8/$D$19</f>
        <v>2.1471197947985621E-2</v>
      </c>
      <c r="O8" s="207">
        <f t="shared" si="6"/>
        <v>8.4729140070141682</v>
      </c>
      <c r="P8" s="570">
        <f t="shared" si="10"/>
        <v>-7.0171719240619268E-5</v>
      </c>
      <c r="Q8" s="192"/>
      <c r="R8" s="56">
        <f>IF(($H$19=0),(_xlfn.IFS(('System Capacities'!$N$22+'System Capacities'!$N$35=2),((J8/$G$19)),('System Capacities'!$N$22+'System Capacities'!$N$35=3),(((J8-'System Capacities'!$C$60)/ABS($G$19))+('System Capacities'!$D$60*hstr3)),('System Capacities'!$N$22+'System Capacities'!$N$35=4),(((J8-'System Capacities'!$C$61)/($G$19))+('System Capacities'!$D$61*hstr3)),('System Capacities'!$N$22+'System Capacities'!$N$35=5),(((J8-'System Capacities'!$C$62)/($G$19))+('System Capacities'!$D$62*hstr3)),('System Capacities'!$N$22+'System Capacities'!$N$35=6),(((J8-'System Capacities'!$C$63)/($G$19))+('System Capacities'!$D$63*hstr3)),('System Capacities'!$N$22+'System Capacities'!$N$35=7),(((J8-'System Capacities'!$C$64)/($G$19))+('System Capacities'!$D$64*hstr3)),('System Capacities'!$N$22+'System Capacities'!$N$35=8),(((J8-'System Capacities'!$C$65)/($G$19))+('System Capacities'!$D$65*hstr3)),('System Capacities'!$N$22+'System Capacities'!$N$35=9),(((J8-'System Capacities'!$C$66)/($G$19))+('System Capacities'!$D$66*hstr3)),('System Capacities'!$N$22+'System Capacities'!$N$35=10),(((J8-'System Capacities'!$C$67)/($G$19))+('System Capacities'!$D$67*hstr3)))),((ABS(J8-$E$19)/(-1*$G$19))+($F$19*hstr3)))</f>
        <v>1.1536194935159162E-4</v>
      </c>
      <c r="S8" s="590">
        <f t="shared" si="11"/>
        <v>3.3817084421590822E-4</v>
      </c>
      <c r="T8" s="192"/>
      <c r="U8" s="553">
        <v>3</v>
      </c>
      <c r="V8" s="551">
        <f>V9+hstr3</f>
        <v>8.75</v>
      </c>
      <c r="W8" s="58">
        <f t="shared" si="2"/>
        <v>3.8453983117197208E-5</v>
      </c>
      <c r="X8" s="571">
        <f t="shared" si="3"/>
        <v>3.3817084421590822E-4</v>
      </c>
      <c r="Y8" s="554">
        <f>mstr3</f>
        <v>67.278400000000005</v>
      </c>
      <c r="Z8" s="261">
        <f t="shared" si="7"/>
        <v>2.2751593325495562E-2</v>
      </c>
      <c r="AA8" s="572">
        <f>((Y8*X8)/(Z12)*$L$15)</f>
        <v>1.5857080585348091</v>
      </c>
      <c r="AB8" s="572">
        <f>AD8-AD7+$O$18</f>
        <v>1.5856590475281704</v>
      </c>
      <c r="AC8" s="572">
        <f t="shared" si="12"/>
        <v>8.472855937617453</v>
      </c>
      <c r="AD8" s="573">
        <f>AC8-AJ7-$O$18</f>
        <v>8.4728151522389545</v>
      </c>
      <c r="AE8" s="99">
        <f>IF(($H$19=0),(_xlfn.IFS((W8&lt;='Frame Capacities'!$BX$14),(W8*hstr3*'Frame Capacities'!$BQ$14),(AND((W8&gt;'Frame Capacities'!$BX$14),(W8&lt;='Frame Capacities'!$BY$14))),((W8-'Frame Capacities'!$BX$14)*hstr3*('Frame Capacities'!$BR$14)+'Frame Capacities'!$BJ$14),(AND((W8&gt;'Frame Capacities'!$BY$14),(W8&lt;='Frame Capacities'!$BZ$14))),((W8-'Frame Capacities'!$BY$14)*hstr3*('Frame Capacities'!$BS$14)+'Frame Capacities'!$BK$14),(AND((W8&gt;'Frame Capacities'!$BZ$14),(W8&lt;='Frame Capacities'!$CA$14))),((W8-'Frame Capacities'!$BZ$14)*hstr3*('Frame Capacities'!$BT$14)+'Frame Capacities'!$BL$14),(AND((W8&gt;'Frame Capacities'!$CA$14),(W8&lt;='Frame Capacities'!$CB$14))),((W8-'Frame Capacities'!$CA$14)*hstr3*('Frame Capacities'!$BU$14)+'Frame Capacities'!$BM$14))),((W8-'Frame Capacities'!$CC$14)*hstr3*'Frame Capacities'!$BV$14+'Frame Capacities'!$BO$14))</f>
        <v>1.1720099198302161</v>
      </c>
      <c r="AF8" s="574">
        <f>IF(($H$19=0),(_xlfn.IFS((W8&lt;='Infill Capacities'!$CY$14),(W8*'Infill Capacities'!$CS$14*hstr3),(AND((W8&gt;'Infill Capacities'!$CY$14),(W8&lt;='Infill Capacities'!$CZ$14))),((W8-'Infill Capacities'!$CY$14)*hstr3*('Infill Capacities'!$CT$14)+'Infill Capacities'!$CM$14),(AND((W8&gt;'Infill Capacities'!$CZ$14),(W8&lt;='Infill Capacities'!$DA$14))),((W8-'Infill Capacities'!$CZ$14)*hstr3*('Infill Capacities'!$CU$14)+'Infill Capacities'!$CN$14),(AND((W8&gt;'Infill Capacities'!$DA$14),(W8&lt;='Infill Capacities'!$DB$14))),((W8-'Infill Capacities'!$DA$14)*hstr3*('Infill Capacities'!$CV$14)+'Infill Capacities'!$CP$14))),((W8-'Infill Capacities'!$DC$14)*hstr3*'Infill Capacities'!$CW$14+'Infill Capacities'!$CQ$14))</f>
        <v>7.3008339154647119</v>
      </c>
      <c r="AG8" s="58">
        <f>AE8/$C$19</f>
        <v>4.6021331930505872E-3</v>
      </c>
      <c r="AH8" s="55">
        <f>AF8/$D$19</f>
        <v>2.147102012594318E-2</v>
      </c>
      <c r="AI8" s="575">
        <f t="shared" si="4"/>
        <v>8.4728438352949276</v>
      </c>
      <c r="AJ8" s="576">
        <f t="shared" si="13"/>
        <v>-2.8683055973033333E-5</v>
      </c>
      <c r="AK8" s="209">
        <f t="shared" si="8"/>
        <v>-3.3853041117572112E-6</v>
      </c>
      <c r="AL8" s="192"/>
    </row>
    <row r="9" spans="1:38" ht="15.75" x14ac:dyDescent="0.25">
      <c r="A9" s="16">
        <v>2</v>
      </c>
      <c r="B9" s="17">
        <f>B10+hstr2</f>
        <v>5.75</v>
      </c>
      <c r="C9" s="21">
        <f t="shared" si="0"/>
        <v>3.9977733873200457E-5</v>
      </c>
      <c r="D9" s="203">
        <f t="shared" si="5"/>
        <v>2.2281419912253221E-4</v>
      </c>
      <c r="E9" s="17">
        <f>mstr2</f>
        <v>67.278400000000005</v>
      </c>
      <c r="F9" s="21">
        <f t="shared" si="1"/>
        <v>1.4990582814245371E-2</v>
      </c>
      <c r="G9" s="568">
        <f>((E9*D9)/(F12)*$L$15)</f>
        <v>1.0447726758454396</v>
      </c>
      <c r="H9" s="568">
        <f>J9-J8+$O$19</f>
        <v>1.0448187722830617</v>
      </c>
      <c r="I9" s="568">
        <f t="shared" si="9"/>
        <v>9.5175924358587487</v>
      </c>
      <c r="J9" s="569">
        <f>I9-P8-$O$19</f>
        <v>9.5176626075779893</v>
      </c>
      <c r="K9" s="204">
        <f>IF(($H$20=0),(_xlfn.IFS((C9&lt;='Frame Capacities'!$BX$15),(C9*hstr2*'Frame Capacities'!$BQ$15),(AND((C9&gt;'Frame Capacities'!$BX$15),(C9&lt;='Frame Capacities'!$BY$15))),((C9-'Frame Capacities'!$BX$15)*hstr2*('Frame Capacities'!$BR$15)+'Frame Capacities'!$BJ$15),(AND((C9&gt;'Frame Capacities'!$BY$15),(C9&lt;='Frame Capacities'!$BZ$15))),((C9-'Frame Capacities'!$BY$15)*hstr2*('Frame Capacities'!$BS$15)+'Frame Capacities'!$BK$15),(AND((C9&gt;'Frame Capacities'!$BZ$15),(C9&lt;='Frame Capacities'!$CA$15))),((C9-'Frame Capacities'!$BZ$15)*hstr2*('Frame Capacities'!$BT$15)+'Frame Capacities'!$BL$15),(AND((C9&gt;'Frame Capacities'!$CA$15),(C9&lt;='Frame Capacities'!$CB$15))),((C9-'Frame Capacities'!$CA$15)*hstr2*('Frame Capacities'!$BU$15)+'Frame Capacities'!$BM$15))),((C9-'Frame Capacities'!$CC$15)*hstr2*'Frame Capacities'!$BV$15+'Frame Capacities'!$BO$15))</f>
        <v>1.6819925595350254</v>
      </c>
      <c r="L9" s="205">
        <f>IF(($H$20=0),(_xlfn.IFS((C9&lt;='Infill Capacities'!$CY$15),(C9*'Infill Capacities'!$CS$15*hstr2),(AND((C9&gt;'Infill Capacities'!$CY$15),(C9&lt;='Infill Capacities'!$CZ$15))),((C9-'Infill Capacities'!$CY$15)*hstr2*('Infill Capacities'!$CT$15)+'Infill Capacities'!$CM$15),(AND((C9&gt;'Infill Capacities'!$CZ$15),(C9&lt;='Infill Capacities'!$DA$15))),((C9-'Infill Capacities'!$CZ$15)*hstr2*('Infill Capacities'!$CU$15)+'Infill Capacities'!$CN$15),(AND((C9&gt;'Infill Capacities'!$DA$15),(C9&lt;='Infill Capacities'!$DB$15))),((C9-'Infill Capacities'!$DA$15)*hstr2*('Infill Capacities'!$CV$15)+'Infill Capacities'!$CP$15))),((C9-'Infill Capacities'!$DC$15)*hstr2*'Infill Capacities'!$CW$15+'Infill Capacities'!$CQ$15))</f>
        <v>7.8354158677106547</v>
      </c>
      <c r="M9" s="21">
        <f>K9/$C$20</f>
        <v>6.2311406255928332E-3</v>
      </c>
      <c r="N9" s="206">
        <f>L9/$D$20</f>
        <v>2.3043172018253146E-2</v>
      </c>
      <c r="O9" s="207">
        <f t="shared" si="6"/>
        <v>9.5174084272456803</v>
      </c>
      <c r="P9" s="570">
        <f t="shared" si="10"/>
        <v>2.541803323090619E-4</v>
      </c>
      <c r="Q9" s="192"/>
      <c r="R9" s="56">
        <f>IF(($H$20=0),(_xlfn.IFS(('System Capacities'!$N$23+'System Capacities'!$N$36=2),((J9/$G$20)),('System Capacities'!$N$23+'System Capacities'!$N$36=3),(((J9-'System Capacities'!$G$60)/($G$20))+('System Capacities'!$H$60*hstr2)),('System Capacities'!$N$23+'System Capacities'!$N$36=4),(((J9-'System Capacities'!$G$61)/($G$20))+('System Capacities'!$H$61*hstr2)),('System Capacities'!$N$23+'System Capacities'!$N$36=5),(((J9-'System Capacities'!$G$62)/($G$20))+('System Capacities'!$H$62*hstr2)),('System Capacities'!$N$23+'System Capacities'!$N$36=6),(((J9-'System Capacities'!$G$63)/($G$20))+('System Capacities'!$H$63*hstr2)),('System Capacities'!$N$23+'System Capacities'!$N$36=7),(((J9-'System Capacities'!$G$64)/($G$20))+('System Capacities'!$H$64*hstr2)),('System Capacities'!$N$23+'System Capacities'!$N$36=8),(((J9-'System Capacities'!$G$65)/($G$20))+('System Capacities'!$H$65*hstr2)),('System Capacities'!$N$23+'System Capacities'!$N$36=9),(((J9-'System Capacities'!$G$66)/($G$20))+('System Capacities'!$H$66*hstr2)),('System Capacities'!$N$23+'System Capacities'!$N$36=10),(((J9-'System Capacities'!$G$67)/($G$20))+('System Capacities'!$H$67*hstr2)))),((ABS(J9-$E$20)/(-1*$G$20))+($F$20*hstr2)))</f>
        <v>1.19936404661824E-4</v>
      </c>
      <c r="S9" s="590">
        <f t="shared" si="11"/>
        <v>2.2280889486431661E-4</v>
      </c>
      <c r="T9" s="192"/>
      <c r="U9" s="553">
        <v>2</v>
      </c>
      <c r="V9" s="551">
        <f>V10+hstr2</f>
        <v>5.75</v>
      </c>
      <c r="W9" s="58">
        <f t="shared" si="2"/>
        <v>3.9978801553941333E-5</v>
      </c>
      <c r="X9" s="571">
        <f t="shared" si="3"/>
        <v>2.2280889486431661E-4</v>
      </c>
      <c r="Y9" s="554">
        <f>mstr2</f>
        <v>67.278400000000005</v>
      </c>
      <c r="Z9" s="261">
        <f t="shared" si="7"/>
        <v>1.4990225952239439E-2</v>
      </c>
      <c r="AA9" s="572">
        <f>((Y9*X9)/(Z12)*$L$15)</f>
        <v>1.0447673598792213</v>
      </c>
      <c r="AB9" s="572">
        <f>AD9-AD8+$O$19</f>
        <v>1.0448368283136933</v>
      </c>
      <c r="AC9" s="572">
        <f t="shared" si="12"/>
        <v>9.5176232974966748</v>
      </c>
      <c r="AD9" s="573">
        <f>AC9-AJ8-$O$19</f>
        <v>9.5176519805526478</v>
      </c>
      <c r="AE9" s="99">
        <f>IF(($H$20=0),(_xlfn.IFS((W9&lt;='Frame Capacities'!$BX$15),(W9*hstr2*'Frame Capacities'!$BQ$15),(AND((W9&gt;'Frame Capacities'!$BX$15),(W9&lt;='Frame Capacities'!$BY$15))),((W9-'Frame Capacities'!$BX$15)*hstr2*('Frame Capacities'!$BR$15)+'Frame Capacities'!$BJ$15),(AND((W9&gt;'Frame Capacities'!$BY$15),(W9&lt;='Frame Capacities'!$BZ$15))),((W9-'Frame Capacities'!$BY$15)*hstr2*('Frame Capacities'!$BS$15)+'Frame Capacities'!$BK$15),(AND((W9&gt;'Frame Capacities'!$BZ$15),(W9&lt;='Frame Capacities'!$CA$15))),((W9-'Frame Capacities'!$BZ$15)*hstr2*('Frame Capacities'!$BT$15)+'Frame Capacities'!$BL$15),(AND((W9&gt;'Frame Capacities'!$CA$15),(W9&lt;='Frame Capacities'!$CB$15))),((W9-'Frame Capacities'!$CA$15)*hstr2*('Frame Capacities'!$BU$15)+'Frame Capacities'!$BM$15))),((W9-'Frame Capacities'!$CC$15)*hstr2*'Frame Capacities'!$BV$15+'Frame Capacities'!$BO$15))</f>
        <v>1.6820374803168738</v>
      </c>
      <c r="AF9" s="574">
        <f>IF(($H$20=0),(_xlfn.IFS((W9&lt;='Infill Capacities'!$CY$15),(W9*'Infill Capacities'!$CS$15*hstr2),(AND((W9&gt;'Infill Capacities'!$CY$15),(W9&lt;='Infill Capacities'!$CZ$15))),((W9-'Infill Capacities'!$CY$15)*hstr2*('Infill Capacities'!$CT$15)+'Infill Capacities'!$CM$15),(AND((W9&gt;'Infill Capacities'!$CZ$15),(W9&lt;='Infill Capacities'!$DA$15))),((W9-'Infill Capacities'!$CZ$15)*hstr2*('Infill Capacities'!$CU$15)+'Infill Capacities'!$CN$15),(AND((W9&gt;'Infill Capacities'!$DA$15),(W9&lt;='Infill Capacities'!$DB$15))),((W9-'Infill Capacities'!$DA$15)*hstr2*('Infill Capacities'!$CV$15)+'Infill Capacities'!$CP$15))),((W9-'Infill Capacities'!$DC$15)*hstr2*'Infill Capacities'!$CW$15+'Infill Capacities'!$CQ$15))</f>
        <v>7.8356251272611148</v>
      </c>
      <c r="AG9" s="58">
        <f>AE9/$C$20</f>
        <v>6.2313070399489029E-3</v>
      </c>
      <c r="AH9" s="55">
        <f>AF9/$D$20</f>
        <v>2.3043787429598138E-2</v>
      </c>
      <c r="AI9" s="575">
        <f t="shared" si="4"/>
        <v>9.5176626075779893</v>
      </c>
      <c r="AJ9" s="576">
        <f t="shared" si="13"/>
        <v>-1.0627025341491958E-5</v>
      </c>
      <c r="AK9" s="209">
        <f t="shared" si="8"/>
        <v>-1.116559563556861E-6</v>
      </c>
      <c r="AL9" s="192"/>
    </row>
    <row r="10" spans="1:38" ht="15.75" x14ac:dyDescent="0.25">
      <c r="A10" s="16">
        <v>1</v>
      </c>
      <c r="B10" s="17">
        <f>B11+hstr1</f>
        <v>2.75</v>
      </c>
      <c r="C10" s="21">
        <f t="shared" si="0"/>
        <v>3.7411271819247576E-5</v>
      </c>
      <c r="D10" s="203">
        <f t="shared" si="5"/>
        <v>1.0288099750293083E-4</v>
      </c>
      <c r="E10" s="17">
        <f>mstr1</f>
        <v>67.278400000000005</v>
      </c>
      <c r="F10" s="21">
        <f t="shared" si="1"/>
        <v>6.9216689024011822E-3</v>
      </c>
      <c r="G10" s="568">
        <f>((E10*D10)/(F12)*$L$15)</f>
        <v>0.48240756414125374</v>
      </c>
      <c r="H10" s="568">
        <f>J10-J9+$O$20</f>
        <v>0.48208321208970339</v>
      </c>
      <c r="I10" s="568">
        <f t="shared" si="9"/>
        <v>10.000000000000002</v>
      </c>
      <c r="J10" s="569">
        <f>I10-P9-$O$20</f>
        <v>9.9997458196676927</v>
      </c>
      <c r="K10" s="204">
        <f>IF(($H$21=0),(_xlfn.IFS((C10&lt;='Frame Capacities'!$BX$16),(C10*hstr1*'Frame Capacities'!$BQ$16),(AND((C10&gt;'Frame Capacities'!$BX$16),(C10&lt;='Frame Capacities'!$BY$16))),((C10-'Frame Capacities'!$BX$16)*hstr1*('Frame Capacities'!$BR$16)+'Frame Capacities'!$BJ$16),(AND((C10&gt;'Frame Capacities'!$BY$16),(C10&lt;='Frame Capacities'!$BZ$16))),((C10-'Frame Capacities'!$BY$16)*hstr1*('Frame Capacities'!$BS$16)+'Frame Capacities'!$BK$16),(AND((C10&gt;'Frame Capacities'!$BZ$16),(C10&lt;='Frame Capacities'!$CA$16))),((C10-'Frame Capacities'!$BZ$16)*hstr1*('Frame Capacities'!$BT$16)+'Frame Capacities'!$BL$16),(AND((C10&gt;'Frame Capacities'!$CA$16),(C10&lt;='Frame Capacities'!$CB$16))),((C10-'Frame Capacities'!$CA$16)*hstr1*('Frame Capacities'!$BU$16)+'Frame Capacities'!$BM$16))),((C10-'Frame Capacities'!$CC$16)*hstr1*'Frame Capacities'!$BV$16+'Frame Capacities'!$BO$16))</f>
        <v>3.112525302090571</v>
      </c>
      <c r="L10" s="205">
        <f>IF(($H$21=0),(_xlfn.IFS((C10&lt;='Infill Capacities'!$CY$16),(C10*'Infill Capacities'!$CS$16*hstr1),(AND((C10&gt;'Infill Capacities'!$CY$16),(C10&lt;='Infill Capacities'!$CZ$16))),((C10-'Infill Capacities'!$CY$16)*hstr1*('Infill Capacities'!$CT$16)+'Infill Capacities'!$CM$16),(AND((C10&gt;'Infill Capacities'!$CZ$16),(C10&lt;='Infill Capacities'!$DA$16))),((C10-'Infill Capacities'!$CZ$16)*hstr1*('Infill Capacities'!$CU$16)+'Infill Capacities'!$CN$16),(AND((C10&gt;'Infill Capacities'!$DA$16),(C10&lt;='Infill Capacities'!$DB$16))),((C10-'Infill Capacities'!$DA$16)*hstr1*('Infill Capacities'!$CV$16)+'Infill Capacities'!$CP$16))),((C10-'Infill Capacities'!$DC$16)*hstr1*'Infill Capacities'!$CW$16+'Infill Capacities'!$CQ$16))</f>
        <v>6.888047471817524</v>
      </c>
      <c r="M10" s="21">
        <f>K10/$C$21</f>
        <v>7.7181646354815784E-3</v>
      </c>
      <c r="N10" s="206">
        <f>L10/$D$21</f>
        <v>2.1177831906168593E-2</v>
      </c>
      <c r="O10" s="207">
        <f t="shared" si="6"/>
        <v>10.000572773908095</v>
      </c>
      <c r="P10" s="570">
        <f t="shared" si="10"/>
        <v>-8.2695424040224452E-4</v>
      </c>
      <c r="Q10" s="192"/>
      <c r="R10" s="56">
        <f>IF(($H$21=0),(_xlfn.IFS(('System Capacities'!$N$24+'System Capacities'!$N$37=2),(J10/$G$21),('System Capacities'!$N$24+'System Capacities'!$N$37=3),(((J10-'System Capacities'!$K$60)/($G$21))+('System Capacities'!$L$60*hstr1)),('System Capacities'!$N$24+'System Capacities'!$N$37=4),(((J10-'System Capacities'!$K$61)/($G$21))+('System Capacities'!$L$61*hstr1)),('System Capacities'!$N$24+'System Capacities'!$N$37=5),(((J10-'System Capacities'!$K$62)/($G$21))+('System Capacities'!$L$62*hstr1)),('System Capacities'!$N$24+'System Capacities'!$N$37=6),(((J10-'System Capacities'!$K$63)/($G$21))+('System Capacities'!$L$63*hstr1)),('System Capacities'!$N$24+'System Capacities'!$N$37=7),(((J10-'System Capacities'!$K$64)/($G$21))+('System Capacities'!$L$64*hstr1)),('System Capacities'!$N$24+'System Capacities'!$N$37=8),(((J10-'System Capacities'!$K$65)/($G$21))+('System Capacities'!$L$65*hstr1)),('System Capacities'!$N$24+'System Capacities'!$N$37=9),(((J10-'System Capacities'!$K$66)/($G$21))+('System Capacities'!$L$66*hstr1)),('System Capacities'!$N$24+'System Capacities'!$N$37=10),(((J10-'System Capacities'!$K$67)/($G$21))+('System Capacities'!$L$67*hstr1)))),((ABS(J10-$E$21)/(-1*$G$21))+($F$21*hstr1)))</f>
        <v>1.0287249020249263E-4</v>
      </c>
      <c r="S10" s="590">
        <f>S11+R10</f>
        <v>1.0287249020249263E-4</v>
      </c>
      <c r="T10" s="192"/>
      <c r="U10" s="553">
        <v>1</v>
      </c>
      <c r="V10" s="551">
        <f>V11+hstr1</f>
        <v>2.75</v>
      </c>
      <c r="W10" s="58">
        <f t="shared" si="2"/>
        <v>3.7408178255451861E-5</v>
      </c>
      <c r="X10" s="571">
        <f t="shared" si="3"/>
        <v>1.0287249020249263E-4</v>
      </c>
      <c r="Y10" s="554">
        <f>mstr1</f>
        <v>67.278400000000005</v>
      </c>
      <c r="Z10" s="261">
        <f t="shared" si="7"/>
        <v>6.9210965448393801E-3</v>
      </c>
      <c r="AA10" s="572">
        <f>((Y10*X10)/(Z12)*$L$15)</f>
        <v>0.48237670250332593</v>
      </c>
      <c r="AB10" s="572">
        <f>AD10-AD9+$O$20</f>
        <v>0.48235864647269366</v>
      </c>
      <c r="AC10" s="572">
        <f t="shared" si="12"/>
        <v>10</v>
      </c>
      <c r="AD10" s="573">
        <f>AC10-AJ9-$O$20</f>
        <v>10.000010627025341</v>
      </c>
      <c r="AE10" s="99">
        <f>IF(($H$21=0),(_xlfn.IFS((W10&lt;='Frame Capacities'!$BX$16),(W10*hstr1*'Frame Capacities'!$BQ$16),(AND((W10&gt;'Frame Capacities'!$BX$16),(W10&lt;='Frame Capacities'!$BY$16))),((W10-'Frame Capacities'!$BX$16)*hstr1*('Frame Capacities'!$BR$16)+'Frame Capacities'!$BJ$16),(AND((W10&gt;'Frame Capacities'!$BY$16),(W10&lt;='Frame Capacities'!$BZ$16))),((W10-'Frame Capacities'!$BY$16)*hstr1*('Frame Capacities'!$BS$16)+'Frame Capacities'!$BK$16),(AND((W10&gt;'Frame Capacities'!$BZ$16),(W10&lt;='Frame Capacities'!$CA$16))),((W10-'Frame Capacities'!$BZ$16)*hstr1*('Frame Capacities'!$BT$16)+'Frame Capacities'!$BL$16),(AND((W10&gt;'Frame Capacities'!$CA$16),(W10&lt;='Frame Capacities'!$CB$16))),((W10-'Frame Capacities'!$CA$16)*hstr1*('Frame Capacities'!$BU$16)+'Frame Capacities'!$BM$16))),((W10-'Frame Capacities'!$CC$16)*hstr1*'Frame Capacities'!$BV$16+'Frame Capacities'!$BO$16))</f>
        <v>3.1122679252327532</v>
      </c>
      <c r="AF10" s="574">
        <f>IF(($H$21=0),(_xlfn.IFS((W10&lt;='Infill Capacities'!$CY$16),(W10*'Infill Capacities'!$CS$16*hstr1),(AND((W10&gt;'Infill Capacities'!$CY$16),(W10&lt;='Infill Capacities'!$CZ$16))),((W10-'Infill Capacities'!$CY$16)*hstr1*('Infill Capacities'!$CT$16)+'Infill Capacities'!$CM$16),(AND((W10&gt;'Infill Capacities'!$CZ$16),(W10&lt;='Infill Capacities'!$DA$16))),((W10-'Infill Capacities'!$CZ$16)*hstr1*('Infill Capacities'!$CU$16)+'Infill Capacities'!$CN$16),(AND((W10&gt;'Infill Capacities'!$DA$16),(W10&lt;='Infill Capacities'!$DB$16))),((W10-'Infill Capacities'!$DA$16)*hstr1*('Infill Capacities'!$CV$16)+'Infill Capacities'!$CP$16))),((W10-'Infill Capacities'!$DC$16)*hstr1*'Infill Capacities'!$CW$16+'Infill Capacities'!$CQ$16))</f>
        <v>6.8874778944349391</v>
      </c>
      <c r="AG10" s="58">
        <f>AE10/$C$21</f>
        <v>7.7175264151398302E-3</v>
      </c>
      <c r="AH10" s="55">
        <f>AF10/$D$21</f>
        <v>2.1176080696683572E-2</v>
      </c>
      <c r="AI10" s="575">
        <f t="shared" si="4"/>
        <v>9.9997458196676927</v>
      </c>
      <c r="AJ10" s="576">
        <f t="shared" si="13"/>
        <v>2.648073576487775E-4</v>
      </c>
      <c r="AK10" s="209">
        <f t="shared" si="8"/>
        <v>2.6480707623762653E-5</v>
      </c>
      <c r="AL10" s="192"/>
    </row>
    <row r="11" spans="1:38" ht="15.75" x14ac:dyDescent="0.25">
      <c r="A11" s="16">
        <v>0</v>
      </c>
      <c r="B11" s="17">
        <f>hstr0</f>
        <v>0</v>
      </c>
      <c r="C11" s="21" t="s">
        <v>66</v>
      </c>
      <c r="D11" s="203">
        <f t="shared" si="5"/>
        <v>0</v>
      </c>
      <c r="E11" s="17" t="s">
        <v>66</v>
      </c>
      <c r="F11" s="21">
        <v>0</v>
      </c>
      <c r="G11" s="568" t="s">
        <v>66</v>
      </c>
      <c r="H11" s="568" t="s">
        <v>66</v>
      </c>
      <c r="I11" s="568" t="s">
        <v>66</v>
      </c>
      <c r="J11" s="568" t="s">
        <v>66</v>
      </c>
      <c r="K11" s="204" t="s">
        <v>66</v>
      </c>
      <c r="L11" s="204" t="s">
        <v>66</v>
      </c>
      <c r="M11" s="210" t="s">
        <v>66</v>
      </c>
      <c r="N11" s="211" t="s">
        <v>66</v>
      </c>
      <c r="O11" s="212" t="s">
        <v>66</v>
      </c>
      <c r="P11" s="213" t="s">
        <v>66</v>
      </c>
      <c r="Q11" s="192"/>
      <c r="R11" s="592">
        <v>0</v>
      </c>
      <c r="S11" s="591">
        <f>R11</f>
        <v>0</v>
      </c>
      <c r="T11" s="192"/>
      <c r="U11" s="550">
        <v>0</v>
      </c>
      <c r="V11" s="552">
        <f>hstr0</f>
        <v>0</v>
      </c>
      <c r="W11" s="75" t="s">
        <v>66</v>
      </c>
      <c r="X11" s="577">
        <f t="shared" si="3"/>
        <v>0</v>
      </c>
      <c r="Y11" s="147" t="s">
        <v>66</v>
      </c>
      <c r="Z11" s="263">
        <v>0</v>
      </c>
      <c r="AA11" s="578" t="s">
        <v>66</v>
      </c>
      <c r="AB11" s="578" t="s">
        <v>66</v>
      </c>
      <c r="AC11" s="578" t="s">
        <v>66</v>
      </c>
      <c r="AD11" s="578" t="s">
        <v>66</v>
      </c>
      <c r="AE11" s="157" t="s">
        <v>66</v>
      </c>
      <c r="AF11" s="157" t="s">
        <v>66</v>
      </c>
      <c r="AG11" s="150" t="s">
        <v>66</v>
      </c>
      <c r="AH11" s="157" t="s">
        <v>66</v>
      </c>
      <c r="AI11" s="579" t="s">
        <v>66</v>
      </c>
      <c r="AJ11" s="580" t="s">
        <v>66</v>
      </c>
      <c r="AK11" s="192"/>
      <c r="AL11" s="192"/>
    </row>
    <row r="12" spans="1:38" x14ac:dyDescent="0.25">
      <c r="A12" s="5"/>
      <c r="B12" s="6"/>
      <c r="C12" s="6"/>
      <c r="D12" s="6"/>
      <c r="E12" s="293" t="s">
        <v>78</v>
      </c>
      <c r="F12" s="539">
        <f>SUM(F5:F11)</f>
        <v>0.14348176556316286</v>
      </c>
      <c r="G12" s="6"/>
      <c r="H12" s="6"/>
      <c r="I12" s="6"/>
      <c r="J12" s="6"/>
      <c r="K12" s="6"/>
      <c r="L12" s="6"/>
      <c r="M12" s="6"/>
      <c r="N12" s="6"/>
      <c r="O12" s="6"/>
      <c r="P12" s="7"/>
      <c r="Q12" s="192"/>
      <c r="R12" s="192"/>
      <c r="S12" s="192"/>
      <c r="T12" s="192"/>
      <c r="U12" s="6"/>
      <c r="V12" s="6"/>
      <c r="W12" s="6"/>
      <c r="X12" s="6"/>
      <c r="Y12" s="581" t="s">
        <v>78</v>
      </c>
      <c r="Z12" s="582">
        <f>SUM(Z5:Z11)</f>
        <v>0.1434790799166272</v>
      </c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192"/>
      <c r="AL12" s="192"/>
    </row>
    <row r="13" spans="1:38" x14ac:dyDescent="0.25">
      <c r="A13" s="5"/>
      <c r="B13" s="192"/>
      <c r="C13" s="192"/>
      <c r="D13" s="192"/>
      <c r="E13" s="192"/>
      <c r="F13" s="192"/>
      <c r="H13" s="192"/>
      <c r="I13" s="6"/>
      <c r="J13" s="6"/>
      <c r="M13" s="6"/>
      <c r="N13" s="6"/>
      <c r="O13" s="6"/>
      <c r="P13" s="7"/>
      <c r="Q13" s="192"/>
      <c r="R13" s="192"/>
      <c r="S13" s="192"/>
      <c r="T13" s="192"/>
      <c r="U13" s="192"/>
      <c r="V13" s="192"/>
      <c r="W13" s="192"/>
      <c r="X13" s="192"/>
      <c r="Y13" s="192"/>
      <c r="Z13" s="192"/>
      <c r="AA13" s="192"/>
      <c r="AB13" s="192"/>
      <c r="AC13" s="192"/>
      <c r="AD13" s="192"/>
      <c r="AE13" s="192"/>
      <c r="AF13" s="192"/>
      <c r="AG13" s="192"/>
      <c r="AH13" s="192"/>
      <c r="AI13" s="192"/>
      <c r="AJ13" s="192"/>
      <c r="AK13" s="192"/>
      <c r="AL13" s="192"/>
    </row>
    <row r="14" spans="1:38" ht="15" customHeight="1" thickBot="1" x14ac:dyDescent="0.3">
      <c r="A14" s="5"/>
      <c r="B14" s="1008" t="s">
        <v>83</v>
      </c>
      <c r="C14" s="1009"/>
      <c r="D14" s="1009"/>
      <c r="E14" s="1009"/>
      <c r="F14" s="1009"/>
      <c r="G14" s="1009"/>
      <c r="H14" s="1010"/>
      <c r="I14" s="216"/>
      <c r="J14" s="216"/>
      <c r="K14" s="977" t="s">
        <v>269</v>
      </c>
      <c r="L14" s="977"/>
      <c r="M14" s="6"/>
      <c r="N14" s="559" t="s">
        <v>493</v>
      </c>
      <c r="O14" s="560" t="s">
        <v>494</v>
      </c>
      <c r="P14" s="7"/>
      <c r="Q14" s="192"/>
      <c r="R14" s="192"/>
      <c r="S14" s="192"/>
      <c r="T14" s="192"/>
      <c r="U14" s="192"/>
      <c r="V14" s="192"/>
      <c r="W14" s="192"/>
      <c r="X14" s="192"/>
      <c r="Y14" s="192"/>
      <c r="Z14" s="192"/>
      <c r="AA14" s="192"/>
      <c r="AB14" s="192"/>
      <c r="AC14" s="192"/>
      <c r="AD14" s="192"/>
      <c r="AE14" s="192"/>
      <c r="AF14" s="192"/>
      <c r="AG14" s="192"/>
      <c r="AH14" s="192"/>
      <c r="AI14" s="192"/>
      <c r="AJ14" s="192"/>
      <c r="AK14" s="192"/>
      <c r="AL14" s="192"/>
    </row>
    <row r="15" spans="1:38" ht="16.5" thickBot="1" x14ac:dyDescent="0.3">
      <c r="A15" s="5"/>
      <c r="B15" s="8" t="s">
        <v>5</v>
      </c>
      <c r="C15" s="8" t="s">
        <v>188</v>
      </c>
      <c r="D15" s="8" t="s">
        <v>189</v>
      </c>
      <c r="E15" s="8" t="s">
        <v>68</v>
      </c>
      <c r="F15" s="8" t="s">
        <v>70</v>
      </c>
      <c r="G15" s="594" t="s">
        <v>178</v>
      </c>
      <c r="H15" s="639" t="s">
        <v>499</v>
      </c>
      <c r="I15" s="643" t="s">
        <v>500</v>
      </c>
      <c r="J15" s="6"/>
      <c r="K15" s="215" t="s">
        <v>270</v>
      </c>
      <c r="L15" s="204">
        <f>S68</f>
        <v>10</v>
      </c>
      <c r="M15" s="6"/>
      <c r="N15" s="561">
        <v>6</v>
      </c>
      <c r="O15" s="562">
        <f t="shared" ref="O15:O20" si="14">P68</f>
        <v>0</v>
      </c>
      <c r="P15" s="7"/>
      <c r="Q15" s="192"/>
      <c r="R15" s="966" t="s">
        <v>244</v>
      </c>
      <c r="S15" s="967"/>
      <c r="T15" s="202"/>
      <c r="U15" s="966" t="s">
        <v>244</v>
      </c>
      <c r="V15" s="997"/>
      <c r="W15" s="997"/>
      <c r="X15" s="997"/>
      <c r="Y15" s="997"/>
      <c r="Z15" s="997"/>
      <c r="AA15" s="997"/>
      <c r="AB15" s="997"/>
      <c r="AC15" s="997"/>
      <c r="AD15" s="997"/>
      <c r="AE15" s="997"/>
      <c r="AF15" s="997"/>
      <c r="AG15" s="997"/>
      <c r="AH15" s="997"/>
      <c r="AI15" s="997"/>
      <c r="AJ15" s="967"/>
      <c r="AK15" s="192"/>
      <c r="AL15" s="192"/>
    </row>
    <row r="16" spans="1:38" ht="15.75" customHeight="1" x14ac:dyDescent="0.25">
      <c r="A16" s="5"/>
      <c r="B16" s="360">
        <v>6</v>
      </c>
      <c r="C16" s="17">
        <f>'System Capacities'!N6</f>
        <v>135.73333333333332</v>
      </c>
      <c r="D16" s="17">
        <f>'System Capacities'!O6</f>
        <v>343.20000000000005</v>
      </c>
      <c r="E16" s="642">
        <f>IF(($H16=0),('System Capacities'!P6),('System Capacities'!C56))</f>
        <v>375.81834889301615</v>
      </c>
      <c r="F16" s="642">
        <f>IF(($H16=0),('System Capacities'!Q6),('System Capacities'!D56))</f>
        <v>1.9976000809737945E-3</v>
      </c>
      <c r="G16" s="642">
        <f>IF(($H16=0),('System Capacities'!R6),('System Capacities'!E56))</f>
        <v>62711.642914667114</v>
      </c>
      <c r="H16" s="640">
        <v>0</v>
      </c>
      <c r="I16" s="657"/>
      <c r="J16" s="6"/>
      <c r="K16" s="424" t="s">
        <v>260</v>
      </c>
      <c r="L16" s="208">
        <v>1</v>
      </c>
      <c r="M16" s="6"/>
      <c r="N16" s="561">
        <v>5</v>
      </c>
      <c r="O16" s="562">
        <f t="shared" si="14"/>
        <v>0</v>
      </c>
      <c r="P16" s="7"/>
      <c r="Q16" s="192"/>
      <c r="R16" s="701" t="s">
        <v>81</v>
      </c>
      <c r="S16" s="697" t="s">
        <v>80</v>
      </c>
      <c r="T16" s="192"/>
      <c r="U16" s="698" t="s">
        <v>0</v>
      </c>
      <c r="V16" s="968" t="s">
        <v>72</v>
      </c>
      <c r="W16" s="698" t="s">
        <v>101</v>
      </c>
      <c r="X16" s="708" t="s">
        <v>74</v>
      </c>
      <c r="Y16" s="698" t="s">
        <v>76</v>
      </c>
      <c r="Z16" s="698" t="s">
        <v>77</v>
      </c>
      <c r="AA16" s="985" t="s">
        <v>495</v>
      </c>
      <c r="AB16" s="956" t="s">
        <v>496</v>
      </c>
      <c r="AC16" s="956" t="s">
        <v>497</v>
      </c>
      <c r="AD16" s="956" t="s">
        <v>498</v>
      </c>
      <c r="AE16" s="696" t="s">
        <v>185</v>
      </c>
      <c r="AF16" s="696" t="s">
        <v>184</v>
      </c>
      <c r="AG16" s="696" t="s">
        <v>186</v>
      </c>
      <c r="AH16" s="696" t="s">
        <v>187</v>
      </c>
      <c r="AI16" s="955" t="s">
        <v>349</v>
      </c>
      <c r="AJ16" s="955" t="s">
        <v>393</v>
      </c>
      <c r="AK16" s="986" t="s">
        <v>239</v>
      </c>
      <c r="AL16" s="192"/>
    </row>
    <row r="17" spans="1:38" ht="15.75" x14ac:dyDescent="0.25">
      <c r="A17" s="5"/>
      <c r="B17" s="360">
        <v>5</v>
      </c>
      <c r="C17" s="17">
        <f>'System Capacities'!N7</f>
        <v>161.60000000000002</v>
      </c>
      <c r="D17" s="17">
        <f>'System Capacities'!O7</f>
        <v>343.20000000000005</v>
      </c>
      <c r="E17" s="642">
        <f>IF(($H17=0),('System Capacities'!P7),('System Capacities'!G56))</f>
        <v>375.59785651736638</v>
      </c>
      <c r="F17" s="642">
        <f>IF(($H17=0),('System Capacities'!Q7),('System Capacities'!H56))</f>
        <v>1.9241439833606131E-3</v>
      </c>
      <c r="G17" s="642">
        <f>IF(($H17=0),('System Capacities'!R7),('System Capacities'!I56))</f>
        <v>65067.524358089882</v>
      </c>
      <c r="H17" s="640">
        <v>0</v>
      </c>
      <c r="I17" s="657"/>
      <c r="J17" s="6"/>
      <c r="K17" s="6"/>
      <c r="L17" s="6"/>
      <c r="M17" s="6"/>
      <c r="N17" s="561">
        <v>4</v>
      </c>
      <c r="O17" s="562">
        <f t="shared" si="14"/>
        <v>0</v>
      </c>
      <c r="P17" s="7"/>
      <c r="Q17" s="192"/>
      <c r="R17" s="964"/>
      <c r="S17" s="965"/>
      <c r="T17" s="192"/>
      <c r="U17" s="698"/>
      <c r="V17" s="968"/>
      <c r="W17" s="698"/>
      <c r="X17" s="708"/>
      <c r="Y17" s="698"/>
      <c r="Z17" s="698"/>
      <c r="AA17" s="985"/>
      <c r="AB17" s="956"/>
      <c r="AC17" s="956"/>
      <c r="AD17" s="956"/>
      <c r="AE17" s="696"/>
      <c r="AF17" s="696"/>
      <c r="AG17" s="696"/>
      <c r="AH17" s="696"/>
      <c r="AI17" s="955"/>
      <c r="AJ17" s="955"/>
      <c r="AK17" s="986"/>
      <c r="AL17" s="192"/>
    </row>
    <row r="18" spans="1:38" ht="15.75" x14ac:dyDescent="0.25">
      <c r="A18" s="5"/>
      <c r="B18" s="360">
        <v>4</v>
      </c>
      <c r="C18" s="17">
        <f>'System Capacities'!N8</f>
        <v>177.6</v>
      </c>
      <c r="D18" s="17">
        <f>'System Capacities'!O8</f>
        <v>343.20000000000005</v>
      </c>
      <c r="E18" s="642">
        <f>IF(($H18=0),('System Capacities'!P8),('System Capacities'!K56))</f>
        <v>380.25644120323722</v>
      </c>
      <c r="F18" s="642">
        <f>IF(($H18=0),('System Capacities'!Q8),('System Capacities'!L56))</f>
        <v>1.8501735321027263E-3</v>
      </c>
      <c r="G18" s="642">
        <f>IF(($H18=0),('System Capacities'!R8),('System Capacities'!M56))</f>
        <v>68508.247939149602</v>
      </c>
      <c r="H18" s="640">
        <v>0</v>
      </c>
      <c r="I18" s="657"/>
      <c r="J18" s="6"/>
      <c r="K18" s="6"/>
      <c r="L18" s="217"/>
      <c r="M18" s="6"/>
      <c r="N18" s="563">
        <v>3</v>
      </c>
      <c r="O18" s="562">
        <f t="shared" si="14"/>
        <v>0</v>
      </c>
      <c r="P18" s="7"/>
      <c r="Q18" s="192"/>
      <c r="R18" s="49">
        <f>IF(($H$16=0),(_xlfn.IFS(('System Capacities'!$N$19+'System Capacities'!$N$32=2),((AD5)/$G$16),('System Capacities'!$N$19+'System Capacities'!$N$32=3),(((AD5)-'System Capacities'!$C$47/$G$16)+('System Capacities'!$D$47*hstr6)),('System Capacities'!$N$19+'System Capacities'!$N$32=4),(((AD5-'System Capacities'!$C$48)/ABS($G$16))+('System Capacities'!$D$48*hstr6)),('System Capacities'!$N$19+'System Capacities'!$N$32=5),(((AD5-'System Capacities'!$C$49)/($G$16))+('System Capacities'!$D$49*hstr6)),('System Capacities'!$N$19+'System Capacities'!$N$32=6),(((AD5-'System Capacities'!$C$50)/($G$16))+('System Capacities'!$D$50*hstr6)),('System Capacities'!$N$19+'System Capacities'!$N$32=7),(((AD5-'System Capacities'!$C$51)/($G$16))+('System Capacities'!$D$51*hstr6)),('System Capacities'!$N$19+'System Capacities'!$N$32=8),(((AD5-'System Capacities'!$C$52)/($G$16))+('System Capacities'!$D$52*hstr6)),('System Capacities'!$N$19+'System Capacities'!$N$32=9),(((AD5-'System Capacities'!$C$53)/($G$16))+('System Capacities'!$D$53*hstr6)),('System Capacities'!$N$19+'System Capacities'!$N$32=10),(((AD5-'System Capacities'!$C$54)/($G$16))+('System Capacities'!$D$54*hstr6)))),((ABS(AD5-$E$16)/(-1*$G$16))+($F$16*hstr6)))</f>
        <v>3.8667037536369406E-5</v>
      </c>
      <c r="S18" s="589">
        <f>S19+R18</f>
        <v>5.5160150251544308E-4</v>
      </c>
      <c r="T18" s="192"/>
      <c r="U18" s="553">
        <v>6</v>
      </c>
      <c r="V18" s="551">
        <f>V19+hstr6</f>
        <v>17.75</v>
      </c>
      <c r="W18" s="58">
        <f t="shared" ref="W18:W23" si="15">R18/(V18-V19)</f>
        <v>1.2889012512123136E-5</v>
      </c>
      <c r="X18" s="571">
        <f t="shared" ref="X18:X24" si="16">S18</f>
        <v>5.5160150251544308E-4</v>
      </c>
      <c r="Y18" s="554">
        <f>mstr6</f>
        <v>63.074599999999997</v>
      </c>
      <c r="Z18" s="261">
        <f t="shared" ref="Z18:Z23" si="17">Y18*X18</f>
        <v>3.4792044130560563E-2</v>
      </c>
      <c r="AA18" s="572">
        <f>((Y18*X18)/(Z25)*$L$15)</f>
        <v>2.4248683541583063</v>
      </c>
      <c r="AB18" s="572">
        <f>AD18+$O$15</f>
        <v>2.4248683541583063</v>
      </c>
      <c r="AC18" s="572">
        <f>AA18</f>
        <v>2.4248683541583063</v>
      </c>
      <c r="AD18" s="573">
        <f>AC18-$O$15</f>
        <v>2.4248683541583063</v>
      </c>
      <c r="AE18" s="94">
        <f>IF(($H$16=0),(_xlfn.IFS((W18&lt;='Frame Capacities'!$BX$11),(W18*hstr6*'Frame Capacities'!$BQ$11),(AND((W18&gt;'Frame Capacities'!$BX$11),(W18&lt;='Frame Capacities'!$BY$11))),((W18-'Frame Capacities'!$BX$11)*hstr6*('Frame Capacities'!$BR$11)+'Frame Capacities'!$BJ$11),(AND((W18&gt;'Frame Capacities'!$BY$11),(W18&lt;='Frame Capacities'!$BZ$11))),((W18-'Frame Capacities'!$BY$11)*hstr6*('Frame Capacities'!$BS$11)+'Frame Capacities'!$BK$11),(AND((W18&gt;'Frame Capacities'!$BZ$11),(W18&lt;='Frame Capacities'!$CA$11))),((W18-'Frame Capacities'!$BZ$11)*hstr6*('Frame Capacities'!$BT$11)+'Frame Capacities'!$BL$11),(AND((W18&gt;'Frame Capacities'!$CA$11),(W18&lt;='Frame Capacities'!$CB$11))),((W18-'Frame Capacities'!$CA$11)*hstr6*('Frame Capacities'!$BU$11)+'Frame Capacities'!$BM$11))),((W18-'Frame Capacities'!$CC$11)*hstr6*'Frame Capacities'!$BV$11+'Frame Capacities'!$BO$11))</f>
        <v>0.2104616990213255</v>
      </c>
      <c r="AF18" s="667">
        <f>IF(($H$16=0),(_xlfn.IFS((W18&lt;='Infill Capacities'!$CY$11),(W18*'Infill Capacities'!$CS$11*hstr6),(AND((W18&gt;'Infill Capacities'!$CY$11),(W18&lt;='Infill Capacities'!$CZ$11))),((W18-'Infill Capacities'!$CY$11)*hstr6*('Infill Capacities'!$CT$11)+'Infill Capacities'!$CM$11),(AND((W18&gt;'Infill Capacities'!$CZ$11),(W18&lt;='Infill Capacities'!$DA$11))),((W18-'Infill Capacities'!$CZ$11)*hstr6*('Infill Capacities'!$CU$11)+'Infill Capacities'!$CN$11),(AND((W18&gt;'Infill Capacities'!$DA$11),(W18&lt;='Infill Capacities'!$DB$11))),((W18-'Infill Capacities'!$DA$11)*hstr6*('Infill Capacities'!$CV$11)+'Infill Capacities'!$CP$11))),((W18-'Infill Capacities'!$DC$11)*hstr6*'Infill Capacities'!$CW$11+'Infill Capacities'!$CQ$11))</f>
        <v>2.2144117515275026</v>
      </c>
      <c r="AG18" s="58">
        <f>AE18/$C$16</f>
        <v>1.550552792396799E-3</v>
      </c>
      <c r="AH18" s="55">
        <f>AF18/$D$16</f>
        <v>6.4522486932619529E-3</v>
      </c>
      <c r="AI18" s="575">
        <f t="shared" ref="AI18:AI23" si="18">AE18+AF18</f>
        <v>2.4248734505488283</v>
      </c>
      <c r="AJ18" s="576">
        <f>AD18-AI18</f>
        <v>-5.0963905220413608E-6</v>
      </c>
      <c r="AK18" s="209">
        <f>(AD18-(AI18))/AD18</f>
        <v>-2.1017184348592665E-6</v>
      </c>
      <c r="AL18" s="192"/>
    </row>
    <row r="19" spans="1:38" ht="15.75" x14ac:dyDescent="0.25">
      <c r="A19" s="5"/>
      <c r="B19" s="128">
        <v>3</v>
      </c>
      <c r="C19" s="17">
        <f>'System Capacities'!N9</f>
        <v>254.66666666666663</v>
      </c>
      <c r="D19" s="17">
        <f>'System Capacities'!O9</f>
        <v>340.03200000000004</v>
      </c>
      <c r="E19" s="642">
        <f>IF(($H19=0),('System Capacities'!P9),('System Capacities'!C69))</f>
        <v>394.61766537386319</v>
      </c>
      <c r="F19" s="642">
        <f>IF(($H19=0),('System Capacities'!Q9),('System Capacities'!D69))</f>
        <v>1.7909714066512246E-3</v>
      </c>
      <c r="G19" s="642">
        <f>IF(($H19=0),('System Capacities'!R9),('System Capacities'!E69))</f>
        <v>73445.740843646985</v>
      </c>
      <c r="H19" s="640">
        <v>0</v>
      </c>
      <c r="I19" s="657"/>
      <c r="J19" s="6"/>
      <c r="K19" s="192"/>
      <c r="L19" s="192"/>
      <c r="M19" s="6"/>
      <c r="N19" s="563">
        <v>2</v>
      </c>
      <c r="O19" s="562">
        <f t="shared" si="14"/>
        <v>0</v>
      </c>
      <c r="P19" s="7"/>
      <c r="Q19" s="192"/>
      <c r="R19" s="56">
        <f>IF(($H$17=0),(_xlfn.IFS(('System Capacities'!$N$20+'System Capacities'!$N$33=2),((AD6/$G$17)),('System Capacities'!$N$20+'System Capacities'!$N$33=3),(((AD6-'System Capacities'!$G$47)/($G$17))+('System Capacities'!$H$47*hstr5)),('System Capacities'!$N$20+'System Capacities'!$N$33=4),(((AD6-'System Capacities'!$G$48)/($G$17))+('System Capacities'!$H$48*hstr5)),('System Capacities'!$N$20+'System Capacities'!$N$33=5),(((AD6-'System Capacities'!$G$49)/($G$17))+('System Capacities'!$H$49*hstr5)),('System Capacities'!$N$20+'System Capacities'!$N$33=6),(((AD6-'System Capacities'!$G$50)/($G$17))+('System Capacities'!$H$50*hstr5)),('System Capacities'!$N$20+'System Capacities'!$N$33=7),(((AD6-'System Capacities'!$G$51)/($G$17))+('System Capacities'!$H$51*hstr5)),('System Capacities'!$N$20+'System Capacities'!$N$33=8),(((AD6-'System Capacities'!$G$52)/($G$17))+('System Capacities'!$H$52*hstr5)),('System Capacities'!$N$20+'System Capacities'!$N$33=9),(((AD6-'System Capacities'!$G$53)/($G$17))+('System Capacities'!$H$53*hstr5)),('System Capacities'!$N$20+'System Capacities'!$N$33=10),(((AD6-'System Capacities'!$G$54)/($G$17))+('System Capacities'!$H$54*hstr5)))),((ABS(AD6-$E$17)/(-1*$G$17))+($F$17*hstr5)))</f>
        <v>7.4231100760162774E-5</v>
      </c>
      <c r="S19" s="590">
        <f>S20+R19</f>
        <v>5.1293446497907363E-4</v>
      </c>
      <c r="T19" s="192"/>
      <c r="U19" s="553">
        <v>5</v>
      </c>
      <c r="V19" s="551">
        <f>V20+hstr5</f>
        <v>14.75</v>
      </c>
      <c r="W19" s="58">
        <f t="shared" si="15"/>
        <v>2.474370025338759E-5</v>
      </c>
      <c r="X19" s="571">
        <f t="shared" si="16"/>
        <v>5.1293446497907363E-4</v>
      </c>
      <c r="Y19" s="554">
        <f>mstr5</f>
        <v>67.278400000000005</v>
      </c>
      <c r="Z19" s="261">
        <f t="shared" si="17"/>
        <v>3.4509410108648109E-2</v>
      </c>
      <c r="AA19" s="572">
        <f>((Y19*X19)/(Z25)*$L$15)</f>
        <v>2.4051698767428329</v>
      </c>
      <c r="AB19" s="572">
        <f>AD19-AD18+$O$16</f>
        <v>2.4051749731333549</v>
      </c>
      <c r="AC19" s="572">
        <f>AC18+AA19</f>
        <v>4.8300382309011392</v>
      </c>
      <c r="AD19" s="573">
        <f>AC19-AJ18-$O$16</f>
        <v>4.8300433272916612</v>
      </c>
      <c r="AE19" s="99">
        <f>IF(($H$17=0),(_xlfn.IFS((W19&lt;='Frame Capacities'!$BX$12),(W19*hstr5*'Frame Capacities'!$BQ$12),(AND((W19&gt;'Frame Capacities'!$BX$12),(W19&lt;='Frame Capacities'!$BY$12))),((W19-'Frame Capacities'!$BX$12)*hstr5*('Frame Capacities'!$BR$12)+'Frame Capacities'!$BJ$12),(AND((W19&gt;'Frame Capacities'!$BY$12),(W19&lt;='Frame Capacities'!$BZ$12))),((W19-'Frame Capacities'!$BY$12)*hstr5*('Frame Capacities'!$BS$12)+'Frame Capacities'!$BK$12),(AND((W19&gt;'Frame Capacities'!$BZ$12),(W19&lt;='Frame Capacities'!$CA$12))),((W19-'Frame Capacities'!$BZ$12)*hstr5*('Frame Capacities'!$BT$12)+'Frame Capacities'!$BL$12),(AND((W19&gt;'Frame Capacities'!$CA$12),(W19&lt;='Frame Capacities'!$CB$12))),((W19-'Frame Capacities'!$CA$12)*hstr5*('Frame Capacities'!$BU$12)+'Frame Capacities'!$BM$12))),((W19-'Frame Capacities'!$CC$12)*hstr5*'Frame Capacities'!$BV$12+'Frame Capacities'!$BO$12))</f>
        <v>0.41662311004286851</v>
      </c>
      <c r="AF19" s="574">
        <f>IF(($H$17=0),(_xlfn.IFS((W19&lt;='Infill Capacities'!$CY$12),(W19*'Infill Capacities'!$CS$12*hstr5),(AND((W19&gt;'Infill Capacities'!$CY$12),(W19&lt;='Infill Capacities'!$CZ$12))),((W19-'Infill Capacities'!$CY$12)*hstr5*('Infill Capacities'!$CT$12)+'Infill Capacities'!$CM$12),(AND((W19&gt;'Infill Capacities'!$CZ$12),(W19&lt;='Infill Capacities'!$DA$12))),((W19-'Infill Capacities'!$CZ$12)*hstr5*('Infill Capacities'!$CU$12)+'Infill Capacities'!$CN$12),(AND((W19&gt;'Infill Capacities'!$DA$12),(W19&lt;='Infill Capacities'!$DB$12))),((W19-'Infill Capacities'!$DA$12)*hstr5*('Infill Capacities'!$CV$12)+'Infill Capacities'!$CP$12))),((W19-'Infill Capacities'!$DC$12)*hstr5*'Infill Capacities'!$CW$12+'Infill Capacities'!$CQ$12))</f>
        <v>4.4134108467968467</v>
      </c>
      <c r="AG19" s="58">
        <f>AE19/$C$17</f>
        <v>2.5781133047207204E-3</v>
      </c>
      <c r="AH19" s="55">
        <f>AF19/$D$17</f>
        <v>1.2859588714443025E-2</v>
      </c>
      <c r="AI19" s="575">
        <f t="shared" si="18"/>
        <v>4.8300339568397153</v>
      </c>
      <c r="AJ19" s="576">
        <f>AD19-AI19</f>
        <v>9.3704519459336666E-6</v>
      </c>
      <c r="AK19" s="209">
        <f t="shared" ref="AK19:AK23" si="19">(AD19-(AI19))/AD19</f>
        <v>1.9400347597270804E-6</v>
      </c>
      <c r="AL19" s="192"/>
    </row>
    <row r="20" spans="1:38" ht="15.75" x14ac:dyDescent="0.25">
      <c r="A20" s="5"/>
      <c r="B20" s="128">
        <v>2</v>
      </c>
      <c r="C20" s="17">
        <f>'System Capacities'!N10</f>
        <v>269.93333333333334</v>
      </c>
      <c r="D20" s="17">
        <f>'System Capacities'!O10</f>
        <v>340.03200000000004</v>
      </c>
      <c r="E20" s="642">
        <f>IF(($H20=0),('System Capacities'!P10),('System Capacities'!G69))</f>
        <v>413.02510000388276</v>
      </c>
      <c r="F20" s="642">
        <f>IF(($H20=0),('System Capacities'!Q10),('System Capacities'!H69))</f>
        <v>1.7349058472302754E-3</v>
      </c>
      <c r="G20" s="642">
        <f>IF(($H20=0),('System Capacities'!R10),('System Capacities'!I69))</f>
        <v>79355.910612914013</v>
      </c>
      <c r="H20" s="640">
        <v>0</v>
      </c>
      <c r="I20" s="657"/>
      <c r="J20" s="6"/>
      <c r="K20" s="192"/>
      <c r="L20" s="192"/>
      <c r="M20" s="6"/>
      <c r="N20" s="564">
        <v>1</v>
      </c>
      <c r="O20" s="565">
        <f t="shared" si="14"/>
        <v>0</v>
      </c>
      <c r="P20" s="7"/>
      <c r="Q20" s="192"/>
      <c r="R20" s="56">
        <f>IF(($H$18=0),(_xlfn.IFS(('System Capacities'!$N$21+'System Capacities'!$N$34=2),((AD7/$G$18)),('System Capacities'!$N$21+'System Capacities'!$N$34=3),(((AD7-'System Capacities'!$K$47)/($G$18))+('System Capacities'!$L$47*hstr4)),('System Capacities'!$N$21+'System Capacities'!$N$34=4),(((AD7-'System Capacities'!$K$48)/ABS($G$18))+('System Capacities'!$L$48*hstr4)),('System Capacities'!$N$21+'System Capacities'!$N$34=5),(((AD7-'System Capacities'!$K$49)/($G$18))+('System Capacities'!$L$49*hstr4)),('System Capacities'!$N$21+'System Capacities'!$N$34=6),(((AD7-'System Capacities'!$K$50)/ABS($G$18))+('System Capacities'!$L$50*hstr4)),('System Capacities'!$N$21+'System Capacities'!$N$34=7),(((AD7-'System Capacities'!$K$51)/($G$18))+('System Capacities'!$L$51*hstr4)),('System Capacities'!$N$21+'System Capacities'!$N$34=8),(((AD7-'System Capacities'!$K$52)/($G$18))+('System Capacities'!$L$52*hstr4)),('System Capacities'!$N$21+'System Capacities'!$N$34=9),(((AD7-'System Capacities'!$K$53)/($G$18))+('System Capacities'!$L$53*hstr4)),('System Capacities'!$N$21+'System Capacities'!$N$34=10),(((AD7-'System Capacities'!$K$54)/($G$18))+('System Capacities'!$L$54*hstr4)))),((ABS(AD7-$E$18)/(-1*$G$18))+($F$18*hstr6)))</f>
        <v>1.0053032024447763E-4</v>
      </c>
      <c r="S20" s="590">
        <f t="shared" ref="S20:S22" si="20">S21+R20</f>
        <v>4.3870336421891087E-4</v>
      </c>
      <c r="T20" s="192"/>
      <c r="U20" s="553">
        <v>4</v>
      </c>
      <c r="V20" s="551">
        <f>V21+hstr4</f>
        <v>11.75</v>
      </c>
      <c r="W20" s="58">
        <f t="shared" si="15"/>
        <v>3.3510106748159211E-5</v>
      </c>
      <c r="X20" s="571">
        <f t="shared" si="16"/>
        <v>4.3870336421891087E-4</v>
      </c>
      <c r="Y20" s="554">
        <f>mstr4</f>
        <v>67.278400000000005</v>
      </c>
      <c r="Z20" s="261">
        <f t="shared" si="17"/>
        <v>2.9515260419265575E-2</v>
      </c>
      <c r="AA20" s="572">
        <f>((Y20*X20)/(Z25)*$L$15)</f>
        <v>2.0570973262405197</v>
      </c>
      <c r="AB20" s="572">
        <f>AD20-AD19+$O$17</f>
        <v>2.0570828593980517</v>
      </c>
      <c r="AC20" s="572">
        <f t="shared" ref="AC20:AC23" si="21">AC19+AA20</f>
        <v>6.8871355571416588</v>
      </c>
      <c r="AD20" s="573">
        <f>AC20-AJ19-$O$17</f>
        <v>6.8871261866897129</v>
      </c>
      <c r="AE20" s="99">
        <f>IF(($H$18=0),(_xlfn.IFS((W20&lt;='Frame Capacities'!$BX$13),(W20*hstr4*'Frame Capacities'!$BQ$13),(AND((W20&gt;'Frame Capacities'!$BX$13),(W20&lt;='Frame Capacities'!$BY$13))),((W20-'Frame Capacities'!$BX$13)*hstr4*('Frame Capacities'!$BR$13)+'Frame Capacities'!$BJ$13),(AND((W20&gt;'Frame Capacities'!$BY$13),(W20&lt;='Frame Capacities'!$BZ$13))),((W20-'Frame Capacities'!$BY$13)*hstr4*('Frame Capacities'!$BS$13)+'Frame Capacities'!$BK$13),(AND((W20&gt;'Frame Capacities'!$BZ$13),(W20&lt;='Frame Capacities'!$CA$13))),((W20-'Frame Capacities'!$BZ$13)*hstr4*('Frame Capacities'!$BT$13)+'Frame Capacities'!$BL$13),(AND((W20&gt;'Frame Capacities'!$CA$13),(W20&lt;='Frame Capacities'!$CB$13))),((W20-'Frame Capacities'!$CA$13)*hstr4*('Frame Capacities'!$BU$13)+'Frame Capacities'!$BM$13))),((W20-'Frame Capacities'!$CC$13)*hstr4*'Frame Capacities'!$BV$13+'Frame Capacities'!$BO$13))</f>
        <v>0.67116153100303722</v>
      </c>
      <c r="AF20" s="574">
        <f>IF(($H$18=0),(_xlfn.IFS((W20&lt;='Infill Capacities'!$CY$13),(W20*'Infill Capacities'!$CS$13*hstr4),(AND((W20&gt;'Infill Capacities'!$CY$13),(W20&lt;='Infill Capacities'!$CZ$13))),((W20-'Infill Capacities'!$CY$13)*hstr4*('Infill Capacities'!$CT$13)+'Infill Capacities'!$CM$13),(AND((W20&gt;'Infill Capacities'!$CZ$13),(W20&lt;='Infill Capacities'!$DA$13))),((W20-'Infill Capacities'!$CZ$13)*hstr4*('Infill Capacities'!$CU$13)+'Infill Capacities'!$CN$13),(AND((W20&gt;'Infill Capacities'!$DA$13),(W20&lt;='Infill Capacities'!$DB$13))),((W20-'Infill Capacities'!$DA$13)*hstr4*('Infill Capacities'!$CV$13)+'Infill Capacities'!$CP$13))),((W20-'Infill Capacities'!$DC$13)*hstr4*'Infill Capacities'!$CW$13+'Infill Capacities'!$CQ$13))</f>
        <v>6.2159945737077473</v>
      </c>
      <c r="AG20" s="58">
        <f>AE20/$C$18</f>
        <v>3.7790626745666509E-3</v>
      </c>
      <c r="AH20" s="55">
        <f>AF20/$D$18</f>
        <v>1.8111872301013247E-2</v>
      </c>
      <c r="AI20" s="575">
        <f t="shared" si="18"/>
        <v>6.887156104710785</v>
      </c>
      <c r="AJ20" s="576">
        <f t="shared" ref="AJ20:AJ23" si="22">AD20-AI20</f>
        <v>-2.9918021072106171E-5</v>
      </c>
      <c r="AK20" s="209">
        <f t="shared" si="19"/>
        <v>-4.3440500814297152E-6</v>
      </c>
      <c r="AL20" s="192"/>
    </row>
    <row r="21" spans="1:38" ht="15.75" x14ac:dyDescent="0.25">
      <c r="A21" s="5"/>
      <c r="B21" s="128">
        <v>1</v>
      </c>
      <c r="C21" s="17">
        <f>'System Capacities'!N11</f>
        <v>403.27272727272725</v>
      </c>
      <c r="D21" s="17">
        <f>'System Capacities'!O11</f>
        <v>325.24800000000005</v>
      </c>
      <c r="E21" s="642">
        <f>IF(($H21=0),('System Capacities'!P11),('System Capacities'!K69))</f>
        <v>472.21891354209725</v>
      </c>
      <c r="F21" s="642">
        <f>IF(($H21=0),('System Capacities'!Q11),('System Capacities'!L69))</f>
        <v>1.7665298310518072E-3</v>
      </c>
      <c r="G21" s="642">
        <f>IF(($H21=0),('System Capacities'!R11),('System Capacities'!M69))</f>
        <v>97205.247000284988</v>
      </c>
      <c r="H21" s="641">
        <v>0</v>
      </c>
      <c r="I21" s="657"/>
      <c r="J21" s="6"/>
      <c r="K21" s="192"/>
      <c r="L21" s="192"/>
      <c r="M21" s="6"/>
      <c r="N21" s="6"/>
      <c r="O21" s="6"/>
      <c r="P21" s="7"/>
      <c r="Q21" s="192"/>
      <c r="R21" s="56">
        <f>IF(($H$19=0),(_xlfn.IFS(('System Capacities'!$N$22+'System Capacities'!$N$35=2),((AD8/$G$19)),('System Capacities'!$N$22+'System Capacities'!$N$35=3),(((AD8-'System Capacities'!$C$60)/ABS($G$19))+('System Capacities'!$D$60*hstr3)),('System Capacities'!$N$22+'System Capacities'!$N$35=4),(((AD8-'System Capacities'!$C$61)/($G$19))+('System Capacities'!$D$61*hstr3)),('System Capacities'!$N$22+'System Capacities'!$N$35=5),(((AD8-'System Capacities'!$C$62)/($G$19))+('System Capacities'!$D$62*hstr3)),('System Capacities'!$N$22+'System Capacities'!$N$35=6),(((AD8-'System Capacities'!$C$63)/($G$19))+('System Capacities'!$D$63*hstr3)),('System Capacities'!$N$22+'System Capacities'!$N$35=7),(((AD8-'System Capacities'!$C$64)/($G$19))+('System Capacities'!$D$64*hstr3)),('System Capacities'!$N$22+'System Capacities'!$N$35=8),(((AD8-'System Capacities'!$C$65)/($G$19))+('System Capacities'!$D$65*hstr3)),('System Capacities'!$N$22+'System Capacities'!$N$35=9),(((AD8-'System Capacities'!$C$66)/($G$19))+('System Capacities'!$D$66*hstr3)),('System Capacities'!$N$22+'System Capacities'!$N$35=10),(((AD8-'System Capacities'!$C$67)/($G$19))+('System Capacities'!$D$67*hstr3)))),((ABS(AD8-$E$19)/(-1*$G$19))+($F$19*hstr3)))</f>
        <v>1.1536155881763222E-4</v>
      </c>
      <c r="S21" s="590">
        <f t="shared" si="20"/>
        <v>3.3817304397443324E-4</v>
      </c>
      <c r="T21" s="192"/>
      <c r="U21" s="553">
        <v>3</v>
      </c>
      <c r="V21" s="551">
        <f>V22+hstr3</f>
        <v>8.75</v>
      </c>
      <c r="W21" s="58">
        <f t="shared" si="15"/>
        <v>3.8453852939210742E-5</v>
      </c>
      <c r="X21" s="571">
        <f t="shared" si="16"/>
        <v>3.3817304397443324E-4</v>
      </c>
      <c r="Y21" s="554">
        <f>mstr3</f>
        <v>67.278400000000005</v>
      </c>
      <c r="Z21" s="261">
        <f t="shared" si="17"/>
        <v>2.275174132172951E-2</v>
      </c>
      <c r="AA21" s="572">
        <f>((Y21*X21)/(Z25)*$L$15)</f>
        <v>1.5857067013949224</v>
      </c>
      <c r="AB21" s="572">
        <f>AD21-AD20+$O$18</f>
        <v>1.5857459898679398</v>
      </c>
      <c r="AC21" s="572">
        <f t="shared" si="21"/>
        <v>8.4728422585365806</v>
      </c>
      <c r="AD21" s="573">
        <f>AC21-AJ20-$O$18</f>
        <v>8.4728721765576527</v>
      </c>
      <c r="AE21" s="99">
        <f>IF(($H$19=0),(_xlfn.IFS((W21&lt;='Frame Capacities'!$BX$14),(W21*hstr3*'Frame Capacities'!$BQ$14),(AND((W21&gt;'Frame Capacities'!$BX$14),(W21&lt;='Frame Capacities'!$BY$14))),((W21-'Frame Capacities'!$BX$14)*hstr3*('Frame Capacities'!$BR$14)+'Frame Capacities'!$BJ$14),(AND((W21&gt;'Frame Capacities'!$BY$14),(W21&lt;='Frame Capacities'!$BZ$14))),((W21-'Frame Capacities'!$BY$14)*hstr3*('Frame Capacities'!$BS$14)+'Frame Capacities'!$BK$14),(AND((W21&gt;'Frame Capacities'!$BZ$14),(W21&lt;='Frame Capacities'!$CA$14))),((W21-'Frame Capacities'!$BZ$14)*hstr3*('Frame Capacities'!$BT$14)+'Frame Capacities'!$BL$14),(AND((W21&gt;'Frame Capacities'!$CA$14),(W21&lt;='Frame Capacities'!$CB$14))),((W21-'Frame Capacities'!$CA$14)*hstr3*('Frame Capacities'!$BU$14)+'Frame Capacities'!$BM$14))),((W21-'Frame Capacities'!$CC$14)*hstr3*'Frame Capacities'!$BV$14+'Frame Capacities'!$BO$14))</f>
        <v>1.172005952233647</v>
      </c>
      <c r="AF21" s="574">
        <f>IF(($H$19=0),(_xlfn.IFS((W21&lt;='Infill Capacities'!$CY$14),(W21*'Infill Capacities'!$CS$14*hstr3),(AND((W21&gt;'Infill Capacities'!$CY$14),(W21&lt;='Infill Capacities'!$CZ$14))),((W21-'Infill Capacities'!$CY$14)*hstr3*('Infill Capacities'!$CT$14)+'Infill Capacities'!$CM$14),(AND((W21&gt;'Infill Capacities'!$CZ$14),(W21&lt;='Infill Capacities'!$DA$14))),((W21-'Infill Capacities'!$CZ$14)*hstr3*('Infill Capacities'!$CU$14)+'Infill Capacities'!$CN$14),(AND((W21&gt;'Infill Capacities'!$DA$14),(W21&lt;='Infill Capacities'!$DB$14))),((W21-'Infill Capacities'!$DA$14)*hstr3*('Infill Capacities'!$CV$14)+'Infill Capacities'!$CP$14))),((W21-'Infill Capacities'!$DC$14)*hstr3*'Infill Capacities'!$CW$14+'Infill Capacities'!$CQ$14))</f>
        <v>7.3008092000053093</v>
      </c>
      <c r="AG21" s="58">
        <f>AE21/$C$19</f>
        <v>4.6021176134829079E-3</v>
      </c>
      <c r="AH21" s="55">
        <f>AF21/$D$19</f>
        <v>2.147094744025653E-2</v>
      </c>
      <c r="AI21" s="575">
        <f t="shared" si="18"/>
        <v>8.4728151522389563</v>
      </c>
      <c r="AJ21" s="576">
        <f t="shared" si="22"/>
        <v>5.7024318696363707E-5</v>
      </c>
      <c r="AK21" s="209">
        <f t="shared" si="19"/>
        <v>6.7302229407090472E-6</v>
      </c>
      <c r="AL21" s="192"/>
    </row>
    <row r="22" spans="1:38" ht="16.5" thickBot="1" x14ac:dyDescent="0.3">
      <c r="A22" s="5"/>
      <c r="B22" s="192"/>
      <c r="C22" s="192"/>
      <c r="D22" s="192"/>
      <c r="E22" s="192"/>
      <c r="F22" s="192"/>
      <c r="G22" s="192"/>
      <c r="H22" s="192"/>
      <c r="I22" s="6"/>
      <c r="J22" s="6"/>
      <c r="K22" s="192"/>
      <c r="L22" s="192"/>
      <c r="M22" s="6"/>
      <c r="N22" s="6"/>
      <c r="O22" s="6"/>
      <c r="P22" s="7"/>
      <c r="Q22" s="192"/>
      <c r="R22" s="56">
        <f>IF(($H$20=0),(_xlfn.IFS(('System Capacities'!$N$23+'System Capacities'!$N$36=2),((AD9/$G$20)),('System Capacities'!$N$23+'System Capacities'!$N$36=3),(((AD9-'System Capacities'!$G$60)/($G$20))+('System Capacities'!$H$60*hstr2)),('System Capacities'!$N$23+'System Capacities'!$N$36=4),(((AD9-'System Capacities'!$G$61)/($G$20))+('System Capacities'!$H$61*hstr2)),('System Capacities'!$N$23+'System Capacities'!$N$36=5),(((AD9-'System Capacities'!$G$62)/($G$20))+('System Capacities'!$H$62*hstr2)),('System Capacities'!$N$23+'System Capacities'!$N$36=6),(((AD9-'System Capacities'!$G$63)/($G$20))+('System Capacities'!$H$63*hstr2)),('System Capacities'!$N$23+'System Capacities'!$N$36=7),(((AD9-'System Capacities'!$G$64)/($G$20))+('System Capacities'!$H$64*hstr2)),('System Capacities'!$N$23+'System Capacities'!$N$36=8),(((AD9-'System Capacities'!$G$65)/($G$20))+('System Capacities'!$H$65*hstr2)),('System Capacities'!$N$23+'System Capacities'!$N$36=9),(((AD9-'System Capacities'!$G$66)/($G$20))+('System Capacities'!$H$66*hstr2)),('System Capacities'!$N$23+'System Capacities'!$N$36=10),(((AD9-'System Capacities'!$G$67)/($G$20))+('System Capacities'!$H$67*hstr2)))),((ABS(AD9-$E$20)/(-1*$G$20))+($F$20*hstr2)))</f>
        <v>1.1993627074583389E-4</v>
      </c>
      <c r="S22" s="590">
        <f t="shared" si="20"/>
        <v>2.2281148515680105E-4</v>
      </c>
      <c r="T22" s="192"/>
      <c r="U22" s="553">
        <v>2</v>
      </c>
      <c r="V22" s="551">
        <f>V23+hstr2</f>
        <v>5.75</v>
      </c>
      <c r="W22" s="58">
        <f t="shared" si="15"/>
        <v>3.9978756915277962E-5</v>
      </c>
      <c r="X22" s="571">
        <f t="shared" si="16"/>
        <v>2.2281148515680105E-4</v>
      </c>
      <c r="Y22" s="554">
        <f>mstr2</f>
        <v>67.278400000000005</v>
      </c>
      <c r="Z22" s="261">
        <f t="shared" si="17"/>
        <v>1.4990400222973325E-2</v>
      </c>
      <c r="AA22" s="572">
        <f>((Y22*X22)/(Z25)*$L$15)</f>
        <v>1.0447718156613515</v>
      </c>
      <c r="AB22" s="572">
        <f>AD22-AD21+$O$19</f>
        <v>1.0446848733215823</v>
      </c>
      <c r="AC22" s="572">
        <f t="shared" si="21"/>
        <v>9.5176140741979314</v>
      </c>
      <c r="AD22" s="573">
        <f>AC22-AJ21-$O$19</f>
        <v>9.517557049879235</v>
      </c>
      <c r="AE22" s="99">
        <f>IF(($H$20=0),(_xlfn.IFS((W22&lt;='Frame Capacities'!$BX$15),(W22*hstr2*'Frame Capacities'!$BQ$15),(AND((W22&gt;'Frame Capacities'!$BX$15),(W22&lt;='Frame Capacities'!$BY$15))),((W22-'Frame Capacities'!$BX$15)*hstr2*('Frame Capacities'!$BR$15)+'Frame Capacities'!$BJ$15),(AND((W22&gt;'Frame Capacities'!$BY$15),(W22&lt;='Frame Capacities'!$BZ$15))),((W22-'Frame Capacities'!$BY$15)*hstr2*('Frame Capacities'!$BS$15)+'Frame Capacities'!$BK$15),(AND((W22&gt;'Frame Capacities'!$BZ$15),(W22&lt;='Frame Capacities'!$CA$15))),((W22-'Frame Capacities'!$BZ$15)*hstr2*('Frame Capacities'!$BT$15)+'Frame Capacities'!$BL$15),(AND((W22&gt;'Frame Capacities'!$CA$15),(W22&lt;='Frame Capacities'!$CB$15))),((W22-'Frame Capacities'!$CA$15)*hstr2*('Frame Capacities'!$BU$15)+'Frame Capacities'!$BM$15))),((W22-'Frame Capacities'!$CC$15)*hstr2*'Frame Capacities'!$BV$15+'Frame Capacities'!$BO$15))</f>
        <v>1.682035602223936</v>
      </c>
      <c r="AF22" s="574">
        <f>IF(($H$20=0),(_xlfn.IFS((W22&lt;='Infill Capacities'!$CY$15),(W22*'Infill Capacities'!$CS$15*hstr2),(AND((W22&gt;'Infill Capacities'!$CY$15),(W22&lt;='Infill Capacities'!$CZ$15))),((W22-'Infill Capacities'!$CY$15)*hstr2*('Infill Capacities'!$CT$15)+'Infill Capacities'!$CM$15),(AND((W22&gt;'Infill Capacities'!$CZ$15),(W22&lt;='Infill Capacities'!$DA$15))),((W22-'Infill Capacities'!$CZ$15)*hstr2*('Infill Capacities'!$CU$15)+'Infill Capacities'!$CN$15),(AND((W22&gt;'Infill Capacities'!$DA$15),(W22&lt;='Infill Capacities'!$DB$15))),((W22-'Infill Capacities'!$DA$15)*hstr2*('Infill Capacities'!$CV$15)+'Infill Capacities'!$CP$15))),((W22-'Infill Capacities'!$DC$15)*hstr2*'Infill Capacities'!$CW$15+'Infill Capacities'!$CQ$15))</f>
        <v>7.8356163783287123</v>
      </c>
      <c r="AG22" s="58">
        <f>AE22/$C$20</f>
        <v>6.231300082331203E-3</v>
      </c>
      <c r="AH22" s="55">
        <f>AF22/$D$20</f>
        <v>2.3043761699865634E-2</v>
      </c>
      <c r="AI22" s="575">
        <f t="shared" si="18"/>
        <v>9.5176519805526478</v>
      </c>
      <c r="AJ22" s="576">
        <f t="shared" si="22"/>
        <v>-9.4930673412818578E-5</v>
      </c>
      <c r="AK22" s="209">
        <f t="shared" si="19"/>
        <v>-9.9742689132631068E-6</v>
      </c>
      <c r="AL22" s="192"/>
    </row>
    <row r="23" spans="1:38" ht="16.5" thickBot="1" x14ac:dyDescent="0.3">
      <c r="A23" s="5"/>
      <c r="B23" s="982" t="s">
        <v>309</v>
      </c>
      <c r="C23" s="983"/>
      <c r="D23" s="984"/>
      <c r="E23" s="192"/>
      <c r="F23" s="192"/>
      <c r="G23" s="192"/>
      <c r="H23" s="192"/>
      <c r="I23" s="6"/>
      <c r="J23" s="6"/>
      <c r="K23" s="6"/>
      <c r="L23" s="6"/>
      <c r="M23" s="6"/>
      <c r="N23" s="6"/>
      <c r="O23" s="6"/>
      <c r="P23" s="7"/>
      <c r="Q23" s="192"/>
      <c r="R23" s="56">
        <f>IF(($H$21=0),(_xlfn.IFS(('System Capacities'!$N$24+'System Capacities'!$N$37=2),(AD10/$G$21),('System Capacities'!$N$24+'System Capacities'!$N$37=3),(((AD10-'System Capacities'!$K$60)/($G$21))+('System Capacities'!$L$60*hstr1)),('System Capacities'!$N$24+'System Capacities'!$N$37=4),(((AD10-'System Capacities'!$K$61)/($G$21))+('System Capacities'!$L$61*hstr1)),('System Capacities'!$N$24+'System Capacities'!$N$37=5),(((AD10-'System Capacities'!$K$62)/($G$21))+('System Capacities'!$L$62*hstr1)),('System Capacities'!$N$24+'System Capacities'!$N$37=6),(((AD10-'System Capacities'!$K$63)/($G$21))+('System Capacities'!$L$63*hstr1)),('System Capacities'!$N$24+'System Capacities'!$N$37=7),(((AD10-'System Capacities'!$K$64)/($G$21))+('System Capacities'!$L$64*hstr1)),('System Capacities'!$N$24+'System Capacities'!$N$37=8),(((AD10-'System Capacities'!$K$65)/($G$21))+('System Capacities'!$L$65*hstr1)),('System Capacities'!$N$24+'System Capacities'!$N$37=9),(((AD10-'System Capacities'!$K$66)/($G$21))+('System Capacities'!$L$66*hstr1)),('System Capacities'!$N$24+'System Capacities'!$N$37=10),(((AD10-'System Capacities'!$K$67)/($G$21))+('System Capacities'!$L$67*hstr1)))),((ABS(AD10-$E$21)/(-1*$G$21))+($F$21*hstr1)))</f>
        <v>1.0287521441096716E-4</v>
      </c>
      <c r="S23" s="590">
        <f>S24+R23</f>
        <v>1.0287521441096716E-4</v>
      </c>
      <c r="T23" s="192"/>
      <c r="U23" s="553">
        <v>1</v>
      </c>
      <c r="V23" s="551">
        <f>V24+hstr1</f>
        <v>2.75</v>
      </c>
      <c r="W23" s="58">
        <f t="shared" si="15"/>
        <v>3.7409168876715333E-5</v>
      </c>
      <c r="X23" s="571">
        <f t="shared" si="16"/>
        <v>1.0287521441096716E-4</v>
      </c>
      <c r="Y23" s="554">
        <f>mstr1</f>
        <v>67.278400000000005</v>
      </c>
      <c r="Z23" s="261">
        <f t="shared" si="17"/>
        <v>6.9212798252268138E-3</v>
      </c>
      <c r="AA23" s="572">
        <f>((Y23*X23)/(Z25)*$L$15)</f>
        <v>0.48238592580206713</v>
      </c>
      <c r="AB23" s="572">
        <f>AD23-AD22+$O$20</f>
        <v>0.48253788079417603</v>
      </c>
      <c r="AC23" s="572">
        <f t="shared" si="21"/>
        <v>9.9999999999999982</v>
      </c>
      <c r="AD23" s="573">
        <f>AC23-AJ22-$O$20</f>
        <v>10.000094930673411</v>
      </c>
      <c r="AE23" s="99">
        <f>IF(($H$21=0),(_xlfn.IFS((W23&lt;='Frame Capacities'!$BX$16),(W23*hstr1*'Frame Capacities'!$BQ$16),(AND((W23&gt;'Frame Capacities'!$BX$16),(W23&lt;='Frame Capacities'!$BY$16))),((W23-'Frame Capacities'!$BX$16)*hstr1*('Frame Capacities'!$BR$16)+'Frame Capacities'!$BJ$16),(AND((W23&gt;'Frame Capacities'!$BY$16),(W23&lt;='Frame Capacities'!$BZ$16))),((W23-'Frame Capacities'!$BY$16)*hstr1*('Frame Capacities'!$BS$16)+'Frame Capacities'!$BK$16),(AND((W23&gt;'Frame Capacities'!$BZ$16),(W23&lt;='Frame Capacities'!$CA$16))),((W23-'Frame Capacities'!$BZ$16)*hstr1*('Frame Capacities'!$BT$16)+'Frame Capacities'!$BL$16),(AND((W23&gt;'Frame Capacities'!$CA$16),(W23&lt;='Frame Capacities'!$CB$16))),((W23-'Frame Capacities'!$CA$16)*hstr1*('Frame Capacities'!$BU$16)+'Frame Capacities'!$BM$16))),((W23-'Frame Capacities'!$CC$16)*hstr1*'Frame Capacities'!$BV$16+'Frame Capacities'!$BO$16))</f>
        <v>3.1123503424721952</v>
      </c>
      <c r="AF23" s="574">
        <f>IF(($H$21=0),(_xlfn.IFS((W23&lt;='Infill Capacities'!$CY$16),(W23*'Infill Capacities'!$CS$16*hstr1),(AND((W23&gt;'Infill Capacities'!$CY$16),(W23&lt;='Infill Capacities'!$CZ$16))),((W23-'Infill Capacities'!$CY$16)*hstr1*('Infill Capacities'!$CT$16)+'Infill Capacities'!$CM$16),(AND((W23&gt;'Infill Capacities'!$CZ$16),(W23&lt;='Infill Capacities'!$DA$16))),((W23-'Infill Capacities'!$CZ$16)*hstr1*('Infill Capacities'!$CU$16)+'Infill Capacities'!$CN$16),(AND((W23&gt;'Infill Capacities'!$DA$16),(W23&lt;='Infill Capacities'!$DB$16))),((W23-'Infill Capacities'!$DA$16)*hstr1*('Infill Capacities'!$CV$16)+'Infill Capacities'!$CP$16))),((W23-'Infill Capacities'!$DC$16)*hstr1*'Infill Capacities'!$CW$16+'Infill Capacities'!$CQ$16))</f>
        <v>6.8876602845531458</v>
      </c>
      <c r="AG23" s="58">
        <f>AE23/$C$21</f>
        <v>7.7177307861122967E-3</v>
      </c>
      <c r="AH23" s="55">
        <f>AF23/$D$21</f>
        <v>2.1176641469134769E-2</v>
      </c>
      <c r="AI23" s="575">
        <f t="shared" si="18"/>
        <v>10.000010627025341</v>
      </c>
      <c r="AJ23" s="576">
        <f t="shared" si="22"/>
        <v>8.4303648069550263E-5</v>
      </c>
      <c r="AK23" s="209">
        <f t="shared" si="19"/>
        <v>8.4302847776939264E-6</v>
      </c>
      <c r="AL23" s="192"/>
    </row>
    <row r="24" spans="1:38" ht="16.5" thickBot="1" x14ac:dyDescent="0.3">
      <c r="A24" s="5"/>
      <c r="B24" s="218" t="s">
        <v>308</v>
      </c>
      <c r="C24" s="219">
        <v>3</v>
      </c>
      <c r="D24" s="220"/>
      <c r="E24" s="192"/>
      <c r="F24" s="192"/>
      <c r="G24" s="192"/>
      <c r="H24" s="192"/>
      <c r="I24" s="6"/>
      <c r="J24" s="6"/>
      <c r="K24" s="6"/>
      <c r="L24" s="6"/>
      <c r="M24" s="6"/>
      <c r="N24" s="6"/>
      <c r="O24" s="6"/>
      <c r="P24" s="7"/>
      <c r="Q24" s="192"/>
      <c r="R24" s="592">
        <v>0</v>
      </c>
      <c r="S24" s="591">
        <f>R24</f>
        <v>0</v>
      </c>
      <c r="T24" s="192"/>
      <c r="U24" s="550">
        <v>0</v>
      </c>
      <c r="V24" s="552">
        <f>hstr0</f>
        <v>0</v>
      </c>
      <c r="W24" s="75" t="s">
        <v>66</v>
      </c>
      <c r="X24" s="577">
        <f t="shared" si="16"/>
        <v>0</v>
      </c>
      <c r="Y24" s="147" t="s">
        <v>66</v>
      </c>
      <c r="Z24" s="263">
        <v>0</v>
      </c>
      <c r="AA24" s="578" t="s">
        <v>66</v>
      </c>
      <c r="AB24" s="578" t="s">
        <v>66</v>
      </c>
      <c r="AC24" s="578" t="s">
        <v>66</v>
      </c>
      <c r="AD24" s="578" t="s">
        <v>66</v>
      </c>
      <c r="AE24" s="157" t="s">
        <v>66</v>
      </c>
      <c r="AF24" s="157" t="s">
        <v>66</v>
      </c>
      <c r="AG24" s="150" t="s">
        <v>66</v>
      </c>
      <c r="AH24" s="157" t="s">
        <v>66</v>
      </c>
      <c r="AI24" s="579" t="s">
        <v>66</v>
      </c>
      <c r="AJ24" s="580" t="s">
        <v>66</v>
      </c>
      <c r="AK24" s="192"/>
      <c r="AL24" s="192"/>
    </row>
    <row r="25" spans="1:38" x14ac:dyDescent="0.25">
      <c r="A25" s="5"/>
      <c r="B25" s="980" t="s">
        <v>306</v>
      </c>
      <c r="C25" s="981"/>
      <c r="D25" s="221">
        <v>1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7"/>
      <c r="Q25" s="192"/>
      <c r="R25" s="192"/>
      <c r="S25" s="192"/>
      <c r="T25" s="192"/>
      <c r="U25" s="6"/>
      <c r="V25" s="6"/>
      <c r="W25" s="6"/>
      <c r="X25" s="6"/>
      <c r="Y25" s="581" t="s">
        <v>78</v>
      </c>
      <c r="Z25" s="582">
        <f>SUM(Z18:Z24)</f>
        <v>0.1434801360284039</v>
      </c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192"/>
      <c r="AL25" s="192"/>
    </row>
    <row r="26" spans="1:38" x14ac:dyDescent="0.25">
      <c r="A26" s="5"/>
      <c r="B26" s="980" t="s">
        <v>307</v>
      </c>
      <c r="C26" s="981"/>
      <c r="D26" s="222">
        <v>2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7"/>
      <c r="Q26" s="192"/>
      <c r="R26" s="192"/>
      <c r="S26" s="192"/>
      <c r="T26" s="192"/>
      <c r="U26" s="192"/>
      <c r="V26" s="192"/>
      <c r="W26" s="192"/>
      <c r="X26" s="192"/>
      <c r="Y26" s="192"/>
      <c r="Z26" s="192"/>
      <c r="AA26" s="192"/>
      <c r="AB26" s="192"/>
      <c r="AC26" s="192"/>
      <c r="AD26" s="192"/>
      <c r="AE26" s="192"/>
      <c r="AF26" s="192"/>
      <c r="AG26" s="192"/>
      <c r="AH26" s="192"/>
      <c r="AI26" s="192"/>
      <c r="AJ26" s="192"/>
      <c r="AK26" s="192"/>
      <c r="AL26" s="192"/>
    </row>
    <row r="27" spans="1:38" ht="15.75" thickBot="1" x14ac:dyDescent="0.3">
      <c r="A27" s="5"/>
      <c r="B27" s="978" t="s">
        <v>319</v>
      </c>
      <c r="C27" s="979"/>
      <c r="D27" s="223">
        <v>3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7"/>
      <c r="Q27" s="192"/>
      <c r="R27" s="192"/>
      <c r="S27" s="192"/>
      <c r="T27" s="192"/>
      <c r="U27" s="192"/>
      <c r="V27" s="192"/>
      <c r="W27" s="192"/>
      <c r="X27" s="192"/>
      <c r="Y27" s="192"/>
      <c r="Z27" s="192"/>
      <c r="AA27" s="192"/>
      <c r="AB27" s="192"/>
      <c r="AC27" s="192"/>
      <c r="AD27" s="192"/>
      <c r="AE27" s="192"/>
      <c r="AF27" s="192"/>
      <c r="AG27" s="192"/>
      <c r="AH27" s="192"/>
      <c r="AI27" s="192"/>
      <c r="AJ27" s="192"/>
      <c r="AK27" s="192"/>
      <c r="AL27" s="192"/>
    </row>
    <row r="28" spans="1:38" ht="15.75" thickBot="1" x14ac:dyDescent="0.3">
      <c r="A28" s="5"/>
      <c r="B28" s="192"/>
      <c r="C28" s="192"/>
      <c r="D28" s="192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7"/>
      <c r="Q28" s="192"/>
      <c r="R28" s="962" t="s">
        <v>245</v>
      </c>
      <c r="S28" s="963"/>
      <c r="T28" s="202"/>
      <c r="U28" s="962" t="s">
        <v>245</v>
      </c>
      <c r="V28" s="1001"/>
      <c r="W28" s="1001"/>
      <c r="X28" s="1001"/>
      <c r="Y28" s="1001"/>
      <c r="Z28" s="1001"/>
      <c r="AA28" s="1001"/>
      <c r="AB28" s="1001"/>
      <c r="AC28" s="1001"/>
      <c r="AD28" s="1001"/>
      <c r="AE28" s="1001"/>
      <c r="AF28" s="1001"/>
      <c r="AG28" s="1001"/>
      <c r="AH28" s="1001"/>
      <c r="AI28" s="1001"/>
      <c r="AJ28" s="963"/>
      <c r="AK28" s="192"/>
      <c r="AL28" s="192"/>
    </row>
    <row r="29" spans="1:38" ht="15" customHeight="1" x14ac:dyDescent="0.25">
      <c r="A29" s="5"/>
      <c r="B29" s="975" t="s">
        <v>320</v>
      </c>
      <c r="C29" s="976"/>
      <c r="D29" s="192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7"/>
      <c r="Q29" s="192"/>
      <c r="R29" s="701" t="s">
        <v>81</v>
      </c>
      <c r="S29" s="697" t="s">
        <v>80</v>
      </c>
      <c r="T29" s="192"/>
      <c r="U29" s="698" t="s">
        <v>0</v>
      </c>
      <c r="V29" s="968" t="s">
        <v>72</v>
      </c>
      <c r="W29" s="698" t="s">
        <v>101</v>
      </c>
      <c r="X29" s="708" t="s">
        <v>74</v>
      </c>
      <c r="Y29" s="698" t="s">
        <v>76</v>
      </c>
      <c r="Z29" s="698" t="s">
        <v>77</v>
      </c>
      <c r="AA29" s="985" t="s">
        <v>495</v>
      </c>
      <c r="AB29" s="956" t="s">
        <v>496</v>
      </c>
      <c r="AC29" s="956" t="s">
        <v>497</v>
      </c>
      <c r="AD29" s="956" t="s">
        <v>498</v>
      </c>
      <c r="AE29" s="696" t="s">
        <v>185</v>
      </c>
      <c r="AF29" s="696" t="s">
        <v>184</v>
      </c>
      <c r="AG29" s="696" t="s">
        <v>186</v>
      </c>
      <c r="AH29" s="696" t="s">
        <v>187</v>
      </c>
      <c r="AI29" s="955" t="s">
        <v>349</v>
      </c>
      <c r="AJ29" s="955" t="s">
        <v>393</v>
      </c>
      <c r="AK29" s="986" t="s">
        <v>239</v>
      </c>
      <c r="AL29" s="192"/>
    </row>
    <row r="30" spans="1:38" ht="15.75" customHeight="1" thickBot="1" x14ac:dyDescent="0.3">
      <c r="A30" s="5"/>
      <c r="B30" s="224" t="s">
        <v>318</v>
      </c>
      <c r="C30" s="225">
        <f>0.0005</f>
        <v>5.0000000000000001E-4</v>
      </c>
      <c r="D30" s="192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7"/>
      <c r="Q30" s="192"/>
      <c r="R30" s="964"/>
      <c r="S30" s="965"/>
      <c r="T30" s="192"/>
      <c r="U30" s="698"/>
      <c r="V30" s="968"/>
      <c r="W30" s="698"/>
      <c r="X30" s="708"/>
      <c r="Y30" s="698"/>
      <c r="Z30" s="698"/>
      <c r="AA30" s="985"/>
      <c r="AB30" s="956"/>
      <c r="AC30" s="956"/>
      <c r="AD30" s="956"/>
      <c r="AE30" s="696"/>
      <c r="AF30" s="696"/>
      <c r="AG30" s="696"/>
      <c r="AH30" s="696"/>
      <c r="AI30" s="955"/>
      <c r="AJ30" s="955"/>
      <c r="AK30" s="986"/>
      <c r="AL30" s="192"/>
    </row>
    <row r="31" spans="1:38" ht="16.5" thickBot="1" x14ac:dyDescent="0.3">
      <c r="A31" s="5"/>
      <c r="B31" s="192"/>
      <c r="C31" s="192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7"/>
      <c r="Q31" s="192"/>
      <c r="R31" s="49">
        <f>IF(($H$16=0),(_xlfn.IFS(('System Capacities'!$N$19+'System Capacities'!$N$32=2),((AD18)/$G$16),('System Capacities'!$N$19+'System Capacities'!$N$32=3),(((AD18)-'System Capacities'!$C$47/$G$16)+('System Capacities'!$D$47*hstr6)),('System Capacities'!$N$19+'System Capacities'!$N$32=4),(((AD18-'System Capacities'!$C$48)/ABS($G$16))+('System Capacities'!$D$48*hstr6)),('System Capacities'!$N$19+'System Capacities'!$N$32=5),(((AD18-'System Capacities'!$C$49)/($G$16))+('System Capacities'!$D$49*hstr6)),('System Capacities'!$N$19+'System Capacities'!$N$32=6),(((AD18-'System Capacities'!$C$50)/($G$16))+('System Capacities'!$D$50*hstr6)),('System Capacities'!$N$19+'System Capacities'!$N$32=7),(((AD18-'System Capacities'!$C$51)/($G$16))+('System Capacities'!$D$51*hstr6)),('System Capacities'!$N$19+'System Capacities'!$N$32=8),(((AD18-'System Capacities'!$C$52)/($G$16))+('System Capacities'!$D$52*hstr6)),('System Capacities'!$N$19+'System Capacities'!$N$32=9),(((AD18-'System Capacities'!$C$53)/($G$16))+('System Capacities'!$D$53*hstr6)),('System Capacities'!$N$19+'System Capacities'!$N$32=10),(((AD18-'System Capacities'!$C$54)/($G$16))+('System Capacities'!$D$54*hstr6)))),((ABS(AD18-$E$16)/(-1*$G$16))+($F$16*hstr6)))</f>
        <v>3.8666956269314601E-5</v>
      </c>
      <c r="S31" s="589">
        <f>S32+R31</f>
        <v>5.5160157597695014E-4</v>
      </c>
      <c r="T31" s="192"/>
      <c r="U31" s="553">
        <v>6</v>
      </c>
      <c r="V31" s="551">
        <f>V32+hstr6</f>
        <v>17.75</v>
      </c>
      <c r="W31" s="58">
        <f t="shared" ref="W31:W36" si="23">R31/(V31-V32)</f>
        <v>1.2888985423104867E-5</v>
      </c>
      <c r="X31" s="571">
        <f t="shared" ref="X31:X37" si="24">S31</f>
        <v>5.5160157597695014E-4</v>
      </c>
      <c r="Y31" s="554">
        <f>mstr6</f>
        <v>63.074599999999997</v>
      </c>
      <c r="Z31" s="261">
        <f t="shared" ref="Z31:Z36" si="25">Y31*X31</f>
        <v>3.4792048764115735E-2</v>
      </c>
      <c r="AA31" s="572">
        <f>((Y31*X31)/(Z38)*$L$15)</f>
        <v>2.4248672898927368</v>
      </c>
      <c r="AB31" s="572">
        <f>AD31+$O$15</f>
        <v>2.4248672898927368</v>
      </c>
      <c r="AC31" s="572">
        <f>AA31</f>
        <v>2.4248672898927368</v>
      </c>
      <c r="AD31" s="573">
        <f>AC31-$O$15</f>
        <v>2.4248672898927368</v>
      </c>
      <c r="AE31" s="94">
        <f>IF(($H$16=0),(_xlfn.IFS((W31&lt;='Frame Capacities'!$BX$11),(W31*hstr6*'Frame Capacities'!$BQ$11),(AND((W31&gt;'Frame Capacities'!$BX$11),(W31&lt;='Frame Capacities'!$BY$11))),((W31-'Frame Capacities'!$BX$11)*hstr6*('Frame Capacities'!$BR$11)+'Frame Capacities'!$BJ$11),(AND((W31&gt;'Frame Capacities'!$BY$11),(W31&lt;='Frame Capacities'!$BZ$11))),((W31-'Frame Capacities'!$BY$11)*hstr6*('Frame Capacities'!$BS$11)+'Frame Capacities'!$BK$11),(AND((W31&gt;'Frame Capacities'!$BZ$11),(W31&lt;='Frame Capacities'!$CA$11))),((W31-'Frame Capacities'!$BZ$11)*hstr6*('Frame Capacities'!$BT$11)+'Frame Capacities'!$BL$11),(AND((W31&gt;'Frame Capacities'!$CA$11),(W31&lt;='Frame Capacities'!$CB$11))),((W31-'Frame Capacities'!$CA$11)*hstr6*('Frame Capacities'!$BU$11)+'Frame Capacities'!$BM$11))),((W31-'Frame Capacities'!$CC$11)*hstr6*'Frame Capacities'!$BV$11+'Frame Capacities'!$BO$11))</f>
        <v>0.21046125669102253</v>
      </c>
      <c r="AF31" s="667">
        <f>IF(($H$16=0),(_xlfn.IFS((W31&lt;='Infill Capacities'!$CY$11),(W31*'Infill Capacities'!$CS$11*hstr6),(AND((W31&gt;'Infill Capacities'!$CY$11),(W31&lt;='Infill Capacities'!$CZ$11))),((W31-'Infill Capacities'!$CY$11)*hstr6*('Infill Capacities'!$CT$11)+'Infill Capacities'!$CM$11),(AND((W31&gt;'Infill Capacities'!$CZ$11),(W31&lt;='Infill Capacities'!$DA$11))),((W31-'Infill Capacities'!$CZ$11)*hstr6*('Infill Capacities'!$CU$11)+'Infill Capacities'!$CN$11),(AND((W31&gt;'Infill Capacities'!$DA$11),(W31&lt;='Infill Capacities'!$DB$11))),((W31-'Infill Capacities'!$DA$11)*hstr6*('Infill Capacities'!$CV$11)+'Infill Capacities'!$CP$11))),((W31-'Infill Capacities'!$DC$11)*hstr6*'Infill Capacities'!$CW$11+'Infill Capacities'!$CQ$11))</f>
        <v>2.2144070974672836</v>
      </c>
      <c r="AG31" s="58">
        <f>AE31/$C$16</f>
        <v>1.5505495335782604E-3</v>
      </c>
      <c r="AH31" s="55">
        <f>AF31/$D$16</f>
        <v>6.4522351324804291E-3</v>
      </c>
      <c r="AI31" s="575">
        <f t="shared" ref="AI31:AI36" si="26">AE31+AF31</f>
        <v>2.4248683541583063</v>
      </c>
      <c r="AJ31" s="576">
        <f>AD31-AI31</f>
        <v>-1.0642655694503844E-6</v>
      </c>
      <c r="AK31" s="209">
        <f>(AD31-(AI31))/AD31</f>
        <v>-4.3889641873863615E-7</v>
      </c>
      <c r="AL31" s="192"/>
    </row>
    <row r="32" spans="1:38" ht="16.5" thickBot="1" x14ac:dyDescent="0.3">
      <c r="A32" s="5"/>
      <c r="B32" s="973" t="s">
        <v>321</v>
      </c>
      <c r="C32" s="974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7"/>
      <c r="Q32" s="192"/>
      <c r="R32" s="56">
        <f>IF(($H$17=0),(_xlfn.IFS(('System Capacities'!$N$20+'System Capacities'!$N$33=2),((AD19/$G$17)),('System Capacities'!$N$20+'System Capacities'!$N$33=3),(((AD19-'System Capacities'!$G$47)/($G$17))+('System Capacities'!$H$47*hstr5)),('System Capacities'!$N$20+'System Capacities'!$N$33=4),(((AD19-'System Capacities'!$G$48)/($G$17))+('System Capacities'!$H$48*hstr5)),('System Capacities'!$N$20+'System Capacities'!$N$33=5),(((AD19-'System Capacities'!$G$49)/($G$17))+('System Capacities'!$H$49*hstr5)),('System Capacities'!$N$20+'System Capacities'!$N$33=6),(((AD19-'System Capacities'!$G$50)/($G$17))+('System Capacities'!$H$50*hstr5)),('System Capacities'!$N$20+'System Capacities'!$N$33=7),(((AD19-'System Capacities'!$G$51)/($G$17))+('System Capacities'!$H$51*hstr5)),('System Capacities'!$N$20+'System Capacities'!$N$33=8),(((AD19-'System Capacities'!$G$52)/($G$17))+('System Capacities'!$H$52*hstr5)),('System Capacities'!$N$20+'System Capacities'!$N$33=9),(((AD19-'System Capacities'!$G$53)/($G$17))+('System Capacities'!$H$53*hstr5)),('System Capacities'!$N$20+'System Capacities'!$N$33=10),(((AD19-'System Capacities'!$G$54)/($G$17))+('System Capacities'!$H$54*hstr5)))),((ABS(AD19-$E$17)/(-1*$G$17))+($F$17*hstr5)))</f>
        <v>7.4231244771357887E-5</v>
      </c>
      <c r="S32" s="590">
        <f>S33+R32</f>
        <v>5.1293461970763551E-4</v>
      </c>
      <c r="T32" s="192"/>
      <c r="U32" s="553">
        <v>5</v>
      </c>
      <c r="V32" s="551">
        <f>V33+hstr5</f>
        <v>14.75</v>
      </c>
      <c r="W32" s="58">
        <f t="shared" si="23"/>
        <v>2.4743748257119297E-5</v>
      </c>
      <c r="X32" s="571">
        <f t="shared" si="24"/>
        <v>5.1293461970763551E-4</v>
      </c>
      <c r="Y32" s="554">
        <f>mstr5</f>
        <v>67.278400000000005</v>
      </c>
      <c r="Z32" s="261">
        <f t="shared" si="25"/>
        <v>3.4509420518538191E-2</v>
      </c>
      <c r="AA32" s="572">
        <f>((Y32*X32)/(Z38)*$L$15)</f>
        <v>2.405169226333812</v>
      </c>
      <c r="AB32" s="572">
        <f>AD32-AD31+$O$16</f>
        <v>2.4051702905993824</v>
      </c>
      <c r="AC32" s="572">
        <f>AC31+AA32</f>
        <v>4.8300365162265493</v>
      </c>
      <c r="AD32" s="573">
        <f>AC32-AJ31-$O$16</f>
        <v>4.8300375804921192</v>
      </c>
      <c r="AE32" s="99">
        <f>IF(($H$17=0),(_xlfn.IFS((W32&lt;='Frame Capacities'!$BX$12),(W32*hstr5*'Frame Capacities'!$BQ$12),(AND((W32&gt;'Frame Capacities'!$BX$12),(W32&lt;='Frame Capacities'!$BY$12))),((W32-'Frame Capacities'!$BX$12)*hstr5*('Frame Capacities'!$BR$12)+'Frame Capacities'!$BJ$12),(AND((W32&gt;'Frame Capacities'!$BY$12),(W32&lt;='Frame Capacities'!$BZ$12))),((W32-'Frame Capacities'!$BY$12)*hstr5*('Frame Capacities'!$BS$12)+'Frame Capacities'!$BK$12),(AND((W32&gt;'Frame Capacities'!$BZ$12),(W32&lt;='Frame Capacities'!$CA$12))),((W32-'Frame Capacities'!$BZ$12)*hstr5*('Frame Capacities'!$BT$12)+'Frame Capacities'!$BL$12),(AND((W32&gt;'Frame Capacities'!$CA$12),(W32&lt;='Frame Capacities'!$CB$12))),((W32-'Frame Capacities'!$CA$12)*hstr5*('Frame Capacities'!$BU$12)+'Frame Capacities'!$BM$12))),((W32-'Frame Capacities'!$CC$12)*hstr5*'Frame Capacities'!$BV$12+'Frame Capacities'!$BO$12))</f>
        <v>0.41662391830775175</v>
      </c>
      <c r="AF32" s="574">
        <f>IF(($H$17=0),(_xlfn.IFS((W32&lt;='Infill Capacities'!$CY$12),(W32*'Infill Capacities'!$CS$12*hstr5),(AND((W32&gt;'Infill Capacities'!$CY$12),(W32&lt;='Infill Capacities'!$CZ$12))),((W32-'Infill Capacities'!$CY$12)*hstr5*('Infill Capacities'!$CT$12)+'Infill Capacities'!$CM$12),(AND((W32&gt;'Infill Capacities'!$CZ$12),(W32&lt;='Infill Capacities'!$DA$12))),((W32-'Infill Capacities'!$CZ$12)*hstr5*('Infill Capacities'!$CU$12)+'Infill Capacities'!$CN$12),(AND((W32&gt;'Infill Capacities'!$DA$12),(W32&lt;='Infill Capacities'!$DB$12))),((W32-'Infill Capacities'!$DA$12)*hstr5*('Infill Capacities'!$CV$12)+'Infill Capacities'!$CP$12))),((W32-'Infill Capacities'!$DC$12)*hstr5*'Infill Capacities'!$CW$12+'Infill Capacities'!$CQ$12))</f>
        <v>4.4134194089839101</v>
      </c>
      <c r="AG32" s="58">
        <f>AE32/$C$17</f>
        <v>2.5781183063598497E-3</v>
      </c>
      <c r="AH32" s="55">
        <f>AF32/$D$17</f>
        <v>1.2859613662540528E-2</v>
      </c>
      <c r="AI32" s="575">
        <f t="shared" si="26"/>
        <v>4.8300433272916621</v>
      </c>
      <c r="AJ32" s="576">
        <f>AD32-AI32</f>
        <v>-5.7467995429050234E-6</v>
      </c>
      <c r="AK32" s="209">
        <f t="shared" ref="AK32:AK36" si="27">(AD32-(AI32))/AD32</f>
        <v>-1.1898043125203796E-6</v>
      </c>
      <c r="AL32" s="192"/>
    </row>
    <row r="33" spans="1:38" ht="15.75" x14ac:dyDescent="0.25">
      <c r="A33" s="5"/>
      <c r="B33" s="970" t="s">
        <v>0</v>
      </c>
      <c r="C33" s="972" t="s">
        <v>74</v>
      </c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7"/>
      <c r="Q33" s="192"/>
      <c r="R33" s="56">
        <f>IF(($H$18=0),(_xlfn.IFS(('System Capacities'!$N$21+'System Capacities'!$N$34=2),((AD20/$G$18)),('System Capacities'!$N$21+'System Capacities'!$N$34=3),(((AD20-'System Capacities'!$K$47)/($G$18))+('System Capacities'!$L$47*hstr4)),('System Capacities'!$N$21+'System Capacities'!$N$34=4),(((AD20-'System Capacities'!$K$48)/ABS($G$18))+('System Capacities'!$L$48*hstr4)),('System Capacities'!$N$21+'System Capacities'!$N$34=5),(((AD20-'System Capacities'!$K$49)/($G$18))+('System Capacities'!$L$49*hstr4)),('System Capacities'!$N$21+'System Capacities'!$N$34=6),(((AD20-'System Capacities'!$K$50)/ABS($G$18))+('System Capacities'!$L$50*hstr4)),('System Capacities'!$N$21+'System Capacities'!$N$34=7),(((AD20-'System Capacities'!$K$51)/($G$18))+('System Capacities'!$L$51*hstr4)),('System Capacities'!$N$21+'System Capacities'!$N$34=8),(((AD20-'System Capacities'!$K$52)/($G$18))+('System Capacities'!$L$52*hstr4)),('System Capacities'!$N$21+'System Capacities'!$N$34=9),(((AD20-'System Capacities'!$K$53)/($G$18))+('System Capacities'!$L$53*hstr4)),('System Capacities'!$N$21+'System Capacities'!$N$34=10),(((AD20-'System Capacities'!$K$54)/($G$18))+('System Capacities'!$L$54*hstr4)))),((ABS(AD20-$E$18)/(-1*$G$18))+($F$18*hstr6)))</f>
        <v>1.0052988353762887E-4</v>
      </c>
      <c r="S33" s="590">
        <f t="shared" ref="S33:S35" si="28">S34+R33</f>
        <v>4.3870337493627764E-4</v>
      </c>
      <c r="T33" s="192"/>
      <c r="U33" s="553">
        <v>4</v>
      </c>
      <c r="V33" s="551">
        <f>V34+hstr4</f>
        <v>11.75</v>
      </c>
      <c r="W33" s="58">
        <f t="shared" si="23"/>
        <v>3.3509961179209623E-5</v>
      </c>
      <c r="X33" s="571">
        <f t="shared" si="24"/>
        <v>4.3870337493627764E-4</v>
      </c>
      <c r="Y33" s="554">
        <f>mstr4</f>
        <v>67.278400000000005</v>
      </c>
      <c r="Z33" s="261">
        <f t="shared" si="25"/>
        <v>2.9515261140312863E-2</v>
      </c>
      <c r="AA33" s="572">
        <f>((Y33*X33)/(Z38)*$L$15)</f>
        <v>2.05709619968124</v>
      </c>
      <c r="AB33" s="572">
        <f>AD33-AD32+$O$17</f>
        <v>2.057100882215213</v>
      </c>
      <c r="AC33" s="572">
        <f t="shared" ref="AC33:AC36" si="29">AC32+AA33</f>
        <v>6.8871327159077893</v>
      </c>
      <c r="AD33" s="573">
        <f>AC33-AJ32-$O$17</f>
        <v>6.8871384627073322</v>
      </c>
      <c r="AE33" s="99">
        <f>IF(($H$18=0),(_xlfn.IFS((W33&lt;='Frame Capacities'!$BX$13),(W33*hstr4*'Frame Capacities'!$BQ$13),(AND((W33&gt;'Frame Capacities'!$BX$13),(W33&lt;='Frame Capacities'!$BY$13))),((W33-'Frame Capacities'!$BX$13)*hstr4*('Frame Capacities'!$BR$13)+'Frame Capacities'!$BJ$13),(AND((W33&gt;'Frame Capacities'!$BY$13),(W33&lt;='Frame Capacities'!$BZ$13))),((W33-'Frame Capacities'!$BY$13)*hstr4*('Frame Capacities'!$BS$13)+'Frame Capacities'!$BK$13),(AND((W33&gt;'Frame Capacities'!$BZ$13),(W33&lt;='Frame Capacities'!$CA$13))),((W33-'Frame Capacities'!$BZ$13)*hstr4*('Frame Capacities'!$BT$13)+'Frame Capacities'!$BL$13),(AND((W33&gt;'Frame Capacities'!$CA$13),(W33&lt;='Frame Capacities'!$CB$13))),((W33-'Frame Capacities'!$CA$13)*hstr4*('Frame Capacities'!$BU$13)+'Frame Capacities'!$BM$13))),((W33-'Frame Capacities'!$CC$13)*hstr4*'Frame Capacities'!$BV$13+'Frame Capacities'!$BO$13))</f>
        <v>0.6711586154563991</v>
      </c>
      <c r="AF33" s="574">
        <f>IF(($H$18=0),(_xlfn.IFS((W33&lt;='Infill Capacities'!$CY$13),(W33*'Infill Capacities'!$CS$13*hstr4),(AND((W33&gt;'Infill Capacities'!$CY$13),(W33&lt;='Infill Capacities'!$CZ$13))),((W33-'Infill Capacities'!$CY$13)*hstr4*('Infill Capacities'!$CT$13)+'Infill Capacities'!$CM$13),(AND((W33&gt;'Infill Capacities'!$CZ$13),(W33&lt;='Infill Capacities'!$DA$13))),((W33-'Infill Capacities'!$CZ$13)*hstr4*('Infill Capacities'!$CU$13)+'Infill Capacities'!$CN$13),(AND((W33&gt;'Infill Capacities'!$DA$13),(W33&lt;='Infill Capacities'!$DB$13))),((W33-'Infill Capacities'!$DA$13)*hstr4*('Infill Capacities'!$CV$13)+'Infill Capacities'!$CP$13))),((W33-'Infill Capacities'!$DC$13)*hstr4*'Infill Capacities'!$CW$13+'Infill Capacities'!$CQ$13))</f>
        <v>6.215967571233314</v>
      </c>
      <c r="AG33" s="58">
        <f>AE33/$C$18</f>
        <v>3.7790462582004457E-3</v>
      </c>
      <c r="AH33" s="55">
        <f>AF33/$D$18</f>
        <v>1.8111793622474687E-2</v>
      </c>
      <c r="AI33" s="575">
        <f t="shared" si="26"/>
        <v>6.8871261866897129</v>
      </c>
      <c r="AJ33" s="576">
        <f t="shared" ref="AJ33:AJ36" si="30">AD33-AI33</f>
        <v>1.2276017619328172E-5</v>
      </c>
      <c r="AK33" s="209">
        <f t="shared" si="27"/>
        <v>1.7824554691038509E-6</v>
      </c>
      <c r="AL33" s="192"/>
    </row>
    <row r="34" spans="1:38" ht="15.75" x14ac:dyDescent="0.25">
      <c r="A34" s="5"/>
      <c r="B34" s="971"/>
      <c r="C34" s="695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7"/>
      <c r="Q34" s="192"/>
      <c r="R34" s="56">
        <f>IF(($H$19=0),(_xlfn.IFS(('System Capacities'!$N$22+'System Capacities'!$N$35=2),((AD21/$G$19)),('System Capacities'!$N$22+'System Capacities'!$N$35=3),(((AD21-'System Capacities'!$C$60)/ABS($G$19))+('System Capacities'!$D$60*hstr3)),('System Capacities'!$N$22+'System Capacities'!$N$35=4),(((AD21-'System Capacities'!$C$61)/($G$19))+('System Capacities'!$D$61*hstr3)),('System Capacities'!$N$22+'System Capacities'!$N$35=5),(((AD21-'System Capacities'!$C$62)/($G$19))+('System Capacities'!$D$62*hstr3)),('System Capacities'!$N$22+'System Capacities'!$N$35=6),(((AD21-'System Capacities'!$C$63)/($G$19))+('System Capacities'!$D$63*hstr3)),('System Capacities'!$N$22+'System Capacities'!$N$35=7),(((AD21-'System Capacities'!$C$64)/($G$19))+('System Capacities'!$D$64*hstr3)),('System Capacities'!$N$22+'System Capacities'!$N$35=8),(((AD21-'System Capacities'!$C$65)/($G$19))+('System Capacities'!$D$65*hstr3)),('System Capacities'!$N$22+'System Capacities'!$N$35=9),(((AD21-'System Capacities'!$C$66)/($G$19))+('System Capacities'!$D$66*hstr3)),('System Capacities'!$N$22+'System Capacities'!$N$35=10),(((AD21-'System Capacities'!$C$67)/($G$19))+('System Capacities'!$D$67*hstr3)))),((ABS(AD21-$E$19)/(-1*$G$19))+($F$19*hstr3)))</f>
        <v>1.1536233523186731E-4</v>
      </c>
      <c r="S34" s="590">
        <f t="shared" si="28"/>
        <v>3.3817349139864876E-4</v>
      </c>
      <c r="T34" s="192"/>
      <c r="U34" s="553">
        <v>3</v>
      </c>
      <c r="V34" s="551">
        <f>V35+hstr3</f>
        <v>8.75</v>
      </c>
      <c r="W34" s="58">
        <f t="shared" si="23"/>
        <v>3.8454111743955772E-5</v>
      </c>
      <c r="X34" s="571">
        <f t="shared" si="24"/>
        <v>3.3817349139864876E-4</v>
      </c>
      <c r="Y34" s="554">
        <f>mstr3</f>
        <v>67.278400000000005</v>
      </c>
      <c r="Z34" s="261">
        <f t="shared" si="25"/>
        <v>2.2751771423714852E-2</v>
      </c>
      <c r="AA34" s="572">
        <f>((Y34*X34)/(Z38)*$L$15)</f>
        <v>1.5857078922407239</v>
      </c>
      <c r="AB34" s="572">
        <f>AD34-AD33+$O$18</f>
        <v>1.585689869423561</v>
      </c>
      <c r="AC34" s="572">
        <f t="shared" si="29"/>
        <v>8.4728406081485126</v>
      </c>
      <c r="AD34" s="573">
        <f>AC34-AJ33-$O$18</f>
        <v>8.4728283321308933</v>
      </c>
      <c r="AE34" s="99">
        <f>IF(($H$19=0),(_xlfn.IFS((W34&lt;='Frame Capacities'!$BX$14),(W34*hstr3*'Frame Capacities'!$BQ$14),(AND((W34&gt;'Frame Capacities'!$BX$14),(W34&lt;='Frame Capacities'!$BY$14))),((W34-'Frame Capacities'!$BX$14)*hstr3*('Frame Capacities'!$BR$14)+'Frame Capacities'!$BJ$14),(AND((W34&gt;'Frame Capacities'!$BY$14),(W34&lt;='Frame Capacities'!$BZ$14))),((W34-'Frame Capacities'!$BY$14)*hstr3*('Frame Capacities'!$BS$14)+'Frame Capacities'!$BK$14),(AND((W34&gt;'Frame Capacities'!$BZ$14),(W34&lt;='Frame Capacities'!$CA$14))),((W34-'Frame Capacities'!$BZ$14)*hstr3*('Frame Capacities'!$BT$14)+'Frame Capacities'!$BL$14),(AND((W34&gt;'Frame Capacities'!$CA$14),(W34&lt;='Frame Capacities'!$CB$14))),((W34-'Frame Capacities'!$CA$14)*hstr3*('Frame Capacities'!$BU$14)+'Frame Capacities'!$BM$14))),((W34-'Frame Capacities'!$CC$14)*hstr3*'Frame Capacities'!$BV$14+'Frame Capacities'!$BO$14))</f>
        <v>1.1720138401480811</v>
      </c>
      <c r="AF34" s="574">
        <f>IF(($H$19=0),(_xlfn.IFS((W34&lt;='Infill Capacities'!$CY$14),(W34*'Infill Capacities'!$CS$14*hstr3),(AND((W34&gt;'Infill Capacities'!$CY$14),(W34&lt;='Infill Capacities'!$CZ$14))),((W34-'Infill Capacities'!$CY$14)*hstr3*('Infill Capacities'!$CT$14)+'Infill Capacities'!$CM$14),(AND((W34&gt;'Infill Capacities'!$CZ$14),(W34&lt;='Infill Capacities'!$DA$14))),((W34-'Infill Capacities'!$CZ$14)*hstr3*('Infill Capacities'!$CU$14)+'Infill Capacities'!$CN$14),(AND((W34&gt;'Infill Capacities'!$DA$14),(W34&lt;='Infill Capacities'!$DB$14))),((W34-'Infill Capacities'!$DA$14)*hstr3*('Infill Capacities'!$CV$14)+'Infill Capacities'!$CP$14))),((W34-'Infill Capacities'!$DC$14)*hstr3*'Infill Capacities'!$CW$14+'Infill Capacities'!$CQ$14))</f>
        <v>7.3008583364095729</v>
      </c>
      <c r="AG34" s="58">
        <f>AE34/$C$19</f>
        <v>4.6021485869689053E-3</v>
      </c>
      <c r="AH34" s="55">
        <f>AF34/$D$19</f>
        <v>2.1471091945492106E-2</v>
      </c>
      <c r="AI34" s="575">
        <f t="shared" si="26"/>
        <v>8.4728721765576545</v>
      </c>
      <c r="AJ34" s="576">
        <f t="shared" si="30"/>
        <v>-4.3844426761197042E-5</v>
      </c>
      <c r="AK34" s="209">
        <f t="shared" si="27"/>
        <v>-5.17470967692441E-6</v>
      </c>
      <c r="AL34" s="192"/>
    </row>
    <row r="35" spans="1:38" ht="15.75" x14ac:dyDescent="0.25">
      <c r="A35" s="5"/>
      <c r="B35" s="357">
        <v>6</v>
      </c>
      <c r="C35" s="411">
        <v>5.5160561424730486E-4</v>
      </c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7"/>
      <c r="Q35" s="192"/>
      <c r="R35" s="56">
        <f>IF(($H$20=0),(_xlfn.IFS(('System Capacities'!$N$23+'System Capacities'!$N$36=2),((AD22/$G$20)),('System Capacities'!$N$23+'System Capacities'!$N$36=3),(((AD22-'System Capacities'!$G$60)/($G$20))+('System Capacities'!$H$60*hstr2)),('System Capacities'!$N$23+'System Capacities'!$N$36=4),(((AD22-'System Capacities'!$G$61)/($G$20))+('System Capacities'!$H$61*hstr2)),('System Capacities'!$N$23+'System Capacities'!$N$36=5),(((AD22-'System Capacities'!$G$62)/($G$20))+('System Capacities'!$H$62*hstr2)),('System Capacities'!$N$23+'System Capacities'!$N$36=6),(((AD22-'System Capacities'!$G$63)/($G$20))+('System Capacities'!$H$63*hstr2)),('System Capacities'!$N$23+'System Capacities'!$N$36=7),(((AD22-'System Capacities'!$G$64)/($G$20))+('System Capacities'!$H$64*hstr2)),('System Capacities'!$N$23+'System Capacities'!$N$36=8),(((AD22-'System Capacities'!$G$65)/($G$20))+('System Capacities'!$H$65*hstr2)),('System Capacities'!$N$23+'System Capacities'!$N$36=9),(((AD22-'System Capacities'!$G$66)/($G$20))+('System Capacities'!$H$66*hstr2)),('System Capacities'!$N$23+'System Capacities'!$N$36=10),(((AD22-'System Capacities'!$G$67)/($G$20))+('System Capacities'!$H$67*hstr2)))),((ABS(AD22-$E$20)/(-1*$G$20))+($F$20*hstr2)))</f>
        <v>1.1993507448114888E-4</v>
      </c>
      <c r="S35" s="590">
        <f t="shared" si="28"/>
        <v>2.2281115616678147E-4</v>
      </c>
      <c r="T35" s="192"/>
      <c r="U35" s="553">
        <v>2</v>
      </c>
      <c r="V35" s="551">
        <f>V36+hstr2</f>
        <v>5.75</v>
      </c>
      <c r="W35" s="58">
        <f t="shared" si="23"/>
        <v>3.9978358160382959E-5</v>
      </c>
      <c r="X35" s="571">
        <f t="shared" si="24"/>
        <v>2.2281115616678147E-4</v>
      </c>
      <c r="Y35" s="554">
        <f>mstr2</f>
        <v>67.278400000000005</v>
      </c>
      <c r="Z35" s="261">
        <f t="shared" si="25"/>
        <v>1.4990378089051192E-2</v>
      </c>
      <c r="AA35" s="572">
        <f>((Y35*X35)/(Z38)*$L$15)</f>
        <v>1.0447696753275368</v>
      </c>
      <c r="AB35" s="572">
        <f>AD35-AD34+$O$19</f>
        <v>1.0448257957719171</v>
      </c>
      <c r="AC35" s="572">
        <f t="shared" si="29"/>
        <v>9.5176102834760492</v>
      </c>
      <c r="AD35" s="573">
        <f>AC35-AJ34-$O$19</f>
        <v>9.5176541279028104</v>
      </c>
      <c r="AE35" s="99">
        <f>IF(($H$20=0),(_xlfn.IFS((W35&lt;='Frame Capacities'!$BX$15),(W35*hstr2*'Frame Capacities'!$BQ$15),(AND((W35&gt;'Frame Capacities'!$BX$15),(W35&lt;='Frame Capacities'!$BY$15))),((W35-'Frame Capacities'!$BX$15)*hstr2*('Frame Capacities'!$BR$15)+'Frame Capacities'!$BJ$15),(AND((W35&gt;'Frame Capacities'!$BY$15),(W35&lt;='Frame Capacities'!$BZ$15))),((W35-'Frame Capacities'!$BY$15)*hstr2*('Frame Capacities'!$BS$15)+'Frame Capacities'!$BK$15),(AND((W35&gt;'Frame Capacities'!$BZ$15),(W35&lt;='Frame Capacities'!$CA$15))),((W35-'Frame Capacities'!$BZ$15)*hstr2*('Frame Capacities'!$BT$15)+'Frame Capacities'!$BL$15),(AND((W35&gt;'Frame Capacities'!$CA$15),(W35&lt;='Frame Capacities'!$CB$15))),((W35-'Frame Capacities'!$CA$15)*hstr2*('Frame Capacities'!$BU$15)+'Frame Capacities'!$BM$15))),((W35-'Frame Capacities'!$CC$15)*hstr2*'Frame Capacities'!$BV$15+'Frame Capacities'!$BO$15))</f>
        <v>1.682018825315855</v>
      </c>
      <c r="AF35" s="574">
        <f>IF(($H$20=0),(_xlfn.IFS((W35&lt;='Infill Capacities'!$CY$15),(W35*'Infill Capacities'!$CS$15*hstr2),(AND((W35&gt;'Infill Capacities'!$CY$15),(W35&lt;='Infill Capacities'!$CZ$15))),((W35-'Infill Capacities'!$CY$15)*hstr2*('Infill Capacities'!$CT$15)+'Infill Capacities'!$CM$15),(AND((W35&gt;'Infill Capacities'!$CZ$15),(W35&lt;='Infill Capacities'!$DA$15))),((W35-'Infill Capacities'!$CZ$15)*hstr2*('Infill Capacities'!$CU$15)+'Infill Capacities'!$CN$15),(AND((W35&gt;'Infill Capacities'!$DA$15),(W35&lt;='Infill Capacities'!$DB$15))),((W35-'Infill Capacities'!$DA$15)*hstr2*('Infill Capacities'!$CV$15)+'Infill Capacities'!$CP$15))),((W35-'Infill Capacities'!$DC$15)*hstr2*'Infill Capacities'!$CW$15+'Infill Capacities'!$CQ$15))</f>
        <v>7.8355382245633809</v>
      </c>
      <c r="AG35" s="58">
        <f>AE35/$C$20</f>
        <v>6.2312379302884233E-3</v>
      </c>
      <c r="AH35" s="55">
        <f>AF35/$D$20</f>
        <v>2.3043531857482178E-2</v>
      </c>
      <c r="AI35" s="575">
        <f t="shared" si="26"/>
        <v>9.5175570498792368</v>
      </c>
      <c r="AJ35" s="576">
        <f t="shared" si="30"/>
        <v>9.7078023573615724E-5</v>
      </c>
      <c r="AK35" s="209">
        <f t="shared" si="27"/>
        <v>1.0199784765135883E-5</v>
      </c>
      <c r="AL35" s="192"/>
    </row>
    <row r="36" spans="1:38" ht="15.75" x14ac:dyDescent="0.25">
      <c r="A36" s="5"/>
      <c r="B36" s="357">
        <v>5</v>
      </c>
      <c r="C36" s="411">
        <v>5.12938457946225E-4</v>
      </c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7"/>
      <c r="Q36" s="192"/>
      <c r="R36" s="56">
        <f>IF(($H$21=0),(_xlfn.IFS(('System Capacities'!$N$24+'System Capacities'!$N$37=2),(AD23/$G$21),('System Capacities'!$N$24+'System Capacities'!$N$37=3),(((AD23-'System Capacities'!$K$60)/($G$21))+('System Capacities'!$L$60*hstr1)),('System Capacities'!$N$24+'System Capacities'!$N$37=4),(((AD23-'System Capacities'!$K$61)/($G$21))+('System Capacities'!$L$61*hstr1)),('System Capacities'!$N$24+'System Capacities'!$N$37=5),(((AD23-'System Capacities'!$K$62)/($G$21))+('System Capacities'!$L$62*hstr1)),('System Capacities'!$N$24+'System Capacities'!$N$37=6),(((AD23-'System Capacities'!$K$63)/($G$21))+('System Capacities'!$L$63*hstr1)),('System Capacities'!$N$24+'System Capacities'!$N$37=7),(((AD23-'System Capacities'!$K$64)/($G$21))+('System Capacities'!$L$64*hstr1)),('System Capacities'!$N$24+'System Capacities'!$N$37=8),(((AD23-'System Capacities'!$K$65)/($G$21))+('System Capacities'!$L$65*hstr1)),('System Capacities'!$N$24+'System Capacities'!$N$37=9),(((AD23-'System Capacities'!$K$66)/($G$21))+('System Capacities'!$L$66*hstr1)),('System Capacities'!$N$24+'System Capacities'!$N$37=10),(((AD23-'System Capacities'!$K$67)/($G$21))+('System Capacities'!$L$67*hstr1)))),((ABS(AD23-$E$21)/(-1*$G$21))+($F$21*hstr1)))</f>
        <v>1.0287608168563259E-4</v>
      </c>
      <c r="S36" s="590">
        <f>S37+R36</f>
        <v>1.0287608168563259E-4</v>
      </c>
      <c r="T36" s="192"/>
      <c r="U36" s="553">
        <v>1</v>
      </c>
      <c r="V36" s="551">
        <f>V37+hstr1</f>
        <v>2.75</v>
      </c>
      <c r="W36" s="58">
        <f t="shared" si="23"/>
        <v>3.7409484249320941E-5</v>
      </c>
      <c r="X36" s="571">
        <f t="shared" si="24"/>
        <v>1.0287608168563259E-4</v>
      </c>
      <c r="Y36" s="554">
        <f>mstr1</f>
        <v>67.278400000000005</v>
      </c>
      <c r="Z36" s="261">
        <f t="shared" si="25"/>
        <v>6.9213381740786646E-3</v>
      </c>
      <c r="AA36" s="572">
        <f>((Y36*X36)/(Z38)*$L$15)</f>
        <v>0.48238971652395113</v>
      </c>
      <c r="AB36" s="572">
        <f>AD36-AD35+$O$20</f>
        <v>0.48224879407361598</v>
      </c>
      <c r="AC36" s="572">
        <f t="shared" si="29"/>
        <v>10</v>
      </c>
      <c r="AD36" s="573">
        <f>AC36-AJ35-$O$20</f>
        <v>9.9999029219764264</v>
      </c>
      <c r="AE36" s="99">
        <f>IF(($H$21=0),(_xlfn.IFS((W36&lt;='Frame Capacities'!$BX$16),(W36*hstr1*'Frame Capacities'!$BQ$16),(AND((W36&gt;'Frame Capacities'!$BX$16),(W36&lt;='Frame Capacities'!$BY$16))),((W36-'Frame Capacities'!$BX$16)*hstr1*('Frame Capacities'!$BR$16)+'Frame Capacities'!$BJ$16),(AND((W36&gt;'Frame Capacities'!$BY$16),(W36&lt;='Frame Capacities'!$BZ$16))),((W36-'Frame Capacities'!$BY$16)*hstr1*('Frame Capacities'!$BS$16)+'Frame Capacities'!$BK$16),(AND((W36&gt;'Frame Capacities'!$BZ$16),(W36&lt;='Frame Capacities'!$CA$16))),((W36-'Frame Capacities'!$BZ$16)*hstr1*('Frame Capacities'!$BT$16)+'Frame Capacities'!$BL$16),(AND((W36&gt;'Frame Capacities'!$CA$16),(W36&lt;='Frame Capacities'!$CB$16))),((W36-'Frame Capacities'!$CA$16)*hstr1*('Frame Capacities'!$BU$16)+'Frame Capacities'!$BM$16))),((W36-'Frame Capacities'!$CC$16)*hstr1*'Frame Capacities'!$BV$16+'Frame Capacities'!$BO$16))</f>
        <v>3.1123765806931059</v>
      </c>
      <c r="AF36" s="574">
        <f>IF(($H$21=0),(_xlfn.IFS((W36&lt;='Infill Capacities'!$CY$16),(W36*'Infill Capacities'!$CS$16*hstr1),(AND((W36&gt;'Infill Capacities'!$CY$16),(W36&lt;='Infill Capacities'!$CZ$16))),((W36-'Infill Capacities'!$CY$16)*hstr1*('Infill Capacities'!$CT$16)+'Infill Capacities'!$CM$16),(AND((W36&gt;'Infill Capacities'!$CZ$16),(W36&lt;='Infill Capacities'!$DA$16))),((W36-'Infill Capacities'!$CZ$16)*hstr1*('Infill Capacities'!$CU$16)+'Infill Capacities'!$CN$16),(AND((W36&gt;'Infill Capacities'!$DA$16),(W36&lt;='Infill Capacities'!$DB$16))),((W36-'Infill Capacities'!$DA$16)*hstr1*('Infill Capacities'!$CV$16)+'Infill Capacities'!$CP$16))),((W36-'Infill Capacities'!$DC$16)*hstr1*'Infill Capacities'!$CW$16+'Infill Capacities'!$CQ$16))</f>
        <v>6.8877183499803039</v>
      </c>
      <c r="AG36" s="58">
        <f>AE36/$C$21</f>
        <v>7.7177958493291629E-3</v>
      </c>
      <c r="AH36" s="55">
        <f>AF36/$D$21</f>
        <v>2.1176819995758014E-2</v>
      </c>
      <c r="AI36" s="575">
        <f t="shared" si="26"/>
        <v>10.000094930673409</v>
      </c>
      <c r="AJ36" s="576">
        <f t="shared" si="30"/>
        <v>-1.9200869698288159E-4</v>
      </c>
      <c r="AK36" s="209">
        <f t="shared" si="27"/>
        <v>-1.9201056098345815E-5</v>
      </c>
      <c r="AL36" s="192"/>
    </row>
    <row r="37" spans="1:38" ht="15.75" x14ac:dyDescent="0.25">
      <c r="A37" s="5"/>
      <c r="B37" s="357">
        <v>4</v>
      </c>
      <c r="C37" s="411">
        <v>4.3870718022753091E-4</v>
      </c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7"/>
      <c r="Q37" s="192"/>
      <c r="R37" s="592">
        <v>0</v>
      </c>
      <c r="S37" s="591">
        <f>R37</f>
        <v>0</v>
      </c>
      <c r="T37" s="192"/>
      <c r="U37" s="550">
        <v>0</v>
      </c>
      <c r="V37" s="552">
        <f>hstr0</f>
        <v>0</v>
      </c>
      <c r="W37" s="75" t="s">
        <v>66</v>
      </c>
      <c r="X37" s="577">
        <f t="shared" si="24"/>
        <v>0</v>
      </c>
      <c r="Y37" s="147" t="s">
        <v>66</v>
      </c>
      <c r="Z37" s="263">
        <v>0</v>
      </c>
      <c r="AA37" s="578" t="s">
        <v>66</v>
      </c>
      <c r="AB37" s="578" t="s">
        <v>66</v>
      </c>
      <c r="AC37" s="578" t="s">
        <v>66</v>
      </c>
      <c r="AD37" s="578" t="s">
        <v>66</v>
      </c>
      <c r="AE37" s="157" t="s">
        <v>66</v>
      </c>
      <c r="AF37" s="157" t="s">
        <v>66</v>
      </c>
      <c r="AG37" s="150" t="s">
        <v>66</v>
      </c>
      <c r="AH37" s="157" t="s">
        <v>66</v>
      </c>
      <c r="AI37" s="579" t="s">
        <v>66</v>
      </c>
      <c r="AJ37" s="580" t="s">
        <v>66</v>
      </c>
      <c r="AL37" s="192"/>
    </row>
    <row r="38" spans="1:38" x14ac:dyDescent="0.25">
      <c r="A38" s="5"/>
      <c r="B38" s="357">
        <v>3</v>
      </c>
      <c r="C38" s="411">
        <v>3.3817710389670428E-4</v>
      </c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7"/>
      <c r="Q38" s="192"/>
      <c r="R38" s="192"/>
      <c r="S38" s="192"/>
      <c r="T38" s="192"/>
      <c r="U38" s="6"/>
      <c r="V38" s="6"/>
      <c r="W38" s="6"/>
      <c r="X38" s="6"/>
      <c r="Y38" s="581" t="s">
        <v>78</v>
      </c>
      <c r="Z38" s="582">
        <f>SUM(Z31:Z37)</f>
        <v>0.14348021810981149</v>
      </c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192"/>
      <c r="AL38" s="192"/>
    </row>
    <row r="39" spans="1:38" x14ac:dyDescent="0.25">
      <c r="A39" s="5"/>
      <c r="B39" s="357">
        <v>2</v>
      </c>
      <c r="C39" s="411">
        <v>2.2281419912253221E-4</v>
      </c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7"/>
      <c r="Q39" s="192"/>
      <c r="R39" s="192"/>
      <c r="S39" s="192"/>
      <c r="T39" s="192"/>
      <c r="U39" s="192"/>
      <c r="V39" s="192"/>
      <c r="W39" s="192"/>
      <c r="X39" s="192"/>
      <c r="Y39" s="192"/>
      <c r="Z39" s="192"/>
      <c r="AA39" s="192"/>
      <c r="AB39" s="192"/>
      <c r="AC39" s="192"/>
      <c r="AD39" s="192"/>
      <c r="AE39" s="192"/>
      <c r="AF39" s="192"/>
      <c r="AG39" s="192"/>
      <c r="AH39" s="192"/>
      <c r="AI39" s="192"/>
      <c r="AJ39" s="192"/>
      <c r="AK39" s="192"/>
      <c r="AL39" s="192"/>
    </row>
    <row r="40" spans="1:38" ht="15.75" thickBot="1" x14ac:dyDescent="0.3">
      <c r="A40" s="5"/>
      <c r="B40" s="358">
        <v>1</v>
      </c>
      <c r="C40" s="412">
        <v>1.0288099750293083E-4</v>
      </c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7"/>
      <c r="Q40" s="192"/>
      <c r="R40" s="192"/>
      <c r="S40" s="192"/>
      <c r="T40" s="192"/>
      <c r="U40" s="192"/>
      <c r="V40" s="192"/>
      <c r="W40" s="192"/>
      <c r="X40" s="192"/>
      <c r="Y40" s="192"/>
      <c r="Z40" s="192"/>
      <c r="AA40" s="192"/>
      <c r="AB40" s="192"/>
      <c r="AC40" s="192"/>
      <c r="AD40" s="192"/>
      <c r="AE40" s="192"/>
      <c r="AF40" s="192"/>
      <c r="AG40" s="192"/>
      <c r="AH40" s="192"/>
      <c r="AI40" s="192"/>
      <c r="AJ40" s="192"/>
      <c r="AK40" s="192"/>
      <c r="AL40" s="192"/>
    </row>
    <row r="41" spans="1:38" ht="15.75" thickBot="1" x14ac:dyDescent="0.3">
      <c r="A41" s="5"/>
      <c r="B41" s="192"/>
      <c r="C41" s="192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7"/>
      <c r="Q41" s="192"/>
      <c r="R41" s="1002" t="s">
        <v>246</v>
      </c>
      <c r="S41" s="1004"/>
      <c r="T41" s="202"/>
      <c r="U41" s="1002" t="s">
        <v>246</v>
      </c>
      <c r="V41" s="1003"/>
      <c r="W41" s="1003"/>
      <c r="X41" s="1003"/>
      <c r="Y41" s="1003"/>
      <c r="Z41" s="1003"/>
      <c r="AA41" s="1003"/>
      <c r="AB41" s="1003"/>
      <c r="AC41" s="1003"/>
      <c r="AD41" s="1003"/>
      <c r="AE41" s="1003"/>
      <c r="AF41" s="1003"/>
      <c r="AG41" s="1003"/>
      <c r="AH41" s="1003"/>
      <c r="AI41" s="1003"/>
      <c r="AJ41" s="1004"/>
      <c r="AK41" s="192"/>
      <c r="AL41" s="192"/>
    </row>
    <row r="42" spans="1:38" ht="15" customHeight="1" x14ac:dyDescent="0.25">
      <c r="A42" s="5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7"/>
      <c r="Q42" s="192"/>
      <c r="R42" s="701" t="s">
        <v>81</v>
      </c>
      <c r="S42" s="697" t="s">
        <v>80</v>
      </c>
      <c r="T42" s="192"/>
      <c r="U42" s="698" t="s">
        <v>0</v>
      </c>
      <c r="V42" s="968" t="s">
        <v>72</v>
      </c>
      <c r="W42" s="698" t="s">
        <v>101</v>
      </c>
      <c r="X42" s="708" t="s">
        <v>74</v>
      </c>
      <c r="Y42" s="698" t="s">
        <v>76</v>
      </c>
      <c r="Z42" s="698" t="s">
        <v>77</v>
      </c>
      <c r="AA42" s="985" t="s">
        <v>495</v>
      </c>
      <c r="AB42" s="956" t="s">
        <v>496</v>
      </c>
      <c r="AC42" s="956" t="s">
        <v>497</v>
      </c>
      <c r="AD42" s="956" t="s">
        <v>498</v>
      </c>
      <c r="AE42" s="696" t="s">
        <v>185</v>
      </c>
      <c r="AF42" s="696" t="s">
        <v>184</v>
      </c>
      <c r="AG42" s="696" t="s">
        <v>186</v>
      </c>
      <c r="AH42" s="696" t="s">
        <v>187</v>
      </c>
      <c r="AI42" s="955" t="s">
        <v>349</v>
      </c>
      <c r="AJ42" s="955" t="s">
        <v>393</v>
      </c>
      <c r="AK42" s="986" t="s">
        <v>239</v>
      </c>
      <c r="AL42" s="192"/>
    </row>
    <row r="43" spans="1:38" ht="15" customHeight="1" x14ac:dyDescent="0.25">
      <c r="A43" s="5"/>
      <c r="B43" s="192"/>
      <c r="C43" s="192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7"/>
      <c r="Q43" s="192"/>
      <c r="R43" s="964"/>
      <c r="S43" s="965"/>
      <c r="T43" s="192"/>
      <c r="U43" s="698"/>
      <c r="V43" s="968"/>
      <c r="W43" s="698"/>
      <c r="X43" s="708"/>
      <c r="Y43" s="698"/>
      <c r="Z43" s="698"/>
      <c r="AA43" s="985"/>
      <c r="AB43" s="956"/>
      <c r="AC43" s="956"/>
      <c r="AD43" s="956"/>
      <c r="AE43" s="696"/>
      <c r="AF43" s="696"/>
      <c r="AG43" s="696"/>
      <c r="AH43" s="696"/>
      <c r="AI43" s="955"/>
      <c r="AJ43" s="955"/>
      <c r="AK43" s="986"/>
      <c r="AL43" s="192"/>
    </row>
    <row r="44" spans="1:38" ht="16.5" thickBot="1" x14ac:dyDescent="0.3">
      <c r="A44" s="26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8"/>
      <c r="Q44" s="192"/>
      <c r="R44" s="49">
        <f>IF(($H$16=0),(_xlfn.IFS(('System Capacities'!$N$19+'System Capacities'!$N$32=2),((AD31)/$G$16),('System Capacities'!$N$19+'System Capacities'!$N$32=3),(((AD31)-'System Capacities'!$C$47/$G$16)+('System Capacities'!$D$47*hstr6)),('System Capacities'!$N$19+'System Capacities'!$N$32=4),(((AD31-'System Capacities'!$C$48)/ABS($G$16))+('System Capacities'!$D$48*hstr6)),('System Capacities'!$N$19+'System Capacities'!$N$32=5),(((AD31-'System Capacities'!$C$49)/($G$16))+('System Capacities'!$D$49*hstr6)),('System Capacities'!$N$19+'System Capacities'!$N$32=6),(((AD31-'System Capacities'!$C$50)/($G$16))+('System Capacities'!$D$50*hstr6)),('System Capacities'!$N$19+'System Capacities'!$N$32=7),(((AD31-'System Capacities'!$C$51)/($G$16))+('System Capacities'!$D$51*hstr6)),('System Capacities'!$N$19+'System Capacities'!$N$32=8),(((AD31-'System Capacities'!$C$52)/($G$16))+('System Capacities'!$D$52*hstr6)),('System Capacities'!$N$19+'System Capacities'!$N$32=9),(((AD31-'System Capacities'!$C$53)/($G$16))+('System Capacities'!$D$53*hstr6)),('System Capacities'!$N$19+'System Capacities'!$N$32=10),(((AD31-'System Capacities'!$C$54)/($G$16))+('System Capacities'!$D$54*hstr6)))),((ABS(AD31-$E$16)/(-1*$G$16))+($F$16*hstr6)))</f>
        <v>3.8666939298533422E-5</v>
      </c>
      <c r="S44" s="589">
        <f>S45+R44</f>
        <v>5.5160030094541092E-4</v>
      </c>
      <c r="T44" s="192"/>
      <c r="U44" s="553">
        <v>6</v>
      </c>
      <c r="V44" s="551">
        <f>V45+hstr6</f>
        <v>17.75</v>
      </c>
      <c r="W44" s="58">
        <f t="shared" ref="W44:W49" si="31">R44/(V44-V45)</f>
        <v>1.2888979766177807E-5</v>
      </c>
      <c r="X44" s="571">
        <f t="shared" ref="X44:X50" si="32">S44</f>
        <v>5.5160030094541092E-4</v>
      </c>
      <c r="Y44" s="554">
        <f>mstr6</f>
        <v>63.074599999999997</v>
      </c>
      <c r="Z44" s="261">
        <f t="shared" ref="Z44:Z49" si="33">Y44*X44</f>
        <v>3.4791968342011412E-2</v>
      </c>
      <c r="AA44" s="572">
        <f>((Y44*X44)/(Z51)*$L$15)</f>
        <v>2.4248704391924543</v>
      </c>
      <c r="AB44" s="572">
        <f>AD44+$O$15</f>
        <v>2.4248704391924543</v>
      </c>
      <c r="AC44" s="572">
        <f>AA44</f>
        <v>2.4248704391924543</v>
      </c>
      <c r="AD44" s="573">
        <f>AC44-$O$15</f>
        <v>2.4248704391924543</v>
      </c>
      <c r="AE44" s="94">
        <f>IF(($H$16=0),(_xlfn.IFS((W44&lt;='Frame Capacities'!$BX$11),(W44*hstr6*'Frame Capacities'!$BQ$11),(AND((W44&gt;'Frame Capacities'!$BX$11),(W44&lt;='Frame Capacities'!$BY$11))),((W44-'Frame Capacities'!$BX$11)*hstr6*('Frame Capacities'!$BR$11)+'Frame Capacities'!$BJ$11),(AND((W44&gt;'Frame Capacities'!$BY$11),(W44&lt;='Frame Capacities'!$BZ$11))),((W44-'Frame Capacities'!$BY$11)*hstr6*('Frame Capacities'!$BS$11)+'Frame Capacities'!$BK$11),(AND((W44&gt;'Frame Capacities'!$BZ$11),(W44&lt;='Frame Capacities'!$CA$11))),((W44-'Frame Capacities'!$BZ$11)*hstr6*('Frame Capacities'!$BT$11)+'Frame Capacities'!$BL$11),(AND((W44&gt;'Frame Capacities'!$CA$11),(W44&lt;='Frame Capacities'!$CB$11))),((W44-'Frame Capacities'!$CA$11)*hstr6*('Frame Capacities'!$BU$11)+'Frame Capacities'!$BM$11))),((W44-'Frame Capacities'!$CC$11)*hstr6*'Frame Capacities'!$BV$11+'Frame Capacities'!$BO$11))</f>
        <v>0.21046116432037124</v>
      </c>
      <c r="AF44" s="667">
        <f>IF(($H$16=0),(_xlfn.IFS((W44&lt;='Infill Capacities'!$CY$11),(W44*'Infill Capacities'!$CS$11*hstr6),(AND((W44&gt;'Infill Capacities'!$CY$11),(W44&lt;='Infill Capacities'!$CZ$11))),((W44-'Infill Capacities'!$CY$11)*hstr6*('Infill Capacities'!$CT$11)+'Infill Capacities'!$CM$11),(AND((W44&gt;'Infill Capacities'!$CZ$11),(W44&lt;='Infill Capacities'!$DA$11))),((W44-'Infill Capacities'!$CZ$11)*hstr6*('Infill Capacities'!$CU$11)+'Infill Capacities'!$CN$11),(AND((W44&gt;'Infill Capacities'!$DA$11),(W44&lt;='Infill Capacities'!$DB$11))),((W44-'Infill Capacities'!$DA$11)*hstr6*('Infill Capacities'!$CV$11)+'Infill Capacities'!$CP$11))),((W44-'Infill Capacities'!$DC$11)*hstr6*'Infill Capacities'!$CW$11+'Infill Capacities'!$CQ$11))</f>
        <v>2.2144061255723657</v>
      </c>
      <c r="AG44" s="58">
        <f>AE44/$C$16</f>
        <v>1.5505488530479219E-3</v>
      </c>
      <c r="AH44" s="55">
        <f>AF44/$D$16</f>
        <v>6.4522323006187803E-3</v>
      </c>
      <c r="AI44" s="575">
        <f t="shared" ref="AI44:AI49" si="34">AE44+AF44</f>
        <v>2.4248672898927368</v>
      </c>
      <c r="AJ44" s="576">
        <f>AD44-AI44</f>
        <v>3.1492997174531467E-6</v>
      </c>
      <c r="AK44" s="209">
        <f>(AD44-(AI44))/AD44</f>
        <v>1.298749684334453E-6</v>
      </c>
      <c r="AL44" s="192"/>
    </row>
    <row r="45" spans="1:38" ht="15.75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192"/>
      <c r="R45" s="56">
        <f>IF(($H$17=0),(_xlfn.IFS(('System Capacities'!$N$20+'System Capacities'!$N$33=2),((AD32/$G$17)),('System Capacities'!$N$20+'System Capacities'!$N$33=3),(((AD32-'System Capacities'!$G$47)/($G$17))+('System Capacities'!$H$47*hstr5)),('System Capacities'!$N$20+'System Capacities'!$N$33=4),(((AD32-'System Capacities'!$G$48)/($G$17))+('System Capacities'!$H$48*hstr5)),('System Capacities'!$N$20+'System Capacities'!$N$33=5),(((AD32-'System Capacities'!$G$49)/($G$17))+('System Capacities'!$H$49*hstr5)),('System Capacities'!$N$20+'System Capacities'!$N$33=6),(((AD32-'System Capacities'!$G$50)/($G$17))+('System Capacities'!$H$50*hstr5)),('System Capacities'!$N$20+'System Capacities'!$N$33=7),(((AD32-'System Capacities'!$G$51)/($G$17))+('System Capacities'!$H$51*hstr5)),('System Capacities'!$N$20+'System Capacities'!$N$33=8),(((AD32-'System Capacities'!$G$52)/($G$17))+('System Capacities'!$H$52*hstr5)),('System Capacities'!$N$20+'System Capacities'!$N$33=9),(((AD32-'System Capacities'!$G$53)/($G$17))+('System Capacities'!$H$53*hstr5)),('System Capacities'!$N$20+'System Capacities'!$N$33=10),(((AD32-'System Capacities'!$G$54)/($G$17))+('System Capacities'!$H$54*hstr5)))),((ABS(AD32-$E$17)/(-1*$G$17))+($F$17*hstr5)))</f>
        <v>7.4231156450807822E-5</v>
      </c>
      <c r="S45" s="590">
        <f>S46+R45</f>
        <v>5.1293336164687751E-4</v>
      </c>
      <c r="T45" s="192"/>
      <c r="U45" s="553">
        <v>5</v>
      </c>
      <c r="V45" s="551">
        <f>V46+hstr5</f>
        <v>14.75</v>
      </c>
      <c r="W45" s="58">
        <f t="shared" si="31"/>
        <v>2.474371881693594E-5</v>
      </c>
      <c r="X45" s="571">
        <f t="shared" si="32"/>
        <v>5.1293336164687751E-4</v>
      </c>
      <c r="Y45" s="554">
        <f>mstr5</f>
        <v>67.278400000000005</v>
      </c>
      <c r="Z45" s="261">
        <f t="shared" si="33"/>
        <v>3.4509335878223288E-2</v>
      </c>
      <c r="AA45" s="572">
        <f>((Y45*X45)/(Z51)*$L$15)</f>
        <v>2.4051720105246979</v>
      </c>
      <c r="AB45" s="572">
        <f>AD45-AD44+$O$16</f>
        <v>2.40516886122498</v>
      </c>
      <c r="AC45" s="572">
        <f>AC44+AA45</f>
        <v>4.8300424497171521</v>
      </c>
      <c r="AD45" s="573">
        <f>AC45-AJ44-$O$16</f>
        <v>4.8300393004174342</v>
      </c>
      <c r="AE45" s="99">
        <f>IF(($H$17=0),(_xlfn.IFS((W45&lt;='Frame Capacities'!$BX$12),(W45*hstr5*'Frame Capacities'!$BQ$12),(AND((W45&gt;'Frame Capacities'!$BX$12),(W45&lt;='Frame Capacities'!$BY$12))),((W45-'Frame Capacities'!$BX$12)*hstr5*('Frame Capacities'!$BR$12)+'Frame Capacities'!$BJ$12),(AND((W45&gt;'Frame Capacities'!$BY$12),(W45&lt;='Frame Capacities'!$BZ$12))),((W45-'Frame Capacities'!$BY$12)*hstr5*('Frame Capacities'!$BS$12)+'Frame Capacities'!$BK$12),(AND((W45&gt;'Frame Capacities'!$BZ$12),(W45&lt;='Frame Capacities'!$CA$12))),((W45-'Frame Capacities'!$BZ$12)*hstr5*('Frame Capacities'!$BT$12)+'Frame Capacities'!$BL$12),(AND((W45&gt;'Frame Capacities'!$CA$12),(W45&lt;='Frame Capacities'!$CB$12))),((W45-'Frame Capacities'!$CA$12)*hstr5*('Frame Capacities'!$BU$12)+'Frame Capacities'!$BM$12))),((W45-'Frame Capacities'!$CC$12)*hstr5*'Frame Capacities'!$BV$12+'Frame Capacities'!$BO$12))</f>
        <v>0.41662342260740687</v>
      </c>
      <c r="AF45" s="574">
        <f>IF(($H$17=0),(_xlfn.IFS((W45&lt;='Infill Capacities'!$CY$12),(W45*'Infill Capacities'!$CS$12*hstr5),(AND((W45&gt;'Infill Capacities'!$CY$12),(W45&lt;='Infill Capacities'!$CZ$12))),((W45-'Infill Capacities'!$CY$12)*hstr5*('Infill Capacities'!$CT$12)+'Infill Capacities'!$CM$12),(AND((W45&gt;'Infill Capacities'!$CZ$12),(W45&lt;='Infill Capacities'!$DA$12))),((W45-'Infill Capacities'!$CZ$12)*hstr5*('Infill Capacities'!$CU$12)+'Infill Capacities'!$CN$12),(AND((W45&gt;'Infill Capacities'!$DA$12),(W45&lt;='Infill Capacities'!$DB$12))),((W45-'Infill Capacities'!$DA$12)*hstr5*('Infill Capacities'!$CV$12)+'Infill Capacities'!$CP$12))),((W45-'Infill Capacities'!$DC$12)*hstr5*'Infill Capacities'!$CW$12+'Infill Capacities'!$CQ$12))</f>
        <v>4.4134141578847119</v>
      </c>
      <c r="AG45" s="58">
        <f>AE45/$C$17</f>
        <v>2.5781152389072201E-3</v>
      </c>
      <c r="AH45" s="55">
        <f>AF45/$D$17</f>
        <v>1.285959836213494E-2</v>
      </c>
      <c r="AI45" s="575">
        <f t="shared" si="34"/>
        <v>4.8300375804921192</v>
      </c>
      <c r="AJ45" s="576">
        <f>AD45-AI45</f>
        <v>1.7199253150579352E-6</v>
      </c>
      <c r="AK45" s="209">
        <f t="shared" ref="AK45:AK49" si="35">(AD45-(AI45))/AD45</f>
        <v>3.5608930033121911E-7</v>
      </c>
      <c r="AL45" s="192"/>
    </row>
    <row r="46" spans="1:38" ht="15" customHeight="1" x14ac:dyDescent="0.25">
      <c r="A46" s="6"/>
      <c r="B46" s="6"/>
      <c r="C46" s="6"/>
      <c r="D46" s="6"/>
      <c r="E46" s="957" t="s">
        <v>352</v>
      </c>
      <c r="F46" s="958"/>
      <c r="G46" s="958"/>
      <c r="H46" s="958"/>
      <c r="I46" s="959"/>
      <c r="J46" s="566"/>
      <c r="K46" s="566"/>
      <c r="L46" s="6"/>
      <c r="M46" s="6"/>
      <c r="N46" s="6"/>
      <c r="O46" s="6"/>
      <c r="P46" s="6"/>
      <c r="Q46" s="192"/>
      <c r="R46" s="56">
        <f>IF(($H$18=0),(_xlfn.IFS(('System Capacities'!$N$21+'System Capacities'!$N$34=2),((AD33/$G$18)),('System Capacities'!$N$21+'System Capacities'!$N$34=3),(((AD33-'System Capacities'!$K$47)/($G$18))+('System Capacities'!$L$47*hstr4)),('System Capacities'!$N$21+'System Capacities'!$N$34=4),(((AD33-'System Capacities'!$K$48)/ABS($G$18))+('System Capacities'!$L$48*hstr4)),('System Capacities'!$N$21+'System Capacities'!$N$34=5),(((AD33-'System Capacities'!$K$49)/($G$18))+('System Capacities'!$L$49*hstr4)),('System Capacities'!$N$21+'System Capacities'!$N$34=6),(((AD33-'System Capacities'!$K$50)/ABS($G$18))+('System Capacities'!$L$50*hstr4)),('System Capacities'!$N$21+'System Capacities'!$N$34=7),(((AD33-'System Capacities'!$K$51)/($G$18))+('System Capacities'!$L$51*hstr4)),('System Capacities'!$N$21+'System Capacities'!$N$34=8),(((AD33-'System Capacities'!$K$52)/($G$18))+('System Capacities'!$L$52*hstr4)),('System Capacities'!$N$21+'System Capacities'!$N$34=9),(((AD33-'System Capacities'!$K$53)/($G$18))+('System Capacities'!$L$53*hstr4)),('System Capacities'!$N$21+'System Capacities'!$N$34=10),(((AD33-'System Capacities'!$K$54)/($G$18))+('System Capacities'!$L$54*hstr4)))),((ABS(AD33-$E$18)/(-1*$G$18))+($F$18*hstr6)))</f>
        <v>1.00530062727989E-4</v>
      </c>
      <c r="S46" s="590">
        <f t="shared" ref="S46:S48" si="36">S47+R46</f>
        <v>4.3870220519606968E-4</v>
      </c>
      <c r="T46" s="192"/>
      <c r="U46" s="553">
        <v>4</v>
      </c>
      <c r="V46" s="551">
        <f>V47+hstr4</f>
        <v>11.75</v>
      </c>
      <c r="W46" s="58">
        <f t="shared" si="31"/>
        <v>3.3510020909329663E-5</v>
      </c>
      <c r="X46" s="571">
        <f t="shared" si="32"/>
        <v>4.3870220519606968E-4</v>
      </c>
      <c r="Y46" s="554">
        <f>mstr4</f>
        <v>67.278400000000005</v>
      </c>
      <c r="Z46" s="261">
        <f t="shared" si="33"/>
        <v>2.9515182442063255E-2</v>
      </c>
      <c r="AA46" s="572">
        <f>((Y46*X46)/(Z51)*$L$15)</f>
        <v>2.0570981413750524</v>
      </c>
      <c r="AB46" s="572">
        <f>AD46-AD45+$O$17</f>
        <v>2.0570995707494557</v>
      </c>
      <c r="AC46" s="572">
        <f t="shared" ref="AC46:AC49" si="37">AC45+AA46</f>
        <v>6.887140591092205</v>
      </c>
      <c r="AD46" s="573">
        <f>AC46-AJ45-$O$17</f>
        <v>6.8871388711668899</v>
      </c>
      <c r="AE46" s="99">
        <f>IF(($H$18=0),(_xlfn.IFS((W46&lt;='Frame Capacities'!$BX$13),(W46*hstr4*'Frame Capacities'!$BQ$13),(AND((W46&gt;'Frame Capacities'!$BX$13),(W46&lt;='Frame Capacities'!$BY$13))),((W46-'Frame Capacities'!$BX$13)*hstr4*('Frame Capacities'!$BR$13)+'Frame Capacities'!$BJ$13),(AND((W46&gt;'Frame Capacities'!$BY$13),(W46&lt;='Frame Capacities'!$BZ$13))),((W46-'Frame Capacities'!$BY$13)*hstr4*('Frame Capacities'!$BS$13)+'Frame Capacities'!$BK$13),(AND((W46&gt;'Frame Capacities'!$BZ$13),(W46&lt;='Frame Capacities'!$CA$13))),((W46-'Frame Capacities'!$BZ$13)*hstr4*('Frame Capacities'!$BT$13)+'Frame Capacities'!$BL$13),(AND((W46&gt;'Frame Capacities'!$CA$13),(W46&lt;='Frame Capacities'!$CB$13))),((W46-'Frame Capacities'!$CA$13)*hstr4*('Frame Capacities'!$BU$13)+'Frame Capacities'!$BM$13))),((W46-'Frame Capacities'!$CC$13)*hstr4*'Frame Capacities'!$BV$13+'Frame Capacities'!$BO$13))</f>
        <v>0.67115981176887629</v>
      </c>
      <c r="AF46" s="574">
        <f>IF(($H$18=0),(_xlfn.IFS((W46&lt;='Infill Capacities'!$CY$13),(W46*'Infill Capacities'!$CS$13*hstr4),(AND((W46&gt;'Infill Capacities'!$CY$13),(W46&lt;='Infill Capacities'!$CZ$13))),((W46-'Infill Capacities'!$CY$13)*hstr4*('Infill Capacities'!$CT$13)+'Infill Capacities'!$CM$13),(AND((W46&gt;'Infill Capacities'!$CZ$13),(W46&lt;='Infill Capacities'!$DA$13))),((W46-'Infill Capacities'!$CZ$13)*hstr4*('Infill Capacities'!$CU$13)+'Infill Capacities'!$CN$13),(AND((W46&gt;'Infill Capacities'!$DA$13),(W46&lt;='Infill Capacities'!$DB$13))),((W46-'Infill Capacities'!$DA$13)*hstr4*('Infill Capacities'!$CV$13)+'Infill Capacities'!$CP$13))),((W46-'Infill Capacities'!$DC$13)*hstr4*'Infill Capacities'!$CW$13+'Infill Capacities'!$CQ$13))</f>
        <v>6.2159786509384549</v>
      </c>
      <c r="AG46" s="58">
        <f>AE46/$C$18</f>
        <v>3.7790529941941235E-3</v>
      </c>
      <c r="AH46" s="55">
        <f>AF46/$D$18</f>
        <v>1.8111825905997827E-2</v>
      </c>
      <c r="AI46" s="575">
        <f t="shared" si="34"/>
        <v>6.8871384627073313</v>
      </c>
      <c r="AJ46" s="576">
        <f t="shared" ref="AJ46:AJ49" si="38">AD46-AI46</f>
        <v>4.084595586206774E-7</v>
      </c>
      <c r="AK46" s="209">
        <f t="shared" si="35"/>
        <v>5.9307582765711236E-8</v>
      </c>
      <c r="AL46" s="192"/>
    </row>
    <row r="47" spans="1:38" ht="15.75" x14ac:dyDescent="0.25">
      <c r="A47" s="6"/>
      <c r="B47" s="6"/>
      <c r="C47" s="6"/>
      <c r="D47" s="6"/>
      <c r="E47" s="413" t="s">
        <v>5</v>
      </c>
      <c r="F47" s="420" t="s">
        <v>2</v>
      </c>
      <c r="G47" s="416" t="s">
        <v>353</v>
      </c>
      <c r="H47" s="391" t="s">
        <v>354</v>
      </c>
      <c r="I47" s="413" t="s">
        <v>351</v>
      </c>
      <c r="J47" s="567"/>
      <c r="K47" s="6"/>
      <c r="L47" s="6"/>
      <c r="M47" s="6"/>
      <c r="N47" s="6"/>
      <c r="O47" s="6"/>
      <c r="P47" s="6"/>
      <c r="Q47" s="192"/>
      <c r="R47" s="56">
        <f>IF(($H$19=0),(_xlfn.IFS(('System Capacities'!$N$22+'System Capacities'!$N$35=2),((AD34/$G$19)),('System Capacities'!$N$22+'System Capacities'!$N$35=3),(((AD34-'System Capacities'!$C$60)/ABS($G$19))+('System Capacities'!$D$60*hstr3)),('System Capacities'!$N$22+'System Capacities'!$N$35=4),(((AD34-'System Capacities'!$C$61)/($G$19))+('System Capacities'!$D$61*hstr3)),('System Capacities'!$N$22+'System Capacities'!$N$35=5),(((AD34-'System Capacities'!$C$62)/($G$19))+('System Capacities'!$D$62*hstr3)),('System Capacities'!$N$22+'System Capacities'!$N$35=6),(((AD34-'System Capacities'!$C$63)/($G$19))+('System Capacities'!$D$63*hstr3)),('System Capacities'!$N$22+'System Capacities'!$N$35=7),(((AD34-'System Capacities'!$C$64)/($G$19))+('System Capacities'!$D$64*hstr3)),('System Capacities'!$N$22+'System Capacities'!$N$35=8),(((AD34-'System Capacities'!$C$65)/($G$19))+('System Capacities'!$D$65*hstr3)),('System Capacities'!$N$22+'System Capacities'!$N$35=9),(((AD34-'System Capacities'!$C$66)/($G$19))+('System Capacities'!$D$66*hstr3)),('System Capacities'!$N$22+'System Capacities'!$N$35=10),(((AD34-'System Capacities'!$C$67)/($G$19))+('System Capacities'!$D$67*hstr3)))),((ABS(AD34-$E$19)/(-1*$G$19))+($F$19*hstr3)))</f>
        <v>1.1536173826836397E-4</v>
      </c>
      <c r="S47" s="590">
        <f t="shared" si="36"/>
        <v>3.3817214246808065E-4</v>
      </c>
      <c r="T47" s="192"/>
      <c r="U47" s="553">
        <v>3</v>
      </c>
      <c r="V47" s="551">
        <f>V48+hstr3</f>
        <v>8.75</v>
      </c>
      <c r="W47" s="58">
        <f t="shared" si="31"/>
        <v>3.8453912756121322E-5</v>
      </c>
      <c r="X47" s="571">
        <f t="shared" si="32"/>
        <v>3.3817214246808065E-4</v>
      </c>
      <c r="Y47" s="554">
        <f>mstr3</f>
        <v>67.278400000000005</v>
      </c>
      <c r="Z47" s="261">
        <f t="shared" si="33"/>
        <v>2.2751680669824519E-2</v>
      </c>
      <c r="AA47" s="572">
        <f>((Y47*X47)/(Z51)*$L$15)</f>
        <v>1.5857072918632789</v>
      </c>
      <c r="AB47" s="572">
        <f>AD47-AD46+$O$18</f>
        <v>1.5857086033290351</v>
      </c>
      <c r="AC47" s="572">
        <f t="shared" si="37"/>
        <v>8.4728478829554845</v>
      </c>
      <c r="AD47" s="573">
        <f>AC47-AJ46-$O$18</f>
        <v>8.472847474495925</v>
      </c>
      <c r="AE47" s="99">
        <f>IF(($H$19=0),(_xlfn.IFS((W47&lt;='Frame Capacities'!$BX$14),(W47*hstr3*'Frame Capacities'!$BQ$14),(AND((W47&gt;'Frame Capacities'!$BX$14),(W47&lt;='Frame Capacities'!$BY$14))),((W47-'Frame Capacities'!$BX$14)*hstr3*('Frame Capacities'!$BR$14)+'Frame Capacities'!$BJ$14),(AND((W47&gt;'Frame Capacities'!$BY$14),(W47&lt;='Frame Capacities'!$BZ$14))),((W47-'Frame Capacities'!$BY$14)*hstr3*('Frame Capacities'!$BS$14)+'Frame Capacities'!$BK$14),(AND((W47&gt;'Frame Capacities'!$BZ$14),(W47&lt;='Frame Capacities'!$CA$14))),((W47-'Frame Capacities'!$BZ$14)*hstr3*('Frame Capacities'!$BT$14)+'Frame Capacities'!$BL$14),(AND((W47&gt;'Frame Capacities'!$CA$14),(W47&lt;='Frame Capacities'!$CB$14))),((W47-'Frame Capacities'!$CA$14)*hstr3*('Frame Capacities'!$BU$14)+'Frame Capacities'!$BM$14))),((W47-'Frame Capacities'!$CC$14)*hstr3*'Frame Capacities'!$BV$14+'Frame Capacities'!$BO$14))</f>
        <v>1.1720077753481049</v>
      </c>
      <c r="AF47" s="574">
        <f>IF(($H$19=0),(_xlfn.IFS((W47&lt;='Infill Capacities'!$CY$14),(W47*'Infill Capacities'!$CS$14*hstr3),(AND((W47&gt;'Infill Capacities'!$CY$14),(W47&lt;='Infill Capacities'!$CZ$14))),((W47-'Infill Capacities'!$CY$14)*hstr3*('Infill Capacities'!$CT$14)+'Infill Capacities'!$CM$14),(AND((W47&gt;'Infill Capacities'!$CZ$14),(W47&lt;='Infill Capacities'!$DA$14))),((W47-'Infill Capacities'!$CZ$14)*hstr3*('Infill Capacities'!$CU$14)+'Infill Capacities'!$CN$14),(AND((W47&gt;'Infill Capacities'!$DA$14),(W47&lt;='Infill Capacities'!$DB$14))),((W47-'Infill Capacities'!$DA$14)*hstr3*('Infill Capacities'!$CV$14)+'Infill Capacities'!$CP$14))),((W47-'Infill Capacities'!$DC$14)*hstr3*'Infill Capacities'!$CW$14+'Infill Capacities'!$CQ$14))</f>
        <v>7.3008205567827886</v>
      </c>
      <c r="AG47" s="58">
        <f>AE47/$C$19</f>
        <v>4.6021247723093128E-3</v>
      </c>
      <c r="AH47" s="55">
        <f>AF47/$D$19</f>
        <v>2.1470980839399786E-2</v>
      </c>
      <c r="AI47" s="575">
        <f t="shared" si="34"/>
        <v>8.4728283321308933</v>
      </c>
      <c r="AJ47" s="576">
        <f t="shared" si="38"/>
        <v>1.9142365031754593E-5</v>
      </c>
      <c r="AK47" s="209">
        <f t="shared" si="35"/>
        <v>2.2592599582814313E-6</v>
      </c>
      <c r="AL47" s="192"/>
    </row>
    <row r="48" spans="1:38" ht="15.75" x14ac:dyDescent="0.25">
      <c r="A48" s="6"/>
      <c r="B48" s="6"/>
      <c r="C48" s="6"/>
      <c r="D48" s="6"/>
      <c r="E48" s="421">
        <v>6</v>
      </c>
      <c r="F48" s="417">
        <v>17.75</v>
      </c>
      <c r="G48" s="414">
        <f t="shared" ref="G48:G53" si="39">AA57</f>
        <v>2.4248678050954129</v>
      </c>
      <c r="H48" s="414">
        <f t="shared" ref="H48:H54" si="40">G48/$AC$62</f>
        <v>0.24248678050954128</v>
      </c>
      <c r="I48" s="415">
        <f t="shared" ref="I48:I54" si="41">H48/MAX($H$48:$H$54)</f>
        <v>1</v>
      </c>
      <c r="J48" s="226"/>
      <c r="K48" s="6"/>
      <c r="L48" s="6"/>
      <c r="M48" s="6"/>
      <c r="N48" s="6"/>
      <c r="O48" s="6"/>
      <c r="P48" s="6"/>
      <c r="Q48" s="192"/>
      <c r="R48" s="56">
        <f>IF(($H$20=0),(_xlfn.IFS(('System Capacities'!$N$23+'System Capacities'!$N$36=2),((AD35/$G$20)),('System Capacities'!$N$23+'System Capacities'!$N$36=3),(((AD35-'System Capacities'!$G$60)/($G$20))+('System Capacities'!$H$60*hstr2)),('System Capacities'!$N$23+'System Capacities'!$N$36=4),(((AD35-'System Capacities'!$G$61)/($G$20))+('System Capacities'!$H$61*hstr2)),('System Capacities'!$N$23+'System Capacities'!$N$36=5),(((AD35-'System Capacities'!$G$62)/($G$20))+('System Capacities'!$H$62*hstr2)),('System Capacities'!$N$23+'System Capacities'!$N$36=6),(((AD35-'System Capacities'!$G$63)/($G$20))+('System Capacities'!$H$63*hstr2)),('System Capacities'!$N$23+'System Capacities'!$N$36=7),(((AD35-'System Capacities'!$G$64)/($G$20))+('System Capacities'!$H$64*hstr2)),('System Capacities'!$N$23+'System Capacities'!$N$36=8),(((AD35-'System Capacities'!$G$65)/($G$20))+('System Capacities'!$H$65*hstr2)),('System Capacities'!$N$23+'System Capacities'!$N$36=9),(((AD35-'System Capacities'!$G$66)/($G$20))+('System Capacities'!$H$66*hstr2)),('System Capacities'!$N$23+'System Capacities'!$N$36=10),(((AD35-'System Capacities'!$G$67)/($G$20))+('System Capacities'!$H$67*hstr2)))),((ABS(AD35-$E$20)/(-1*$G$20))+($F$20*hstr2)))</f>
        <v>1.1993629780557204E-4</v>
      </c>
      <c r="S48" s="590">
        <f t="shared" si="36"/>
        <v>2.2281040419971668E-4</v>
      </c>
      <c r="T48" s="192"/>
      <c r="U48" s="553">
        <v>2</v>
      </c>
      <c r="V48" s="551">
        <f>V49+hstr2</f>
        <v>5.75</v>
      </c>
      <c r="W48" s="58">
        <f t="shared" si="31"/>
        <v>3.9978765935190681E-5</v>
      </c>
      <c r="X48" s="571">
        <f t="shared" si="32"/>
        <v>2.2281040419971668E-4</v>
      </c>
      <c r="Y48" s="554">
        <f>mstr2</f>
        <v>67.278400000000005</v>
      </c>
      <c r="Z48" s="261">
        <f t="shared" si="33"/>
        <v>1.4990327497910219E-2</v>
      </c>
      <c r="AA48" s="572">
        <f>((Y48*X48)/(Z51)*$L$15)</f>
        <v>1.0447699212120751</v>
      </c>
      <c r="AB48" s="572">
        <f>AD48-AD47+$O$19</f>
        <v>1.0447511873066038</v>
      </c>
      <c r="AC48" s="572">
        <f t="shared" si="37"/>
        <v>9.5176178041675605</v>
      </c>
      <c r="AD48" s="573">
        <f>AC48-AJ47-$O$19</f>
        <v>9.5175986618025288</v>
      </c>
      <c r="AE48" s="99">
        <f>IF(($H$20=0),(_xlfn.IFS((W48&lt;='Frame Capacities'!$BX$15),(W48*hstr2*'Frame Capacities'!$BQ$15),(AND((W48&gt;'Frame Capacities'!$BX$15),(W48&lt;='Frame Capacities'!$BY$15))),((W48-'Frame Capacities'!$BX$15)*hstr2*('Frame Capacities'!$BR$15)+'Frame Capacities'!$BJ$15),(AND((W48&gt;'Frame Capacities'!$BY$15),(W48&lt;='Frame Capacities'!$BZ$15))),((W48-'Frame Capacities'!$BY$15)*hstr2*('Frame Capacities'!$BS$15)+'Frame Capacities'!$BK$15),(AND((W48&gt;'Frame Capacities'!$BZ$15),(W48&lt;='Frame Capacities'!$CA$15))),((W48-'Frame Capacities'!$BZ$15)*hstr2*('Frame Capacities'!$BT$15)+'Frame Capacities'!$BL$15),(AND((W48&gt;'Frame Capacities'!$CA$15),(W48&lt;='Frame Capacities'!$CB$15))),((W48-'Frame Capacities'!$CA$15)*hstr2*('Frame Capacities'!$BU$15)+'Frame Capacities'!$BM$15))),((W48-'Frame Capacities'!$CC$15)*hstr2*'Frame Capacities'!$BV$15+'Frame Capacities'!$BO$15))</f>
        <v>1.6820359817208361</v>
      </c>
      <c r="AF48" s="574">
        <f>IF(($H$20=0),(_xlfn.IFS((W48&lt;='Infill Capacities'!$CY$15),(W48*'Infill Capacities'!$CS$15*hstr2),(AND((W48&gt;'Infill Capacities'!$CY$15),(W48&lt;='Infill Capacities'!$CZ$15))),((W48-'Infill Capacities'!$CY$15)*hstr2*('Infill Capacities'!$CT$15)+'Infill Capacities'!$CM$15),(AND((W48&gt;'Infill Capacities'!$CZ$15),(W48&lt;='Infill Capacities'!$DA$15))),((W48-'Infill Capacities'!$CZ$15)*hstr2*('Infill Capacities'!$CU$15)+'Infill Capacities'!$CN$15),(AND((W48&gt;'Infill Capacities'!$DA$15),(W48&lt;='Infill Capacities'!$DB$15))),((W48-'Infill Capacities'!$DA$15)*hstr2*('Infill Capacities'!$CV$15)+'Infill Capacities'!$CP$15))),((W48-'Infill Capacities'!$DC$15)*hstr2*'Infill Capacities'!$CW$15+'Infill Capacities'!$CQ$15))</f>
        <v>7.8356181461819752</v>
      </c>
      <c r="AG48" s="58">
        <f>AE48/$C$20</f>
        <v>6.2313014882224111E-3</v>
      </c>
      <c r="AH48" s="55">
        <f>AF48/$D$20</f>
        <v>2.3043766898944728E-2</v>
      </c>
      <c r="AI48" s="575">
        <f t="shared" si="34"/>
        <v>9.5176541279028122</v>
      </c>
      <c r="AJ48" s="576">
        <f t="shared" si="38"/>
        <v>-5.5466100283396713E-5</v>
      </c>
      <c r="AK48" s="209">
        <f t="shared" si="35"/>
        <v>-5.8277410357721519E-6</v>
      </c>
      <c r="AL48" s="192"/>
    </row>
    <row r="49" spans="1:38" ht="15.75" x14ac:dyDescent="0.25">
      <c r="A49" s="6"/>
      <c r="B49" s="6"/>
      <c r="C49" s="6"/>
      <c r="D49" s="6"/>
      <c r="E49" s="422">
        <v>5</v>
      </c>
      <c r="F49" s="418">
        <v>14.75</v>
      </c>
      <c r="G49" s="226">
        <f t="shared" si="39"/>
        <v>2.4051695612553448</v>
      </c>
      <c r="H49" s="226">
        <f t="shared" si="40"/>
        <v>0.24051695612553448</v>
      </c>
      <c r="I49" s="227">
        <f t="shared" si="41"/>
        <v>0.99187657001397112</v>
      </c>
      <c r="J49" s="226"/>
      <c r="K49" s="6"/>
      <c r="L49" s="6"/>
      <c r="M49" s="6"/>
      <c r="N49" s="6"/>
      <c r="O49" s="6"/>
      <c r="P49" s="6"/>
      <c r="Q49" s="192"/>
      <c r="R49" s="56">
        <f>IF(($H$21=0),(_xlfn.IFS(('System Capacities'!$N$24+'System Capacities'!$N$37=2),(AD36/$G$21),('System Capacities'!$N$24+'System Capacities'!$N$37=3),(((AD36-'System Capacities'!$K$60)/($G$21))+('System Capacities'!$L$60*hstr1)),('System Capacities'!$N$24+'System Capacities'!$N$37=4),(((AD36-'System Capacities'!$K$61)/($G$21))+('System Capacities'!$L$61*hstr1)),('System Capacities'!$N$24+'System Capacities'!$N$37=5),(((AD36-'System Capacities'!$K$62)/($G$21))+('System Capacities'!$L$62*hstr1)),('System Capacities'!$N$24+'System Capacities'!$N$37=6),(((AD36-'System Capacities'!$K$63)/($G$21))+('System Capacities'!$L$63*hstr1)),('System Capacities'!$N$24+'System Capacities'!$N$37=7),(((AD36-'System Capacities'!$K$64)/($G$21))+('System Capacities'!$L$64*hstr1)),('System Capacities'!$N$24+'System Capacities'!$N$37=8),(((AD36-'System Capacities'!$K$65)/($G$21))+('System Capacities'!$L$65*hstr1)),('System Capacities'!$N$24+'System Capacities'!$N$37=9),(((AD36-'System Capacities'!$K$66)/($G$21))+('System Capacities'!$L$66*hstr1)),('System Capacities'!$N$24+'System Capacities'!$N$37=10),(((AD36-'System Capacities'!$K$67)/($G$21))+('System Capacities'!$L$67*hstr1)))),((ABS(AD36-$E$21)/(-1*$G$21))+($F$21*hstr1)))</f>
        <v>1.0287410639414464E-4</v>
      </c>
      <c r="S49" s="590">
        <f>S50+R49</f>
        <v>1.0287410639414464E-4</v>
      </c>
      <c r="T49" s="192"/>
      <c r="U49" s="553">
        <v>1</v>
      </c>
      <c r="V49" s="551">
        <f>V50+hstr1</f>
        <v>2.75</v>
      </c>
      <c r="W49" s="58">
        <f t="shared" si="31"/>
        <v>3.7408765961507144E-5</v>
      </c>
      <c r="X49" s="571">
        <f t="shared" si="32"/>
        <v>1.0287410639414464E-4</v>
      </c>
      <c r="Y49" s="554">
        <f>mstr1</f>
        <v>67.278400000000005</v>
      </c>
      <c r="Z49" s="261">
        <f t="shared" si="33"/>
        <v>6.9212052796278215E-3</v>
      </c>
      <c r="AA49" s="572">
        <f>((Y49*X49)/(Z51)*$L$15)</f>
        <v>0.48238219583244135</v>
      </c>
      <c r="AB49" s="572">
        <f>AD49-AD48+$O$20</f>
        <v>0.48245680429775639</v>
      </c>
      <c r="AC49" s="572">
        <f t="shared" si="37"/>
        <v>10.000000000000002</v>
      </c>
      <c r="AD49" s="573">
        <f>AC49-AJ48-$O$20</f>
        <v>10.000055466100285</v>
      </c>
      <c r="AE49" s="99">
        <f>IF(($H$21=0),(_xlfn.IFS((W49&lt;='Frame Capacities'!$BX$16),(W49*hstr1*'Frame Capacities'!$BQ$16),(AND((W49&gt;'Frame Capacities'!$BX$16),(W49&lt;='Frame Capacities'!$BY$16))),((W49-'Frame Capacities'!$BX$16)*hstr1*('Frame Capacities'!$BR$16)+'Frame Capacities'!$BJ$16),(AND((W49&gt;'Frame Capacities'!$BY$16),(W49&lt;='Frame Capacities'!$BZ$16))),((W49-'Frame Capacities'!$BY$16)*hstr1*('Frame Capacities'!$BS$16)+'Frame Capacities'!$BK$16),(AND((W49&gt;'Frame Capacities'!$BZ$16),(W49&lt;='Frame Capacities'!$CA$16))),((W49-'Frame Capacities'!$BZ$16)*hstr1*('Frame Capacities'!$BT$16)+'Frame Capacities'!$BL$16),(AND((W49&gt;'Frame Capacities'!$CA$16),(W49&lt;='Frame Capacities'!$CB$16))),((W49-'Frame Capacities'!$CA$16)*hstr1*('Frame Capacities'!$BU$16)+'Frame Capacities'!$BM$16))),((W49-'Frame Capacities'!$CC$16)*hstr1*'Frame Capacities'!$BV$16+'Frame Capacities'!$BO$16))</f>
        <v>3.112316820923231</v>
      </c>
      <c r="AF49" s="574">
        <f>IF(($H$21=0),(_xlfn.IFS((W49&lt;='Infill Capacities'!$CY$16),(W49*'Infill Capacities'!$CS$16*hstr1),(AND((W49&gt;'Infill Capacities'!$CY$16),(W49&lt;='Infill Capacities'!$CZ$16))),((W49-'Infill Capacities'!$CY$16)*hstr1*('Infill Capacities'!$CT$16)+'Infill Capacities'!$CM$16),(AND((W49&gt;'Infill Capacities'!$CZ$16),(W49&lt;='Infill Capacities'!$DA$16))),((W49-'Infill Capacities'!$CZ$16)*hstr1*('Infill Capacities'!$CU$16)+'Infill Capacities'!$CN$16),(AND((W49&gt;'Infill Capacities'!$DA$16),(W49&lt;='Infill Capacities'!$DB$16))),((W49-'Infill Capacities'!$DA$16)*hstr1*('Infill Capacities'!$CV$16)+'Infill Capacities'!$CP$16))),((W49-'Infill Capacities'!$DC$16)*hstr1*'Infill Capacities'!$CW$16+'Infill Capacities'!$CQ$16))</f>
        <v>6.8875861010531958</v>
      </c>
      <c r="AG49" s="58">
        <f>AE49/$C$21</f>
        <v>7.7176476623434494E-3</v>
      </c>
      <c r="AH49" s="55">
        <f>AF49/$D$21</f>
        <v>2.1176413386256625E-2</v>
      </c>
      <c r="AI49" s="575">
        <f t="shared" si="34"/>
        <v>9.9999029219764264</v>
      </c>
      <c r="AJ49" s="576">
        <f t="shared" si="38"/>
        <v>1.5254412385878879E-4</v>
      </c>
      <c r="AK49" s="209">
        <f t="shared" si="35"/>
        <v>1.5254327776071459E-5</v>
      </c>
      <c r="AL49" s="192"/>
    </row>
    <row r="50" spans="1:38" ht="15.75" x14ac:dyDescent="0.25">
      <c r="A50" s="6"/>
      <c r="B50" s="6"/>
      <c r="C50" s="6"/>
      <c r="D50" s="6"/>
      <c r="E50" s="422">
        <v>4</v>
      </c>
      <c r="F50" s="418">
        <v>11.75</v>
      </c>
      <c r="G50" s="226">
        <f t="shared" si="39"/>
        <v>2.057096712072811</v>
      </c>
      <c r="H50" s="226">
        <f t="shared" si="40"/>
        <v>0.20570967120728109</v>
      </c>
      <c r="I50" s="227">
        <f t="shared" si="41"/>
        <v>0.84833354946203721</v>
      </c>
      <c r="J50" s="226"/>
      <c r="K50" s="6"/>
      <c r="L50" s="6"/>
      <c r="M50" s="6"/>
      <c r="N50" s="6"/>
      <c r="O50" s="6"/>
      <c r="P50" s="6"/>
      <c r="Q50" s="192"/>
      <c r="R50" s="592">
        <v>0</v>
      </c>
      <c r="S50" s="591">
        <f>R50</f>
        <v>0</v>
      </c>
      <c r="T50" s="192"/>
      <c r="U50" s="550">
        <v>0</v>
      </c>
      <c r="V50" s="552">
        <f>hstr0</f>
        <v>0</v>
      </c>
      <c r="W50" s="75" t="s">
        <v>66</v>
      </c>
      <c r="X50" s="577">
        <f t="shared" si="32"/>
        <v>0</v>
      </c>
      <c r="Y50" s="147" t="s">
        <v>66</v>
      </c>
      <c r="Z50" s="263">
        <v>0</v>
      </c>
      <c r="AA50" s="578" t="s">
        <v>66</v>
      </c>
      <c r="AB50" s="578" t="s">
        <v>66</v>
      </c>
      <c r="AC50" s="578" t="s">
        <v>66</v>
      </c>
      <c r="AD50" s="578" t="s">
        <v>66</v>
      </c>
      <c r="AE50" s="157" t="s">
        <v>66</v>
      </c>
      <c r="AF50" s="157" t="s">
        <v>66</v>
      </c>
      <c r="AG50" s="150" t="s">
        <v>66</v>
      </c>
      <c r="AH50" s="157" t="s">
        <v>66</v>
      </c>
      <c r="AI50" s="579" t="s">
        <v>66</v>
      </c>
      <c r="AJ50" s="580" t="s">
        <v>66</v>
      </c>
      <c r="AL50" s="192"/>
    </row>
    <row r="51" spans="1:38" x14ac:dyDescent="0.25">
      <c r="A51" s="192"/>
      <c r="B51" s="192"/>
      <c r="C51" s="192"/>
      <c r="D51" s="192"/>
      <c r="E51" s="422">
        <v>3</v>
      </c>
      <c r="F51" s="418">
        <v>8.75</v>
      </c>
      <c r="G51" s="226">
        <f t="shared" si="39"/>
        <v>1.585707383785897</v>
      </c>
      <c r="H51" s="226">
        <f t="shared" si="40"/>
        <v>0.1585707383785897</v>
      </c>
      <c r="I51" s="227">
        <f t="shared" si="41"/>
        <v>0.65393560030523112</v>
      </c>
      <c r="J51" s="226"/>
      <c r="K51" s="6"/>
      <c r="L51" s="192"/>
      <c r="M51" s="192"/>
      <c r="N51" s="192"/>
      <c r="O51" s="192"/>
      <c r="P51" s="192"/>
      <c r="Q51" s="192"/>
      <c r="R51" s="192"/>
      <c r="S51" s="192"/>
      <c r="T51" s="192"/>
      <c r="U51" s="6"/>
      <c r="V51" s="6"/>
      <c r="W51" s="6"/>
      <c r="X51" s="6"/>
      <c r="Y51" s="581" t="s">
        <v>78</v>
      </c>
      <c r="Z51" s="582">
        <f>SUM(Z44:Z50)</f>
        <v>0.14347970010966052</v>
      </c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192"/>
      <c r="AL51" s="192"/>
    </row>
    <row r="52" spans="1:38" x14ac:dyDescent="0.25">
      <c r="A52" s="192"/>
      <c r="B52" s="192"/>
      <c r="C52" s="192"/>
      <c r="D52" s="192"/>
      <c r="E52" s="422">
        <v>2</v>
      </c>
      <c r="F52" s="418">
        <v>5.75</v>
      </c>
      <c r="G52" s="226">
        <f t="shared" si="39"/>
        <v>1.0447705687577471</v>
      </c>
      <c r="H52" s="226">
        <f t="shared" si="40"/>
        <v>0.10447705687577472</v>
      </c>
      <c r="I52" s="227">
        <f t="shared" si="41"/>
        <v>0.43085671167820133</v>
      </c>
      <c r="J52" s="226"/>
      <c r="K52" s="6"/>
      <c r="L52" s="192"/>
      <c r="M52" s="192"/>
      <c r="N52" s="192"/>
      <c r="O52" s="192"/>
      <c r="P52" s="192"/>
      <c r="Q52" s="192"/>
      <c r="R52" s="192"/>
      <c r="S52" s="192"/>
      <c r="T52" s="192"/>
      <c r="U52" s="192"/>
      <c r="V52" s="192"/>
      <c r="W52" s="192"/>
      <c r="X52" s="192"/>
      <c r="Y52" s="192"/>
      <c r="Z52" s="192"/>
      <c r="AA52" s="192"/>
      <c r="AB52" s="192"/>
      <c r="AC52" s="192"/>
      <c r="AD52" s="192"/>
      <c r="AE52" s="192"/>
      <c r="AF52" s="192"/>
      <c r="AG52" s="192"/>
      <c r="AH52" s="192"/>
      <c r="AI52" s="192"/>
      <c r="AJ52" s="192"/>
      <c r="AK52" s="192"/>
      <c r="AL52" s="192"/>
    </row>
    <row r="53" spans="1:38" ht="15.75" thickBot="1" x14ac:dyDescent="0.3">
      <c r="A53" s="192"/>
      <c r="B53" s="192"/>
      <c r="C53" s="192"/>
      <c r="D53" s="192"/>
      <c r="E53" s="422">
        <v>1</v>
      </c>
      <c r="F53" s="418">
        <v>2.75</v>
      </c>
      <c r="G53" s="226">
        <f t="shared" si="39"/>
        <v>0.48238796903278675</v>
      </c>
      <c r="H53" s="226">
        <f t="shared" si="40"/>
        <v>4.8238796903278675E-2</v>
      </c>
      <c r="I53" s="227">
        <f t="shared" si="41"/>
        <v>0.19893371837389953</v>
      </c>
      <c r="J53" s="226"/>
      <c r="K53" s="6"/>
      <c r="L53" s="192"/>
      <c r="M53" s="192"/>
      <c r="N53" s="192"/>
      <c r="O53" s="192"/>
      <c r="P53" s="192"/>
      <c r="Q53" s="192"/>
      <c r="R53" s="192"/>
      <c r="S53" s="192"/>
      <c r="T53" s="192"/>
      <c r="U53" s="192"/>
      <c r="V53" s="192"/>
      <c r="W53" s="192"/>
      <c r="X53" s="192"/>
      <c r="Y53" s="192"/>
      <c r="Z53" s="192"/>
      <c r="AA53" s="192"/>
      <c r="AB53" s="192"/>
      <c r="AC53" s="192"/>
      <c r="AD53" s="192"/>
      <c r="AE53" s="192"/>
      <c r="AF53" s="192"/>
      <c r="AG53" s="192"/>
      <c r="AH53" s="192"/>
      <c r="AI53" s="192"/>
      <c r="AJ53" s="192"/>
      <c r="AK53" s="192"/>
      <c r="AL53" s="192"/>
    </row>
    <row r="54" spans="1:38" ht="15.75" customHeight="1" thickBot="1" x14ac:dyDescent="0.3">
      <c r="A54" s="192"/>
      <c r="B54" s="192"/>
      <c r="C54" s="192"/>
      <c r="D54" s="230"/>
      <c r="E54" s="423">
        <v>0</v>
      </c>
      <c r="F54" s="419">
        <v>0</v>
      </c>
      <c r="G54" s="228">
        <v>0</v>
      </c>
      <c r="H54" s="228">
        <f t="shared" si="40"/>
        <v>0</v>
      </c>
      <c r="I54" s="229">
        <f t="shared" si="41"/>
        <v>0</v>
      </c>
      <c r="J54" s="226"/>
      <c r="K54" s="6"/>
      <c r="L54" s="230"/>
      <c r="M54" s="230"/>
      <c r="N54" s="230"/>
      <c r="O54" s="230"/>
      <c r="P54" s="230"/>
      <c r="Q54" s="192"/>
      <c r="R54" s="1005" t="s">
        <v>247</v>
      </c>
      <c r="S54" s="1007"/>
      <c r="T54" s="202"/>
      <c r="U54" s="1005" t="s">
        <v>247</v>
      </c>
      <c r="V54" s="1006"/>
      <c r="W54" s="1006"/>
      <c r="X54" s="1006"/>
      <c r="Y54" s="1006"/>
      <c r="Z54" s="1006"/>
      <c r="AA54" s="1006"/>
      <c r="AB54" s="1006"/>
      <c r="AC54" s="1006"/>
      <c r="AD54" s="1006"/>
      <c r="AE54" s="1006"/>
      <c r="AF54" s="1006"/>
      <c r="AG54" s="1006"/>
      <c r="AH54" s="1006"/>
      <c r="AI54" s="1006"/>
      <c r="AJ54" s="1007"/>
      <c r="AK54" s="192"/>
      <c r="AL54" s="192"/>
    </row>
    <row r="55" spans="1:38" ht="15" customHeight="1" x14ac:dyDescent="0.25">
      <c r="A55" s="192"/>
      <c r="B55" s="192"/>
      <c r="C55" s="192"/>
      <c r="D55" s="230"/>
      <c r="E55" s="192"/>
      <c r="F55" s="192"/>
      <c r="G55" s="192"/>
      <c r="H55" s="192"/>
      <c r="I55" s="192"/>
      <c r="J55" s="6"/>
      <c r="K55" s="6"/>
      <c r="L55" s="230"/>
      <c r="M55" s="230"/>
      <c r="N55" s="230"/>
      <c r="O55" s="230"/>
      <c r="P55" s="230"/>
      <c r="Q55" s="192"/>
      <c r="R55" s="701" t="s">
        <v>81</v>
      </c>
      <c r="S55" s="697" t="s">
        <v>80</v>
      </c>
      <c r="T55" s="192"/>
      <c r="U55" s="697" t="s">
        <v>0</v>
      </c>
      <c r="V55" s="697" t="s">
        <v>72</v>
      </c>
      <c r="W55" s="697" t="s">
        <v>101</v>
      </c>
      <c r="X55" s="987" t="s">
        <v>74</v>
      </c>
      <c r="Y55" s="697" t="s">
        <v>76</v>
      </c>
      <c r="Z55" s="697" t="s">
        <v>77</v>
      </c>
      <c r="AA55" s="989" t="s">
        <v>495</v>
      </c>
      <c r="AB55" s="989" t="s">
        <v>496</v>
      </c>
      <c r="AC55" s="989" t="s">
        <v>497</v>
      </c>
      <c r="AD55" s="989" t="s">
        <v>498</v>
      </c>
      <c r="AE55" s="701" t="s">
        <v>185</v>
      </c>
      <c r="AF55" s="701" t="s">
        <v>184</v>
      </c>
      <c r="AG55" s="701" t="s">
        <v>186</v>
      </c>
      <c r="AH55" s="701" t="s">
        <v>187</v>
      </c>
      <c r="AI55" s="969" t="s">
        <v>349</v>
      </c>
      <c r="AJ55" s="969" t="s">
        <v>393</v>
      </c>
      <c r="AK55" s="986" t="s">
        <v>239</v>
      </c>
      <c r="AL55" s="192"/>
    </row>
    <row r="56" spans="1:38" ht="15" customHeight="1" x14ac:dyDescent="0.25">
      <c r="A56" s="192"/>
      <c r="B56" s="192"/>
      <c r="C56" s="192"/>
      <c r="D56" s="231"/>
      <c r="E56" s="192"/>
      <c r="F56" s="192"/>
      <c r="G56" s="192"/>
      <c r="H56" s="192"/>
      <c r="I56" s="192"/>
      <c r="J56" s="192"/>
      <c r="K56" s="192"/>
      <c r="L56" s="231"/>
      <c r="M56" s="231"/>
      <c r="N56" s="232"/>
      <c r="O56" s="232"/>
      <c r="P56" s="232"/>
      <c r="Q56" s="192"/>
      <c r="R56" s="964"/>
      <c r="S56" s="965"/>
      <c r="T56" s="192"/>
      <c r="U56" s="698"/>
      <c r="V56" s="698"/>
      <c r="W56" s="698"/>
      <c r="X56" s="988"/>
      <c r="Y56" s="698"/>
      <c r="Z56" s="698"/>
      <c r="AA56" s="956"/>
      <c r="AB56" s="956"/>
      <c r="AC56" s="956"/>
      <c r="AD56" s="956"/>
      <c r="AE56" s="696"/>
      <c r="AF56" s="696"/>
      <c r="AG56" s="696"/>
      <c r="AH56" s="696"/>
      <c r="AI56" s="955"/>
      <c r="AJ56" s="955"/>
      <c r="AK56" s="986"/>
      <c r="AL56" s="192"/>
    </row>
    <row r="57" spans="1:38" ht="15" customHeight="1" x14ac:dyDescent="0.25">
      <c r="A57" s="192"/>
      <c r="B57" s="192"/>
      <c r="C57" s="192"/>
      <c r="D57" s="233"/>
      <c r="E57" s="192"/>
      <c r="F57" s="192"/>
      <c r="G57" s="192"/>
      <c r="H57" s="192"/>
      <c r="I57" s="192"/>
      <c r="J57" s="192"/>
      <c r="K57" s="192"/>
      <c r="L57" s="233"/>
      <c r="M57" s="234"/>
      <c r="N57" s="232"/>
      <c r="O57" s="232"/>
      <c r="P57" s="232"/>
      <c r="Q57" s="192"/>
      <c r="R57" s="49">
        <f>IF(($H$16=0),(_xlfn.IFS(('System Capacities'!$N$19+'System Capacities'!$N$32=2),((AD44)/$G$16),('System Capacities'!$N$19+'System Capacities'!$N$32=3),(((AD44)-'System Capacities'!$C$47/$G$16)+('System Capacities'!$D$47*hstr6)),('System Capacities'!$N$19+'System Capacities'!$N$32=4),(((AD44-'System Capacities'!$C$48)/ABS($G$16))+('System Capacities'!$D$48*hstr6)),('System Capacities'!$N$19+'System Capacities'!$N$32=5),(((AD44-'System Capacities'!$C$49)/($G$16))+('System Capacities'!$D$49*hstr6)),('System Capacities'!$N$19+'System Capacities'!$N$32=6),(((AD44-'System Capacities'!$C$50)/($G$16))+('System Capacities'!$D$50*hstr6)),('System Capacities'!$N$19+'System Capacities'!$N$32=7),(((AD44-'System Capacities'!$C$51)/($G$16))+('System Capacities'!$D$51*hstr6)),('System Capacities'!$N$19+'System Capacities'!$N$32=8),(((AD44-'System Capacities'!$C$52)/($G$16))+('System Capacities'!$D$52*hstr6)),('System Capacities'!$N$19+'System Capacities'!$N$32=9),(((AD44-'System Capacities'!$C$53)/($G$16))+('System Capacities'!$D$53*hstr6)),('System Capacities'!$N$19+'System Capacities'!$N$32=10),(((AD44-'System Capacities'!$C$54)/($G$16))+('System Capacities'!$D$54*hstr6)))),((ABS(AD44-$E$16)/(-1*$G$16))+($F$16*hstr6)))</f>
        <v>3.866698951727385E-5</v>
      </c>
      <c r="S57" s="589">
        <f>S58+R57</f>
        <v>5.5160151453768761E-4</v>
      </c>
      <c r="T57" s="192"/>
      <c r="U57" s="553">
        <v>6</v>
      </c>
      <c r="V57" s="551">
        <f>V58+hstr6</f>
        <v>17.75</v>
      </c>
      <c r="W57" s="58">
        <f t="shared" ref="W57:W62" si="42">R57/(V57-V58)</f>
        <v>1.2888996505757951E-5</v>
      </c>
      <c r="X57" s="583">
        <f t="shared" ref="X57:X63" si="43">S57</f>
        <v>5.5160151453768761E-4</v>
      </c>
      <c r="Y57" s="554">
        <f>mstr6</f>
        <v>63.074599999999997</v>
      </c>
      <c r="Z57" s="261">
        <f t="shared" ref="Z57:Z62" si="44">Y57*X57</f>
        <v>3.4792044888858828E-2</v>
      </c>
      <c r="AA57" s="572">
        <f>((Y57*X57)/(Z64)*$L$15)</f>
        <v>2.4248678050954129</v>
      </c>
      <c r="AB57" s="572">
        <f>AD57+$O$15</f>
        <v>2.4248678050954129</v>
      </c>
      <c r="AC57" s="572">
        <f>AA57</f>
        <v>2.4248678050954129</v>
      </c>
      <c r="AD57" s="573">
        <f>AC57-$O$15</f>
        <v>2.4248678050954129</v>
      </c>
      <c r="AE57" s="94">
        <f>IF(($H$16=0),(_xlfn.IFS((W57&lt;='Frame Capacities'!$BX$11),(W57*hstr6*'Frame Capacities'!$BQ$11),(AND((W57&gt;'Frame Capacities'!$BX$11),(W57&lt;='Frame Capacities'!$BY$11))),((W57-'Frame Capacities'!$BX$11)*hstr6*('Frame Capacities'!$BR$11)+'Frame Capacities'!$BJ$11),(AND((W57&gt;'Frame Capacities'!$BY$11),(W57&lt;='Frame Capacities'!$BZ$11))),((W57-'Frame Capacities'!$BY$11)*hstr6*('Frame Capacities'!$BS$11)+'Frame Capacities'!$BK$11),(AND((W57&gt;'Frame Capacities'!$BZ$11),(W57&lt;='Frame Capacities'!$CA$11))),((W57-'Frame Capacities'!$BZ$11)*hstr6*('Frame Capacities'!$BT$11)+'Frame Capacities'!$BL$11),(AND((W57&gt;'Frame Capacities'!$CA$11),(W57&lt;='Frame Capacities'!$CB$11))),((W57-'Frame Capacities'!$CA$11)*hstr6*('Frame Capacities'!$BU$11)+'Frame Capacities'!$BM$11))),((W57-'Frame Capacities'!$CC$11)*hstr6*'Frame Capacities'!$BV$11+'Frame Capacities'!$BO$11))</f>
        <v>0.21046143765709696</v>
      </c>
      <c r="AF57" s="667">
        <f>IF(($H$16=0),(_xlfn.IFS((W57&lt;='Infill Capacities'!$CY$11),(W57*'Infill Capacities'!$CS$11*hstr6),(AND((W57&gt;'Infill Capacities'!$CY$11),(W57&lt;='Infill Capacities'!$CZ$11))),((W57-'Infill Capacities'!$CY$11)*hstr6*('Infill Capacities'!$CT$11)+'Infill Capacities'!$CM$11),(AND((W57&gt;'Infill Capacities'!$CZ$11),(W57&lt;='Infill Capacities'!$DA$11))),((W57-'Infill Capacities'!$CZ$11)*hstr6*('Infill Capacities'!$CU$11)+'Infill Capacities'!$CN$11),(AND((W57&gt;'Infill Capacities'!$DA$11),(W57&lt;='Infill Capacities'!$DB$11))),((W57-'Infill Capacities'!$DA$11)*hstr6*('Infill Capacities'!$CV$11)+'Infill Capacities'!$CP$11))),((W57-'Infill Capacities'!$DC$11)*hstr6*'Infill Capacities'!$CW$11+'Infill Capacities'!$CQ$11))</f>
        <v>2.2144090015353575</v>
      </c>
      <c r="AG57" s="58">
        <f>AE57/$C$16</f>
        <v>1.5505508668253707E-3</v>
      </c>
      <c r="AH57" s="55">
        <f>AF57/$D$16</f>
        <v>6.4522406804643278E-3</v>
      </c>
      <c r="AI57" s="575">
        <f t="shared" ref="AI57:AI62" si="45">AE57+AF57</f>
        <v>2.4248704391924543</v>
      </c>
      <c r="AJ57" s="576">
        <f>AD57-AI57</f>
        <v>-2.6340970413762932E-6</v>
      </c>
      <c r="AK57" s="209">
        <f>(AD57-(AI57))/AD57</f>
        <v>-1.0862848011100744E-6</v>
      </c>
      <c r="AL57" s="192"/>
    </row>
    <row r="58" spans="1:38" ht="15" customHeight="1" x14ac:dyDescent="0.25">
      <c r="A58" s="192"/>
      <c r="B58" s="192"/>
      <c r="C58" s="192"/>
      <c r="D58" s="233"/>
      <c r="E58" s="192"/>
      <c r="F58" s="192"/>
      <c r="G58" s="192"/>
      <c r="H58" s="192"/>
      <c r="I58" s="192"/>
      <c r="J58" s="192"/>
      <c r="K58" s="192"/>
      <c r="L58" s="233"/>
      <c r="M58" s="234"/>
      <c r="N58" s="232"/>
      <c r="O58" s="232"/>
      <c r="P58" s="232"/>
      <c r="Q58" s="192"/>
      <c r="R58" s="56">
        <f>IF(($H$17=0),(_xlfn.IFS(('System Capacities'!$N$20+'System Capacities'!$N$33=2),((AD45/$G$17)),('System Capacities'!$N$20+'System Capacities'!$N$33=3),(((AD45-'System Capacities'!$G$47)/($G$17))+('System Capacities'!$H$47*hstr5)),('System Capacities'!$N$20+'System Capacities'!$N$33=4),(((AD45-'System Capacities'!$G$48)/($G$17))+('System Capacities'!$H$48*hstr5)),('System Capacities'!$N$20+'System Capacities'!$N$33=5),(((AD45-'System Capacities'!$G$49)/($G$17))+('System Capacities'!$H$49*hstr5)),('System Capacities'!$N$20+'System Capacities'!$N$33=6),(((AD45-'System Capacities'!$G$50)/($G$17))+('System Capacities'!$H$50*hstr5)),('System Capacities'!$N$20+'System Capacities'!$N$33=7),(((AD45-'System Capacities'!$G$51)/($G$17))+('System Capacities'!$H$51*hstr5)),('System Capacities'!$N$20+'System Capacities'!$N$33=8),(((AD45-'System Capacities'!$G$52)/($G$17))+('System Capacities'!$H$52*hstr5)),('System Capacities'!$N$20+'System Capacities'!$N$33=9),(((AD45-'System Capacities'!$G$53)/($G$17))+('System Capacities'!$H$53*hstr5)),('System Capacities'!$N$20+'System Capacities'!$N$33=10),(((AD45-'System Capacities'!$G$54)/($G$17))+('System Capacities'!$H$54*hstr5)))),((ABS(AD45-$E$17)/(-1*$G$17))+($F$17*hstr5)))</f>
        <v>7.4231182883737805E-5</v>
      </c>
      <c r="S58" s="590">
        <f>S59+R58</f>
        <v>5.129345250204138E-4</v>
      </c>
      <c r="T58" s="192"/>
      <c r="U58" s="553">
        <v>5</v>
      </c>
      <c r="V58" s="551">
        <f>V59+hstr5</f>
        <v>14.75</v>
      </c>
      <c r="W58" s="58">
        <f t="shared" si="42"/>
        <v>2.47437276279126E-5</v>
      </c>
      <c r="X58" s="583">
        <f t="shared" si="43"/>
        <v>5.129345250204138E-4</v>
      </c>
      <c r="Y58" s="554">
        <f>mstr5</f>
        <v>67.278400000000005</v>
      </c>
      <c r="Z58" s="261">
        <f t="shared" si="44"/>
        <v>3.450941414813341E-2</v>
      </c>
      <c r="AA58" s="572">
        <f>((Y58*X58)/(Z64)*$L$15)</f>
        <v>2.4051695612553448</v>
      </c>
      <c r="AB58" s="572">
        <f>AD58-AD57+$O$16</f>
        <v>2.4051721953523857</v>
      </c>
      <c r="AC58" s="572">
        <f>AC57+AA58</f>
        <v>4.8300373663507576</v>
      </c>
      <c r="AD58" s="573">
        <f>AC58-AJ57-$O$16</f>
        <v>4.8300400004477986</v>
      </c>
      <c r="AE58" s="99">
        <f>IF(($H$17=0),(_xlfn.IFS((W58&lt;='Frame Capacities'!$BX$12),(W58*hstr5*'Frame Capacities'!$BQ$12),(AND((W58&gt;'Frame Capacities'!$BX$12),(W58&lt;='Frame Capacities'!$BY$12))),((W58-'Frame Capacities'!$BX$12)*hstr5*('Frame Capacities'!$BR$12)+'Frame Capacities'!$BJ$12),(AND((W58&gt;'Frame Capacities'!$BY$12),(W58&lt;='Frame Capacities'!$BZ$12))),((W58-'Frame Capacities'!$BY$12)*hstr5*('Frame Capacities'!$BS$12)+'Frame Capacities'!$BK$12),(AND((W58&gt;'Frame Capacities'!$BZ$12),(W58&lt;='Frame Capacities'!$CA$12))),((W58-'Frame Capacities'!$BZ$12)*hstr5*('Frame Capacities'!$BT$12)+'Frame Capacities'!$BL$12),(AND((W58&gt;'Frame Capacities'!$CA$12),(W58&lt;='Frame Capacities'!$CB$12))),((W58-'Frame Capacities'!$CA$12)*hstr5*('Frame Capacities'!$BU$12)+'Frame Capacities'!$BM$12))),((W58-'Frame Capacities'!$CC$12)*hstr5*'Frame Capacities'!$BV$12+'Frame Capacities'!$BO$12))</f>
        <v>0.41662357096260277</v>
      </c>
      <c r="AF58" s="574">
        <f>IF(($H$17=0),(_xlfn.IFS((W58&lt;='Infill Capacities'!$CY$12),(W58*'Infill Capacities'!$CS$12*hstr5),(AND((W58&gt;'Infill Capacities'!$CY$12),(W58&lt;='Infill Capacities'!$CZ$12))),((W58-'Infill Capacities'!$CY$12)*hstr5*('Infill Capacities'!$CT$12)+'Infill Capacities'!$CM$12),(AND((W58&gt;'Infill Capacities'!$CZ$12),(W58&lt;='Infill Capacities'!$DA$12))),((W58-'Infill Capacities'!$CZ$12)*hstr5*('Infill Capacities'!$CU$12)+'Infill Capacities'!$CN$12),(AND((W58&gt;'Infill Capacities'!$DA$12),(W58&lt;='Infill Capacities'!$DB$12))),((W58-'Infill Capacities'!$DA$12)*hstr5*('Infill Capacities'!$CV$12)+'Infill Capacities'!$CP$12))),((W58-'Infill Capacities'!$DC$12)*hstr5*'Infill Capacities'!$CW$12+'Infill Capacities'!$CQ$12))</f>
        <v>4.4134157294548313</v>
      </c>
      <c r="AG58" s="58">
        <f>AE58/$C$17</f>
        <v>2.578116156946799E-3</v>
      </c>
      <c r="AH58" s="55">
        <f>AF58/$D$17</f>
        <v>1.2859602941301954E-2</v>
      </c>
      <c r="AI58" s="575">
        <f>AE58+AF58</f>
        <v>4.8300393004174342</v>
      </c>
      <c r="AJ58" s="576">
        <f>AD58-AI58</f>
        <v>7.0003036434229671E-7</v>
      </c>
      <c r="AK58" s="209">
        <f t="shared" ref="AK58:AK62" si="46">(AD58-(AI58))/AD58</f>
        <v>1.4493262256159287E-7</v>
      </c>
      <c r="AL58" s="192"/>
    </row>
    <row r="59" spans="1:38" ht="15" customHeight="1" x14ac:dyDescent="0.25">
      <c r="A59" s="192"/>
      <c r="B59" s="192"/>
      <c r="C59" s="192"/>
      <c r="D59" s="233"/>
      <c r="E59" s="192"/>
      <c r="F59" s="192"/>
      <c r="G59" s="192"/>
      <c r="H59" s="192"/>
      <c r="I59" s="192"/>
      <c r="J59" s="192"/>
      <c r="K59" s="192"/>
      <c r="L59" s="233"/>
      <c r="M59" s="234"/>
      <c r="N59" s="232"/>
      <c r="O59" s="232"/>
      <c r="P59" s="232"/>
      <c r="Q59" s="192"/>
      <c r="R59" s="56">
        <f>IF(($H$18=0),(_xlfn.IFS(('System Capacities'!$N$21+'System Capacities'!$N$34=2),((AD46/$G$18)),('System Capacities'!$N$21+'System Capacities'!$N$34=3),(((AD46-'System Capacities'!$K$47)/($G$18))+('System Capacities'!$L$47*hstr4)),('System Capacities'!$N$21+'System Capacities'!$N$34=4),(((AD46-'System Capacities'!$K$48)/ABS($G$18))+('System Capacities'!$L$48*hstr4)),('System Capacities'!$N$21+'System Capacities'!$N$34=5),(((AD46-'System Capacities'!$K$49)/($G$18))+('System Capacities'!$L$49*hstr4)),('System Capacities'!$N$21+'System Capacities'!$N$34=6),(((AD46-'System Capacities'!$K$50)/ABS($G$18))+('System Capacities'!$L$50*hstr4)),('System Capacities'!$N$21+'System Capacities'!$N$34=7),(((AD46-'System Capacities'!$K$51)/($G$18))+('System Capacities'!$L$51*hstr4)),('System Capacities'!$N$21+'System Capacities'!$N$34=8),(((AD46-'System Capacities'!$K$52)/($G$18))+('System Capacities'!$L$52*hstr4)),('System Capacities'!$N$21+'System Capacities'!$N$34=9),(((AD46-'System Capacities'!$K$53)/($G$18))+('System Capacities'!$L$53*hstr4)),('System Capacities'!$N$21+'System Capacities'!$N$34=10),(((AD46-'System Capacities'!$K$54)/($G$18))+('System Capacities'!$L$54*hstr4)))),((ABS(AD46-$E$18)/(-1*$G$18))+($F$18*hstr6)))</f>
        <v>1.0053006869018435E-4</v>
      </c>
      <c r="S59" s="590">
        <f t="shared" ref="S59:S61" si="47">S60+R59</f>
        <v>4.3870334213667601E-4</v>
      </c>
      <c r="T59" s="192"/>
      <c r="U59" s="553">
        <v>4</v>
      </c>
      <c r="V59" s="551">
        <f>V60+hstr4</f>
        <v>11.75</v>
      </c>
      <c r="W59" s="58">
        <f t="shared" si="42"/>
        <v>3.3510022896728116E-5</v>
      </c>
      <c r="X59" s="583">
        <f t="shared" si="43"/>
        <v>4.3870334213667601E-4</v>
      </c>
      <c r="Y59" s="554">
        <f>mstr4</f>
        <v>67.278400000000005</v>
      </c>
      <c r="Z59" s="261">
        <f t="shared" si="44"/>
        <v>2.9515258933608145E-2</v>
      </c>
      <c r="AA59" s="572">
        <f>((Y59*X59)/(Z64)*$L$15)</f>
        <v>2.057096712072811</v>
      </c>
      <c r="AB59" s="572">
        <f>AD59-AD58+$O$17</f>
        <v>2.0570933779454057</v>
      </c>
      <c r="AC59" s="572">
        <f t="shared" ref="AC59:AC62" si="48">AC58+AA59</f>
        <v>6.8871340784235686</v>
      </c>
      <c r="AD59" s="573">
        <f>AC59-AJ58-$O$17</f>
        <v>6.8871333783932043</v>
      </c>
      <c r="AE59" s="99">
        <f>IF(($H$18=0),(_xlfn.IFS((W59&lt;='Frame Capacities'!$BX$13),(W59*hstr4*'Frame Capacities'!$BQ$13),(AND((W59&gt;'Frame Capacities'!$BX$13),(W59&lt;='Frame Capacities'!$BY$13))),((W59-'Frame Capacities'!$BX$13)*hstr4*('Frame Capacities'!$BR$13)+'Frame Capacities'!$BJ$13),(AND((W59&gt;'Frame Capacities'!$BY$13),(W59&lt;='Frame Capacities'!$BZ$13))),((W59-'Frame Capacities'!$BY$13)*hstr4*('Frame Capacities'!$BS$13)+'Frame Capacities'!$BK$13),(AND((W59&gt;'Frame Capacities'!$BZ$13),(W59&lt;='Frame Capacities'!$CA$13))),((W59-'Frame Capacities'!$BZ$13)*hstr4*('Frame Capacities'!$BT$13)+'Frame Capacities'!$BL$13),(AND((W59&gt;'Frame Capacities'!$CA$13),(W59&lt;='Frame Capacities'!$CB$13))),((W59-'Frame Capacities'!$CA$13)*hstr4*('Frame Capacities'!$BU$13)+'Frame Capacities'!$BM$13))),((W59-'Frame Capacities'!$CC$13)*hstr4*'Frame Capacities'!$BV$13+'Frame Capacities'!$BO$13))</f>
        <v>0.67115985157374469</v>
      </c>
      <c r="AF59" s="574">
        <f>IF(($H$18=0),(_xlfn.IFS((W59&lt;='Infill Capacities'!$CY$13),(W59*'Infill Capacities'!$CS$13*hstr4),(AND((W59&gt;'Infill Capacities'!$CY$13),(W59&lt;='Infill Capacities'!$CZ$13))),((W59-'Infill Capacities'!$CY$13)*hstr4*('Infill Capacities'!$CT$13)+'Infill Capacities'!$CM$13),(AND((W59&gt;'Infill Capacities'!$CZ$13),(W59&lt;='Infill Capacities'!$DA$13))),((W59-'Infill Capacities'!$CZ$13)*hstr4*('Infill Capacities'!$CU$13)+'Infill Capacities'!$CN$13),(AND((W59&gt;'Infill Capacities'!$DA$13),(W59&lt;='Infill Capacities'!$DB$13))),((W59-'Infill Capacities'!$DA$13)*hstr4*('Infill Capacities'!$CV$13)+'Infill Capacities'!$CP$13))),((W59-'Infill Capacities'!$DC$13)*hstr4*'Infill Capacities'!$CW$13+'Infill Capacities'!$CQ$13))</f>
        <v>6.2159790195931439</v>
      </c>
      <c r="AG59" s="58">
        <f>AE59/$C$18</f>
        <v>3.7790532183206347E-3</v>
      </c>
      <c r="AH59" s="55">
        <f>AF59/$D$18</f>
        <v>1.8111826980166501E-2</v>
      </c>
      <c r="AI59" s="575">
        <f t="shared" si="45"/>
        <v>6.8871388711668882</v>
      </c>
      <c r="AJ59" s="576">
        <f t="shared" ref="AJ59:AJ62" si="49">AD59-AI59</f>
        <v>-5.4927736838905616E-6</v>
      </c>
      <c r="AK59" s="209">
        <f t="shared" si="46"/>
        <v>-7.9754135459651106E-7</v>
      </c>
      <c r="AL59" s="192"/>
    </row>
    <row r="60" spans="1:38" ht="15" customHeight="1" x14ac:dyDescent="0.25">
      <c r="A60" s="192"/>
      <c r="B60" s="192"/>
      <c r="C60" s="192"/>
      <c r="D60" s="233"/>
      <c r="E60" s="192"/>
      <c r="F60" s="192"/>
      <c r="G60" s="192"/>
      <c r="H60" s="192"/>
      <c r="I60" s="192"/>
      <c r="J60" s="192"/>
      <c r="K60" s="192"/>
      <c r="L60" s="233"/>
      <c r="M60" s="234"/>
      <c r="N60" s="232"/>
      <c r="O60" s="232"/>
      <c r="P60" s="232"/>
      <c r="Q60" s="192"/>
      <c r="R60" s="56">
        <f>IF(($H$19=0),(_xlfn.IFS(('System Capacities'!$N$22+'System Capacities'!$N$35=2),((AD47/$G$19)),('System Capacities'!$N$22+'System Capacities'!$N$35=3),(((AD47-'System Capacities'!$C$60)/ABS($G$19))+('System Capacities'!$D$60*hstr3)),('System Capacities'!$N$22+'System Capacities'!$N$35=4),(((AD47-'System Capacities'!$C$61)/($G$19))+('System Capacities'!$D$61*hstr3)),('System Capacities'!$N$22+'System Capacities'!$N$35=5),(((AD47-'System Capacities'!$C$62)/($G$19))+('System Capacities'!$D$62*hstr3)),('System Capacities'!$N$22+'System Capacities'!$N$35=6),(((AD47-'System Capacities'!$C$63)/($G$19))+('System Capacities'!$D$63*hstr3)),('System Capacities'!$N$22+'System Capacities'!$N$35=7),(((AD47-'System Capacities'!$C$64)/($G$19))+('System Capacities'!$D$64*hstr3)),('System Capacities'!$N$22+'System Capacities'!$N$35=8),(((AD47-'System Capacities'!$C$65)/($G$19))+('System Capacities'!$D$65*hstr3)),('System Capacities'!$N$22+'System Capacities'!$N$35=9),(((AD47-'System Capacities'!$C$66)/($G$19))+('System Capacities'!$D$66*hstr3)),('System Capacities'!$N$22+'System Capacities'!$N$35=10),(((AD47-'System Capacities'!$C$67)/($G$19))+('System Capacities'!$D$67*hstr3)))),((ABS(AD47-$E$19)/(-1*$G$19))+($F$19*hstr3)))</f>
        <v>1.153619989011088E-4</v>
      </c>
      <c r="S60" s="590">
        <f t="shared" si="47"/>
        <v>3.3817327344649168E-4</v>
      </c>
      <c r="T60" s="192"/>
      <c r="U60" s="553">
        <v>3</v>
      </c>
      <c r="V60" s="551">
        <f>V61+hstr3</f>
        <v>8.75</v>
      </c>
      <c r="W60" s="58">
        <f t="shared" si="42"/>
        <v>3.8453999633702934E-5</v>
      </c>
      <c r="X60" s="583">
        <f t="shared" si="43"/>
        <v>3.3817327344649168E-4</v>
      </c>
      <c r="Y60" s="554">
        <f>mstr3</f>
        <v>67.278400000000005</v>
      </c>
      <c r="Z60" s="261">
        <f t="shared" si="44"/>
        <v>2.2751756760242447E-2</v>
      </c>
      <c r="AA60" s="572">
        <f>((Y60*X60)/(Z64)*$L$15)</f>
        <v>1.585707383785897</v>
      </c>
      <c r="AB60" s="572">
        <f>AD60-AD59+$O$18</f>
        <v>1.5857135765899466</v>
      </c>
      <c r="AC60" s="572">
        <f t="shared" si="48"/>
        <v>8.4728414622094661</v>
      </c>
      <c r="AD60" s="573">
        <f>AC60-AJ59-$O$18</f>
        <v>8.4728469549831509</v>
      </c>
      <c r="AE60" s="99">
        <f>IF(($H$19=0),(_xlfn.IFS((W60&lt;='Frame Capacities'!$BX$14),(W60*hstr3*'Frame Capacities'!$BQ$14),(AND((W60&gt;'Frame Capacities'!$BX$14),(W60&lt;='Frame Capacities'!$BY$14))),((W60-'Frame Capacities'!$BX$14)*hstr3*('Frame Capacities'!$BR$14)+'Frame Capacities'!$BJ$14),(AND((W60&gt;'Frame Capacities'!$BY$14),(W60&lt;='Frame Capacities'!$BZ$14))),((W60-'Frame Capacities'!$BY$14)*hstr3*('Frame Capacities'!$BS$14)+'Frame Capacities'!$BK$14),(AND((W60&gt;'Frame Capacities'!$BZ$14),(W60&lt;='Frame Capacities'!$CA$14))),((W60-'Frame Capacities'!$BZ$14)*hstr3*('Frame Capacities'!$BT$14)+'Frame Capacities'!$BL$14),(AND((W60&gt;'Frame Capacities'!$CA$14),(W60&lt;='Frame Capacities'!$CB$14))),((W60-'Frame Capacities'!$CA$14)*hstr3*('Frame Capacities'!$BU$14)+'Frame Capacities'!$BM$14))),((W60-'Frame Capacities'!$CC$14)*hstr3*'Frame Capacities'!$BV$14+'Frame Capacities'!$BO$14))</f>
        <v>1.1720104232243247</v>
      </c>
      <c r="AF60" s="574">
        <f>IF(($H$19=0),(_xlfn.IFS((W60&lt;='Infill Capacities'!$CY$14),(W60*'Infill Capacities'!$CS$14*hstr3),(AND((W60&gt;'Infill Capacities'!$CY$14),(W60&lt;='Infill Capacities'!$CZ$14))),((W60-'Infill Capacities'!$CY$14)*hstr3*('Infill Capacities'!$CT$14)+'Infill Capacities'!$CM$14),(AND((W60&gt;'Infill Capacities'!$CZ$14),(W60&lt;='Infill Capacities'!$DA$14))),((W60-'Infill Capacities'!$CZ$14)*hstr3*('Infill Capacities'!$CU$14)+'Infill Capacities'!$CN$14),(AND((W60&gt;'Infill Capacities'!$DA$14),(W60&lt;='Infill Capacities'!$DB$14))),((W60-'Infill Capacities'!$DA$14)*hstr3*('Infill Capacities'!$CV$14)+'Infill Capacities'!$CP$14))),((W60-'Infill Capacities'!$DC$14)*hstr3*'Infill Capacities'!$CW$14+'Infill Capacities'!$CQ$14))</f>
        <v>7.3008370512716008</v>
      </c>
      <c r="AG60" s="58">
        <f>AE60/$C$19</f>
        <v>4.6021351697290245E-3</v>
      </c>
      <c r="AH60" s="55">
        <f>AF60/$D$19</f>
        <v>2.1471029348036654E-2</v>
      </c>
      <c r="AI60" s="575">
        <f t="shared" si="45"/>
        <v>8.472847474495925</v>
      </c>
      <c r="AJ60" s="576">
        <f t="shared" si="49"/>
        <v>-5.1951277413309072E-7</v>
      </c>
      <c r="AK60" s="209">
        <f t="shared" si="46"/>
        <v>-6.1315019248347062E-8</v>
      </c>
      <c r="AL60" s="192"/>
    </row>
    <row r="61" spans="1:38" ht="15" customHeight="1" x14ac:dyDescent="0.25">
      <c r="A61" s="192"/>
      <c r="B61" s="192"/>
      <c r="C61" s="192"/>
      <c r="D61" s="233"/>
      <c r="E61" s="192"/>
      <c r="F61" s="192"/>
      <c r="G61" s="192"/>
      <c r="H61" s="192"/>
      <c r="I61" s="192"/>
      <c r="J61" s="192"/>
      <c r="K61" s="192"/>
      <c r="L61" s="233"/>
      <c r="M61" s="234"/>
      <c r="N61" s="232"/>
      <c r="O61" s="232"/>
      <c r="P61" s="232"/>
      <c r="Q61" s="192"/>
      <c r="R61" s="56">
        <f>IF(($H$20=0),(_xlfn.IFS(('System Capacities'!$N$23+'System Capacities'!$N$36=2),((AD48/$G$20)),('System Capacities'!$N$23+'System Capacities'!$N$36=3),(((AD48-'System Capacities'!$G$60)/($G$20))+('System Capacities'!$H$60*hstr2)),('System Capacities'!$N$23+'System Capacities'!$N$36=4),(((AD48-'System Capacities'!$G$61)/($G$20))+('System Capacities'!$H$61*hstr2)),('System Capacities'!$N$23+'System Capacities'!$N$36=5),(((AD48-'System Capacities'!$G$62)/($G$20))+('System Capacities'!$H$62*hstr2)),('System Capacities'!$N$23+'System Capacities'!$N$36=6),(((AD48-'System Capacities'!$G$63)/($G$20))+('System Capacities'!$H$63*hstr2)),('System Capacities'!$N$23+'System Capacities'!$N$36=7),(((AD48-'System Capacities'!$G$64)/($G$20))+('System Capacities'!$H$64*hstr2)),('System Capacities'!$N$23+'System Capacities'!$N$36=8),(((AD48-'System Capacities'!$G$65)/($G$20))+('System Capacities'!$H$65*hstr2)),('System Capacities'!$N$23+'System Capacities'!$N$36=9),(((AD48-'System Capacities'!$G$66)/($G$20))+('System Capacities'!$H$66*hstr2)),('System Capacities'!$N$23+'System Capacities'!$N$36=10),(((AD48-'System Capacities'!$G$67)/($G$20))+('System Capacities'!$H$67*hstr2)))),((ABS(AD48-$E$20)/(-1*$G$20))+($F$20*hstr2)))</f>
        <v>1.1993559885196099E-4</v>
      </c>
      <c r="S61" s="590">
        <f t="shared" si="47"/>
        <v>2.2281127454538285E-4</v>
      </c>
      <c r="T61" s="192"/>
      <c r="U61" s="553">
        <v>2</v>
      </c>
      <c r="V61" s="551">
        <f>V62+hstr2</f>
        <v>5.75</v>
      </c>
      <c r="W61" s="58">
        <f t="shared" si="42"/>
        <v>3.9978532950653663E-5</v>
      </c>
      <c r="X61" s="583">
        <f t="shared" si="43"/>
        <v>2.2281127454538285E-4</v>
      </c>
      <c r="Y61" s="554">
        <f>mstr2</f>
        <v>67.278400000000005</v>
      </c>
      <c r="Z61" s="261">
        <f t="shared" si="44"/>
        <v>1.4990386053374086E-2</v>
      </c>
      <c r="AA61" s="572">
        <f>((Y61*X61)/(Z64)*$L$15)</f>
        <v>1.0447705687577471</v>
      </c>
      <c r="AB61" s="572">
        <f>AD61-AD60+$O$19</f>
        <v>1.0447655954968358</v>
      </c>
      <c r="AC61" s="572">
        <f t="shared" si="48"/>
        <v>9.5176120309672125</v>
      </c>
      <c r="AD61" s="573">
        <f>AC61-AJ60-$O$19</f>
        <v>9.5176125504799867</v>
      </c>
      <c r="AE61" s="99">
        <f>IF(($H$20=0),(_xlfn.IFS((W61&lt;='Frame Capacities'!$BX$15),(W61*hstr2*'Frame Capacities'!$BQ$15),(AND((W61&gt;'Frame Capacities'!$BX$15),(W61&lt;='Frame Capacities'!$BY$15))),((W61-'Frame Capacities'!$BX$15)*hstr2*('Frame Capacities'!$BR$15)+'Frame Capacities'!$BJ$15),(AND((W61&gt;'Frame Capacities'!$BY$15),(W61&lt;='Frame Capacities'!$BZ$15))),((W61-'Frame Capacities'!$BY$15)*hstr2*('Frame Capacities'!$BS$15)+'Frame Capacities'!$BK$15),(AND((W61&gt;'Frame Capacities'!$BZ$15),(W61&lt;='Frame Capacities'!$CA$15))),((W61-'Frame Capacities'!$BZ$15)*hstr2*('Frame Capacities'!$BT$15)+'Frame Capacities'!$BL$15),(AND((W61&gt;'Frame Capacities'!$CA$15),(W61&lt;='Frame Capacities'!$CB$15))),((W61-'Frame Capacities'!$CA$15)*hstr2*('Frame Capacities'!$BU$15)+'Frame Capacities'!$BM$15))),((W61-'Frame Capacities'!$CC$15)*hstr2*'Frame Capacities'!$BV$15+'Frame Capacities'!$BO$15))</f>
        <v>1.6820261793078481</v>
      </c>
      <c r="AF61" s="574">
        <f>IF(($H$20=0),(_xlfn.IFS((W61&lt;='Infill Capacities'!$CY$15),(W61*'Infill Capacities'!$CS$15*hstr2),(AND((W61&gt;'Infill Capacities'!$CY$15),(W61&lt;='Infill Capacities'!$CZ$15))),((W61-'Infill Capacities'!$CY$15)*hstr2*('Infill Capacities'!$CT$15)+'Infill Capacities'!$CM$15),(AND((W61&gt;'Infill Capacities'!$CZ$15),(W61&lt;='Infill Capacities'!$DA$15))),((W61-'Infill Capacities'!$CZ$15)*hstr2*('Infill Capacities'!$CU$15)+'Infill Capacities'!$CN$15),(AND((W61&gt;'Infill Capacities'!$DA$15),(W61&lt;='Infill Capacities'!$DB$15))),((W61-'Infill Capacities'!$DA$15)*hstr2*('Infill Capacities'!$CV$15)+'Infill Capacities'!$CP$15))),((W61-'Infill Capacities'!$DC$15)*hstr2*'Infill Capacities'!$CW$15+'Infill Capacities'!$CQ$15))</f>
        <v>7.8355724824946806</v>
      </c>
      <c r="AG61" s="58">
        <f>AE61/$C$20</f>
        <v>6.2312651740226528E-3</v>
      </c>
      <c r="AH61" s="55">
        <f>AF61/$D$20</f>
        <v>2.3043632606621376E-2</v>
      </c>
      <c r="AI61" s="575">
        <f t="shared" si="45"/>
        <v>9.5175986618025288</v>
      </c>
      <c r="AJ61" s="576">
        <f t="shared" si="49"/>
        <v>1.3888677457885024E-5</v>
      </c>
      <c r="AK61" s="209">
        <f t="shared" si="46"/>
        <v>1.459260648006164E-6</v>
      </c>
      <c r="AL61" s="192"/>
    </row>
    <row r="62" spans="1:38" ht="15" customHeight="1" x14ac:dyDescent="0.25">
      <c r="A62" s="192"/>
      <c r="B62" s="192"/>
      <c r="C62" s="192"/>
      <c r="D62" s="233"/>
      <c r="E62" s="192"/>
      <c r="F62" s="192"/>
      <c r="G62" s="192"/>
      <c r="H62" s="192"/>
      <c r="I62" s="192"/>
      <c r="J62" s="192"/>
      <c r="K62" s="192"/>
      <c r="L62" s="233"/>
      <c r="M62" s="234"/>
      <c r="N62" s="232"/>
      <c r="O62" s="232"/>
      <c r="P62" s="232"/>
      <c r="Q62" s="192"/>
      <c r="R62" s="56">
        <f>IF(($H$21=0),(_xlfn.IFS(('System Capacities'!$N$24+'System Capacities'!$N$37=2),(AD49/$G$21),('System Capacities'!$N$24+'System Capacities'!$N$37=3),(((AD49-'System Capacities'!$K$60)/($G$21))+('System Capacities'!$L$60*hstr1)),('System Capacities'!$N$24+'System Capacities'!$N$37=4),(((AD49-'System Capacities'!$K$61)/($G$21))+('System Capacities'!$L$61*hstr1)),('System Capacities'!$N$24+'System Capacities'!$N$37=5),(((AD49-'System Capacities'!$K$62)/($G$21))+('System Capacities'!$L$62*hstr1)),('System Capacities'!$N$24+'System Capacities'!$N$37=6),(((AD49-'System Capacities'!$K$63)/($G$21))+('System Capacities'!$L$63*hstr1)),('System Capacities'!$N$24+'System Capacities'!$N$37=7),(((AD49-'System Capacities'!$K$64)/($G$21))+('System Capacities'!$L$64*hstr1)),('System Capacities'!$N$24+'System Capacities'!$N$37=8),(((AD49-'System Capacities'!$K$65)/($G$21))+('System Capacities'!$L$65*hstr1)),('System Capacities'!$N$24+'System Capacities'!$N$37=9),(((AD49-'System Capacities'!$K$66)/($G$21))+('System Capacities'!$L$66*hstr1)),('System Capacities'!$N$24+'System Capacities'!$N$37=10),(((AD49-'System Capacities'!$K$67)/($G$21))+('System Capacities'!$L$67*hstr1)))),((ABS(AD49-$E$21)/(-1*$G$21))+($F$21*hstr1)))</f>
        <v>1.0287567569342185E-4</v>
      </c>
      <c r="S62" s="590">
        <f>S63+R62</f>
        <v>1.0287567569342185E-4</v>
      </c>
      <c r="T62" s="192"/>
      <c r="U62" s="553">
        <v>1</v>
      </c>
      <c r="V62" s="551">
        <f>V63+hstr1</f>
        <v>2.75</v>
      </c>
      <c r="W62" s="58">
        <f t="shared" si="42"/>
        <v>3.7409336615789761E-5</v>
      </c>
      <c r="X62" s="583">
        <f t="shared" si="43"/>
        <v>1.0287567569342185E-4</v>
      </c>
      <c r="Y62" s="554">
        <f>mstr1</f>
        <v>67.278400000000005</v>
      </c>
      <c r="Z62" s="261">
        <f t="shared" si="44"/>
        <v>6.9213108595723126E-3</v>
      </c>
      <c r="AA62" s="572">
        <f>((Y62*X62)/(Z64)*$L$15)</f>
        <v>0.48238796903278675</v>
      </c>
      <c r="AB62" s="572">
        <f>AD62-AD61+$O$20</f>
        <v>0.48237356084255545</v>
      </c>
      <c r="AC62" s="572">
        <f t="shared" si="48"/>
        <v>10</v>
      </c>
      <c r="AD62" s="573">
        <f>AC62-AJ61-$O$20</f>
        <v>9.9999861113225421</v>
      </c>
      <c r="AE62" s="99">
        <f>IF(($H$21=0),(_xlfn.IFS((W62&lt;='Frame Capacities'!$BX$16),(W62*hstr1*'Frame Capacities'!$BQ$16),(AND((W62&gt;'Frame Capacities'!$BX$16),(W62&lt;='Frame Capacities'!$BY$16))),((W62-'Frame Capacities'!$BX$16)*hstr1*('Frame Capacities'!$BR$16)+'Frame Capacities'!$BJ$16),(AND((W62&gt;'Frame Capacities'!$BY$16),(W62&lt;='Frame Capacities'!$BZ$16))),((W62-'Frame Capacities'!$BY$16)*hstr1*('Frame Capacities'!$BS$16)+'Frame Capacities'!$BK$16),(AND((W62&gt;'Frame Capacities'!$BZ$16),(W62&lt;='Frame Capacities'!$CA$16))),((W62-'Frame Capacities'!$BZ$16)*hstr1*('Frame Capacities'!$BT$16)+'Frame Capacities'!$BL$16),(AND((W62&gt;'Frame Capacities'!$CA$16),(W62&lt;='Frame Capacities'!$CB$16))),((W62-'Frame Capacities'!$CA$16)*hstr1*('Frame Capacities'!$BU$16)+'Frame Capacities'!$BM$16))),((W62-'Frame Capacities'!$CC$16)*hstr1*'Frame Capacities'!$BV$16+'Frame Capacities'!$BO$16))</f>
        <v>3.1123642979483899</v>
      </c>
      <c r="AF62" s="574">
        <f>IF(($H$21=0),(_xlfn.IFS((W62&lt;='Infill Capacities'!$CY$16),(W62*'Infill Capacities'!$CS$16*hstr1),(AND((W62&gt;'Infill Capacities'!$CY$16),(W62&lt;='Infill Capacities'!$CZ$16))),((W62-'Infill Capacities'!$CY$16)*hstr1*('Infill Capacities'!$CT$16)+'Infill Capacities'!$CM$16),(AND((W62&gt;'Infill Capacities'!$CZ$16),(W62&lt;='Infill Capacities'!$DA$16))),((W62-'Infill Capacities'!$CZ$16)*hstr1*('Infill Capacities'!$CU$16)+'Infill Capacities'!$CN$16),(AND((W62&gt;'Infill Capacities'!$DA$16),(W62&lt;='Infill Capacities'!$DB$16))),((W62-'Infill Capacities'!$DA$16)*hstr1*('Infill Capacities'!$CV$16)+'Infill Capacities'!$CP$16))),((W62-'Infill Capacities'!$DC$16)*hstr1*'Infill Capacities'!$CW$16+'Infill Capacities'!$CQ$16))</f>
        <v>6.8876911681518944</v>
      </c>
      <c r="AG62" s="58">
        <f>AE62/$C$21</f>
        <v>7.7177653916664316E-3</v>
      </c>
      <c r="AH62" s="55">
        <f>AF62/$D$21</f>
        <v>2.1176736423135247E-2</v>
      </c>
      <c r="AI62" s="575">
        <f t="shared" si="45"/>
        <v>10.000055466100285</v>
      </c>
      <c r="AJ62" s="576">
        <f t="shared" si="49"/>
        <v>-6.9354777743058094E-5</v>
      </c>
      <c r="AK62" s="209">
        <f t="shared" si="46"/>
        <v>-6.9354874067805698E-6</v>
      </c>
      <c r="AL62" s="192"/>
    </row>
    <row r="63" spans="1:38" ht="15" customHeight="1" x14ac:dyDescent="0.25">
      <c r="A63" s="192"/>
      <c r="B63" s="192"/>
      <c r="C63" s="192"/>
      <c r="D63" s="233"/>
      <c r="E63" s="192"/>
      <c r="F63" s="192"/>
      <c r="G63" s="192"/>
      <c r="H63" s="192"/>
      <c r="I63" s="192"/>
      <c r="J63" s="192"/>
      <c r="K63" s="192"/>
      <c r="L63" s="233"/>
      <c r="M63" s="234"/>
      <c r="N63" s="232"/>
      <c r="O63" s="232"/>
      <c r="P63" s="232"/>
      <c r="Q63" s="192"/>
      <c r="R63" s="592">
        <v>0</v>
      </c>
      <c r="S63" s="591">
        <f>R63</f>
        <v>0</v>
      </c>
      <c r="T63" s="192"/>
      <c r="U63" s="550">
        <v>0</v>
      </c>
      <c r="V63" s="552">
        <f>hstr0</f>
        <v>0</v>
      </c>
      <c r="W63" s="585" t="s">
        <v>66</v>
      </c>
      <c r="X63" s="586">
        <f t="shared" si="43"/>
        <v>0</v>
      </c>
      <c r="Y63" s="147" t="s">
        <v>66</v>
      </c>
      <c r="Z63" s="263">
        <v>0</v>
      </c>
      <c r="AA63" s="578" t="s">
        <v>66</v>
      </c>
      <c r="AB63" s="578" t="s">
        <v>66</v>
      </c>
      <c r="AC63" s="578" t="s">
        <v>66</v>
      </c>
      <c r="AD63" s="578" t="s">
        <v>66</v>
      </c>
      <c r="AE63" s="157" t="s">
        <v>66</v>
      </c>
      <c r="AF63" s="157" t="s">
        <v>66</v>
      </c>
      <c r="AG63" s="150" t="s">
        <v>66</v>
      </c>
      <c r="AH63" s="157" t="s">
        <v>66</v>
      </c>
      <c r="AI63" s="579" t="s">
        <v>66</v>
      </c>
      <c r="AJ63" s="580" t="s">
        <v>66</v>
      </c>
      <c r="AL63" s="192"/>
    </row>
    <row r="64" spans="1:38" x14ac:dyDescent="0.25">
      <c r="A64" s="192"/>
      <c r="B64" s="192"/>
      <c r="C64" s="192"/>
      <c r="D64" s="192"/>
      <c r="E64" s="192"/>
      <c r="F64" s="192"/>
      <c r="G64" s="192"/>
      <c r="H64" s="192"/>
      <c r="I64" s="192"/>
      <c r="J64" s="192"/>
      <c r="K64" s="192"/>
      <c r="L64" s="192"/>
      <c r="M64" s="192"/>
      <c r="N64" s="192"/>
      <c r="O64" s="192"/>
      <c r="P64" s="192"/>
      <c r="Q64" s="192"/>
      <c r="R64" s="192"/>
      <c r="S64" s="192"/>
      <c r="T64" s="192"/>
      <c r="U64" s="6"/>
      <c r="V64" s="6"/>
      <c r="W64" s="6"/>
      <c r="X64" s="584" t="s">
        <v>85</v>
      </c>
      <c r="Y64" s="587" t="s">
        <v>78</v>
      </c>
      <c r="Z64" s="588">
        <f>SUM(Z57:Z63)</f>
        <v>0.14348017164378923</v>
      </c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192"/>
      <c r="AL64" s="192"/>
    </row>
    <row r="65" spans="1:38" ht="15" customHeight="1" x14ac:dyDescent="0.25">
      <c r="A65" s="192"/>
      <c r="B65" s="192"/>
      <c r="C65" s="192"/>
      <c r="D65" s="230"/>
      <c r="E65" s="230"/>
      <c r="F65" s="230"/>
      <c r="G65" s="230"/>
      <c r="H65" s="230"/>
      <c r="I65" s="230"/>
      <c r="J65" s="230"/>
      <c r="K65" s="230"/>
      <c r="L65" s="230"/>
      <c r="M65" s="230"/>
      <c r="N65" s="230"/>
      <c r="O65" s="230"/>
      <c r="P65" s="230"/>
      <c r="Q65" s="192"/>
      <c r="R65" s="192"/>
      <c r="S65" s="192"/>
      <c r="T65" s="192"/>
      <c r="U65" s="192"/>
      <c r="V65" s="192"/>
      <c r="W65" s="192"/>
      <c r="X65" s="192"/>
      <c r="Y65" s="192"/>
      <c r="Z65" s="192"/>
      <c r="AA65" s="192"/>
      <c r="AB65" s="192"/>
      <c r="AC65" s="192"/>
      <c r="AD65" s="192"/>
      <c r="AE65" s="192"/>
      <c r="AF65" s="192"/>
      <c r="AG65" s="192"/>
      <c r="AH65" s="192"/>
      <c r="AI65" s="192"/>
      <c r="AJ65" s="549"/>
      <c r="AK65" s="192"/>
      <c r="AL65" s="192"/>
    </row>
    <row r="66" spans="1:38" ht="15" customHeight="1" x14ac:dyDescent="0.25">
      <c r="A66" s="192"/>
      <c r="B66" s="192"/>
      <c r="C66" s="192"/>
      <c r="D66" s="230"/>
      <c r="E66" s="230"/>
      <c r="F66" s="230"/>
      <c r="G66" s="230"/>
      <c r="H66" s="230"/>
      <c r="I66" s="230"/>
      <c r="J66" s="230"/>
      <c r="K66" s="230"/>
      <c r="L66" s="230"/>
      <c r="M66" s="230"/>
      <c r="N66" s="230"/>
      <c r="O66" s="230"/>
      <c r="P66" s="230"/>
      <c r="Q66" s="192"/>
      <c r="R66" s="192"/>
      <c r="S66" s="192"/>
      <c r="T66" s="192"/>
      <c r="U66" s="192"/>
      <c r="V66" s="192"/>
      <c r="W66" s="192"/>
      <c r="X66" s="192"/>
      <c r="Y66" s="192"/>
      <c r="Z66" s="192"/>
      <c r="AA66" s="192"/>
      <c r="AB66" s="192"/>
      <c r="AC66" s="192"/>
      <c r="AD66" s="192"/>
      <c r="AE66" s="192"/>
      <c r="AF66" s="192"/>
      <c r="AG66" s="192"/>
      <c r="AH66" s="192"/>
      <c r="AI66" s="192"/>
      <c r="AJ66" s="192"/>
      <c r="AK66" s="192"/>
      <c r="AL66" s="192"/>
    </row>
    <row r="67" spans="1:38" ht="15.75" customHeight="1" x14ac:dyDescent="0.25">
      <c r="A67" s="192"/>
      <c r="B67" s="192"/>
      <c r="C67" s="176"/>
      <c r="D67" s="231"/>
      <c r="E67" s="231"/>
      <c r="F67" s="232"/>
      <c r="G67" s="231"/>
      <c r="H67" s="231"/>
      <c r="I67" s="231"/>
      <c r="J67" s="231"/>
      <c r="K67" s="232"/>
      <c r="L67" s="231"/>
      <c r="M67" s="231"/>
      <c r="N67" s="232"/>
      <c r="O67" s="559" t="s">
        <v>493</v>
      </c>
      <c r="P67" s="560" t="s">
        <v>494</v>
      </c>
      <c r="Q67" s="192"/>
      <c r="R67" s="977" t="s">
        <v>269</v>
      </c>
      <c r="S67" s="977"/>
      <c r="T67" s="192"/>
      <c r="U67" s="192"/>
      <c r="V67" s="192"/>
      <c r="W67" s="182"/>
      <c r="X67" s="182"/>
      <c r="Y67" s="236"/>
      <c r="Z67" s="236"/>
      <c r="AA67" s="236"/>
      <c r="AB67" s="236"/>
      <c r="AC67" s="236"/>
      <c r="AD67" s="236"/>
      <c r="AE67" s="192"/>
      <c r="AF67" s="192"/>
      <c r="AG67" s="192"/>
      <c r="AH67" s="192"/>
      <c r="AI67" s="192"/>
      <c r="AJ67" s="549"/>
      <c r="AK67" s="192"/>
      <c r="AL67" s="192"/>
    </row>
    <row r="68" spans="1:38" ht="15" customHeight="1" x14ac:dyDescent="0.25">
      <c r="A68" s="192"/>
      <c r="B68" s="192"/>
      <c r="C68" s="235"/>
      <c r="D68" s="233"/>
      <c r="E68" s="234"/>
      <c r="F68" s="232"/>
      <c r="G68" s="233"/>
      <c r="H68" s="233"/>
      <c r="I68" s="234"/>
      <c r="J68" s="234"/>
      <c r="K68" s="232"/>
      <c r="L68" s="233"/>
      <c r="M68" s="234"/>
      <c r="N68" s="232"/>
      <c r="O68" s="561">
        <v>6</v>
      </c>
      <c r="P68" s="562">
        <v>0</v>
      </c>
      <c r="R68" s="215" t="s">
        <v>271</v>
      </c>
      <c r="S68" s="17">
        <v>10</v>
      </c>
      <c r="T68" s="237" t="s">
        <v>261</v>
      </c>
      <c r="U68" s="192"/>
      <c r="V68" s="192"/>
      <c r="W68" s="182"/>
      <c r="X68" s="182"/>
      <c r="Y68" s="236"/>
      <c r="Z68" s="236"/>
      <c r="AA68" s="236"/>
      <c r="AB68" s="236"/>
      <c r="AC68" s="236"/>
      <c r="AD68" s="236"/>
      <c r="AE68" s="192"/>
      <c r="AF68" s="192"/>
      <c r="AG68" s="192"/>
      <c r="AH68" s="192"/>
      <c r="AI68" s="192"/>
      <c r="AJ68" s="192"/>
      <c r="AK68" s="192"/>
      <c r="AL68" s="192"/>
    </row>
    <row r="69" spans="1:38" ht="15.75" x14ac:dyDescent="0.25">
      <c r="A69" s="192"/>
      <c r="B69" s="192"/>
      <c r="C69" s="192"/>
      <c r="D69" s="192"/>
      <c r="E69" s="192"/>
      <c r="F69" s="232"/>
      <c r="G69" s="233"/>
      <c r="H69" s="233"/>
      <c r="I69" s="234"/>
      <c r="J69" s="234"/>
      <c r="K69" s="232"/>
      <c r="L69" s="233"/>
      <c r="M69" s="234"/>
      <c r="N69" s="232"/>
      <c r="O69" s="561">
        <v>5</v>
      </c>
      <c r="P69" s="562">
        <v>0</v>
      </c>
      <c r="Q69" s="192"/>
      <c r="R69" s="544" t="s">
        <v>486</v>
      </c>
      <c r="S69" s="545">
        <f>(D5-X57)*1000</f>
        <v>4.0997096172534428E-6</v>
      </c>
      <c r="T69" s="192"/>
      <c r="U69" s="192"/>
      <c r="V69" s="192"/>
      <c r="W69" s="182"/>
      <c r="X69" s="182"/>
      <c r="Y69" s="236"/>
      <c r="Z69" s="236"/>
      <c r="AA69" s="236"/>
      <c r="AB69" s="236"/>
      <c r="AC69" s="236"/>
      <c r="AD69" s="236"/>
      <c r="AE69" s="192"/>
      <c r="AF69" s="192"/>
      <c r="AG69" s="192"/>
      <c r="AH69" s="192"/>
      <c r="AI69" s="192"/>
      <c r="AJ69" s="192"/>
      <c r="AK69" s="192"/>
      <c r="AL69" s="192"/>
    </row>
    <row r="70" spans="1:38" ht="15.75" x14ac:dyDescent="0.25">
      <c r="A70" s="192"/>
      <c r="B70" s="192"/>
      <c r="C70" s="192"/>
      <c r="D70" s="192"/>
      <c r="E70" s="192"/>
      <c r="F70" s="232"/>
      <c r="G70" s="233"/>
      <c r="H70" s="233"/>
      <c r="I70" s="234"/>
      <c r="J70" s="234"/>
      <c r="K70" s="232"/>
      <c r="L70" s="233"/>
      <c r="M70" s="234"/>
      <c r="N70" s="232"/>
      <c r="O70" s="561">
        <v>4</v>
      </c>
      <c r="P70" s="562">
        <v>0</v>
      </c>
      <c r="Q70" s="192"/>
      <c r="R70" s="546" t="s">
        <v>487</v>
      </c>
      <c r="S70" s="546">
        <v>1E-4</v>
      </c>
      <c r="T70" s="192"/>
      <c r="U70" s="192"/>
      <c r="V70" s="192"/>
      <c r="W70" s="182"/>
      <c r="X70" s="182"/>
      <c r="Y70" s="236"/>
      <c r="Z70" s="236"/>
      <c r="AA70" s="236"/>
      <c r="AB70" s="236"/>
      <c r="AC70" s="547"/>
      <c r="AD70" s="547"/>
      <c r="AE70" s="192"/>
      <c r="AF70" s="192"/>
      <c r="AG70" s="192"/>
      <c r="AH70" s="192"/>
      <c r="AI70" s="192"/>
      <c r="AJ70" s="192"/>
      <c r="AK70" s="192"/>
      <c r="AL70" s="192"/>
    </row>
    <row r="71" spans="1:38" ht="15.75" x14ac:dyDescent="0.25">
      <c r="A71" s="192"/>
      <c r="B71" s="192"/>
      <c r="C71" s="192"/>
      <c r="D71" s="192"/>
      <c r="E71" s="192"/>
      <c r="F71" s="232"/>
      <c r="G71" s="233"/>
      <c r="H71" s="233"/>
      <c r="I71" s="234"/>
      <c r="J71" s="234"/>
      <c r="K71" s="232"/>
      <c r="L71" s="233"/>
      <c r="M71" s="234"/>
      <c r="N71" s="232"/>
      <c r="O71" s="563">
        <v>3</v>
      </c>
      <c r="P71" s="562">
        <v>0</v>
      </c>
      <c r="Q71" s="192"/>
      <c r="R71" s="192"/>
      <c r="S71" s="192"/>
      <c r="T71" s="192"/>
      <c r="U71" s="192"/>
      <c r="V71" s="192"/>
      <c r="W71" s="182"/>
      <c r="X71" s="182"/>
      <c r="Y71" s="236"/>
      <c r="Z71" s="236"/>
      <c r="AA71" s="236"/>
      <c r="AB71" s="236"/>
      <c r="AC71" s="236"/>
      <c r="AD71" s="236"/>
      <c r="AE71" s="192"/>
      <c r="AF71" s="192"/>
      <c r="AG71" s="192"/>
      <c r="AH71" s="192"/>
      <c r="AI71" s="192"/>
      <c r="AJ71" s="192"/>
      <c r="AK71" s="192"/>
      <c r="AL71" s="192"/>
    </row>
    <row r="72" spans="1:38" ht="15.75" x14ac:dyDescent="0.25">
      <c r="A72" s="192"/>
      <c r="B72" s="192"/>
      <c r="C72" s="192"/>
      <c r="D72" s="192"/>
      <c r="E72" s="192"/>
      <c r="F72" s="232"/>
      <c r="G72" s="233"/>
      <c r="H72" s="233"/>
      <c r="I72" s="234"/>
      <c r="J72" s="234"/>
      <c r="K72" s="232"/>
      <c r="L72" s="233"/>
      <c r="M72" s="234"/>
      <c r="N72" s="232"/>
      <c r="O72" s="563">
        <v>2</v>
      </c>
      <c r="P72" s="562">
        <v>0</v>
      </c>
      <c r="Q72" s="192"/>
      <c r="R72" s="192"/>
      <c r="S72" s="192"/>
      <c r="T72" s="192"/>
      <c r="U72" s="192"/>
      <c r="V72" s="192"/>
      <c r="W72" s="182"/>
      <c r="X72" s="182"/>
      <c r="Y72" s="236"/>
      <c r="Z72" s="236"/>
      <c r="AA72" s="236"/>
      <c r="AB72" s="236"/>
      <c r="AC72" s="548"/>
      <c r="AD72" s="548"/>
      <c r="AE72" s="192"/>
      <c r="AF72" s="192"/>
      <c r="AG72" s="192"/>
      <c r="AH72" s="192"/>
      <c r="AI72" s="192"/>
      <c r="AJ72" s="192"/>
      <c r="AK72" s="192"/>
      <c r="AL72" s="192"/>
    </row>
    <row r="73" spans="1:38" ht="15.75" x14ac:dyDescent="0.25">
      <c r="A73" s="192"/>
      <c r="B73" s="192"/>
      <c r="C73" s="192"/>
      <c r="D73" s="192"/>
      <c r="E73" s="192"/>
      <c r="F73" s="232"/>
      <c r="G73" s="233"/>
      <c r="H73" s="233"/>
      <c r="I73" s="234"/>
      <c r="J73" s="234"/>
      <c r="K73" s="232"/>
      <c r="L73" s="233"/>
      <c r="M73" s="234"/>
      <c r="N73" s="232"/>
      <c r="O73" s="564">
        <v>1</v>
      </c>
      <c r="P73" s="565">
        <v>0</v>
      </c>
      <c r="Q73" s="192"/>
      <c r="R73" s="192"/>
      <c r="S73" s="192"/>
      <c r="T73" s="192"/>
      <c r="U73" s="192"/>
      <c r="V73" s="192"/>
      <c r="W73" s="192"/>
      <c r="X73" s="192"/>
      <c r="Y73" s="192"/>
      <c r="Z73" s="192"/>
      <c r="AA73" s="192"/>
      <c r="AB73" s="192"/>
      <c r="AC73" s="192"/>
      <c r="AD73" s="192"/>
      <c r="AE73" s="192"/>
      <c r="AF73" s="192"/>
      <c r="AG73" s="192"/>
      <c r="AH73" s="192"/>
      <c r="AI73" s="192"/>
      <c r="AJ73" s="192"/>
      <c r="AK73" s="192"/>
      <c r="AL73" s="192"/>
    </row>
    <row r="74" spans="1:38" x14ac:dyDescent="0.25">
      <c r="A74" s="192"/>
      <c r="B74" s="192"/>
      <c r="C74" s="235"/>
      <c r="D74" s="233"/>
      <c r="E74" s="234"/>
      <c r="F74" s="232"/>
      <c r="G74" s="233"/>
      <c r="H74" s="233"/>
      <c r="I74" s="234"/>
      <c r="J74" s="234"/>
      <c r="K74" s="232"/>
      <c r="L74" s="233"/>
      <c r="M74" s="234"/>
      <c r="N74" s="232"/>
      <c r="O74" s="232"/>
      <c r="P74" s="232"/>
      <c r="Q74" s="192"/>
      <c r="R74" s="192"/>
      <c r="S74" s="192"/>
      <c r="T74" s="192"/>
      <c r="U74" s="192"/>
      <c r="V74" s="192"/>
      <c r="W74" s="192"/>
      <c r="X74" s="192"/>
      <c r="Y74" s="192"/>
      <c r="Z74" s="192"/>
      <c r="AA74" s="192"/>
      <c r="AB74" s="192"/>
      <c r="AC74" s="192"/>
      <c r="AD74" s="192"/>
      <c r="AE74" s="192"/>
      <c r="AF74" s="192"/>
      <c r="AG74" s="192"/>
      <c r="AH74" s="192"/>
      <c r="AI74" s="192"/>
      <c r="AJ74" s="192"/>
      <c r="AK74" s="192"/>
      <c r="AL74" s="192"/>
    </row>
    <row r="75" spans="1:38" x14ac:dyDescent="0.25">
      <c r="A75" s="192"/>
      <c r="B75" s="192"/>
      <c r="C75" s="192"/>
      <c r="D75" s="192"/>
      <c r="E75" s="192"/>
      <c r="F75" s="192"/>
      <c r="G75" s="192"/>
      <c r="H75" s="192"/>
      <c r="I75" s="192"/>
      <c r="J75" s="192"/>
      <c r="K75" s="192"/>
      <c r="L75" s="192"/>
      <c r="M75" s="192"/>
      <c r="N75" s="192"/>
      <c r="O75" s="192"/>
      <c r="P75" s="192"/>
      <c r="Q75" s="192"/>
      <c r="R75" s="192"/>
      <c r="S75" s="192"/>
      <c r="T75" s="192"/>
      <c r="U75" s="192"/>
      <c r="V75" s="192"/>
      <c r="W75" s="192"/>
      <c r="X75" s="192"/>
      <c r="Y75" s="192"/>
      <c r="Z75" s="192"/>
      <c r="AA75" s="192"/>
      <c r="AB75" s="192"/>
      <c r="AC75" s="192"/>
      <c r="AD75" s="192"/>
      <c r="AE75" s="192"/>
      <c r="AF75" s="192"/>
      <c r="AG75" s="192"/>
      <c r="AH75" s="192"/>
      <c r="AI75" s="192"/>
      <c r="AJ75" s="192"/>
      <c r="AK75" s="192"/>
      <c r="AL75" s="192"/>
    </row>
    <row r="76" spans="1:38" x14ac:dyDescent="0.25">
      <c r="A76" s="192"/>
      <c r="B76" s="192"/>
      <c r="C76" s="192"/>
      <c r="D76" s="192"/>
      <c r="E76" s="192"/>
      <c r="F76" s="192"/>
      <c r="G76" s="192"/>
      <c r="H76" s="192"/>
      <c r="I76" s="192"/>
      <c r="J76" s="192"/>
      <c r="K76" s="192"/>
      <c r="L76" s="192"/>
      <c r="M76" s="192"/>
      <c r="N76" s="192"/>
      <c r="O76" s="192"/>
      <c r="P76" s="192"/>
      <c r="Q76" s="192"/>
      <c r="R76" s="192"/>
      <c r="S76" s="192"/>
      <c r="T76" s="192"/>
      <c r="U76" s="192"/>
      <c r="V76" s="192"/>
      <c r="W76" s="192"/>
      <c r="X76" s="192"/>
      <c r="Y76" s="192"/>
      <c r="Z76" s="192"/>
      <c r="AA76" s="192"/>
      <c r="AB76" s="192"/>
      <c r="AC76" s="192"/>
      <c r="AD76" s="192"/>
      <c r="AE76" s="192"/>
      <c r="AF76" s="192"/>
      <c r="AG76" s="192"/>
      <c r="AH76" s="192"/>
      <c r="AI76" s="192"/>
      <c r="AJ76" s="192"/>
      <c r="AK76" s="192"/>
      <c r="AL76" s="192"/>
    </row>
    <row r="77" spans="1:38" x14ac:dyDescent="0.25">
      <c r="A77" s="192"/>
      <c r="B77" s="192"/>
      <c r="C77" s="192"/>
      <c r="D77" s="192"/>
      <c r="E77" s="192"/>
      <c r="F77" s="192"/>
      <c r="G77" s="192"/>
      <c r="H77" s="192"/>
      <c r="I77" s="192"/>
      <c r="J77" s="192"/>
      <c r="K77" s="192"/>
      <c r="L77" s="192"/>
      <c r="M77" s="192"/>
      <c r="N77" s="192"/>
      <c r="O77" s="192"/>
      <c r="P77" s="192"/>
      <c r="Q77" s="192"/>
      <c r="R77" s="192"/>
      <c r="S77" s="192"/>
      <c r="T77" s="192"/>
      <c r="U77" s="192"/>
      <c r="V77" s="192"/>
      <c r="W77" s="192"/>
      <c r="X77" s="192"/>
      <c r="Y77" s="192"/>
      <c r="Z77" s="192"/>
      <c r="AA77" s="192"/>
      <c r="AB77" s="192"/>
      <c r="AC77" s="192"/>
      <c r="AD77" s="192"/>
      <c r="AE77" s="192"/>
      <c r="AF77" s="192"/>
      <c r="AG77" s="192"/>
      <c r="AH77" s="192"/>
      <c r="AI77" s="192"/>
      <c r="AJ77" s="192"/>
      <c r="AK77" s="192"/>
      <c r="AL77" s="192"/>
    </row>
    <row r="78" spans="1:38" x14ac:dyDescent="0.25">
      <c r="A78" s="192"/>
      <c r="B78" s="192"/>
      <c r="C78" s="192"/>
      <c r="D78" s="192"/>
      <c r="E78" s="192"/>
      <c r="F78" s="192"/>
      <c r="G78" s="192"/>
      <c r="H78" s="192"/>
      <c r="I78" s="192"/>
      <c r="J78" s="192"/>
      <c r="K78" s="192"/>
      <c r="L78" s="192"/>
      <c r="M78" s="192"/>
      <c r="N78" s="192"/>
      <c r="O78" s="192"/>
      <c r="P78" s="192"/>
      <c r="Q78" s="192"/>
      <c r="R78" s="192"/>
      <c r="S78" s="192"/>
      <c r="U78" s="192"/>
      <c r="V78" s="192"/>
      <c r="W78" s="192"/>
      <c r="X78" s="192"/>
      <c r="Y78" s="192"/>
      <c r="Z78" s="192"/>
      <c r="AA78" s="192"/>
      <c r="AB78" s="192"/>
      <c r="AC78" s="192"/>
      <c r="AD78" s="192"/>
      <c r="AE78" s="192"/>
      <c r="AF78" s="192"/>
      <c r="AG78" s="192"/>
      <c r="AH78" s="192"/>
      <c r="AI78" s="192"/>
      <c r="AJ78" s="192"/>
      <c r="AK78" s="192"/>
      <c r="AL78" s="192"/>
    </row>
    <row r="79" spans="1:38" x14ac:dyDescent="0.25">
      <c r="A79" s="192"/>
      <c r="B79" s="192"/>
      <c r="C79" s="192"/>
      <c r="D79" s="192"/>
      <c r="E79" s="192"/>
      <c r="F79" s="192"/>
      <c r="G79" s="192"/>
      <c r="H79" s="192"/>
      <c r="I79" s="192"/>
      <c r="J79" s="192"/>
      <c r="K79" s="192"/>
      <c r="L79" s="192"/>
      <c r="M79" s="192"/>
      <c r="N79" s="192"/>
      <c r="O79" s="192"/>
      <c r="P79" s="192"/>
      <c r="Q79" s="192"/>
      <c r="R79" s="192"/>
      <c r="S79" s="192"/>
      <c r="T79" s="192"/>
      <c r="U79" s="192"/>
      <c r="V79" s="192"/>
      <c r="W79" s="192"/>
      <c r="X79" s="192"/>
      <c r="Y79" s="192"/>
      <c r="Z79" s="192"/>
      <c r="AA79" s="192"/>
      <c r="AB79" s="192"/>
      <c r="AC79" s="192"/>
      <c r="AD79" s="192"/>
      <c r="AE79" s="192"/>
      <c r="AF79" s="192"/>
      <c r="AG79" s="192"/>
      <c r="AH79" s="192"/>
      <c r="AI79" s="192"/>
      <c r="AJ79" s="192"/>
      <c r="AK79" s="192"/>
      <c r="AL79" s="192"/>
    </row>
    <row r="80" spans="1:38" ht="15" customHeight="1" x14ac:dyDescent="0.25">
      <c r="A80" s="192"/>
      <c r="B80" s="192"/>
      <c r="C80" s="192"/>
      <c r="D80" s="192"/>
      <c r="E80" s="192"/>
      <c r="F80" s="192"/>
      <c r="G80" s="192"/>
      <c r="H80" s="192"/>
      <c r="I80" s="192"/>
      <c r="J80" s="192"/>
      <c r="K80" s="192"/>
      <c r="L80" s="192"/>
      <c r="M80" s="192"/>
      <c r="N80" s="192"/>
      <c r="O80" s="192"/>
      <c r="P80" s="192"/>
      <c r="Q80" s="192"/>
      <c r="R80" s="192"/>
      <c r="S80" s="192"/>
      <c r="T80" s="192"/>
      <c r="U80" s="192"/>
      <c r="V80" s="192"/>
      <c r="W80" s="192"/>
      <c r="X80" s="192"/>
      <c r="Y80" s="192"/>
      <c r="Z80" s="192"/>
      <c r="AA80" s="192"/>
      <c r="AB80" s="192"/>
      <c r="AC80" s="192"/>
      <c r="AD80" s="192"/>
      <c r="AE80" s="192"/>
      <c r="AF80" s="192"/>
      <c r="AG80" s="192"/>
      <c r="AH80" s="192"/>
      <c r="AI80" s="192"/>
      <c r="AJ80" s="192"/>
      <c r="AK80" s="192"/>
      <c r="AL80" s="192"/>
    </row>
    <row r="81" spans="1:38" ht="15" customHeight="1" x14ac:dyDescent="0.25">
      <c r="A81" s="192"/>
      <c r="B81" s="192"/>
      <c r="C81" s="192"/>
      <c r="D81" s="192"/>
      <c r="E81" s="192"/>
      <c r="F81" s="192"/>
      <c r="G81" s="192"/>
      <c r="H81" s="192"/>
      <c r="I81" s="192"/>
      <c r="J81" s="192"/>
      <c r="K81" s="192"/>
      <c r="L81" s="192"/>
      <c r="M81" s="192"/>
      <c r="N81" s="192"/>
      <c r="O81" s="192"/>
      <c r="P81" s="192"/>
      <c r="Q81" s="192"/>
      <c r="R81" s="192"/>
      <c r="S81" s="192"/>
      <c r="T81" s="192"/>
      <c r="U81" s="192"/>
      <c r="V81" s="192"/>
      <c r="W81" s="192"/>
      <c r="X81" s="192"/>
      <c r="Y81" s="192"/>
      <c r="Z81" s="192"/>
      <c r="AA81" s="192"/>
      <c r="AB81" s="192"/>
      <c r="AC81" s="192"/>
      <c r="AD81" s="192"/>
      <c r="AE81" s="192"/>
      <c r="AF81" s="192"/>
      <c r="AG81" s="192"/>
      <c r="AH81" s="192"/>
      <c r="AI81" s="192"/>
      <c r="AJ81" s="192"/>
      <c r="AK81" s="192"/>
      <c r="AL81" s="192"/>
    </row>
    <row r="82" spans="1:38" x14ac:dyDescent="0.25">
      <c r="A82" s="192"/>
      <c r="B82" s="192"/>
      <c r="C82" s="192"/>
      <c r="D82" s="192"/>
      <c r="E82" s="192"/>
      <c r="F82" s="192"/>
      <c r="G82" s="192"/>
      <c r="H82" s="192"/>
      <c r="I82" s="192"/>
      <c r="J82" s="192"/>
      <c r="K82" s="192"/>
      <c r="L82" s="192"/>
      <c r="M82" s="192"/>
      <c r="N82" s="192"/>
      <c r="O82" s="192"/>
      <c r="P82" s="192"/>
      <c r="Q82" s="192"/>
      <c r="R82" s="192"/>
      <c r="S82" s="192"/>
      <c r="T82" s="192"/>
      <c r="U82" s="192"/>
      <c r="V82" s="192"/>
      <c r="W82" s="192"/>
      <c r="X82" s="192"/>
      <c r="Y82" s="192"/>
      <c r="Z82" s="192"/>
      <c r="AA82" s="192"/>
      <c r="AB82" s="192"/>
      <c r="AC82" s="192"/>
      <c r="AD82" s="192"/>
      <c r="AE82" s="192"/>
      <c r="AF82" s="192"/>
      <c r="AG82" s="192"/>
      <c r="AH82" s="192"/>
      <c r="AI82" s="192"/>
      <c r="AJ82" s="192"/>
      <c r="AK82" s="192"/>
      <c r="AL82" s="192"/>
    </row>
    <row r="83" spans="1:38" x14ac:dyDescent="0.25">
      <c r="A83" s="192"/>
      <c r="B83" s="192"/>
      <c r="C83" s="192"/>
      <c r="D83" s="192"/>
      <c r="E83" s="192"/>
      <c r="F83" s="192"/>
      <c r="G83" s="192"/>
      <c r="H83" s="192"/>
      <c r="I83" s="192"/>
      <c r="J83" s="192"/>
      <c r="K83" s="192"/>
      <c r="L83" s="192"/>
      <c r="M83" s="192"/>
      <c r="N83" s="192"/>
      <c r="O83" s="192"/>
      <c r="P83" s="192"/>
      <c r="Q83" s="192"/>
      <c r="R83" s="192"/>
      <c r="S83" s="192"/>
      <c r="T83" s="192"/>
      <c r="U83" s="192"/>
      <c r="V83" s="192"/>
      <c r="W83" s="192"/>
      <c r="X83" s="192"/>
      <c r="Y83" s="192"/>
      <c r="Z83" s="192"/>
      <c r="AA83" s="192"/>
      <c r="AB83" s="192"/>
      <c r="AC83" s="192"/>
      <c r="AD83" s="192"/>
      <c r="AE83" s="192"/>
      <c r="AF83" s="192"/>
      <c r="AG83" s="192"/>
      <c r="AH83" s="192"/>
      <c r="AI83" s="192"/>
      <c r="AJ83" s="192"/>
      <c r="AK83" s="192"/>
      <c r="AL83" s="192"/>
    </row>
    <row r="84" spans="1:38" x14ac:dyDescent="0.25">
      <c r="A84" s="192"/>
      <c r="B84" s="192"/>
      <c r="C84" s="192"/>
      <c r="D84" s="192"/>
      <c r="E84" s="192"/>
      <c r="F84" s="192"/>
      <c r="G84" s="192"/>
      <c r="H84" s="192"/>
      <c r="I84" s="192"/>
      <c r="J84" s="192"/>
      <c r="K84" s="192"/>
      <c r="L84" s="192"/>
      <c r="M84" s="192"/>
      <c r="N84" s="192"/>
      <c r="O84" s="192"/>
      <c r="P84" s="192"/>
      <c r="Q84" s="192"/>
      <c r="R84" s="192"/>
      <c r="S84" s="192"/>
      <c r="T84" s="192"/>
      <c r="U84" s="192"/>
      <c r="V84" s="192"/>
      <c r="W84" s="192"/>
      <c r="X84" s="192"/>
      <c r="Y84" s="192"/>
      <c r="Z84" s="192"/>
      <c r="AA84" s="192"/>
      <c r="AB84" s="192"/>
      <c r="AC84" s="192"/>
      <c r="AD84" s="192"/>
      <c r="AE84" s="192"/>
      <c r="AF84" s="192"/>
      <c r="AG84" s="192"/>
      <c r="AH84" s="192"/>
      <c r="AI84" s="192"/>
      <c r="AJ84" s="192"/>
      <c r="AK84" s="192"/>
      <c r="AL84" s="192"/>
    </row>
    <row r="85" spans="1:38" x14ac:dyDescent="0.25">
      <c r="A85" s="192"/>
      <c r="B85" s="192"/>
      <c r="C85" s="192"/>
      <c r="D85" s="192"/>
      <c r="E85" s="192"/>
      <c r="F85" s="192"/>
      <c r="G85" s="192"/>
      <c r="H85" s="192"/>
      <c r="I85" s="192"/>
      <c r="J85" s="192"/>
      <c r="K85" s="192"/>
      <c r="L85" s="192"/>
      <c r="M85" s="192"/>
      <c r="N85" s="192"/>
      <c r="O85" s="192"/>
      <c r="P85" s="192"/>
      <c r="Q85" s="192"/>
      <c r="R85" s="192"/>
      <c r="S85" s="192"/>
      <c r="T85" s="192"/>
      <c r="U85" s="192"/>
      <c r="V85" s="192"/>
      <c r="W85" s="192"/>
      <c r="X85" s="192"/>
      <c r="Y85" s="192"/>
      <c r="Z85" s="192"/>
      <c r="AA85" s="192"/>
      <c r="AB85" s="192"/>
      <c r="AC85" s="192"/>
      <c r="AD85" s="192"/>
      <c r="AE85" s="192"/>
      <c r="AF85" s="192"/>
      <c r="AG85" s="192"/>
      <c r="AH85" s="192"/>
      <c r="AI85" s="192"/>
      <c r="AJ85" s="192"/>
      <c r="AK85" s="192"/>
      <c r="AL85" s="192"/>
    </row>
    <row r="86" spans="1:38" x14ac:dyDescent="0.25">
      <c r="A86" s="192"/>
      <c r="B86" s="192"/>
      <c r="C86" s="192"/>
      <c r="D86" s="192"/>
      <c r="E86" s="192"/>
      <c r="F86" s="192"/>
      <c r="G86" s="192"/>
      <c r="H86" s="192"/>
      <c r="I86" s="192"/>
      <c r="J86" s="192"/>
      <c r="K86" s="192"/>
      <c r="L86" s="192"/>
      <c r="M86" s="192"/>
      <c r="N86" s="192"/>
      <c r="O86" s="192"/>
      <c r="P86" s="192"/>
      <c r="Q86" s="192"/>
      <c r="R86" s="192"/>
      <c r="S86" s="192"/>
      <c r="T86" s="192"/>
      <c r="U86" s="192"/>
      <c r="V86" s="192"/>
      <c r="W86" s="192"/>
      <c r="X86" s="192"/>
      <c r="Y86" s="192"/>
      <c r="Z86" s="192"/>
      <c r="AA86" s="192"/>
      <c r="AB86" s="192"/>
      <c r="AC86" s="192"/>
      <c r="AD86" s="192"/>
      <c r="AE86" s="192"/>
      <c r="AF86" s="192"/>
      <c r="AG86" s="192"/>
      <c r="AH86" s="192"/>
      <c r="AI86" s="192"/>
      <c r="AJ86" s="192"/>
      <c r="AK86" s="192"/>
      <c r="AL86" s="192"/>
    </row>
    <row r="87" spans="1:38" x14ac:dyDescent="0.25">
      <c r="A87" s="192"/>
      <c r="B87" s="192"/>
      <c r="C87" s="192"/>
      <c r="D87" s="192"/>
      <c r="E87" s="192"/>
      <c r="F87" s="192"/>
      <c r="G87" s="192"/>
      <c r="H87" s="192"/>
      <c r="I87" s="192"/>
      <c r="J87" s="192"/>
      <c r="K87" s="192"/>
      <c r="L87" s="192"/>
      <c r="M87" s="192"/>
      <c r="N87" s="192"/>
      <c r="O87" s="192"/>
      <c r="P87" s="192"/>
      <c r="Q87" s="192"/>
      <c r="R87" s="192"/>
      <c r="S87" s="192"/>
      <c r="T87" s="192"/>
      <c r="U87" s="192"/>
      <c r="V87" s="192"/>
      <c r="W87" s="192"/>
      <c r="X87" s="192"/>
      <c r="Y87" s="192"/>
      <c r="Z87" s="192"/>
      <c r="AA87" s="192"/>
      <c r="AB87" s="192"/>
      <c r="AC87" s="192"/>
      <c r="AD87" s="192"/>
      <c r="AE87" s="192"/>
      <c r="AF87" s="192"/>
      <c r="AG87" s="192"/>
      <c r="AH87" s="192"/>
      <c r="AI87" s="192"/>
      <c r="AJ87" s="192"/>
      <c r="AK87" s="192"/>
      <c r="AL87" s="192"/>
    </row>
    <row r="88" spans="1:38" x14ac:dyDescent="0.25">
      <c r="A88" s="192"/>
      <c r="B88" s="192"/>
      <c r="C88" s="192"/>
      <c r="D88" s="192"/>
      <c r="E88" s="192"/>
      <c r="F88" s="192"/>
      <c r="G88" s="192"/>
      <c r="H88" s="192"/>
      <c r="I88" s="192"/>
      <c r="J88" s="192"/>
      <c r="K88" s="192"/>
      <c r="L88" s="192"/>
      <c r="M88" s="192"/>
      <c r="N88" s="192"/>
      <c r="O88" s="192"/>
      <c r="P88" s="192"/>
      <c r="Q88" s="192"/>
      <c r="R88" s="192"/>
      <c r="S88" s="192"/>
      <c r="T88" s="192"/>
      <c r="U88" s="192"/>
      <c r="V88" s="192"/>
      <c r="W88" s="192"/>
      <c r="X88" s="192"/>
      <c r="Y88" s="192"/>
      <c r="Z88" s="192"/>
      <c r="AA88" s="192"/>
      <c r="AB88" s="192"/>
      <c r="AC88" s="192"/>
      <c r="AD88" s="192"/>
      <c r="AE88" s="192"/>
      <c r="AF88" s="192"/>
      <c r="AG88" s="192"/>
      <c r="AH88" s="192"/>
      <c r="AI88" s="192"/>
      <c r="AJ88" s="192"/>
      <c r="AK88" s="192"/>
      <c r="AL88" s="192"/>
    </row>
    <row r="89" spans="1:38" x14ac:dyDescent="0.25">
      <c r="A89" s="192"/>
      <c r="B89" s="192"/>
      <c r="C89" s="192"/>
      <c r="D89" s="192"/>
      <c r="E89" s="192"/>
      <c r="F89" s="192"/>
      <c r="G89" s="192"/>
      <c r="H89" s="192"/>
      <c r="I89" s="192"/>
      <c r="J89" s="192"/>
      <c r="K89" s="192"/>
      <c r="L89" s="192"/>
      <c r="M89" s="192"/>
      <c r="N89" s="192"/>
      <c r="O89" s="192"/>
      <c r="P89" s="192"/>
      <c r="Q89" s="192"/>
      <c r="R89" s="192"/>
      <c r="S89" s="192"/>
      <c r="T89" s="192"/>
      <c r="U89" s="192"/>
      <c r="V89" s="192"/>
      <c r="W89" s="192"/>
      <c r="X89" s="192"/>
      <c r="Y89" s="192"/>
      <c r="Z89" s="192"/>
      <c r="AA89" s="192"/>
      <c r="AB89" s="192"/>
      <c r="AC89" s="192"/>
      <c r="AD89" s="192"/>
      <c r="AE89" s="192"/>
      <c r="AF89" s="192"/>
      <c r="AG89" s="192"/>
      <c r="AH89" s="192"/>
      <c r="AI89" s="192"/>
      <c r="AJ89" s="192"/>
      <c r="AK89" s="192"/>
      <c r="AL89" s="192"/>
    </row>
    <row r="90" spans="1:38" x14ac:dyDescent="0.25">
      <c r="A90" s="192"/>
      <c r="B90" s="192"/>
      <c r="C90" s="192"/>
      <c r="D90" s="192"/>
      <c r="E90" s="192"/>
      <c r="F90" s="192"/>
      <c r="G90" s="192"/>
      <c r="H90" s="192"/>
      <c r="I90" s="192"/>
      <c r="J90" s="192"/>
      <c r="K90" s="192"/>
      <c r="L90" s="192"/>
      <c r="M90" s="192"/>
      <c r="N90" s="192"/>
      <c r="O90" s="192"/>
      <c r="P90" s="192"/>
      <c r="Q90" s="192"/>
      <c r="R90" s="192"/>
      <c r="S90" s="192"/>
      <c r="T90" s="192"/>
      <c r="U90" s="192"/>
      <c r="V90" s="192"/>
      <c r="W90" s="192"/>
      <c r="X90" s="192"/>
      <c r="Y90" s="192"/>
      <c r="Z90" s="192"/>
      <c r="AA90" s="192"/>
      <c r="AB90" s="192"/>
      <c r="AC90" s="192"/>
      <c r="AD90" s="192"/>
      <c r="AE90" s="192"/>
      <c r="AF90" s="192"/>
      <c r="AG90" s="192"/>
      <c r="AH90" s="192"/>
      <c r="AI90" s="192"/>
      <c r="AJ90" s="192"/>
      <c r="AK90" s="192"/>
      <c r="AL90" s="192"/>
    </row>
    <row r="91" spans="1:38" x14ac:dyDescent="0.25">
      <c r="A91" s="192"/>
      <c r="B91" s="192"/>
      <c r="C91" s="192"/>
      <c r="D91" s="192"/>
      <c r="E91" s="192"/>
      <c r="F91" s="192"/>
      <c r="G91" s="192"/>
      <c r="H91" s="192"/>
      <c r="I91" s="192"/>
      <c r="J91" s="192"/>
      <c r="K91" s="192"/>
      <c r="L91" s="192"/>
      <c r="M91" s="192"/>
      <c r="N91" s="192"/>
      <c r="O91" s="192"/>
      <c r="P91" s="192"/>
      <c r="Q91" s="192"/>
      <c r="R91" s="192"/>
      <c r="S91" s="192"/>
      <c r="T91" s="192"/>
      <c r="U91" s="192"/>
      <c r="V91" s="192"/>
      <c r="W91" s="192"/>
      <c r="X91" s="192"/>
      <c r="Y91" s="192"/>
      <c r="Z91" s="192"/>
      <c r="AA91" s="192"/>
      <c r="AB91" s="192"/>
      <c r="AC91" s="192"/>
      <c r="AD91" s="192"/>
      <c r="AE91" s="192"/>
      <c r="AF91" s="192"/>
      <c r="AG91" s="192"/>
      <c r="AH91" s="192"/>
      <c r="AI91" s="192"/>
      <c r="AJ91" s="192"/>
      <c r="AK91" s="192"/>
      <c r="AL91" s="192"/>
    </row>
    <row r="93" spans="1:38" x14ac:dyDescent="0.25">
      <c r="R93" s="238"/>
      <c r="S93" s="238"/>
      <c r="T93" s="238"/>
      <c r="U93" s="238"/>
      <c r="V93" s="238"/>
      <c r="W93" s="238"/>
      <c r="X93" s="238"/>
      <c r="Y93" s="238"/>
      <c r="Z93" s="238"/>
      <c r="AA93" s="238"/>
      <c r="AB93" s="238"/>
      <c r="AC93" s="238"/>
      <c r="AD93" s="238"/>
      <c r="AE93" s="238"/>
      <c r="AF93" s="238"/>
      <c r="AG93" s="238"/>
      <c r="AH93" s="238"/>
      <c r="AI93" s="238"/>
      <c r="AJ93" s="238"/>
    </row>
    <row r="94" spans="1:38" x14ac:dyDescent="0.25">
      <c r="R94" s="239"/>
      <c r="S94" s="240"/>
      <c r="U94" s="240"/>
      <c r="V94" s="240"/>
      <c r="W94" s="240"/>
      <c r="X94" s="239"/>
      <c r="Y94" s="240"/>
      <c r="Z94" s="240"/>
      <c r="AA94" s="239"/>
      <c r="AB94" s="239"/>
      <c r="AC94" s="239"/>
      <c r="AD94" s="239"/>
      <c r="AE94" s="239"/>
      <c r="AF94" s="239"/>
      <c r="AG94" s="239"/>
      <c r="AH94" s="239"/>
      <c r="AI94" s="239"/>
      <c r="AJ94" s="239"/>
    </row>
    <row r="95" spans="1:38" x14ac:dyDescent="0.25">
      <c r="R95" s="239"/>
      <c r="S95" s="240"/>
      <c r="U95" s="240"/>
      <c r="V95" s="240"/>
      <c r="W95" s="240"/>
      <c r="X95" s="239"/>
      <c r="Y95" s="240"/>
      <c r="Z95" s="240"/>
      <c r="AA95" s="239"/>
      <c r="AB95" s="239"/>
      <c r="AC95" s="239"/>
      <c r="AD95" s="239"/>
      <c r="AE95" s="239"/>
      <c r="AF95" s="239"/>
      <c r="AG95" s="239"/>
      <c r="AH95" s="239"/>
      <c r="AI95" s="239"/>
      <c r="AJ95" s="239"/>
    </row>
    <row r="96" spans="1:38" x14ac:dyDescent="0.25">
      <c r="R96" s="79"/>
      <c r="S96" s="241"/>
      <c r="U96" s="177"/>
      <c r="V96" s="78"/>
      <c r="W96" s="79"/>
      <c r="X96" s="242"/>
      <c r="Y96" s="78"/>
      <c r="Z96" s="78"/>
      <c r="AA96" s="78"/>
      <c r="AB96" s="78"/>
      <c r="AC96" s="243"/>
      <c r="AD96" s="243"/>
      <c r="AE96" s="160"/>
      <c r="AF96" s="244"/>
      <c r="AG96" s="79"/>
      <c r="AH96" s="184"/>
      <c r="AI96" s="184"/>
      <c r="AJ96" s="184"/>
    </row>
    <row r="97" spans="18:36" x14ac:dyDescent="0.25">
      <c r="R97" s="79"/>
      <c r="S97" s="241"/>
      <c r="U97" s="177"/>
      <c r="V97" s="78"/>
      <c r="W97" s="79"/>
      <c r="X97" s="242"/>
      <c r="Y97" s="78"/>
      <c r="Z97" s="78"/>
      <c r="AA97" s="78"/>
      <c r="AB97" s="78"/>
      <c r="AC97" s="243"/>
      <c r="AD97" s="243"/>
      <c r="AE97" s="160"/>
      <c r="AF97" s="244"/>
      <c r="AG97" s="79"/>
      <c r="AH97" s="184"/>
      <c r="AI97" s="184"/>
      <c r="AJ97" s="184"/>
    </row>
    <row r="98" spans="18:36" x14ac:dyDescent="0.25">
      <c r="R98" s="79"/>
      <c r="S98" s="241"/>
      <c r="U98" s="177"/>
      <c r="V98" s="78"/>
      <c r="W98" s="79"/>
      <c r="X98" s="242"/>
      <c r="Y98" s="78"/>
      <c r="Z98" s="78"/>
      <c r="AA98" s="78"/>
      <c r="AB98" s="78"/>
      <c r="AC98" s="243"/>
      <c r="AD98" s="243"/>
      <c r="AE98" s="160"/>
      <c r="AF98" s="244"/>
      <c r="AG98" s="79"/>
      <c r="AH98" s="184"/>
      <c r="AI98" s="184"/>
      <c r="AJ98" s="184"/>
    </row>
    <row r="99" spans="18:36" x14ac:dyDescent="0.25">
      <c r="R99" s="79"/>
      <c r="S99" s="241"/>
      <c r="U99" s="177"/>
      <c r="V99" s="78"/>
      <c r="W99" s="79"/>
      <c r="X99" s="242"/>
      <c r="Y99" s="78"/>
      <c r="Z99" s="78"/>
      <c r="AA99" s="78"/>
      <c r="AB99" s="78"/>
      <c r="AC99" s="243"/>
      <c r="AD99" s="243"/>
      <c r="AE99" s="160"/>
      <c r="AF99" s="244"/>
      <c r="AG99" s="79"/>
      <c r="AH99" s="184"/>
      <c r="AI99" s="184"/>
      <c r="AJ99" s="184"/>
    </row>
    <row r="100" spans="18:36" x14ac:dyDescent="0.25">
      <c r="R100" s="79"/>
      <c r="S100" s="241"/>
      <c r="U100" s="177"/>
      <c r="V100" s="78"/>
      <c r="W100" s="79"/>
      <c r="X100" s="242"/>
      <c r="Y100" s="78"/>
      <c r="Z100" s="78"/>
      <c r="AA100" s="78"/>
      <c r="AB100" s="78"/>
      <c r="AC100" s="243"/>
      <c r="AD100" s="243"/>
      <c r="AE100" s="160"/>
      <c r="AF100" s="244"/>
      <c r="AG100" s="79"/>
      <c r="AH100" s="184"/>
      <c r="AI100" s="184"/>
      <c r="AJ100" s="184"/>
    </row>
    <row r="101" spans="18:36" x14ac:dyDescent="0.25">
      <c r="R101" s="79"/>
      <c r="S101" s="241"/>
      <c r="U101" s="177"/>
      <c r="V101" s="78"/>
      <c r="W101" s="79"/>
      <c r="X101" s="242"/>
      <c r="Y101" s="78"/>
      <c r="Z101" s="78"/>
      <c r="AA101" s="78"/>
      <c r="AB101" s="78"/>
      <c r="AC101" s="243"/>
      <c r="AD101" s="243"/>
      <c r="AE101" s="160"/>
      <c r="AF101" s="244"/>
      <c r="AG101" s="79"/>
      <c r="AH101" s="184"/>
      <c r="AI101" s="184"/>
      <c r="AJ101" s="184"/>
    </row>
    <row r="102" spans="18:36" x14ac:dyDescent="0.25">
      <c r="R102" s="79"/>
      <c r="S102" s="241"/>
      <c r="U102" s="177"/>
      <c r="V102" s="78"/>
      <c r="W102" s="245"/>
      <c r="X102" s="242"/>
      <c r="Y102" s="78"/>
      <c r="Z102" s="78"/>
      <c r="AA102" s="78"/>
      <c r="AB102" s="78"/>
      <c r="AC102" s="243"/>
      <c r="AD102" s="243"/>
      <c r="AE102" s="160"/>
      <c r="AF102" s="160"/>
      <c r="AG102" s="170"/>
      <c r="AH102" s="160"/>
      <c r="AI102" s="160"/>
      <c r="AJ102" s="160"/>
    </row>
    <row r="103" spans="18:36" x14ac:dyDescent="0.25">
      <c r="X103" s="246"/>
      <c r="Y103" s="164"/>
      <c r="Z103" s="247"/>
    </row>
    <row r="106" spans="18:36" x14ac:dyDescent="0.25">
      <c r="R106" s="238"/>
      <c r="S106" s="238"/>
      <c r="T106" s="238"/>
      <c r="U106" s="238"/>
      <c r="V106" s="238"/>
      <c r="W106" s="238"/>
      <c r="X106" s="238"/>
      <c r="Y106" s="238"/>
      <c r="Z106" s="238"/>
      <c r="AA106" s="238"/>
      <c r="AB106" s="238"/>
      <c r="AC106" s="238"/>
      <c r="AD106" s="238"/>
      <c r="AE106" s="238"/>
      <c r="AF106" s="238"/>
      <c r="AG106" s="238"/>
      <c r="AH106" s="238"/>
      <c r="AI106" s="238"/>
      <c r="AJ106" s="238"/>
    </row>
    <row r="107" spans="18:36" x14ac:dyDescent="0.25">
      <c r="R107" s="239"/>
      <c r="S107" s="240"/>
      <c r="U107" s="240"/>
      <c r="V107" s="240"/>
      <c r="W107" s="240"/>
      <c r="X107" s="239"/>
      <c r="Y107" s="240"/>
      <c r="Z107" s="240"/>
      <c r="AA107" s="239"/>
      <c r="AB107" s="239"/>
      <c r="AC107" s="239"/>
      <c r="AD107" s="239"/>
      <c r="AE107" s="239"/>
      <c r="AF107" s="239"/>
      <c r="AG107" s="239"/>
      <c r="AH107" s="239"/>
      <c r="AI107" s="239"/>
      <c r="AJ107" s="239"/>
    </row>
    <row r="108" spans="18:36" x14ac:dyDescent="0.25">
      <c r="R108" s="239"/>
      <c r="S108" s="240"/>
      <c r="U108" s="240"/>
      <c r="V108" s="240"/>
      <c r="W108" s="240"/>
      <c r="X108" s="239"/>
      <c r="Y108" s="240"/>
      <c r="Z108" s="240"/>
      <c r="AA108" s="239"/>
      <c r="AB108" s="239"/>
      <c r="AC108" s="239"/>
      <c r="AD108" s="239"/>
      <c r="AE108" s="239"/>
      <c r="AF108" s="239"/>
      <c r="AG108" s="239"/>
      <c r="AH108" s="239"/>
      <c r="AI108" s="239"/>
      <c r="AJ108" s="239"/>
    </row>
    <row r="109" spans="18:36" x14ac:dyDescent="0.25">
      <c r="R109" s="79"/>
      <c r="S109" s="241"/>
      <c r="U109" s="177"/>
      <c r="V109" s="78"/>
      <c r="W109" s="79"/>
      <c r="X109" s="242"/>
      <c r="Y109" s="78"/>
      <c r="Z109" s="78"/>
      <c r="AA109" s="78"/>
      <c r="AB109" s="78"/>
      <c r="AC109" s="243"/>
      <c r="AD109" s="243"/>
      <c r="AE109" s="160"/>
      <c r="AF109" s="244"/>
      <c r="AG109" s="79"/>
      <c r="AH109" s="184"/>
      <c r="AI109" s="184"/>
      <c r="AJ109" s="184"/>
    </row>
    <row r="110" spans="18:36" x14ac:dyDescent="0.25">
      <c r="R110" s="79"/>
      <c r="S110" s="241"/>
      <c r="U110" s="177"/>
      <c r="V110" s="78"/>
      <c r="W110" s="79"/>
      <c r="X110" s="242"/>
      <c r="Y110" s="78"/>
      <c r="Z110" s="78"/>
      <c r="AA110" s="78"/>
      <c r="AB110" s="78"/>
      <c r="AC110" s="243"/>
      <c r="AD110" s="243"/>
      <c r="AE110" s="160"/>
      <c r="AF110" s="244"/>
      <c r="AG110" s="79"/>
      <c r="AH110" s="184"/>
      <c r="AI110" s="184"/>
      <c r="AJ110" s="184"/>
    </row>
    <row r="111" spans="18:36" x14ac:dyDescent="0.25">
      <c r="R111" s="79"/>
      <c r="S111" s="241"/>
      <c r="U111" s="177"/>
      <c r="V111" s="78"/>
      <c r="W111" s="79"/>
      <c r="X111" s="242"/>
      <c r="Y111" s="78"/>
      <c r="Z111" s="78"/>
      <c r="AA111" s="78"/>
      <c r="AB111" s="78"/>
      <c r="AC111" s="243"/>
      <c r="AD111" s="243"/>
      <c r="AE111" s="160"/>
      <c r="AF111" s="244"/>
      <c r="AG111" s="79"/>
      <c r="AH111" s="184"/>
      <c r="AI111" s="184"/>
      <c r="AJ111" s="184"/>
    </row>
    <row r="112" spans="18:36" x14ac:dyDescent="0.25">
      <c r="R112" s="79"/>
      <c r="S112" s="241"/>
      <c r="U112" s="177"/>
      <c r="V112" s="78"/>
      <c r="W112" s="79"/>
      <c r="X112" s="242"/>
      <c r="Y112" s="78"/>
      <c r="Z112" s="78"/>
      <c r="AA112" s="78"/>
      <c r="AB112" s="78"/>
      <c r="AC112" s="243"/>
      <c r="AD112" s="243"/>
      <c r="AE112" s="160"/>
      <c r="AF112" s="244"/>
      <c r="AG112" s="79"/>
      <c r="AH112" s="184"/>
      <c r="AI112" s="184"/>
      <c r="AJ112" s="184"/>
    </row>
    <row r="113" spans="18:36" x14ac:dyDescent="0.25">
      <c r="R113" s="245"/>
      <c r="S113" s="241"/>
      <c r="U113" s="177"/>
      <c r="V113" s="78"/>
      <c r="W113" s="79"/>
      <c r="X113" s="242"/>
      <c r="Y113" s="78"/>
      <c r="Z113" s="78"/>
      <c r="AA113" s="78"/>
      <c r="AB113" s="78"/>
      <c r="AC113" s="243"/>
      <c r="AD113" s="243"/>
      <c r="AE113" s="160"/>
      <c r="AF113" s="244"/>
      <c r="AG113" s="79"/>
      <c r="AH113" s="184"/>
      <c r="AI113" s="184"/>
      <c r="AJ113" s="184"/>
    </row>
    <row r="114" spans="18:36" x14ac:dyDescent="0.25">
      <c r="R114" s="79"/>
      <c r="S114" s="241"/>
      <c r="U114" s="177"/>
      <c r="V114" s="78"/>
      <c r="W114" s="79"/>
      <c r="X114" s="242"/>
      <c r="Y114" s="78"/>
      <c r="Z114" s="78"/>
      <c r="AA114" s="78"/>
      <c r="AB114" s="78"/>
      <c r="AC114" s="243"/>
      <c r="AD114" s="243"/>
      <c r="AE114" s="160"/>
      <c r="AF114" s="244"/>
      <c r="AG114" s="79"/>
      <c r="AH114" s="184"/>
      <c r="AI114" s="184"/>
      <c r="AJ114" s="184"/>
    </row>
    <row r="115" spans="18:36" x14ac:dyDescent="0.25">
      <c r="R115" s="79"/>
      <c r="S115" s="241"/>
      <c r="U115" s="177"/>
      <c r="V115" s="78"/>
      <c r="W115" s="245"/>
      <c r="X115" s="242"/>
      <c r="Y115" s="78"/>
      <c r="Z115" s="78"/>
      <c r="AA115" s="78"/>
      <c r="AB115" s="78"/>
      <c r="AC115" s="243"/>
      <c r="AD115" s="243"/>
      <c r="AE115" s="160"/>
      <c r="AF115" s="160"/>
      <c r="AG115" s="170"/>
      <c r="AH115" s="160"/>
      <c r="AI115" s="160"/>
      <c r="AJ115" s="160"/>
    </row>
    <row r="116" spans="18:36" x14ac:dyDescent="0.25">
      <c r="X116" s="246"/>
      <c r="Y116" s="164"/>
      <c r="Z116" s="247"/>
    </row>
    <row r="119" spans="18:36" x14ac:dyDescent="0.25">
      <c r="R119" s="238"/>
      <c r="S119" s="238"/>
      <c r="T119" s="238"/>
      <c r="U119" s="238"/>
      <c r="V119" s="238"/>
      <c r="W119" s="238"/>
      <c r="X119" s="238"/>
      <c r="Y119" s="238"/>
      <c r="Z119" s="238"/>
      <c r="AA119" s="238"/>
      <c r="AB119" s="238"/>
      <c r="AC119" s="238"/>
      <c r="AD119" s="238"/>
      <c r="AE119" s="238"/>
      <c r="AF119" s="238"/>
      <c r="AG119" s="238"/>
      <c r="AH119" s="238"/>
      <c r="AI119" s="238"/>
      <c r="AJ119" s="238"/>
    </row>
    <row r="120" spans="18:36" x14ac:dyDescent="0.25">
      <c r="R120" s="239"/>
      <c r="S120" s="240"/>
      <c r="U120" s="240"/>
      <c r="V120" s="240"/>
      <c r="W120" s="240"/>
      <c r="X120" s="239"/>
      <c r="Y120" s="240"/>
      <c r="Z120" s="240"/>
      <c r="AA120" s="239"/>
      <c r="AB120" s="239"/>
      <c r="AC120" s="239"/>
      <c r="AD120" s="239"/>
      <c r="AE120" s="239"/>
      <c r="AF120" s="239"/>
      <c r="AG120" s="239"/>
      <c r="AH120" s="239"/>
      <c r="AI120" s="239"/>
      <c r="AJ120" s="239"/>
    </row>
    <row r="121" spans="18:36" x14ac:dyDescent="0.25">
      <c r="R121" s="239"/>
      <c r="S121" s="240"/>
      <c r="U121" s="240"/>
      <c r="V121" s="240"/>
      <c r="W121" s="240"/>
      <c r="X121" s="239"/>
      <c r="Y121" s="240"/>
      <c r="Z121" s="240"/>
      <c r="AA121" s="239"/>
      <c r="AB121" s="239"/>
      <c r="AC121" s="239"/>
      <c r="AD121" s="239"/>
      <c r="AE121" s="239"/>
      <c r="AF121" s="239"/>
      <c r="AG121" s="239"/>
      <c r="AH121" s="239"/>
      <c r="AI121" s="239"/>
      <c r="AJ121" s="239"/>
    </row>
    <row r="122" spans="18:36" x14ac:dyDescent="0.25">
      <c r="R122" s="79"/>
      <c r="S122" s="241"/>
      <c r="U122" s="177"/>
      <c r="V122" s="78"/>
      <c r="W122" s="79"/>
      <c r="X122" s="242"/>
      <c r="Y122" s="78"/>
      <c r="Z122" s="78"/>
      <c r="AA122" s="78"/>
      <c r="AB122" s="78"/>
      <c r="AC122" s="243"/>
      <c r="AD122" s="243"/>
      <c r="AE122" s="160"/>
      <c r="AF122" s="244"/>
      <c r="AG122" s="79"/>
      <c r="AH122" s="184"/>
      <c r="AI122" s="184"/>
      <c r="AJ122" s="184"/>
    </row>
    <row r="123" spans="18:36" x14ac:dyDescent="0.25">
      <c r="R123" s="79"/>
      <c r="S123" s="241"/>
      <c r="U123" s="177"/>
      <c r="V123" s="78"/>
      <c r="W123" s="79"/>
      <c r="X123" s="242"/>
      <c r="Y123" s="78"/>
      <c r="Z123" s="78"/>
      <c r="AA123" s="78"/>
      <c r="AB123" s="78"/>
      <c r="AC123" s="243"/>
      <c r="AD123" s="243"/>
      <c r="AE123" s="160"/>
      <c r="AF123" s="244"/>
      <c r="AG123" s="79"/>
      <c r="AH123" s="184"/>
      <c r="AI123" s="184"/>
      <c r="AJ123" s="184"/>
    </row>
    <row r="124" spans="18:36" x14ac:dyDescent="0.25">
      <c r="R124" s="79"/>
      <c r="S124" s="241"/>
      <c r="U124" s="177"/>
      <c r="V124" s="78"/>
      <c r="W124" s="79"/>
      <c r="X124" s="242"/>
      <c r="Y124" s="78"/>
      <c r="Z124" s="78"/>
      <c r="AA124" s="78"/>
      <c r="AB124" s="78"/>
      <c r="AC124" s="243"/>
      <c r="AD124" s="243"/>
      <c r="AE124" s="160"/>
      <c r="AF124" s="244"/>
      <c r="AG124" s="79"/>
      <c r="AH124" s="184"/>
      <c r="AI124" s="184"/>
      <c r="AJ124" s="184"/>
    </row>
    <row r="125" spans="18:36" x14ac:dyDescent="0.25">
      <c r="R125" s="79"/>
      <c r="S125" s="241"/>
      <c r="U125" s="177"/>
      <c r="V125" s="78"/>
      <c r="W125" s="79"/>
      <c r="X125" s="242"/>
      <c r="Y125" s="78"/>
      <c r="Z125" s="78"/>
      <c r="AA125" s="78"/>
      <c r="AB125" s="78"/>
      <c r="AC125" s="243"/>
      <c r="AD125" s="243"/>
      <c r="AE125" s="160"/>
      <c r="AF125" s="244"/>
      <c r="AG125" s="79"/>
      <c r="AH125" s="184"/>
      <c r="AI125" s="184"/>
      <c r="AJ125" s="184"/>
    </row>
    <row r="126" spans="18:36" x14ac:dyDescent="0.25">
      <c r="R126" s="248"/>
      <c r="S126" s="241"/>
      <c r="U126" s="177"/>
      <c r="V126" s="78"/>
      <c r="W126" s="79"/>
      <c r="X126" s="242"/>
      <c r="Y126" s="78"/>
      <c r="Z126" s="78"/>
      <c r="AA126" s="78"/>
      <c r="AB126" s="78"/>
      <c r="AC126" s="243"/>
      <c r="AD126" s="243"/>
      <c r="AE126" s="160"/>
      <c r="AF126" s="244"/>
      <c r="AG126" s="79"/>
      <c r="AH126" s="184"/>
      <c r="AI126" s="184"/>
      <c r="AJ126" s="184"/>
    </row>
    <row r="127" spans="18:36" x14ac:dyDescent="0.25">
      <c r="R127" s="79"/>
      <c r="S127" s="241"/>
      <c r="U127" s="177"/>
      <c r="V127" s="78"/>
      <c r="W127" s="79"/>
      <c r="X127" s="242"/>
      <c r="Y127" s="78"/>
      <c r="Z127" s="78"/>
      <c r="AA127" s="78"/>
      <c r="AB127" s="78"/>
      <c r="AC127" s="243"/>
      <c r="AD127" s="243"/>
      <c r="AE127" s="160"/>
      <c r="AF127" s="244"/>
      <c r="AG127" s="79"/>
      <c r="AH127" s="184"/>
      <c r="AI127" s="184"/>
      <c r="AJ127" s="184"/>
    </row>
    <row r="128" spans="18:36" x14ac:dyDescent="0.25">
      <c r="R128" s="79"/>
      <c r="S128" s="241"/>
      <c r="U128" s="177"/>
      <c r="V128" s="78"/>
      <c r="W128" s="245"/>
      <c r="X128" s="242"/>
      <c r="Y128" s="78"/>
      <c r="Z128" s="78"/>
      <c r="AA128" s="78"/>
      <c r="AB128" s="78"/>
      <c r="AC128" s="243"/>
      <c r="AD128" s="243"/>
      <c r="AE128" s="160"/>
      <c r="AF128" s="160"/>
      <c r="AG128" s="170"/>
      <c r="AH128" s="160"/>
      <c r="AI128" s="160"/>
      <c r="AJ128" s="160"/>
    </row>
    <row r="129" spans="18:36" x14ac:dyDescent="0.25">
      <c r="X129" s="246"/>
      <c r="Y129" s="164"/>
      <c r="Z129" s="247"/>
    </row>
    <row r="132" spans="18:36" x14ac:dyDescent="0.25">
      <c r="R132" s="238"/>
      <c r="S132" s="238"/>
      <c r="T132" s="238"/>
      <c r="U132" s="238"/>
      <c r="V132" s="238"/>
      <c r="W132" s="238"/>
      <c r="X132" s="238"/>
      <c r="Y132" s="238"/>
      <c r="Z132" s="238"/>
      <c r="AA132" s="238"/>
      <c r="AB132" s="238"/>
      <c r="AC132" s="238"/>
      <c r="AD132" s="238"/>
      <c r="AE132" s="238"/>
      <c r="AF132" s="238"/>
      <c r="AG132" s="238"/>
      <c r="AH132" s="238"/>
      <c r="AI132" s="238"/>
      <c r="AJ132" s="238"/>
    </row>
    <row r="133" spans="18:36" x14ac:dyDescent="0.25">
      <c r="R133" s="239"/>
      <c r="S133" s="240"/>
      <c r="U133" s="240"/>
      <c r="V133" s="240"/>
      <c r="W133" s="240"/>
      <c r="X133" s="239"/>
      <c r="Y133" s="240"/>
      <c r="Z133" s="240"/>
      <c r="AA133" s="239"/>
      <c r="AB133" s="239"/>
      <c r="AC133" s="239"/>
      <c r="AD133" s="239"/>
      <c r="AE133" s="239"/>
      <c r="AF133" s="239"/>
      <c r="AG133" s="239"/>
      <c r="AH133" s="239"/>
      <c r="AI133" s="239"/>
      <c r="AJ133" s="239"/>
    </row>
    <row r="134" spans="18:36" x14ac:dyDescent="0.25">
      <c r="R134" s="239"/>
      <c r="S134" s="240"/>
      <c r="U134" s="240"/>
      <c r="V134" s="240"/>
      <c r="W134" s="240"/>
      <c r="X134" s="239"/>
      <c r="Y134" s="240"/>
      <c r="Z134" s="240"/>
      <c r="AA134" s="239"/>
      <c r="AB134" s="239"/>
      <c r="AC134" s="239"/>
      <c r="AD134" s="239"/>
      <c r="AE134" s="239"/>
      <c r="AF134" s="239"/>
      <c r="AG134" s="239"/>
      <c r="AH134" s="239"/>
      <c r="AI134" s="239"/>
      <c r="AJ134" s="239"/>
    </row>
    <row r="135" spans="18:36" x14ac:dyDescent="0.25">
      <c r="R135" s="79"/>
      <c r="S135" s="241"/>
      <c r="U135" s="177"/>
      <c r="V135" s="78"/>
      <c r="W135" s="79"/>
      <c r="X135" s="242"/>
      <c r="Y135" s="78"/>
      <c r="Z135" s="78"/>
      <c r="AA135" s="78"/>
      <c r="AB135" s="78"/>
      <c r="AC135" s="243"/>
      <c r="AD135" s="243"/>
      <c r="AE135" s="160"/>
      <c r="AF135" s="244"/>
      <c r="AG135" s="79"/>
      <c r="AH135" s="184"/>
      <c r="AI135" s="184"/>
      <c r="AJ135" s="184"/>
    </row>
    <row r="136" spans="18:36" x14ac:dyDescent="0.25">
      <c r="R136" s="79"/>
      <c r="S136" s="241"/>
      <c r="U136" s="177"/>
      <c r="V136" s="78"/>
      <c r="W136" s="79"/>
      <c r="X136" s="242"/>
      <c r="Y136" s="78"/>
      <c r="Z136" s="78"/>
      <c r="AA136" s="78"/>
      <c r="AB136" s="78"/>
      <c r="AC136" s="243"/>
      <c r="AD136" s="243"/>
      <c r="AE136" s="160"/>
      <c r="AF136" s="244"/>
      <c r="AG136" s="79"/>
      <c r="AH136" s="184"/>
      <c r="AI136" s="184"/>
      <c r="AJ136" s="184"/>
    </row>
    <row r="137" spans="18:36" x14ac:dyDescent="0.25">
      <c r="R137" s="79"/>
      <c r="S137" s="241"/>
      <c r="U137" s="177"/>
      <c r="V137" s="78"/>
      <c r="W137" s="79"/>
      <c r="X137" s="242"/>
      <c r="Y137" s="78"/>
      <c r="Z137" s="78"/>
      <c r="AA137" s="78"/>
      <c r="AB137" s="78"/>
      <c r="AC137" s="243"/>
      <c r="AD137" s="243"/>
      <c r="AE137" s="160"/>
      <c r="AF137" s="244"/>
      <c r="AG137" s="79"/>
      <c r="AH137" s="184"/>
      <c r="AI137" s="184"/>
      <c r="AJ137" s="184"/>
    </row>
    <row r="138" spans="18:36" x14ac:dyDescent="0.25">
      <c r="R138" s="79"/>
      <c r="S138" s="241"/>
      <c r="U138" s="177"/>
      <c r="V138" s="78"/>
      <c r="W138" s="79"/>
      <c r="X138" s="242"/>
      <c r="Y138" s="78"/>
      <c r="Z138" s="78"/>
      <c r="AA138" s="78"/>
      <c r="AB138" s="78"/>
      <c r="AC138" s="243"/>
      <c r="AD138" s="243"/>
      <c r="AE138" s="160"/>
      <c r="AF138" s="244"/>
      <c r="AG138" s="79"/>
      <c r="AH138" s="184"/>
      <c r="AI138" s="184"/>
      <c r="AJ138" s="184"/>
    </row>
    <row r="139" spans="18:36" x14ac:dyDescent="0.25">
      <c r="R139" s="79"/>
      <c r="S139" s="241"/>
      <c r="U139" s="177"/>
      <c r="V139" s="78"/>
      <c r="W139" s="79"/>
      <c r="X139" s="242"/>
      <c r="Y139" s="78"/>
      <c r="Z139" s="78"/>
      <c r="AA139" s="78"/>
      <c r="AB139" s="78"/>
      <c r="AC139" s="243"/>
      <c r="AD139" s="243"/>
      <c r="AE139" s="160"/>
      <c r="AF139" s="244"/>
      <c r="AG139" s="79"/>
      <c r="AH139" s="184"/>
      <c r="AI139" s="184"/>
      <c r="AJ139" s="184"/>
    </row>
    <row r="140" spans="18:36" x14ac:dyDescent="0.25">
      <c r="R140" s="79"/>
      <c r="S140" s="241"/>
      <c r="U140" s="177"/>
      <c r="V140" s="78"/>
      <c r="W140" s="79"/>
      <c r="X140" s="242"/>
      <c r="Y140" s="78"/>
      <c r="Z140" s="78"/>
      <c r="AA140" s="78"/>
      <c r="AB140" s="78"/>
      <c r="AC140" s="243"/>
      <c r="AD140" s="243"/>
      <c r="AE140" s="160"/>
      <c r="AF140" s="244"/>
      <c r="AG140" s="79"/>
      <c r="AH140" s="184"/>
      <c r="AI140" s="184"/>
      <c r="AJ140" s="184"/>
    </row>
    <row r="141" spans="18:36" x14ac:dyDescent="0.25">
      <c r="R141" s="79"/>
      <c r="S141" s="241"/>
      <c r="U141" s="177"/>
      <c r="V141" s="78"/>
      <c r="W141" s="245"/>
      <c r="X141" s="242"/>
      <c r="Y141" s="78"/>
      <c r="Z141" s="78"/>
      <c r="AA141" s="78"/>
      <c r="AB141" s="78"/>
      <c r="AC141" s="243"/>
      <c r="AD141" s="243"/>
      <c r="AE141" s="160"/>
      <c r="AF141" s="160"/>
      <c r="AG141" s="170"/>
      <c r="AH141" s="160"/>
      <c r="AI141" s="160"/>
      <c r="AJ141" s="160"/>
    </row>
    <row r="142" spans="18:36" x14ac:dyDescent="0.25">
      <c r="X142" s="246"/>
      <c r="Y142" s="164"/>
      <c r="Z142" s="247"/>
    </row>
  </sheetData>
  <mergeCells count="134">
    <mergeCell ref="AB55:AB56"/>
    <mergeCell ref="AD55:AD56"/>
    <mergeCell ref="AJ55:AJ56"/>
    <mergeCell ref="A1:P2"/>
    <mergeCell ref="P3:P4"/>
    <mergeCell ref="U15:AJ15"/>
    <mergeCell ref="U2:AJ2"/>
    <mergeCell ref="U28:AJ28"/>
    <mergeCell ref="U41:AJ41"/>
    <mergeCell ref="U54:AJ54"/>
    <mergeCell ref="AJ3:AJ4"/>
    <mergeCell ref="AJ16:AJ17"/>
    <mergeCell ref="AJ29:AJ30"/>
    <mergeCell ref="AJ42:AJ43"/>
    <mergeCell ref="R55:R56"/>
    <mergeCell ref="S55:S56"/>
    <mergeCell ref="U55:U56"/>
    <mergeCell ref="V55:V56"/>
    <mergeCell ref="W55:W56"/>
    <mergeCell ref="R54:S54"/>
    <mergeCell ref="R41:S41"/>
    <mergeCell ref="AG42:AG43"/>
    <mergeCell ref="B14:H14"/>
    <mergeCell ref="A3:A4"/>
    <mergeCell ref="B3:B4"/>
    <mergeCell ref="C3:C4"/>
    <mergeCell ref="D3:D4"/>
    <mergeCell ref="E3:E4"/>
    <mergeCell ref="AF29:AF30"/>
    <mergeCell ref="AG29:AG30"/>
    <mergeCell ref="AH29:AH30"/>
    <mergeCell ref="V29:V30"/>
    <mergeCell ref="W29:W30"/>
    <mergeCell ref="X29:X30"/>
    <mergeCell ref="Y29:Y30"/>
    <mergeCell ref="Z29:Z30"/>
    <mergeCell ref="AA29:AA30"/>
    <mergeCell ref="AC29:AC30"/>
    <mergeCell ref="X3:X4"/>
    <mergeCell ref="Y3:Y4"/>
    <mergeCell ref="R3:R4"/>
    <mergeCell ref="Z16:Z17"/>
    <mergeCell ref="AA16:AA17"/>
    <mergeCell ref="AB16:AB17"/>
    <mergeCell ref="AD16:AD17"/>
    <mergeCell ref="AB29:AB30"/>
    <mergeCell ref="AD29:AD30"/>
    <mergeCell ref="AK3:AK4"/>
    <mergeCell ref="M3:M4"/>
    <mergeCell ref="I3:I4"/>
    <mergeCell ref="K3:K4"/>
    <mergeCell ref="L3:L4"/>
    <mergeCell ref="N3:N4"/>
    <mergeCell ref="Z3:Z4"/>
    <mergeCell ref="AA3:AA4"/>
    <mergeCell ref="AC3:AC4"/>
    <mergeCell ref="AE3:AE4"/>
    <mergeCell ref="AI3:AI4"/>
    <mergeCell ref="S3:S4"/>
    <mergeCell ref="U3:U4"/>
    <mergeCell ref="W3:W4"/>
    <mergeCell ref="V3:V4"/>
    <mergeCell ref="O3:O4"/>
    <mergeCell ref="AF3:AF4"/>
    <mergeCell ref="AG3:AG4"/>
    <mergeCell ref="AH3:AH4"/>
    <mergeCell ref="J3:J4"/>
    <mergeCell ref="AK55:AK56"/>
    <mergeCell ref="AK42:AK43"/>
    <mergeCell ref="AK29:AK30"/>
    <mergeCell ref="AK16:AK17"/>
    <mergeCell ref="AF42:AF43"/>
    <mergeCell ref="R67:S67"/>
    <mergeCell ref="AF16:AF17"/>
    <mergeCell ref="AG16:AG17"/>
    <mergeCell ref="AH16:AH17"/>
    <mergeCell ref="AF55:AF56"/>
    <mergeCell ref="AG55:AG56"/>
    <mergeCell ref="AH55:AH56"/>
    <mergeCell ref="X55:X56"/>
    <mergeCell ref="Y55:Y56"/>
    <mergeCell ref="Z55:Z56"/>
    <mergeCell ref="AA55:AA56"/>
    <mergeCell ref="AC55:AC56"/>
    <mergeCell ref="AE55:AE56"/>
    <mergeCell ref="AE42:AE43"/>
    <mergeCell ref="X16:X17"/>
    <mergeCell ref="R16:R17"/>
    <mergeCell ref="S16:S17"/>
    <mergeCell ref="AC16:AC17"/>
    <mergeCell ref="AH42:AH43"/>
    <mergeCell ref="AI55:AI56"/>
    <mergeCell ref="B33:B34"/>
    <mergeCell ref="C33:C34"/>
    <mergeCell ref="B32:C32"/>
    <mergeCell ref="B29:C29"/>
    <mergeCell ref="K14:L14"/>
    <mergeCell ref="W16:W17"/>
    <mergeCell ref="B27:C27"/>
    <mergeCell ref="AI16:AI17"/>
    <mergeCell ref="B26:C26"/>
    <mergeCell ref="B25:C25"/>
    <mergeCell ref="B23:D23"/>
    <mergeCell ref="AE16:AE17"/>
    <mergeCell ref="Z42:Z43"/>
    <mergeCell ref="AA42:AA43"/>
    <mergeCell ref="AC42:AC43"/>
    <mergeCell ref="R42:R43"/>
    <mergeCell ref="S42:S43"/>
    <mergeCell ref="U42:U43"/>
    <mergeCell ref="V42:V43"/>
    <mergeCell ref="W42:W43"/>
    <mergeCell ref="X42:X43"/>
    <mergeCell ref="Y42:Y43"/>
    <mergeCell ref="AI29:AI30"/>
    <mergeCell ref="R2:S2"/>
    <mergeCell ref="R28:S28"/>
    <mergeCell ref="R29:R30"/>
    <mergeCell ref="S29:S30"/>
    <mergeCell ref="U29:U30"/>
    <mergeCell ref="AE29:AE30"/>
    <mergeCell ref="Y16:Y17"/>
    <mergeCell ref="R15:S15"/>
    <mergeCell ref="U16:U17"/>
    <mergeCell ref="V16:V17"/>
    <mergeCell ref="AI42:AI43"/>
    <mergeCell ref="AB3:AB4"/>
    <mergeCell ref="AD3:AD4"/>
    <mergeCell ref="F3:F4"/>
    <mergeCell ref="G3:G4"/>
    <mergeCell ref="H3:H4"/>
    <mergeCell ref="AB42:AB43"/>
    <mergeCell ref="AD42:AD43"/>
    <mergeCell ref="E46:I46"/>
  </mergeCells>
  <conditionalFormatting sqref="AG57:AH62">
    <cfRule type="cellIs" dxfId="1" priority="1" operator="between">
      <formula>0.95</formula>
      <formula>0.999</formula>
    </cfRule>
    <cfRule type="cellIs" dxfId="0" priority="2" operator="between">
      <formula>0.999</formula>
      <formula>1.001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44" r:id="rId4" name="ToggleButton6">
          <controlPr defaultSize="0" autoLine="0" r:id="rId5">
            <anchor moveWithCells="1">
              <from>
                <xdr:col>8</xdr:col>
                <xdr:colOff>0</xdr:colOff>
                <xdr:row>20</xdr:row>
                <xdr:rowOff>19050</xdr:rowOff>
              </from>
              <to>
                <xdr:col>9</xdr:col>
                <xdr:colOff>9525</xdr:colOff>
                <xdr:row>20</xdr:row>
                <xdr:rowOff>190500</xdr:rowOff>
              </to>
            </anchor>
          </controlPr>
        </control>
      </mc:Choice>
      <mc:Fallback>
        <control shapeId="5144" r:id="rId4" name="ToggleButton6"/>
      </mc:Fallback>
    </mc:AlternateContent>
    <mc:AlternateContent xmlns:mc="http://schemas.openxmlformats.org/markup-compatibility/2006">
      <mc:Choice Requires="x14">
        <control shapeId="5143" r:id="rId6" name="ToggleButton5">
          <controlPr defaultSize="0" autoLine="0" r:id="rId5">
            <anchor moveWithCells="1">
              <from>
                <xdr:col>8</xdr:col>
                <xdr:colOff>0</xdr:colOff>
                <xdr:row>19</xdr:row>
                <xdr:rowOff>19050</xdr:rowOff>
              </from>
              <to>
                <xdr:col>9</xdr:col>
                <xdr:colOff>9525</xdr:colOff>
                <xdr:row>19</xdr:row>
                <xdr:rowOff>190500</xdr:rowOff>
              </to>
            </anchor>
          </controlPr>
        </control>
      </mc:Choice>
      <mc:Fallback>
        <control shapeId="5143" r:id="rId6" name="ToggleButton5"/>
      </mc:Fallback>
    </mc:AlternateContent>
    <mc:AlternateContent xmlns:mc="http://schemas.openxmlformats.org/markup-compatibility/2006">
      <mc:Choice Requires="x14">
        <control shapeId="5142" r:id="rId7" name="ToggleButton4">
          <controlPr defaultSize="0" autoLine="0" r:id="rId5">
            <anchor moveWithCells="1">
              <from>
                <xdr:col>8</xdr:col>
                <xdr:colOff>0</xdr:colOff>
                <xdr:row>18</xdr:row>
                <xdr:rowOff>19050</xdr:rowOff>
              </from>
              <to>
                <xdr:col>9</xdr:col>
                <xdr:colOff>9525</xdr:colOff>
                <xdr:row>18</xdr:row>
                <xdr:rowOff>190500</xdr:rowOff>
              </to>
            </anchor>
          </controlPr>
        </control>
      </mc:Choice>
      <mc:Fallback>
        <control shapeId="5142" r:id="rId7" name="ToggleButton4"/>
      </mc:Fallback>
    </mc:AlternateContent>
    <mc:AlternateContent xmlns:mc="http://schemas.openxmlformats.org/markup-compatibility/2006">
      <mc:Choice Requires="x14">
        <control shapeId="5141" r:id="rId8" name="ToggleButton3">
          <controlPr defaultSize="0" autoLine="0" r:id="rId5">
            <anchor moveWithCells="1">
              <from>
                <xdr:col>8</xdr:col>
                <xdr:colOff>0</xdr:colOff>
                <xdr:row>17</xdr:row>
                <xdr:rowOff>19050</xdr:rowOff>
              </from>
              <to>
                <xdr:col>9</xdr:col>
                <xdr:colOff>9525</xdr:colOff>
                <xdr:row>17</xdr:row>
                <xdr:rowOff>190500</xdr:rowOff>
              </to>
            </anchor>
          </controlPr>
        </control>
      </mc:Choice>
      <mc:Fallback>
        <control shapeId="5141" r:id="rId8" name="ToggleButton3"/>
      </mc:Fallback>
    </mc:AlternateContent>
    <mc:AlternateContent xmlns:mc="http://schemas.openxmlformats.org/markup-compatibility/2006">
      <mc:Choice Requires="x14">
        <control shapeId="5140" r:id="rId9" name="ToggleButton2">
          <controlPr defaultSize="0" autoLine="0" r:id="rId5">
            <anchor moveWithCells="1">
              <from>
                <xdr:col>8</xdr:col>
                <xdr:colOff>0</xdr:colOff>
                <xdr:row>16</xdr:row>
                <xdr:rowOff>19050</xdr:rowOff>
              </from>
              <to>
                <xdr:col>9</xdr:col>
                <xdr:colOff>9525</xdr:colOff>
                <xdr:row>16</xdr:row>
                <xdr:rowOff>190500</xdr:rowOff>
              </to>
            </anchor>
          </controlPr>
        </control>
      </mc:Choice>
      <mc:Fallback>
        <control shapeId="5140" r:id="rId9" name="ToggleButton2"/>
      </mc:Fallback>
    </mc:AlternateContent>
    <mc:AlternateContent xmlns:mc="http://schemas.openxmlformats.org/markup-compatibility/2006">
      <mc:Choice Requires="x14">
        <control shapeId="5139" r:id="rId10" name="ToggleButton1">
          <controlPr defaultSize="0" autoLine="0" r:id="rId5">
            <anchor moveWithCells="1">
              <from>
                <xdr:col>8</xdr:col>
                <xdr:colOff>0</xdr:colOff>
                <xdr:row>15</xdr:row>
                <xdr:rowOff>19050</xdr:rowOff>
              </from>
              <to>
                <xdr:col>9</xdr:col>
                <xdr:colOff>9525</xdr:colOff>
                <xdr:row>15</xdr:row>
                <xdr:rowOff>190500</xdr:rowOff>
              </to>
            </anchor>
          </controlPr>
        </control>
      </mc:Choice>
      <mc:Fallback>
        <control shapeId="5139" r:id="rId10" name="ToggleButton1"/>
      </mc:Fallback>
    </mc:AlternateContent>
    <mc:AlternateContent xmlns:mc="http://schemas.openxmlformats.org/markup-compatibility/2006">
      <mc:Choice Requires="x14">
        <control shapeId="5126" r:id="rId11" name="CommandButton6">
          <controlPr defaultSize="0" autoFill="0" autoLine="0" r:id="rId12">
            <anchor moveWithCells="1">
              <from>
                <xdr:col>20</xdr:col>
                <xdr:colOff>447675</xdr:colOff>
                <xdr:row>69</xdr:row>
                <xdr:rowOff>19050</xdr:rowOff>
              </from>
              <to>
                <xdr:col>22</xdr:col>
                <xdr:colOff>142875</xdr:colOff>
                <xdr:row>71</xdr:row>
                <xdr:rowOff>114300</xdr:rowOff>
              </to>
            </anchor>
          </controlPr>
        </control>
      </mc:Choice>
      <mc:Fallback>
        <control shapeId="5126" r:id="rId11" name="CommandButton6"/>
      </mc:Fallback>
    </mc:AlternateContent>
    <mc:AlternateContent xmlns:mc="http://schemas.openxmlformats.org/markup-compatibility/2006">
      <mc:Choice Requires="x14">
        <control shapeId="5125" r:id="rId13" name="CommandButton5">
          <controlPr defaultSize="0" autoFill="0" autoLine="0" r:id="rId14">
            <anchor moveWithCells="1">
              <from>
                <xdr:col>22</xdr:col>
                <xdr:colOff>200025</xdr:colOff>
                <xdr:row>69</xdr:row>
                <xdr:rowOff>19050</xdr:rowOff>
              </from>
              <to>
                <xdr:col>23</xdr:col>
                <xdr:colOff>619125</xdr:colOff>
                <xdr:row>71</xdr:row>
                <xdr:rowOff>114300</xdr:rowOff>
              </to>
            </anchor>
          </controlPr>
        </control>
      </mc:Choice>
      <mc:Fallback>
        <control shapeId="5125" r:id="rId13" name="CommandButton5"/>
      </mc:Fallback>
    </mc:AlternateContent>
    <mc:AlternateContent xmlns:mc="http://schemas.openxmlformats.org/markup-compatibility/2006">
      <mc:Choice Requires="x14">
        <control shapeId="5123" r:id="rId15" name="CommandButton3">
          <controlPr defaultSize="0" autoFill="0" autoLine="0" r:id="rId16">
            <anchor moveWithCells="1">
              <from>
                <xdr:col>24</xdr:col>
                <xdr:colOff>28575</xdr:colOff>
                <xdr:row>65</xdr:row>
                <xdr:rowOff>142875</xdr:rowOff>
              </from>
              <to>
                <xdr:col>25</xdr:col>
                <xdr:colOff>447675</xdr:colOff>
                <xdr:row>68</xdr:row>
                <xdr:rowOff>57150</xdr:rowOff>
              </to>
            </anchor>
          </controlPr>
        </control>
      </mc:Choice>
      <mc:Fallback>
        <control shapeId="5123" r:id="rId15" name="CommandButton3"/>
      </mc:Fallback>
    </mc:AlternateContent>
    <mc:AlternateContent xmlns:mc="http://schemas.openxmlformats.org/markup-compatibility/2006">
      <mc:Choice Requires="x14">
        <control shapeId="5122" r:id="rId17" name="CommandButton2">
          <controlPr defaultSize="0" autoFill="0" autoLine="0" r:id="rId18">
            <anchor moveWithCells="1">
              <from>
                <xdr:col>20</xdr:col>
                <xdr:colOff>476250</xdr:colOff>
                <xdr:row>65</xdr:row>
                <xdr:rowOff>152400</xdr:rowOff>
              </from>
              <to>
                <xdr:col>22</xdr:col>
                <xdr:colOff>171450</xdr:colOff>
                <xdr:row>68</xdr:row>
                <xdr:rowOff>66675</xdr:rowOff>
              </to>
            </anchor>
          </controlPr>
        </control>
      </mc:Choice>
      <mc:Fallback>
        <control shapeId="5122" r:id="rId17" name="CommandButton2"/>
      </mc:Fallback>
    </mc:AlternateContent>
    <mc:AlternateContent xmlns:mc="http://schemas.openxmlformats.org/markup-compatibility/2006">
      <mc:Choice Requires="x14">
        <control shapeId="5121" r:id="rId19" name="CommandButton1">
          <controlPr defaultSize="0" autoFill="0" autoLine="0" r:id="rId20">
            <anchor moveWithCells="1">
              <from>
                <xdr:col>22</xdr:col>
                <xdr:colOff>209550</xdr:colOff>
                <xdr:row>65</xdr:row>
                <xdr:rowOff>152400</xdr:rowOff>
              </from>
              <to>
                <xdr:col>23</xdr:col>
                <xdr:colOff>628650</xdr:colOff>
                <xdr:row>68</xdr:row>
                <xdr:rowOff>76200</xdr:rowOff>
              </to>
            </anchor>
          </controlPr>
        </control>
      </mc:Choice>
      <mc:Fallback>
        <control shapeId="5121" r:id="rId19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1BD5A-93A1-44A9-A055-9C894575C9C3}">
  <sheetPr codeName="Sheet6"/>
  <dimension ref="B2:AB247"/>
  <sheetViews>
    <sheetView topLeftCell="A136" zoomScale="80" zoomScaleNormal="80" workbookViewId="0">
      <selection activeCell="I55" sqref="I55"/>
    </sheetView>
  </sheetViews>
  <sheetFormatPr defaultColWidth="11.85546875" defaultRowHeight="15" x14ac:dyDescent="0.25"/>
  <cols>
    <col min="1" max="1" width="2.85546875" style="1" customWidth="1"/>
    <col min="2" max="2" width="11.85546875" style="1"/>
    <col min="3" max="3" width="13.85546875" style="1" bestFit="1" customWidth="1"/>
    <col min="4" max="4" width="16.28515625" style="1" bestFit="1" customWidth="1"/>
    <col min="5" max="5" width="11.85546875" style="1"/>
    <col min="6" max="6" width="14.28515625" style="1" customWidth="1"/>
    <col min="7" max="7" width="12.85546875" style="1" bestFit="1" customWidth="1"/>
    <col min="8" max="8" width="13.140625" style="1" bestFit="1" customWidth="1"/>
    <col min="9" max="9" width="3.140625" style="1" customWidth="1"/>
    <col min="10" max="13" width="11.85546875" style="1"/>
    <col min="14" max="14" width="12.7109375" style="1" customWidth="1"/>
    <col min="15" max="15" width="11.85546875" style="1"/>
    <col min="16" max="16" width="13" style="1" customWidth="1"/>
    <col min="17" max="17" width="11.85546875" style="1"/>
    <col min="18" max="18" width="13.28515625" style="1" customWidth="1"/>
    <col min="19" max="22" width="11.85546875" style="1"/>
    <col min="23" max="23" width="2.85546875" style="1" customWidth="1"/>
    <col min="24" max="26" width="11.85546875" style="1"/>
    <col min="27" max="27" width="13" style="1" customWidth="1"/>
    <col min="28" max="28" width="13" style="1" bestFit="1" customWidth="1"/>
    <col min="29" max="16384" width="11.85546875" style="1"/>
  </cols>
  <sheetData>
    <row r="2" spans="2:28" ht="15.6" x14ac:dyDescent="0.3">
      <c r="B2" s="1045" t="s">
        <v>95</v>
      </c>
      <c r="C2" s="1045"/>
      <c r="D2" s="1045"/>
      <c r="E2" s="1045"/>
      <c r="F2" s="1045"/>
      <c r="G2" s="1045"/>
      <c r="H2" s="1045"/>
      <c r="J2" s="1040" t="s">
        <v>103</v>
      </c>
      <c r="K2" s="1041"/>
      <c r="L2" s="1041"/>
      <c r="M2" s="1041"/>
      <c r="N2" s="1041"/>
      <c r="O2" s="1041"/>
      <c r="P2" s="1041"/>
      <c r="Q2" s="1041"/>
      <c r="R2" s="1041"/>
      <c r="S2" s="1041"/>
      <c r="T2" s="1041"/>
      <c r="U2" s="1041"/>
      <c r="V2" s="1042"/>
      <c r="W2" s="34"/>
      <c r="X2" s="1039" t="s">
        <v>106</v>
      </c>
      <c r="Y2" s="1039"/>
      <c r="Z2" s="1039"/>
      <c r="AA2" s="1039"/>
      <c r="AB2" s="1039"/>
    </row>
    <row r="3" spans="2:28" ht="15" customHeight="1" x14ac:dyDescent="0.25">
      <c r="B3" s="696" t="s">
        <v>57</v>
      </c>
      <c r="C3" s="696" t="s">
        <v>87</v>
      </c>
      <c r="D3" s="696"/>
      <c r="E3" s="698" t="s">
        <v>94</v>
      </c>
      <c r="F3" s="698" t="s">
        <v>86</v>
      </c>
      <c r="G3" s="696" t="s">
        <v>91</v>
      </c>
      <c r="H3" s="696"/>
      <c r="J3" s="964" t="s">
        <v>5</v>
      </c>
      <c r="K3" s="965" t="s">
        <v>3</v>
      </c>
      <c r="L3" s="965" t="s">
        <v>72</v>
      </c>
      <c r="M3" s="964" t="s">
        <v>74</v>
      </c>
      <c r="N3" s="964" t="s">
        <v>81</v>
      </c>
      <c r="O3" s="965" t="s">
        <v>101</v>
      </c>
      <c r="P3" s="965" t="s">
        <v>257</v>
      </c>
      <c r="Q3" s="965" t="s">
        <v>258</v>
      </c>
      <c r="R3" s="964" t="s">
        <v>394</v>
      </c>
      <c r="S3" s="964" t="s">
        <v>395</v>
      </c>
      <c r="T3" s="964" t="s">
        <v>75</v>
      </c>
      <c r="U3" s="965" t="s">
        <v>102</v>
      </c>
      <c r="V3" s="964" t="s">
        <v>79</v>
      </c>
      <c r="X3" s="696" t="s">
        <v>5</v>
      </c>
      <c r="Y3" s="1033" t="s">
        <v>76</v>
      </c>
      <c r="Z3" s="1033" t="s">
        <v>77</v>
      </c>
      <c r="AA3" s="1033" t="s">
        <v>104</v>
      </c>
      <c r="AB3" s="698" t="s">
        <v>105</v>
      </c>
    </row>
    <row r="4" spans="2:28" x14ac:dyDescent="0.25">
      <c r="B4" s="696"/>
      <c r="C4" s="8" t="s">
        <v>88</v>
      </c>
      <c r="D4" s="8" t="s">
        <v>89</v>
      </c>
      <c r="E4" s="698"/>
      <c r="F4" s="698"/>
      <c r="G4" s="696"/>
      <c r="H4" s="696"/>
      <c r="J4" s="701"/>
      <c r="K4" s="697"/>
      <c r="L4" s="697"/>
      <c r="M4" s="701"/>
      <c r="N4" s="701"/>
      <c r="O4" s="697"/>
      <c r="P4" s="697"/>
      <c r="Q4" s="697"/>
      <c r="R4" s="701"/>
      <c r="S4" s="701"/>
      <c r="T4" s="701"/>
      <c r="U4" s="697"/>
      <c r="V4" s="701"/>
      <c r="X4" s="696"/>
      <c r="Y4" s="1033"/>
      <c r="Z4" s="1033"/>
      <c r="AA4" s="1033"/>
      <c r="AB4" s="698"/>
    </row>
    <row r="5" spans="2:28" x14ac:dyDescent="0.25">
      <c r="B5" s="335">
        <v>6</v>
      </c>
      <c r="C5" s="17">
        <f>'Frame Capacities'!E10+'Frame Capacities'!F10+'Frame Capacities'!E16+'Frame Capacities'!F16+'Frame Capacities'!E22+'Frame Capacities'!F22+'Frame Capacities'!E28+'Frame Capacities'!F28+'Frame Capacities'!E34+'Frame Capacities'!F34</f>
        <v>908</v>
      </c>
      <c r="D5" s="17">
        <f>'Frame Capacities'!E78+'Frame Capacities'!E84+'Frame Capacities'!E90+'Frame Capacities'!E96+'Frame Capacities'!E102+'Frame Capacities'!E108</f>
        <v>203.6</v>
      </c>
      <c r="E5" s="17">
        <f>C5/D5</f>
        <v>4.4597249508840866</v>
      </c>
      <c r="F5" s="291" t="s">
        <v>38</v>
      </c>
      <c r="G5" s="249" t="s">
        <v>93</v>
      </c>
      <c r="H5" s="249" t="s">
        <v>90</v>
      </c>
      <c r="J5" s="250">
        <v>6</v>
      </c>
      <c r="K5" s="205">
        <f>hstr6</f>
        <v>3</v>
      </c>
      <c r="L5" s="205">
        <f t="shared" ref="L5:L7" si="0">L6+K5</f>
        <v>17.75</v>
      </c>
      <c r="M5" s="251">
        <f>'Yield Mechanism'!$X$57</f>
        <v>5.5160151453768761E-4</v>
      </c>
      <c r="N5" s="21">
        <f>M5-M6</f>
        <v>3.8666989517273809E-5</v>
      </c>
      <c r="O5" s="252">
        <f t="shared" ref="O5:O9" si="1">N5/K5</f>
        <v>1.2888996505757937E-5</v>
      </c>
      <c r="P5" s="251">
        <f>$C$26</f>
        <v>8.3125273614190701E-3</v>
      </c>
      <c r="Q5" s="251">
        <f>$D$26</f>
        <v>1.9976000809737945E-3</v>
      </c>
      <c r="R5" s="17">
        <f>O5/P5</f>
        <v>1.550550866825369E-3</v>
      </c>
      <c r="S5" s="17">
        <f t="shared" ref="S5:S10" si="2">O5/Q5</f>
        <v>6.45224068046432E-3</v>
      </c>
      <c r="T5" s="1065">
        <f>'Yield Mechanism'!$AI$57</f>
        <v>2.4248704391924543</v>
      </c>
      <c r="U5" s="205">
        <f>T5*K5</f>
        <v>7.2746113175773628</v>
      </c>
      <c r="V5" s="17">
        <f>U10/AB5</f>
        <v>10.000012796375236</v>
      </c>
      <c r="W5" s="79"/>
      <c r="X5" s="291">
        <v>6</v>
      </c>
      <c r="Y5" s="17">
        <f>mstr6</f>
        <v>63.074599999999997</v>
      </c>
      <c r="Z5" s="17">
        <f>Y5*M5</f>
        <v>3.4792044888858828E-2</v>
      </c>
      <c r="AA5" s="17">
        <f>Z5*L5</f>
        <v>0.61755879677724423</v>
      </c>
      <c r="AB5" s="17">
        <f>AA11/Z11</f>
        <v>12.389747822913925</v>
      </c>
    </row>
    <row r="6" spans="2:28" x14ac:dyDescent="0.25">
      <c r="B6" s="335">
        <v>5</v>
      </c>
      <c r="C6" s="17">
        <f>'Frame Capacities'!E9+'Frame Capacities'!F9+'Frame Capacities'!E15+'Frame Capacities'!F15+'Frame Capacities'!E21+'Frame Capacities'!F21+'Frame Capacities'!E27+'Frame Capacities'!F27+'Frame Capacities'!E33+'Frame Capacities'!F33</f>
        <v>908</v>
      </c>
      <c r="D6" s="17">
        <f>'Frame Capacities'!E77+'Frame Capacities'!E83+'Frame Capacities'!E89+'Frame Capacities'!E95+'Frame Capacities'!E101+'Frame Capacities'!E107+'Frame Capacities'!E78+'Frame Capacities'!E84+'Frame Capacities'!E90+'Frame Capacities'!E96+'Frame Capacities'!E102+'Frame Capacities'!E108</f>
        <v>451.00000000000011</v>
      </c>
      <c r="E6" s="17">
        <f t="shared" ref="E6:E10" si="3">C6/D6</f>
        <v>2.0133037694013298</v>
      </c>
      <c r="F6" s="291" t="s">
        <v>38</v>
      </c>
      <c r="G6" s="249" t="s">
        <v>93</v>
      </c>
      <c r="H6" s="249" t="s">
        <v>90</v>
      </c>
      <c r="J6" s="250">
        <v>5</v>
      </c>
      <c r="K6" s="205">
        <f>hstr5</f>
        <v>3</v>
      </c>
      <c r="L6" s="205">
        <f t="shared" si="0"/>
        <v>14.75</v>
      </c>
      <c r="M6" s="251">
        <f>'Yield Mechanism'!$X$58</f>
        <v>5.129345250204138E-4</v>
      </c>
      <c r="N6" s="21">
        <f t="shared" ref="N6:N8" si="4">M6-M7</f>
        <v>7.4231182883737791E-5</v>
      </c>
      <c r="O6" s="252">
        <f t="shared" si="1"/>
        <v>2.4743727627912597E-5</v>
      </c>
      <c r="P6" s="251">
        <f>$C$27</f>
        <v>9.5976000000000013E-3</v>
      </c>
      <c r="Q6" s="251">
        <f>$D$27</f>
        <v>1.9241439833606131E-3</v>
      </c>
      <c r="R6" s="17">
        <f t="shared" ref="R6:R10" si="5">O6/P6</f>
        <v>2.5781161569467985E-3</v>
      </c>
      <c r="S6" s="17">
        <f t="shared" si="2"/>
        <v>1.2859602941301953E-2</v>
      </c>
      <c r="T6" s="1065">
        <f>'Yield Mechanism'!$AI$58</f>
        <v>4.8300393004174342</v>
      </c>
      <c r="U6" s="205">
        <f>T6*K6+U5</f>
        <v>21.764729218829665</v>
      </c>
      <c r="V6" s="1011"/>
      <c r="W6" s="79"/>
      <c r="X6" s="291">
        <v>5</v>
      </c>
      <c r="Y6" s="17">
        <f>mstr5</f>
        <v>67.278400000000005</v>
      </c>
      <c r="Z6" s="17">
        <f t="shared" ref="Z6:Z10" si="6">Y6*M6</f>
        <v>3.450941414813341E-2</v>
      </c>
      <c r="AA6" s="17">
        <f t="shared" ref="AA6:AA10" si="7">Z6*L6</f>
        <v>0.50901385868496785</v>
      </c>
      <c r="AB6" s="335" t="s">
        <v>336</v>
      </c>
    </row>
    <row r="7" spans="2:28" x14ac:dyDescent="0.25">
      <c r="B7" s="335">
        <v>4</v>
      </c>
      <c r="C7" s="17">
        <f>'Frame Capacities'!E8+'Frame Capacities'!F8+'Frame Capacities'!E14+'Frame Capacities'!F14+'Frame Capacities'!E20+'Frame Capacities'!F20+'Frame Capacities'!E26+'Frame Capacities'!F26+'Frame Capacities'!E32+'Frame Capacities'!F32</f>
        <v>908</v>
      </c>
      <c r="D7" s="17">
        <f>'Frame Capacities'!E76+'Frame Capacities'!E82+'Frame Capacities'!E88+'Frame Capacities'!E94+'Frame Capacities'!E100+'Frame Capacities'!E106+'Frame Capacities'!E77+'Frame Capacities'!E83+'Frame Capacities'!E89+'Frame Capacities'!E95+'Frame Capacities'!E101+'Frame Capacities'!E107</f>
        <v>523.79999999999984</v>
      </c>
      <c r="E7" s="17">
        <f t="shared" si="3"/>
        <v>1.7334860633829712</v>
      </c>
      <c r="F7" s="291" t="s">
        <v>38</v>
      </c>
      <c r="G7" s="249" t="s">
        <v>93</v>
      </c>
      <c r="H7" s="249" t="s">
        <v>90</v>
      </c>
      <c r="J7" s="250">
        <v>4</v>
      </c>
      <c r="K7" s="205">
        <f>hstr4</f>
        <v>3</v>
      </c>
      <c r="L7" s="205">
        <f t="shared" si="0"/>
        <v>11.75</v>
      </c>
      <c r="M7" s="251">
        <f>'Yield Mechanism'!$X$59</f>
        <v>4.3870334213667601E-4</v>
      </c>
      <c r="N7" s="21">
        <f t="shared" si="4"/>
        <v>1.0053006869018433E-4</v>
      </c>
      <c r="O7" s="252">
        <f t="shared" si="1"/>
        <v>3.3510022896728109E-5</v>
      </c>
      <c r="P7" s="251">
        <f>$C$28</f>
        <v>8.8673064285714302E-3</v>
      </c>
      <c r="Q7" s="251">
        <f>$D$28</f>
        <v>1.8501735321027263E-3</v>
      </c>
      <c r="R7" s="17">
        <f t="shared" si="5"/>
        <v>3.7790532183206338E-3</v>
      </c>
      <c r="S7" s="17">
        <f t="shared" si="2"/>
        <v>1.8111826980166501E-2</v>
      </c>
      <c r="T7" s="1065">
        <f>'Yield Mechanism'!$AI$59</f>
        <v>6.8871388711668882</v>
      </c>
      <c r="U7" s="205">
        <f t="shared" ref="U7:U10" si="8">T7*K7+U6</f>
        <v>42.426145832330327</v>
      </c>
      <c r="V7" s="1012"/>
      <c r="W7" s="194"/>
      <c r="X7" s="291">
        <v>4</v>
      </c>
      <c r="Y7" s="17">
        <f>mstr4</f>
        <v>67.278400000000005</v>
      </c>
      <c r="Z7" s="17">
        <f t="shared" si="6"/>
        <v>2.9515258933608145E-2</v>
      </c>
      <c r="AA7" s="17">
        <f t="shared" si="7"/>
        <v>0.34680429246989569</v>
      </c>
      <c r="AB7" s="204">
        <f>T10/M5</f>
        <v>18129.129820250051</v>
      </c>
    </row>
    <row r="8" spans="2:28" x14ac:dyDescent="0.25">
      <c r="B8" s="8">
        <v>3</v>
      </c>
      <c r="C8" s="17">
        <f>'Frame Capacities'!E7+'Frame Capacities'!F7+'Frame Capacities'!E13+'Frame Capacities'!F13+'Frame Capacities'!E19+'Frame Capacities'!F19+'Frame Capacities'!E25+'Frame Capacities'!F25+'Frame Capacities'!E31+'Frame Capacities'!F31</f>
        <v>908</v>
      </c>
      <c r="D8" s="17">
        <f>'Frame Capacities'!E75+'Frame Capacities'!E81+'Frame Capacities'!E87+'Frame Capacities'!E93+'Frame Capacities'!E99+'Frame Capacities'!E105+'Frame Capacities'!E76+'Frame Capacities'!E82+'Frame Capacities'!E88+'Frame Capacities'!E94+'Frame Capacities'!E100+'Frame Capacities'!E106</f>
        <v>672</v>
      </c>
      <c r="E8" s="17">
        <f t="shared" si="3"/>
        <v>1.3511904761904763</v>
      </c>
      <c r="F8" s="19" t="s">
        <v>38</v>
      </c>
      <c r="G8" s="249" t="s">
        <v>93</v>
      </c>
      <c r="H8" s="249" t="s">
        <v>90</v>
      </c>
      <c r="J8" s="250">
        <v>3</v>
      </c>
      <c r="K8" s="205">
        <f>hstr3</f>
        <v>3</v>
      </c>
      <c r="L8" s="205">
        <f>L9+K8</f>
        <v>8.75</v>
      </c>
      <c r="M8" s="251">
        <f>'Yield Mechanism'!$X$60</f>
        <v>3.3817327344649168E-4</v>
      </c>
      <c r="N8" s="21">
        <f t="shared" si="4"/>
        <v>1.1536199890110882E-4</v>
      </c>
      <c r="O8" s="252">
        <f t="shared" si="1"/>
        <v>3.8453999633702941E-5</v>
      </c>
      <c r="P8" s="251">
        <f>$C$29</f>
        <v>8.3556867009551838E-3</v>
      </c>
      <c r="Q8" s="251">
        <f>$D$29</f>
        <v>1.7909714066512246E-3</v>
      </c>
      <c r="R8" s="17">
        <f t="shared" si="5"/>
        <v>4.6021351697290245E-3</v>
      </c>
      <c r="S8" s="17">
        <f t="shared" si="2"/>
        <v>2.1471029348036661E-2</v>
      </c>
      <c r="T8" s="1065">
        <f>'Yield Mechanism'!$AI$60</f>
        <v>8.472847474495925</v>
      </c>
      <c r="U8" s="205">
        <f t="shared" si="8"/>
        <v>67.844688255818099</v>
      </c>
      <c r="V8" s="1012"/>
      <c r="W8" s="194"/>
      <c r="X8" s="291">
        <v>3</v>
      </c>
      <c r="Y8" s="17">
        <f>mstr3</f>
        <v>67.278400000000005</v>
      </c>
      <c r="Z8" s="17">
        <f t="shared" si="6"/>
        <v>2.2751756760242447E-2</v>
      </c>
      <c r="AA8" s="17">
        <f t="shared" si="7"/>
        <v>0.1990778716521214</v>
      </c>
      <c r="AB8" s="360" t="s">
        <v>338</v>
      </c>
    </row>
    <row r="9" spans="2:28" x14ac:dyDescent="0.25">
      <c r="B9" s="8">
        <v>2</v>
      </c>
      <c r="C9" s="17">
        <f>'Frame Capacities'!E6+'Frame Capacities'!F6+'Frame Capacities'!E12+'Frame Capacities'!F12+'Frame Capacities'!E18+'Frame Capacities'!F18+'Frame Capacities'!E24+'Frame Capacities'!F24+'Frame Capacities'!E30+'Frame Capacities'!F30</f>
        <v>908</v>
      </c>
      <c r="D9" s="17">
        <f>'Frame Capacities'!E74+'Frame Capacities'!E80+'Frame Capacities'!E86+'Frame Capacities'!E92+'Frame Capacities'!E98+'Frame Capacities'!E104+'Frame Capacities'!E75+'Frame Capacities'!E81+'Frame Capacities'!E87+'Frame Capacities'!E93+'Frame Capacities'!E99+'Frame Capacities'!E105</f>
        <v>816.60000000000014</v>
      </c>
      <c r="E9" s="17">
        <f t="shared" si="3"/>
        <v>1.1119275042860639</v>
      </c>
      <c r="F9" s="19" t="s">
        <v>38</v>
      </c>
      <c r="G9" s="249" t="s">
        <v>93</v>
      </c>
      <c r="H9" s="249" t="s">
        <v>90</v>
      </c>
      <c r="J9" s="250">
        <v>2</v>
      </c>
      <c r="K9" s="205">
        <f>hstr2</f>
        <v>3</v>
      </c>
      <c r="L9" s="205">
        <f>L10+K9</f>
        <v>5.75</v>
      </c>
      <c r="M9" s="251">
        <f>'Yield Mechanism'!$X$61</f>
        <v>2.2281127454538285E-4</v>
      </c>
      <c r="N9" s="21">
        <f>M9-M10</f>
        <v>1.19935598851961E-4</v>
      </c>
      <c r="O9" s="252">
        <f t="shared" si="1"/>
        <v>3.997853295065367E-5</v>
      </c>
      <c r="P9" s="251">
        <f>$C$30</f>
        <v>6.4157970868129726E-3</v>
      </c>
      <c r="Q9" s="251">
        <f>$D$30</f>
        <v>1.7349058472302754E-3</v>
      </c>
      <c r="R9" s="17">
        <f t="shared" si="5"/>
        <v>6.2312651740226536E-3</v>
      </c>
      <c r="S9" s="17">
        <f t="shared" si="2"/>
        <v>2.3043632606621383E-2</v>
      </c>
      <c r="T9" s="1065">
        <f>'Yield Mechanism'!$AI$61</f>
        <v>9.5175986618025288</v>
      </c>
      <c r="U9" s="205">
        <f t="shared" si="8"/>
        <v>96.397484241225683</v>
      </c>
      <c r="V9" s="1012"/>
      <c r="W9" s="194"/>
      <c r="X9" s="291">
        <v>2</v>
      </c>
      <c r="Y9" s="17">
        <f>mstr2</f>
        <v>67.278400000000005</v>
      </c>
      <c r="Z9" s="17">
        <f t="shared" si="6"/>
        <v>1.4990386053374086E-2</v>
      </c>
      <c r="AA9" s="17">
        <f t="shared" si="7"/>
        <v>8.6194719806900993E-2</v>
      </c>
      <c r="AB9" s="17">
        <f>((Y10*M8+Y9*M9+Y8*M10+M7*Y7+M6*Y6+M5*Y5)^2)/(Y10*M8*M8+Y9*M9*M9+Y8*M10*M10+Y7*M7*M7+Y6*M6*M6+Y5*M5*M5)</f>
        <v>334.26818500347838</v>
      </c>
    </row>
    <row r="10" spans="2:28" x14ac:dyDescent="0.25">
      <c r="B10" s="8">
        <v>1</v>
      </c>
      <c r="C10" s="17">
        <f>'Frame Capacities'!E5+'Frame Capacities'!F5+'Frame Capacities'!E11+'Frame Capacities'!F11+'Frame Capacities'!E17+'Frame Capacities'!F17+'Frame Capacities'!E23+'Frame Capacities'!F23+'Frame Capacities'!E29+'Frame Capacities'!F29</f>
        <v>908</v>
      </c>
      <c r="D10" s="17">
        <f>'Frame Capacities'!E73+'Frame Capacities'!E79+'Frame Capacities'!E85+'Frame Capacities'!E91+'Frame Capacities'!E97+'Frame Capacities'!E103+'Frame Capacities'!E74+'Frame Capacities'!E80+'Frame Capacities'!E86+'Frame Capacities'!E92+'Frame Capacities'!E98+'Frame Capacities'!E104</f>
        <v>1029.8</v>
      </c>
      <c r="E10" s="17">
        <f t="shared" si="3"/>
        <v>0.8817246067197515</v>
      </c>
      <c r="F10" s="19" t="s">
        <v>38</v>
      </c>
      <c r="G10" s="249" t="s">
        <v>93</v>
      </c>
      <c r="H10" s="249" t="s">
        <v>90</v>
      </c>
      <c r="J10" s="250">
        <v>1</v>
      </c>
      <c r="K10" s="205">
        <f>hstr1</f>
        <v>2.75</v>
      </c>
      <c r="L10" s="205">
        <f>K10</f>
        <v>2.75</v>
      </c>
      <c r="M10" s="251">
        <f>'Yield Mechanism'!$X$62</f>
        <v>1.0287567569342185E-4</v>
      </c>
      <c r="N10" s="21">
        <f>M10</f>
        <v>1.0287567569342185E-4</v>
      </c>
      <c r="O10" s="252">
        <f>N10/K10</f>
        <v>3.7409336615789761E-5</v>
      </c>
      <c r="P10" s="251">
        <f>$C$31</f>
        <v>4.8471720397440425E-3</v>
      </c>
      <c r="Q10" s="251">
        <f>$D$31</f>
        <v>1.7665298310518072E-3</v>
      </c>
      <c r="R10" s="17">
        <f t="shared" si="5"/>
        <v>7.7177653916664325E-3</v>
      </c>
      <c r="S10" s="17">
        <f t="shared" si="2"/>
        <v>2.1176736423135247E-2</v>
      </c>
      <c r="T10" s="1065">
        <f>'Yield Mechanism'!$AI$62</f>
        <v>10.000055466100285</v>
      </c>
      <c r="U10" s="205">
        <f t="shared" si="8"/>
        <v>123.89763677300147</v>
      </c>
      <c r="V10" s="1013"/>
      <c r="W10" s="194"/>
      <c r="X10" s="291">
        <v>1</v>
      </c>
      <c r="Y10" s="17">
        <f>mstr1</f>
        <v>67.278400000000005</v>
      </c>
      <c r="Z10" s="17">
        <f t="shared" si="6"/>
        <v>6.9213108595723126E-3</v>
      </c>
      <c r="AA10" s="17">
        <f t="shared" si="7"/>
        <v>1.9033604863823859E-2</v>
      </c>
      <c r="AB10" s="335" t="s">
        <v>337</v>
      </c>
    </row>
    <row r="11" spans="2:28" x14ac:dyDescent="0.25">
      <c r="X11" s="292"/>
      <c r="Y11" s="335" t="s">
        <v>78</v>
      </c>
      <c r="Z11" s="253">
        <f>SUM(Z5:Z10)</f>
        <v>0.14348017164378923</v>
      </c>
      <c r="AA11" s="253">
        <f>SUM(AA5:AA10)</f>
        <v>1.7776831442549539</v>
      </c>
      <c r="AB11" s="204">
        <f>2*PI()*SQRT(AB9/AB7)</f>
        <v>0.85317655078832455</v>
      </c>
    </row>
    <row r="13" spans="2:28" ht="15.6" x14ac:dyDescent="0.3">
      <c r="B13" s="1046" t="s">
        <v>96</v>
      </c>
      <c r="C13" s="1046"/>
      <c r="D13" s="1046"/>
      <c r="E13" s="1046"/>
      <c r="F13" s="1046"/>
      <c r="G13" s="1046"/>
      <c r="H13" s="1046"/>
      <c r="J13" s="1037" t="s">
        <v>107</v>
      </c>
      <c r="K13" s="1037"/>
      <c r="L13" s="1037"/>
      <c r="M13" s="1037"/>
      <c r="N13" s="1037"/>
      <c r="O13" s="1037"/>
      <c r="P13" s="1037"/>
      <c r="Q13" s="1037"/>
      <c r="R13" s="1037"/>
      <c r="S13" s="1037"/>
      <c r="T13" s="1037"/>
      <c r="U13" s="1037"/>
      <c r="V13" s="1037"/>
      <c r="X13" s="1039" t="s">
        <v>106</v>
      </c>
      <c r="Y13" s="1039"/>
      <c r="Z13" s="1039"/>
      <c r="AA13" s="1039"/>
      <c r="AB13" s="1039"/>
    </row>
    <row r="14" spans="2:28" ht="15" customHeight="1" x14ac:dyDescent="0.25">
      <c r="B14" s="696" t="s">
        <v>57</v>
      </c>
      <c r="C14" s="696" t="s">
        <v>99</v>
      </c>
      <c r="D14" s="696"/>
      <c r="E14" s="698" t="s">
        <v>97</v>
      </c>
      <c r="F14" s="698" t="s">
        <v>86</v>
      </c>
      <c r="G14" s="696" t="s">
        <v>91</v>
      </c>
      <c r="H14" s="696"/>
      <c r="J14" s="964" t="s">
        <v>5</v>
      </c>
      <c r="K14" s="965" t="s">
        <v>3</v>
      </c>
      <c r="L14" s="965" t="s">
        <v>72</v>
      </c>
      <c r="M14" s="964" t="s">
        <v>74</v>
      </c>
      <c r="N14" s="964" t="s">
        <v>81</v>
      </c>
      <c r="O14" s="965" t="s">
        <v>101</v>
      </c>
      <c r="P14" s="965" t="s">
        <v>257</v>
      </c>
      <c r="Q14" s="965" t="s">
        <v>258</v>
      </c>
      <c r="R14" s="964" t="s">
        <v>394</v>
      </c>
      <c r="S14" s="964" t="s">
        <v>395</v>
      </c>
      <c r="T14" s="964" t="s">
        <v>75</v>
      </c>
      <c r="U14" s="965" t="s">
        <v>102</v>
      </c>
      <c r="V14" s="964" t="s">
        <v>79</v>
      </c>
      <c r="X14" s="696" t="s">
        <v>5</v>
      </c>
      <c r="Y14" s="1033" t="s">
        <v>76</v>
      </c>
      <c r="Z14" s="1033" t="s">
        <v>77</v>
      </c>
      <c r="AA14" s="1033" t="s">
        <v>104</v>
      </c>
      <c r="AB14" s="698" t="s">
        <v>105</v>
      </c>
    </row>
    <row r="15" spans="2:28" x14ac:dyDescent="0.25">
      <c r="B15" s="696"/>
      <c r="C15" s="8" t="s">
        <v>98</v>
      </c>
      <c r="D15" s="8" t="s">
        <v>100</v>
      </c>
      <c r="E15" s="698"/>
      <c r="F15" s="698"/>
      <c r="G15" s="696"/>
      <c r="H15" s="696"/>
      <c r="J15" s="701"/>
      <c r="K15" s="697"/>
      <c r="L15" s="697"/>
      <c r="M15" s="701"/>
      <c r="N15" s="701"/>
      <c r="O15" s="697"/>
      <c r="P15" s="697"/>
      <c r="Q15" s="697"/>
      <c r="R15" s="701"/>
      <c r="S15" s="701"/>
      <c r="T15" s="701"/>
      <c r="U15" s="697"/>
      <c r="V15" s="701"/>
      <c r="X15" s="696"/>
      <c r="Y15" s="1033"/>
      <c r="Z15" s="1033"/>
      <c r="AA15" s="1033"/>
      <c r="AB15" s="698"/>
    </row>
    <row r="16" spans="2:28" x14ac:dyDescent="0.25">
      <c r="B16" s="335">
        <v>6</v>
      </c>
      <c r="C16" s="214">
        <f>'Yield Mechanism'!AE57</f>
        <v>0.21046143765709696</v>
      </c>
      <c r="D16" s="17">
        <f>'Yield Mechanism'!C16</f>
        <v>135.73333333333332</v>
      </c>
      <c r="E16" s="17">
        <f t="shared" ref="E16:E21" si="9">C16/D16</f>
        <v>1.5505508668253707E-3</v>
      </c>
      <c r="F16" s="291" t="s">
        <v>38</v>
      </c>
      <c r="G16" s="249" t="s">
        <v>92</v>
      </c>
      <c r="H16" s="249" t="s">
        <v>66</v>
      </c>
      <c r="J16" s="250">
        <v>6</v>
      </c>
      <c r="K16" s="205">
        <f>hstr6</f>
        <v>3</v>
      </c>
      <c r="L16" s="205">
        <f t="shared" ref="L16:L18" si="10">L17+K16</f>
        <v>17.75</v>
      </c>
      <c r="M16" s="251">
        <f>'Yield Mechanism'!$X$57</f>
        <v>5.5160151453768761E-4</v>
      </c>
      <c r="N16" s="21">
        <f>M16-M17</f>
        <v>3.8666989517273809E-5</v>
      </c>
      <c r="O16" s="252">
        <f t="shared" ref="O16:O20" si="11">N16/K16</f>
        <v>1.2888996505757937E-5</v>
      </c>
      <c r="P16" s="251">
        <f>$C$26</f>
        <v>8.3125273614190701E-3</v>
      </c>
      <c r="Q16" s="251">
        <f>$D$26</f>
        <v>1.9976000809737945E-3</v>
      </c>
      <c r="R16" s="17">
        <f>O16/P16</f>
        <v>1.550550866825369E-3</v>
      </c>
      <c r="S16" s="17">
        <f t="shared" ref="S16:S21" si="12">O16/Q16</f>
        <v>6.45224068046432E-3</v>
      </c>
      <c r="T16" s="1065">
        <f>'Yield Mechanism'!$AI$57</f>
        <v>2.4248704391924543</v>
      </c>
      <c r="U16" s="205">
        <f>T16*K16</f>
        <v>7.2746113175773628</v>
      </c>
      <c r="V16" s="17">
        <f>U21/AB16</f>
        <v>10.000012796375236</v>
      </c>
      <c r="W16" s="194"/>
      <c r="X16" s="291">
        <v>6</v>
      </c>
      <c r="Y16" s="17">
        <f>mstr6</f>
        <v>63.074599999999997</v>
      </c>
      <c r="Z16" s="17">
        <f t="shared" ref="Z16:Z21" si="13">Y16*M16</f>
        <v>3.4792044888858828E-2</v>
      </c>
      <c r="AA16" s="17">
        <f t="shared" ref="AA16:AA21" si="14">Z16*L16</f>
        <v>0.61755879677724423</v>
      </c>
      <c r="AB16" s="17">
        <f>AA22/Z22</f>
        <v>12.389747822913925</v>
      </c>
    </row>
    <row r="17" spans="2:28" x14ac:dyDescent="0.25">
      <c r="B17" s="335">
        <v>5</v>
      </c>
      <c r="C17" s="214">
        <f>'Yield Mechanism'!AE58</f>
        <v>0.41662357096260277</v>
      </c>
      <c r="D17" s="17">
        <f>'Yield Mechanism'!C17</f>
        <v>161.60000000000002</v>
      </c>
      <c r="E17" s="17">
        <f t="shared" si="9"/>
        <v>2.578116156946799E-3</v>
      </c>
      <c r="F17" s="291" t="s">
        <v>38</v>
      </c>
      <c r="G17" s="249" t="s">
        <v>92</v>
      </c>
      <c r="H17" s="249" t="s">
        <v>66</v>
      </c>
      <c r="J17" s="250">
        <v>5</v>
      </c>
      <c r="K17" s="205">
        <f>hstr5</f>
        <v>3</v>
      </c>
      <c r="L17" s="205">
        <f t="shared" si="10"/>
        <v>14.75</v>
      </c>
      <c r="M17" s="251">
        <f>'Yield Mechanism'!$X$58</f>
        <v>5.129345250204138E-4</v>
      </c>
      <c r="N17" s="21">
        <f t="shared" ref="N17:N19" si="15">M17-M18</f>
        <v>7.4231182883737791E-5</v>
      </c>
      <c r="O17" s="252">
        <f t="shared" si="11"/>
        <v>2.4743727627912597E-5</v>
      </c>
      <c r="P17" s="251">
        <f>$C$27</f>
        <v>9.5976000000000013E-3</v>
      </c>
      <c r="Q17" s="251">
        <f>$D$27</f>
        <v>1.9241439833606131E-3</v>
      </c>
      <c r="R17" s="17">
        <f t="shared" ref="R17:R21" si="16">O17/P17</f>
        <v>2.5781161569467985E-3</v>
      </c>
      <c r="S17" s="17">
        <f t="shared" si="12"/>
        <v>1.2859602941301953E-2</v>
      </c>
      <c r="T17" s="1065">
        <f>'Yield Mechanism'!$AI$58</f>
        <v>4.8300393004174342</v>
      </c>
      <c r="U17" s="205">
        <f>T17*K17+U16</f>
        <v>21.764729218829665</v>
      </c>
      <c r="V17" s="1011"/>
      <c r="W17" s="194"/>
      <c r="X17" s="291">
        <v>5</v>
      </c>
      <c r="Y17" s="17">
        <f>mstr5</f>
        <v>67.278400000000005</v>
      </c>
      <c r="Z17" s="17">
        <f t="shared" si="13"/>
        <v>3.450941414813341E-2</v>
      </c>
      <c r="AA17" s="17">
        <f t="shared" si="14"/>
        <v>0.50901385868496785</v>
      </c>
      <c r="AB17" s="540" t="s">
        <v>336</v>
      </c>
    </row>
    <row r="18" spans="2:28" x14ac:dyDescent="0.25">
      <c r="B18" s="335">
        <v>4</v>
      </c>
      <c r="C18" s="214">
        <f>'Yield Mechanism'!AE59</f>
        <v>0.67115985157374469</v>
      </c>
      <c r="D18" s="17">
        <f>'Yield Mechanism'!C18</f>
        <v>177.6</v>
      </c>
      <c r="E18" s="17">
        <f t="shared" si="9"/>
        <v>3.7790532183206347E-3</v>
      </c>
      <c r="F18" s="291" t="s">
        <v>38</v>
      </c>
      <c r="G18" s="249" t="s">
        <v>92</v>
      </c>
      <c r="H18" s="249" t="s">
        <v>66</v>
      </c>
      <c r="J18" s="250">
        <v>4</v>
      </c>
      <c r="K18" s="205">
        <f>hstr4</f>
        <v>3</v>
      </c>
      <c r="L18" s="205">
        <f t="shared" si="10"/>
        <v>11.75</v>
      </c>
      <c r="M18" s="251">
        <f>'Yield Mechanism'!$X$59</f>
        <v>4.3870334213667601E-4</v>
      </c>
      <c r="N18" s="21">
        <f t="shared" si="15"/>
        <v>1.0053006869018433E-4</v>
      </c>
      <c r="O18" s="252">
        <f t="shared" si="11"/>
        <v>3.3510022896728109E-5</v>
      </c>
      <c r="P18" s="251">
        <f>$C$28</f>
        <v>8.8673064285714302E-3</v>
      </c>
      <c r="Q18" s="251">
        <f>$D$28</f>
        <v>1.8501735321027263E-3</v>
      </c>
      <c r="R18" s="17">
        <f t="shared" si="16"/>
        <v>3.7790532183206338E-3</v>
      </c>
      <c r="S18" s="17">
        <f t="shared" si="12"/>
        <v>1.8111826980166501E-2</v>
      </c>
      <c r="T18" s="1065">
        <f>'Yield Mechanism'!$AI$59</f>
        <v>6.8871388711668882</v>
      </c>
      <c r="U18" s="205">
        <f t="shared" ref="U18:U21" si="17">T18*K18+U17</f>
        <v>42.426145832330327</v>
      </c>
      <c r="V18" s="1012"/>
      <c r="W18" s="194"/>
      <c r="X18" s="291">
        <v>4</v>
      </c>
      <c r="Y18" s="17">
        <f>mstr4</f>
        <v>67.278400000000005</v>
      </c>
      <c r="Z18" s="17">
        <f t="shared" si="13"/>
        <v>2.9515258933608145E-2</v>
      </c>
      <c r="AA18" s="17">
        <f t="shared" si="14"/>
        <v>0.34680429246989569</v>
      </c>
      <c r="AB18" s="204">
        <f>T21/M16</f>
        <v>18129.129820250051</v>
      </c>
    </row>
    <row r="19" spans="2:28" x14ac:dyDescent="0.25">
      <c r="B19" s="8">
        <v>3</v>
      </c>
      <c r="C19" s="214">
        <f>'Yield Mechanism'!AE60</f>
        <v>1.1720104232243247</v>
      </c>
      <c r="D19" s="17">
        <f>'Yield Mechanism'!C19</f>
        <v>254.66666666666663</v>
      </c>
      <c r="E19" s="17">
        <f t="shared" si="9"/>
        <v>4.6021351697290245E-3</v>
      </c>
      <c r="F19" s="19" t="s">
        <v>38</v>
      </c>
      <c r="G19" s="249" t="s">
        <v>92</v>
      </c>
      <c r="H19" s="249" t="s">
        <v>66</v>
      </c>
      <c r="J19" s="250">
        <v>3</v>
      </c>
      <c r="K19" s="205">
        <f>hstr3</f>
        <v>3</v>
      </c>
      <c r="L19" s="205">
        <f>L20+K19</f>
        <v>8.75</v>
      </c>
      <c r="M19" s="251">
        <f>'Yield Mechanism'!$X$60</f>
        <v>3.3817327344649168E-4</v>
      </c>
      <c r="N19" s="21">
        <f t="shared" si="15"/>
        <v>1.1536199890110882E-4</v>
      </c>
      <c r="O19" s="252">
        <f t="shared" si="11"/>
        <v>3.8453999633702941E-5</v>
      </c>
      <c r="P19" s="251">
        <f>$C$29</f>
        <v>8.3556867009551838E-3</v>
      </c>
      <c r="Q19" s="251">
        <f>$D$29</f>
        <v>1.7909714066512246E-3</v>
      </c>
      <c r="R19" s="17">
        <f t="shared" si="16"/>
        <v>4.6021351697290245E-3</v>
      </c>
      <c r="S19" s="17">
        <f t="shared" si="12"/>
        <v>2.1471029348036661E-2</v>
      </c>
      <c r="T19" s="1065">
        <f>'Yield Mechanism'!$AI$60</f>
        <v>8.472847474495925</v>
      </c>
      <c r="U19" s="205">
        <f t="shared" si="17"/>
        <v>67.844688255818099</v>
      </c>
      <c r="V19" s="1012"/>
      <c r="W19" s="194"/>
      <c r="X19" s="291">
        <v>3</v>
      </c>
      <c r="Y19" s="17">
        <f>mstr3</f>
        <v>67.278400000000005</v>
      </c>
      <c r="Z19" s="17">
        <f t="shared" si="13"/>
        <v>2.2751756760242447E-2</v>
      </c>
      <c r="AA19" s="17">
        <f t="shared" si="14"/>
        <v>0.1990778716521214</v>
      </c>
      <c r="AB19" s="541" t="s">
        <v>338</v>
      </c>
    </row>
    <row r="20" spans="2:28" x14ac:dyDescent="0.25">
      <c r="B20" s="8">
        <v>2</v>
      </c>
      <c r="C20" s="214">
        <f>'Yield Mechanism'!AE61</f>
        <v>1.6820261793078481</v>
      </c>
      <c r="D20" s="17">
        <f>'Yield Mechanism'!C20</f>
        <v>269.93333333333334</v>
      </c>
      <c r="E20" s="17">
        <f t="shared" si="9"/>
        <v>6.2312651740226528E-3</v>
      </c>
      <c r="F20" s="19" t="s">
        <v>38</v>
      </c>
      <c r="G20" s="249" t="s">
        <v>92</v>
      </c>
      <c r="H20" s="249" t="s">
        <v>66</v>
      </c>
      <c r="J20" s="250">
        <v>2</v>
      </c>
      <c r="K20" s="205">
        <f>hstr2</f>
        <v>3</v>
      </c>
      <c r="L20" s="205">
        <f>L21+K20</f>
        <v>5.75</v>
      </c>
      <c r="M20" s="251">
        <f>'Yield Mechanism'!$X$61</f>
        <v>2.2281127454538285E-4</v>
      </c>
      <c r="N20" s="21">
        <f>M20-M21</f>
        <v>1.19935598851961E-4</v>
      </c>
      <c r="O20" s="252">
        <f t="shared" si="11"/>
        <v>3.997853295065367E-5</v>
      </c>
      <c r="P20" s="251">
        <f>$C$30</f>
        <v>6.4157970868129726E-3</v>
      </c>
      <c r="Q20" s="251">
        <f>$D$30</f>
        <v>1.7349058472302754E-3</v>
      </c>
      <c r="R20" s="17">
        <f t="shared" si="16"/>
        <v>6.2312651740226536E-3</v>
      </c>
      <c r="S20" s="17">
        <f t="shared" si="12"/>
        <v>2.3043632606621383E-2</v>
      </c>
      <c r="T20" s="1065">
        <f>'Yield Mechanism'!$AI$61</f>
        <v>9.5175986618025288</v>
      </c>
      <c r="U20" s="205">
        <f t="shared" si="17"/>
        <v>96.397484241225683</v>
      </c>
      <c r="V20" s="1012"/>
      <c r="W20" s="194"/>
      <c r="X20" s="291">
        <v>2</v>
      </c>
      <c r="Y20" s="17">
        <f>mstr2</f>
        <v>67.278400000000005</v>
      </c>
      <c r="Z20" s="17">
        <f t="shared" si="13"/>
        <v>1.4990386053374086E-2</v>
      </c>
      <c r="AA20" s="17">
        <f t="shared" si="14"/>
        <v>8.6194719806900993E-2</v>
      </c>
      <c r="AB20" s="17">
        <f>((Y21*M19+Y20*M20+Y19*M21+M18*Y18+M17*Y17+M16*Y16)^2)/(Y21*M19*M19+Y20*M20*M20+Y19*M21*M21+Y18*M18*M18+Y17*M17*M17+Y16*M16*M16)</f>
        <v>334.26818500347838</v>
      </c>
    </row>
    <row r="21" spans="2:28" x14ac:dyDescent="0.25">
      <c r="B21" s="8">
        <v>1</v>
      </c>
      <c r="C21" s="214">
        <f>'Yield Mechanism'!AE62</f>
        <v>3.1123642979483899</v>
      </c>
      <c r="D21" s="17">
        <f>'Yield Mechanism'!C21</f>
        <v>403.27272727272725</v>
      </c>
      <c r="E21" s="17">
        <f t="shared" si="9"/>
        <v>7.7177653916664316E-3</v>
      </c>
      <c r="F21" s="19" t="s">
        <v>38</v>
      </c>
      <c r="G21" s="249" t="s">
        <v>92</v>
      </c>
      <c r="H21" s="249" t="s">
        <v>66</v>
      </c>
      <c r="J21" s="250">
        <v>1</v>
      </c>
      <c r="K21" s="205">
        <f>hstr1</f>
        <v>2.75</v>
      </c>
      <c r="L21" s="205">
        <f>K21</f>
        <v>2.75</v>
      </c>
      <c r="M21" s="251">
        <f>'Yield Mechanism'!$X$62</f>
        <v>1.0287567569342185E-4</v>
      </c>
      <c r="N21" s="21">
        <f>M21</f>
        <v>1.0287567569342185E-4</v>
      </c>
      <c r="O21" s="252">
        <f>N21/K21</f>
        <v>3.7409336615789761E-5</v>
      </c>
      <c r="P21" s="251">
        <f>$C$31</f>
        <v>4.8471720397440425E-3</v>
      </c>
      <c r="Q21" s="251">
        <f>$D$31</f>
        <v>1.7665298310518072E-3</v>
      </c>
      <c r="R21" s="17">
        <f t="shared" si="16"/>
        <v>7.7177653916664325E-3</v>
      </c>
      <c r="S21" s="17">
        <f t="shared" si="12"/>
        <v>2.1176736423135247E-2</v>
      </c>
      <c r="T21" s="1065">
        <f>'Yield Mechanism'!$AI$62</f>
        <v>10.000055466100285</v>
      </c>
      <c r="U21" s="205">
        <f t="shared" si="17"/>
        <v>123.89763677300147</v>
      </c>
      <c r="V21" s="1013"/>
      <c r="W21" s="194"/>
      <c r="X21" s="291">
        <v>1</v>
      </c>
      <c r="Y21" s="17">
        <f>mstr1</f>
        <v>67.278400000000005</v>
      </c>
      <c r="Z21" s="17">
        <f t="shared" si="13"/>
        <v>6.9213108595723126E-3</v>
      </c>
      <c r="AA21" s="17">
        <f t="shared" si="14"/>
        <v>1.9033604863823859E-2</v>
      </c>
      <c r="AB21" s="540" t="s">
        <v>337</v>
      </c>
    </row>
    <row r="22" spans="2:28" x14ac:dyDescent="0.25">
      <c r="X22" s="292"/>
      <c r="Y22" s="540" t="s">
        <v>78</v>
      </c>
      <c r="Z22" s="253">
        <f>SUM(Z16:Z21)</f>
        <v>0.14348017164378923</v>
      </c>
      <c r="AA22" s="253">
        <f>SUM(AA16:AA21)</f>
        <v>1.7776831442549539</v>
      </c>
      <c r="AB22" s="204">
        <f>2*PI()*SQRT(AB20/AB18)</f>
        <v>0.85317655078832455</v>
      </c>
    </row>
    <row r="24" spans="2:28" ht="15.75" customHeight="1" x14ac:dyDescent="0.3">
      <c r="B24" s="1047" t="s">
        <v>256</v>
      </c>
      <c r="C24" s="1048"/>
      <c r="D24" s="1048"/>
      <c r="E24" s="1048"/>
      <c r="F24" s="1048"/>
      <c r="G24" s="1048"/>
      <c r="H24" s="1049"/>
      <c r="J24" s="1040" t="s">
        <v>108</v>
      </c>
      <c r="K24" s="1041"/>
      <c r="L24" s="1041"/>
      <c r="M24" s="1041"/>
      <c r="N24" s="1041"/>
      <c r="O24" s="1041"/>
      <c r="P24" s="1041"/>
      <c r="Q24" s="1041"/>
      <c r="R24" s="1041"/>
      <c r="S24" s="1041"/>
      <c r="T24" s="1041"/>
      <c r="U24" s="1041"/>
      <c r="V24" s="1042"/>
      <c r="X24" s="1043" t="s">
        <v>106</v>
      </c>
      <c r="Y24" s="1043"/>
      <c r="Z24" s="1043"/>
      <c r="AA24" s="1043"/>
      <c r="AB24" s="1043"/>
    </row>
    <row r="25" spans="2:28" ht="15" customHeight="1" x14ac:dyDescent="0.25">
      <c r="B25" s="542" t="s">
        <v>5</v>
      </c>
      <c r="C25" s="542" t="s">
        <v>310</v>
      </c>
      <c r="D25" s="542" t="s">
        <v>259</v>
      </c>
      <c r="E25" s="542" t="s">
        <v>70</v>
      </c>
      <c r="F25" s="416" t="s">
        <v>188</v>
      </c>
      <c r="G25" s="391" t="s">
        <v>189</v>
      </c>
      <c r="H25" s="542" t="s">
        <v>216</v>
      </c>
      <c r="J25" s="964" t="s">
        <v>5</v>
      </c>
      <c r="K25" s="965" t="s">
        <v>3</v>
      </c>
      <c r="L25" s="965" t="s">
        <v>72</v>
      </c>
      <c r="M25" s="964" t="s">
        <v>74</v>
      </c>
      <c r="N25" s="964" t="s">
        <v>81</v>
      </c>
      <c r="O25" s="965" t="s">
        <v>101</v>
      </c>
      <c r="P25" s="965" t="s">
        <v>257</v>
      </c>
      <c r="Q25" s="965" t="s">
        <v>258</v>
      </c>
      <c r="R25" s="964" t="s">
        <v>394</v>
      </c>
      <c r="S25" s="964" t="s">
        <v>395</v>
      </c>
      <c r="T25" s="964" t="s">
        <v>75</v>
      </c>
      <c r="U25" s="965" t="s">
        <v>102</v>
      </c>
      <c r="V25" s="964" t="s">
        <v>79</v>
      </c>
      <c r="X25" s="696" t="s">
        <v>5</v>
      </c>
      <c r="Y25" s="1033" t="s">
        <v>76</v>
      </c>
      <c r="Z25" s="1033" t="s">
        <v>77</v>
      </c>
      <c r="AA25" s="1033" t="s">
        <v>104</v>
      </c>
      <c r="AB25" s="698" t="s">
        <v>105</v>
      </c>
    </row>
    <row r="26" spans="2:28" x14ac:dyDescent="0.25">
      <c r="B26" s="391">
        <v>6</v>
      </c>
      <c r="C26" s="310">
        <f>'Frame Capacities'!BX11</f>
        <v>8.3125273614190701E-3</v>
      </c>
      <c r="D26" s="48">
        <f>'Infill Capacities'!CY11</f>
        <v>1.9976000809737945E-3</v>
      </c>
      <c r="E26" s="313">
        <f>'System Capacities'!Q6</f>
        <v>1.9976000809737945E-3</v>
      </c>
      <c r="F26" s="94">
        <f>'System Capacities'!N6</f>
        <v>135.73333333333332</v>
      </c>
      <c r="G26" s="94">
        <f>'System Capacities'!O6</f>
        <v>343.20000000000005</v>
      </c>
      <c r="H26" s="134">
        <f>'System Capacities'!P6</f>
        <v>375.81834889301615</v>
      </c>
      <c r="J26" s="701"/>
      <c r="K26" s="697"/>
      <c r="L26" s="697"/>
      <c r="M26" s="701"/>
      <c r="N26" s="701"/>
      <c r="O26" s="697"/>
      <c r="P26" s="697"/>
      <c r="Q26" s="697"/>
      <c r="R26" s="701"/>
      <c r="S26" s="701"/>
      <c r="T26" s="701"/>
      <c r="U26" s="697"/>
      <c r="V26" s="701"/>
      <c r="X26" s="696"/>
      <c r="Y26" s="1033"/>
      <c r="Z26" s="1033"/>
      <c r="AA26" s="1033"/>
      <c r="AB26" s="698"/>
    </row>
    <row r="27" spans="2:28" x14ac:dyDescent="0.25">
      <c r="B27" s="254">
        <v>5</v>
      </c>
      <c r="C27" s="255">
        <f>'Frame Capacities'!BX12</f>
        <v>9.5976000000000013E-3</v>
      </c>
      <c r="D27" s="55">
        <f>'Infill Capacities'!CY12</f>
        <v>1.9241439833606131E-3</v>
      </c>
      <c r="E27" s="261">
        <f>'System Capacities'!Q7</f>
        <v>1.9241439833606131E-3</v>
      </c>
      <c r="F27" s="99">
        <f>'System Capacities'!N7</f>
        <v>161.60000000000002</v>
      </c>
      <c r="G27" s="99">
        <f>'System Capacities'!O7</f>
        <v>343.20000000000005</v>
      </c>
      <c r="H27" s="543">
        <f>'System Capacities'!P7</f>
        <v>375.59785651736638</v>
      </c>
      <c r="J27" s="250">
        <v>6</v>
      </c>
      <c r="K27" s="205">
        <f>hstr6</f>
        <v>3</v>
      </c>
      <c r="L27" s="205">
        <f t="shared" ref="L27:L29" si="18">L28+K27</f>
        <v>17.75</v>
      </c>
      <c r="M27" s="251">
        <f>'Yield Mechanism'!$X$57</f>
        <v>5.5160151453768761E-4</v>
      </c>
      <c r="N27" s="21">
        <f>M27-M28</f>
        <v>3.8666989517273809E-5</v>
      </c>
      <c r="O27" s="252">
        <f t="shared" ref="O27:O31" si="19">N27/K27</f>
        <v>1.2888996505757937E-5</v>
      </c>
      <c r="P27" s="251">
        <f>$C$26</f>
        <v>8.3125273614190701E-3</v>
      </c>
      <c r="Q27" s="251">
        <f>$D$26</f>
        <v>1.9976000809737945E-3</v>
      </c>
      <c r="R27" s="17">
        <f>O27/P27</f>
        <v>1.550550866825369E-3</v>
      </c>
      <c r="S27" s="17">
        <f t="shared" ref="S27:S32" si="20">O27/Q27</f>
        <v>6.45224068046432E-3</v>
      </c>
      <c r="T27" s="1065">
        <f>'Yield Mechanism'!$AI$57</f>
        <v>2.4248704391924543</v>
      </c>
      <c r="U27" s="205">
        <f>T27*K27</f>
        <v>7.2746113175773628</v>
      </c>
      <c r="V27" s="17">
        <f>U32/AB27</f>
        <v>10.000012796375236</v>
      </c>
      <c r="W27" s="194"/>
      <c r="X27" s="291">
        <v>6</v>
      </c>
      <c r="Y27" s="17">
        <f>mstr6</f>
        <v>63.074599999999997</v>
      </c>
      <c r="Z27" s="17">
        <f t="shared" ref="Z27:Z32" si="21">Y27*M27</f>
        <v>3.4792044888858828E-2</v>
      </c>
      <c r="AA27" s="17">
        <f t="shared" ref="AA27:AA32" si="22">Z27*L27</f>
        <v>0.61755879677724423</v>
      </c>
      <c r="AB27" s="17">
        <f>AA33/Z33</f>
        <v>12.389747822913925</v>
      </c>
    </row>
    <row r="28" spans="2:28" x14ac:dyDescent="0.25">
      <c r="B28" s="254">
        <v>4</v>
      </c>
      <c r="C28" s="255">
        <f>'Frame Capacities'!BX13</f>
        <v>8.8673064285714302E-3</v>
      </c>
      <c r="D28" s="55">
        <f>'Infill Capacities'!CY13</f>
        <v>1.8501735321027263E-3</v>
      </c>
      <c r="E28" s="261">
        <f>'System Capacities'!Q8</f>
        <v>1.8501735321027263E-3</v>
      </c>
      <c r="F28" s="99">
        <f>'System Capacities'!N8</f>
        <v>177.6</v>
      </c>
      <c r="G28" s="99">
        <f>'System Capacities'!O8</f>
        <v>343.20000000000005</v>
      </c>
      <c r="H28" s="543">
        <f>'System Capacities'!P8</f>
        <v>380.25644120323722</v>
      </c>
      <c r="J28" s="250">
        <v>5</v>
      </c>
      <c r="K28" s="205">
        <f>hstr5</f>
        <v>3</v>
      </c>
      <c r="L28" s="205">
        <f t="shared" si="18"/>
        <v>14.75</v>
      </c>
      <c r="M28" s="251">
        <f>'Yield Mechanism'!$X$58</f>
        <v>5.129345250204138E-4</v>
      </c>
      <c r="N28" s="21">
        <f t="shared" ref="N28:N30" si="23">M28-M29</f>
        <v>7.4231182883737791E-5</v>
      </c>
      <c r="O28" s="252">
        <f t="shared" si="19"/>
        <v>2.4743727627912597E-5</v>
      </c>
      <c r="P28" s="251">
        <f>$C$27</f>
        <v>9.5976000000000013E-3</v>
      </c>
      <c r="Q28" s="251">
        <f>$D$27</f>
        <v>1.9241439833606131E-3</v>
      </c>
      <c r="R28" s="17">
        <f t="shared" ref="R28:R32" si="24">O28/P28</f>
        <v>2.5781161569467985E-3</v>
      </c>
      <c r="S28" s="17">
        <f t="shared" si="20"/>
        <v>1.2859602941301953E-2</v>
      </c>
      <c r="T28" s="1065">
        <f>'Yield Mechanism'!$AI$58</f>
        <v>4.8300393004174342</v>
      </c>
      <c r="U28" s="205">
        <f>T28*K28+U27</f>
        <v>21.764729218829665</v>
      </c>
      <c r="V28" s="1011"/>
      <c r="W28" s="194"/>
      <c r="X28" s="291">
        <v>5</v>
      </c>
      <c r="Y28" s="17">
        <f>mstr5</f>
        <v>67.278400000000005</v>
      </c>
      <c r="Z28" s="17">
        <f t="shared" si="21"/>
        <v>3.450941414813341E-2</v>
      </c>
      <c r="AA28" s="17">
        <f t="shared" si="22"/>
        <v>0.50901385868496785</v>
      </c>
      <c r="AB28" s="540" t="s">
        <v>336</v>
      </c>
    </row>
    <row r="29" spans="2:28" x14ac:dyDescent="0.25">
      <c r="B29" s="254">
        <v>3</v>
      </c>
      <c r="C29" s="255">
        <f>'Frame Capacities'!BX14</f>
        <v>8.3556867009551838E-3</v>
      </c>
      <c r="D29" s="55">
        <f>'Infill Capacities'!CY14</f>
        <v>1.7909714066512246E-3</v>
      </c>
      <c r="E29" s="261">
        <f>'System Capacities'!Q9</f>
        <v>1.7909714066512246E-3</v>
      </c>
      <c r="F29" s="99">
        <f>'System Capacities'!N9</f>
        <v>254.66666666666663</v>
      </c>
      <c r="G29" s="99">
        <f>'System Capacities'!O9</f>
        <v>340.03200000000004</v>
      </c>
      <c r="H29" s="543">
        <f>'System Capacities'!P9</f>
        <v>394.61766537386319</v>
      </c>
      <c r="J29" s="250">
        <v>4</v>
      </c>
      <c r="K29" s="205">
        <f>hstr4</f>
        <v>3</v>
      </c>
      <c r="L29" s="205">
        <f t="shared" si="18"/>
        <v>11.75</v>
      </c>
      <c r="M29" s="251">
        <f>'Yield Mechanism'!$X$59</f>
        <v>4.3870334213667601E-4</v>
      </c>
      <c r="N29" s="21">
        <f t="shared" si="23"/>
        <v>1.0053006869018433E-4</v>
      </c>
      <c r="O29" s="252">
        <f t="shared" si="19"/>
        <v>3.3510022896728109E-5</v>
      </c>
      <c r="P29" s="251">
        <f>$C$28</f>
        <v>8.8673064285714302E-3</v>
      </c>
      <c r="Q29" s="251">
        <f>$D$28</f>
        <v>1.8501735321027263E-3</v>
      </c>
      <c r="R29" s="17">
        <f t="shared" si="24"/>
        <v>3.7790532183206338E-3</v>
      </c>
      <c r="S29" s="17">
        <f t="shared" si="20"/>
        <v>1.8111826980166501E-2</v>
      </c>
      <c r="T29" s="1065">
        <f>'Yield Mechanism'!$AI$59</f>
        <v>6.8871388711668882</v>
      </c>
      <c r="U29" s="205">
        <f t="shared" ref="U29:U32" si="25">T29*K29+U28</f>
        <v>42.426145832330327</v>
      </c>
      <c r="V29" s="1012"/>
      <c r="W29" s="194"/>
      <c r="X29" s="291">
        <v>4</v>
      </c>
      <c r="Y29" s="17">
        <f>mstr4</f>
        <v>67.278400000000005</v>
      </c>
      <c r="Z29" s="17">
        <f t="shared" si="21"/>
        <v>2.9515258933608145E-2</v>
      </c>
      <c r="AA29" s="17">
        <f t="shared" si="22"/>
        <v>0.34680429246989569</v>
      </c>
      <c r="AB29" s="204">
        <f>T32/M27</f>
        <v>18129.129820250051</v>
      </c>
    </row>
    <row r="30" spans="2:28" x14ac:dyDescent="0.25">
      <c r="B30" s="254">
        <v>2</v>
      </c>
      <c r="C30" s="255">
        <f>'Frame Capacities'!BX15</f>
        <v>6.4157970868129726E-3</v>
      </c>
      <c r="D30" s="55">
        <f>'Infill Capacities'!CY15</f>
        <v>1.7349058472302754E-3</v>
      </c>
      <c r="E30" s="261">
        <f>'System Capacities'!Q10</f>
        <v>1.7349058472302754E-3</v>
      </c>
      <c r="F30" s="99">
        <f>'System Capacities'!N10</f>
        <v>269.93333333333334</v>
      </c>
      <c r="G30" s="99">
        <f>'System Capacities'!O10</f>
        <v>340.03200000000004</v>
      </c>
      <c r="H30" s="543">
        <f>'System Capacities'!P10</f>
        <v>413.02510000388276</v>
      </c>
      <c r="J30" s="250">
        <v>3</v>
      </c>
      <c r="K30" s="205">
        <f>hstr3</f>
        <v>3</v>
      </c>
      <c r="L30" s="205">
        <f>L31+K30</f>
        <v>8.75</v>
      </c>
      <c r="M30" s="251">
        <f>'Yield Mechanism'!$X$60</f>
        <v>3.3817327344649168E-4</v>
      </c>
      <c r="N30" s="21">
        <f t="shared" si="23"/>
        <v>1.1536199890110882E-4</v>
      </c>
      <c r="O30" s="252">
        <f t="shared" si="19"/>
        <v>3.8453999633702941E-5</v>
      </c>
      <c r="P30" s="251">
        <f>$C$29</f>
        <v>8.3556867009551838E-3</v>
      </c>
      <c r="Q30" s="251">
        <f>$D$29</f>
        <v>1.7909714066512246E-3</v>
      </c>
      <c r="R30" s="17">
        <f t="shared" si="24"/>
        <v>4.6021351697290245E-3</v>
      </c>
      <c r="S30" s="17">
        <f t="shared" si="20"/>
        <v>2.1471029348036661E-2</v>
      </c>
      <c r="T30" s="1065">
        <f>'Yield Mechanism'!$AI$60</f>
        <v>8.472847474495925</v>
      </c>
      <c r="U30" s="205">
        <f t="shared" si="25"/>
        <v>67.844688255818099</v>
      </c>
      <c r="V30" s="1012"/>
      <c r="W30" s="194"/>
      <c r="X30" s="291">
        <v>3</v>
      </c>
      <c r="Y30" s="17">
        <f>mstr3</f>
        <v>67.278400000000005</v>
      </c>
      <c r="Z30" s="17">
        <f t="shared" si="21"/>
        <v>2.2751756760242447E-2</v>
      </c>
      <c r="AA30" s="17">
        <f t="shared" si="22"/>
        <v>0.1990778716521214</v>
      </c>
      <c r="AB30" s="541" t="s">
        <v>338</v>
      </c>
    </row>
    <row r="31" spans="2:28" x14ac:dyDescent="0.25">
      <c r="B31" s="126">
        <v>1</v>
      </c>
      <c r="C31" s="256">
        <f>'Frame Capacities'!BX16</f>
        <v>4.8471720397440425E-3</v>
      </c>
      <c r="D31" s="74">
        <f>'Infill Capacities'!CY16</f>
        <v>1.7665298310518072E-3</v>
      </c>
      <c r="E31" s="263">
        <f>'System Capacities'!Q11</f>
        <v>1.7665298310518072E-3</v>
      </c>
      <c r="F31" s="157">
        <f>'System Capacities'!N11</f>
        <v>403.27272727272725</v>
      </c>
      <c r="G31" s="157">
        <f>'System Capacities'!O11</f>
        <v>325.24800000000005</v>
      </c>
      <c r="H31" s="148">
        <f>'System Capacities'!P11</f>
        <v>472.21891354209725</v>
      </c>
      <c r="J31" s="250">
        <v>2</v>
      </c>
      <c r="K31" s="205">
        <f>hstr2</f>
        <v>3</v>
      </c>
      <c r="L31" s="205">
        <f>L32+K31</f>
        <v>5.75</v>
      </c>
      <c r="M31" s="251">
        <f>'Yield Mechanism'!$X$61</f>
        <v>2.2281127454538285E-4</v>
      </c>
      <c r="N31" s="21">
        <f>M31-M32</f>
        <v>1.19935598851961E-4</v>
      </c>
      <c r="O31" s="252">
        <f t="shared" si="19"/>
        <v>3.997853295065367E-5</v>
      </c>
      <c r="P31" s="251">
        <f>$C$30</f>
        <v>6.4157970868129726E-3</v>
      </c>
      <c r="Q31" s="251">
        <f>$D$30</f>
        <v>1.7349058472302754E-3</v>
      </c>
      <c r="R31" s="17">
        <f t="shared" si="24"/>
        <v>6.2312651740226536E-3</v>
      </c>
      <c r="S31" s="17">
        <f t="shared" si="20"/>
        <v>2.3043632606621383E-2</v>
      </c>
      <c r="T31" s="1065">
        <f>'Yield Mechanism'!$AI$61</f>
        <v>9.5175986618025288</v>
      </c>
      <c r="U31" s="205">
        <f t="shared" si="25"/>
        <v>96.397484241225683</v>
      </c>
      <c r="V31" s="1012"/>
      <c r="W31" s="194"/>
      <c r="X31" s="291">
        <v>2</v>
      </c>
      <c r="Y31" s="17">
        <f>mstr2</f>
        <v>67.278400000000005</v>
      </c>
      <c r="Z31" s="17">
        <f t="shared" si="21"/>
        <v>1.4990386053374086E-2</v>
      </c>
      <c r="AA31" s="17">
        <f t="shared" si="22"/>
        <v>8.6194719806900993E-2</v>
      </c>
      <c r="AB31" s="17">
        <f>((Y32*M30+Y31*M31+Y30*M32+M29*Y29+M28*Y28+M27*Y27)^2)/(Y32*M30*M30+Y31*M31*M31+Y30*M32*M32+Y29*M29*M29+Y28*M28*M28+Y27*M27*M27)</f>
        <v>334.26818500347838</v>
      </c>
    </row>
    <row r="32" spans="2:28" x14ac:dyDescent="0.25">
      <c r="J32" s="250">
        <v>1</v>
      </c>
      <c r="K32" s="205">
        <f>hstr1</f>
        <v>2.75</v>
      </c>
      <c r="L32" s="205">
        <f>K32</f>
        <v>2.75</v>
      </c>
      <c r="M32" s="251">
        <f>'Yield Mechanism'!$X$62</f>
        <v>1.0287567569342185E-4</v>
      </c>
      <c r="N32" s="21">
        <f>M32</f>
        <v>1.0287567569342185E-4</v>
      </c>
      <c r="O32" s="252">
        <f>N32/K32</f>
        <v>3.7409336615789761E-5</v>
      </c>
      <c r="P32" s="251">
        <f>$C$31</f>
        <v>4.8471720397440425E-3</v>
      </c>
      <c r="Q32" s="251">
        <f>$D$31</f>
        <v>1.7665298310518072E-3</v>
      </c>
      <c r="R32" s="17">
        <f t="shared" si="24"/>
        <v>7.7177653916664325E-3</v>
      </c>
      <c r="S32" s="17">
        <f t="shared" si="20"/>
        <v>2.1176736423135247E-2</v>
      </c>
      <c r="T32" s="1065">
        <f>'Yield Mechanism'!$AI$62</f>
        <v>10.000055466100285</v>
      </c>
      <c r="U32" s="205">
        <f t="shared" si="25"/>
        <v>123.89763677300147</v>
      </c>
      <c r="V32" s="1013"/>
      <c r="W32" s="194"/>
      <c r="X32" s="291">
        <v>1</v>
      </c>
      <c r="Y32" s="17">
        <f>mstr1</f>
        <v>67.278400000000005</v>
      </c>
      <c r="Z32" s="17">
        <f t="shared" si="21"/>
        <v>6.9213108595723126E-3</v>
      </c>
      <c r="AA32" s="17">
        <f t="shared" si="22"/>
        <v>1.9033604863823859E-2</v>
      </c>
      <c r="AB32" s="540" t="s">
        <v>337</v>
      </c>
    </row>
    <row r="33" spans="2:28" x14ac:dyDescent="0.25">
      <c r="X33" s="292"/>
      <c r="Y33" s="540" t="s">
        <v>78</v>
      </c>
      <c r="Z33" s="253">
        <f>SUM(Z27:Z32)</f>
        <v>0.14348017164378923</v>
      </c>
      <c r="AA33" s="253">
        <f>SUM(AA27:AA32)</f>
        <v>1.7776831442549539</v>
      </c>
      <c r="AB33" s="204">
        <f>2*PI()*SQRT(AB31/AB29)</f>
        <v>0.85317655078832455</v>
      </c>
    </row>
    <row r="35" spans="2:28" ht="15.75" customHeight="1" x14ac:dyDescent="0.25">
      <c r="B35" s="1044" t="s">
        <v>220</v>
      </c>
      <c r="C35" s="1044"/>
      <c r="D35" s="1044"/>
      <c r="E35" s="1050" t="s">
        <v>218</v>
      </c>
      <c r="F35" s="1050"/>
      <c r="G35" s="1050"/>
      <c r="H35" s="257"/>
      <c r="J35" s="1037" t="s">
        <v>109</v>
      </c>
      <c r="K35" s="1037"/>
      <c r="L35" s="1037"/>
      <c r="M35" s="1037"/>
      <c r="N35" s="1037"/>
      <c r="O35" s="1037"/>
      <c r="P35" s="1037"/>
      <c r="Q35" s="1037"/>
      <c r="R35" s="1037"/>
      <c r="S35" s="1037"/>
      <c r="T35" s="1037"/>
      <c r="U35" s="1037"/>
      <c r="V35" s="1037"/>
      <c r="X35" s="1038" t="s">
        <v>106</v>
      </c>
      <c r="Y35" s="1038"/>
      <c r="Z35" s="1038"/>
      <c r="AA35" s="1038"/>
      <c r="AB35" s="1038"/>
    </row>
    <row r="36" spans="2:28" ht="15" customHeight="1" x14ac:dyDescent="0.25">
      <c r="B36" s="8" t="s">
        <v>112</v>
      </c>
      <c r="C36" s="198" t="s">
        <v>79</v>
      </c>
      <c r="D36" s="8" t="s">
        <v>113</v>
      </c>
      <c r="E36" s="258" t="s">
        <v>219</v>
      </c>
      <c r="F36" s="258" t="s">
        <v>379</v>
      </c>
      <c r="G36" s="8" t="s">
        <v>221</v>
      </c>
      <c r="H36" s="177"/>
      <c r="J36" s="964" t="s">
        <v>5</v>
      </c>
      <c r="K36" s="965" t="s">
        <v>3</v>
      </c>
      <c r="L36" s="965" t="s">
        <v>72</v>
      </c>
      <c r="M36" s="964" t="s">
        <v>74</v>
      </c>
      <c r="N36" s="964" t="s">
        <v>81</v>
      </c>
      <c r="O36" s="965" t="s">
        <v>101</v>
      </c>
      <c r="P36" s="965" t="s">
        <v>257</v>
      </c>
      <c r="Q36" s="965" t="s">
        <v>258</v>
      </c>
      <c r="R36" s="964" t="s">
        <v>394</v>
      </c>
      <c r="S36" s="964" t="s">
        <v>395</v>
      </c>
      <c r="T36" s="964" t="s">
        <v>75</v>
      </c>
      <c r="U36" s="965" t="s">
        <v>102</v>
      </c>
      <c r="V36" s="964" t="s">
        <v>79</v>
      </c>
      <c r="X36" s="696" t="s">
        <v>5</v>
      </c>
      <c r="Y36" s="1033" t="s">
        <v>76</v>
      </c>
      <c r="Z36" s="1033" t="s">
        <v>77</v>
      </c>
      <c r="AA36" s="1033" t="s">
        <v>104</v>
      </c>
      <c r="AB36" s="698" t="s">
        <v>105</v>
      </c>
    </row>
    <row r="37" spans="2:28" x14ac:dyDescent="0.25">
      <c r="B37" s="259">
        <v>0</v>
      </c>
      <c r="C37" s="184">
        <v>0</v>
      </c>
      <c r="D37" s="57">
        <v>0</v>
      </c>
      <c r="E37" s="45" t="s">
        <v>217</v>
      </c>
      <c r="F37" s="260"/>
      <c r="G37" s="137" t="s">
        <v>217</v>
      </c>
      <c r="H37" s="78"/>
      <c r="J37" s="701"/>
      <c r="K37" s="697"/>
      <c r="L37" s="697"/>
      <c r="M37" s="701"/>
      <c r="N37" s="701"/>
      <c r="O37" s="697"/>
      <c r="P37" s="697"/>
      <c r="Q37" s="697"/>
      <c r="R37" s="701"/>
      <c r="S37" s="701"/>
      <c r="T37" s="701"/>
      <c r="U37" s="697"/>
      <c r="V37" s="701"/>
      <c r="X37" s="696"/>
      <c r="Y37" s="1033"/>
      <c r="Z37" s="1033"/>
      <c r="AA37" s="1033"/>
      <c r="AB37" s="698"/>
    </row>
    <row r="38" spans="2:28" x14ac:dyDescent="0.25">
      <c r="B38" s="259">
        <v>1</v>
      </c>
      <c r="C38" s="78">
        <f>V5*-1</f>
        <v>-10.000012796375236</v>
      </c>
      <c r="D38" s="261">
        <f>M5</f>
        <v>5.5160151453768761E-4</v>
      </c>
      <c r="E38" s="45">
        <f>((C38-C37)/(D38-D37))*-1</f>
        <v>18129.052464180633</v>
      </c>
      <c r="F38" s="260">
        <f>$O$229</f>
        <v>27829.497502921487</v>
      </c>
      <c r="G38" s="137">
        <f>((F38-E38)/F38)*100</f>
        <v>34.856702093605968</v>
      </c>
      <c r="H38" s="78"/>
      <c r="J38" s="250">
        <v>6</v>
      </c>
      <c r="K38" s="205">
        <f>hstr6</f>
        <v>3</v>
      </c>
      <c r="L38" s="205">
        <f t="shared" ref="L38:L40" si="26">L39+K38</f>
        <v>17.75</v>
      </c>
      <c r="M38" s="251">
        <f>'Yield Mechanism'!$X$57</f>
        <v>5.5160151453768761E-4</v>
      </c>
      <c r="N38" s="21">
        <f>M38-M39</f>
        <v>3.8666989517273809E-5</v>
      </c>
      <c r="O38" s="252">
        <f t="shared" ref="O38:O42" si="27">N38/K38</f>
        <v>1.2888996505757937E-5</v>
      </c>
      <c r="P38" s="251">
        <f>$C$26</f>
        <v>8.3125273614190701E-3</v>
      </c>
      <c r="Q38" s="251">
        <f>$D$26</f>
        <v>1.9976000809737945E-3</v>
      </c>
      <c r="R38" s="17">
        <f>O38/P38</f>
        <v>1.550550866825369E-3</v>
      </c>
      <c r="S38" s="17">
        <f t="shared" ref="S38:S43" si="28">O38/Q38</f>
        <v>6.45224068046432E-3</v>
      </c>
      <c r="T38" s="1065">
        <f>'Yield Mechanism'!$AI$57</f>
        <v>2.4248704391924543</v>
      </c>
      <c r="U38" s="205">
        <f>T38*K38</f>
        <v>7.2746113175773628</v>
      </c>
      <c r="V38" s="17">
        <f>U43/AB38</f>
        <v>10.000012796375236</v>
      </c>
      <c r="W38" s="194"/>
      <c r="X38" s="291">
        <v>6</v>
      </c>
      <c r="Y38" s="17">
        <f>mstr6</f>
        <v>63.074599999999997</v>
      </c>
      <c r="Z38" s="17">
        <f t="shared" ref="Z38:Z43" si="29">Y38*M38</f>
        <v>3.4792044888858828E-2</v>
      </c>
      <c r="AA38" s="17">
        <f t="shared" ref="AA38:AA43" si="30">Z38*L38</f>
        <v>0.61755879677724423</v>
      </c>
      <c r="AB38" s="17">
        <f>AA44/Z44</f>
        <v>12.389747822913925</v>
      </c>
    </row>
    <row r="39" spans="2:28" x14ac:dyDescent="0.25">
      <c r="B39" s="259">
        <v>2</v>
      </c>
      <c r="C39" s="160">
        <f>V16*-1</f>
        <v>-10.000012796375236</v>
      </c>
      <c r="D39" s="57">
        <f>M16</f>
        <v>5.5160151453768761E-4</v>
      </c>
      <c r="E39" s="45" t="e">
        <f>((C39-C38)/(D39-D38))*-1</f>
        <v>#DIV/0!</v>
      </c>
      <c r="G39" s="262"/>
      <c r="H39" s="78"/>
      <c r="J39" s="250">
        <v>5</v>
      </c>
      <c r="K39" s="205">
        <f>hstr5</f>
        <v>3</v>
      </c>
      <c r="L39" s="205">
        <f t="shared" si="26"/>
        <v>14.75</v>
      </c>
      <c r="M39" s="251">
        <f>'Yield Mechanism'!$X$58</f>
        <v>5.129345250204138E-4</v>
      </c>
      <c r="N39" s="21">
        <f t="shared" ref="N39:N41" si="31">M39-M40</f>
        <v>7.4231182883737791E-5</v>
      </c>
      <c r="O39" s="252">
        <f t="shared" si="27"/>
        <v>2.4743727627912597E-5</v>
      </c>
      <c r="P39" s="251">
        <f>$C$27</f>
        <v>9.5976000000000013E-3</v>
      </c>
      <c r="Q39" s="251">
        <f>$D$27</f>
        <v>1.9241439833606131E-3</v>
      </c>
      <c r="R39" s="17">
        <f t="shared" ref="R39:R43" si="32">O39/P39</f>
        <v>2.5781161569467985E-3</v>
      </c>
      <c r="S39" s="17">
        <f t="shared" si="28"/>
        <v>1.2859602941301953E-2</v>
      </c>
      <c r="T39" s="1065">
        <f>'Yield Mechanism'!$AI$58</f>
        <v>4.8300393004174342</v>
      </c>
      <c r="U39" s="205">
        <f>T39*K39+U38</f>
        <v>21.764729218829665</v>
      </c>
      <c r="V39" s="1011"/>
      <c r="W39" s="194"/>
      <c r="X39" s="291">
        <v>5</v>
      </c>
      <c r="Y39" s="17">
        <f>mstr5</f>
        <v>67.278400000000005</v>
      </c>
      <c r="Z39" s="17">
        <f t="shared" si="29"/>
        <v>3.450941414813341E-2</v>
      </c>
      <c r="AA39" s="17">
        <f t="shared" si="30"/>
        <v>0.50901385868496785</v>
      </c>
      <c r="AB39" s="540" t="s">
        <v>336</v>
      </c>
    </row>
    <row r="40" spans="2:28" x14ac:dyDescent="0.25">
      <c r="B40" s="259">
        <v>3</v>
      </c>
      <c r="C40" s="78">
        <f>V27*-1</f>
        <v>-10.000012796375236</v>
      </c>
      <c r="D40" s="261">
        <f>M27</f>
        <v>5.5160151453768761E-4</v>
      </c>
      <c r="E40" s="45" t="e">
        <f>((C40-C39)/(D40-D39))*-1</f>
        <v>#DIV/0!</v>
      </c>
      <c r="F40" s="78"/>
      <c r="G40" s="137"/>
      <c r="H40" s="78"/>
      <c r="J40" s="250">
        <v>4</v>
      </c>
      <c r="K40" s="205">
        <f>hstr4</f>
        <v>3</v>
      </c>
      <c r="L40" s="205">
        <f t="shared" si="26"/>
        <v>11.75</v>
      </c>
      <c r="M40" s="251">
        <f>'Yield Mechanism'!$X$59</f>
        <v>4.3870334213667601E-4</v>
      </c>
      <c r="N40" s="21">
        <f t="shared" si="31"/>
        <v>1.0053006869018433E-4</v>
      </c>
      <c r="O40" s="252">
        <f t="shared" si="27"/>
        <v>3.3510022896728109E-5</v>
      </c>
      <c r="P40" s="251">
        <f>$C$28</f>
        <v>8.8673064285714302E-3</v>
      </c>
      <c r="Q40" s="251">
        <f>$D$28</f>
        <v>1.8501735321027263E-3</v>
      </c>
      <c r="R40" s="17">
        <f t="shared" si="32"/>
        <v>3.7790532183206338E-3</v>
      </c>
      <c r="S40" s="17">
        <f t="shared" si="28"/>
        <v>1.8111826980166501E-2</v>
      </c>
      <c r="T40" s="1065">
        <f>'Yield Mechanism'!$AI$59</f>
        <v>6.8871388711668882</v>
      </c>
      <c r="U40" s="205">
        <f t="shared" ref="U40:U43" si="33">T40*K40+U39</f>
        <v>42.426145832330327</v>
      </c>
      <c r="V40" s="1012"/>
      <c r="W40" s="194"/>
      <c r="X40" s="291">
        <v>4</v>
      </c>
      <c r="Y40" s="17">
        <f>mstr4</f>
        <v>67.278400000000005</v>
      </c>
      <c r="Z40" s="17">
        <f t="shared" si="29"/>
        <v>2.9515258933608145E-2</v>
      </c>
      <c r="AA40" s="17">
        <f t="shared" si="30"/>
        <v>0.34680429246989569</v>
      </c>
      <c r="AB40" s="204">
        <f>T43/M38</f>
        <v>18129.129820250051</v>
      </c>
    </row>
    <row r="41" spans="2:28" x14ac:dyDescent="0.25">
      <c r="B41" s="259">
        <v>4</v>
      </c>
      <c r="C41" s="78">
        <f>V38*-1</f>
        <v>-10.000012796375236</v>
      </c>
      <c r="D41" s="261">
        <f>M38</f>
        <v>5.5160151453768761E-4</v>
      </c>
      <c r="E41" s="1054" t="e">
        <f>((C42-C40)/(D42-D40))*-1</f>
        <v>#DIV/0!</v>
      </c>
      <c r="F41" s="1055">
        <f>N236</f>
        <v>9117.7596153846134</v>
      </c>
      <c r="G41" s="1056" t="e">
        <f>((F41-E41)/F41)*100</f>
        <v>#DIV/0!</v>
      </c>
      <c r="J41" s="250">
        <v>3</v>
      </c>
      <c r="K41" s="205">
        <f>hstr3</f>
        <v>3</v>
      </c>
      <c r="L41" s="205">
        <f>L42+K41</f>
        <v>8.75</v>
      </c>
      <c r="M41" s="251">
        <f>'Yield Mechanism'!$X$60</f>
        <v>3.3817327344649168E-4</v>
      </c>
      <c r="N41" s="21">
        <f t="shared" si="31"/>
        <v>1.1536199890110882E-4</v>
      </c>
      <c r="O41" s="252">
        <f t="shared" si="27"/>
        <v>3.8453999633702941E-5</v>
      </c>
      <c r="P41" s="251">
        <f>$C$29</f>
        <v>8.3556867009551838E-3</v>
      </c>
      <c r="Q41" s="251">
        <f>$D$29</f>
        <v>1.7909714066512246E-3</v>
      </c>
      <c r="R41" s="17">
        <f t="shared" si="32"/>
        <v>4.6021351697290245E-3</v>
      </c>
      <c r="S41" s="17">
        <f t="shared" si="28"/>
        <v>2.1471029348036661E-2</v>
      </c>
      <c r="T41" s="1065">
        <f>'Yield Mechanism'!$AI$60</f>
        <v>8.472847474495925</v>
      </c>
      <c r="U41" s="205">
        <f t="shared" si="33"/>
        <v>67.844688255818099</v>
      </c>
      <c r="V41" s="1012"/>
      <c r="W41" s="194"/>
      <c r="X41" s="291">
        <v>3</v>
      </c>
      <c r="Y41" s="17">
        <f>mstr3</f>
        <v>67.278400000000005</v>
      </c>
      <c r="Z41" s="17">
        <f t="shared" si="29"/>
        <v>2.2751756760242447E-2</v>
      </c>
      <c r="AA41" s="17">
        <f t="shared" si="30"/>
        <v>0.1990778716521214</v>
      </c>
      <c r="AB41" s="541" t="s">
        <v>338</v>
      </c>
    </row>
    <row r="42" spans="2:28" x14ac:dyDescent="0.25">
      <c r="B42" s="259">
        <v>5</v>
      </c>
      <c r="C42" s="78">
        <f>V49*-1</f>
        <v>-10.000012796375236</v>
      </c>
      <c r="D42" s="261">
        <f>M49</f>
        <v>5.5160151453768761E-4</v>
      </c>
      <c r="E42" s="1054"/>
      <c r="F42" s="1055"/>
      <c r="G42" s="1056"/>
      <c r="H42" s="78"/>
      <c r="J42" s="250">
        <v>2</v>
      </c>
      <c r="K42" s="205">
        <f>hstr2</f>
        <v>3</v>
      </c>
      <c r="L42" s="205">
        <f>L43+K42</f>
        <v>5.75</v>
      </c>
      <c r="M42" s="251">
        <f>'Yield Mechanism'!$X$61</f>
        <v>2.2281127454538285E-4</v>
      </c>
      <c r="N42" s="21">
        <f>M42-M43</f>
        <v>1.19935598851961E-4</v>
      </c>
      <c r="O42" s="252">
        <f t="shared" si="27"/>
        <v>3.997853295065367E-5</v>
      </c>
      <c r="P42" s="251">
        <f>$C$30</f>
        <v>6.4157970868129726E-3</v>
      </c>
      <c r="Q42" s="251">
        <f>$D$30</f>
        <v>1.7349058472302754E-3</v>
      </c>
      <c r="R42" s="17">
        <f t="shared" si="32"/>
        <v>6.2312651740226536E-3</v>
      </c>
      <c r="S42" s="17">
        <f t="shared" si="28"/>
        <v>2.3043632606621383E-2</v>
      </c>
      <c r="T42" s="1065">
        <f>'Yield Mechanism'!$AI$61</f>
        <v>9.5175986618025288</v>
      </c>
      <c r="U42" s="205">
        <f t="shared" si="33"/>
        <v>96.397484241225683</v>
      </c>
      <c r="V42" s="1012"/>
      <c r="W42" s="194"/>
      <c r="X42" s="291">
        <v>2</v>
      </c>
      <c r="Y42" s="17">
        <f>mstr2</f>
        <v>67.278400000000005</v>
      </c>
      <c r="Z42" s="17">
        <f t="shared" si="29"/>
        <v>1.4990386053374086E-2</v>
      </c>
      <c r="AA42" s="17">
        <f t="shared" si="30"/>
        <v>8.6194719806900993E-2</v>
      </c>
      <c r="AB42" s="17">
        <f>((Y43*M41+Y42*M42+Y41*M43+M40*Y40+M39*Y39+M38*Y38)^2)/(Y43*M41*M41+Y42*M42*M42+Y41*M43*M43+Y40*M40*M40+Y39*M39*M39+Y38*M38*M38)</f>
        <v>334.26818500347838</v>
      </c>
    </row>
    <row r="43" spans="2:28" x14ac:dyDescent="0.25">
      <c r="B43" s="259">
        <v>6</v>
      </c>
      <c r="C43" s="78">
        <f>V60*-1</f>
        <v>-10.000012796375236</v>
      </c>
      <c r="D43" s="261">
        <f>M60</f>
        <v>5.5160151453768761E-4</v>
      </c>
      <c r="E43" s="45" t="e">
        <f>((C43-C42)/(D43-D42))*-1</f>
        <v>#DIV/0!</v>
      </c>
      <c r="F43" s="78"/>
      <c r="G43" s="137"/>
      <c r="H43" s="78"/>
      <c r="J43" s="250">
        <v>1</v>
      </c>
      <c r="K43" s="205">
        <f>hstr1</f>
        <v>2.75</v>
      </c>
      <c r="L43" s="205">
        <f>K43</f>
        <v>2.75</v>
      </c>
      <c r="M43" s="251">
        <f>'Yield Mechanism'!$X$62</f>
        <v>1.0287567569342185E-4</v>
      </c>
      <c r="N43" s="21">
        <f>M43</f>
        <v>1.0287567569342185E-4</v>
      </c>
      <c r="O43" s="252">
        <f>N43/K43</f>
        <v>3.7409336615789761E-5</v>
      </c>
      <c r="P43" s="251">
        <f>$C$31</f>
        <v>4.8471720397440425E-3</v>
      </c>
      <c r="Q43" s="251">
        <f>$D$31</f>
        <v>1.7665298310518072E-3</v>
      </c>
      <c r="R43" s="17">
        <f t="shared" si="32"/>
        <v>7.7177653916664325E-3</v>
      </c>
      <c r="S43" s="17">
        <f t="shared" si="28"/>
        <v>2.1176736423135247E-2</v>
      </c>
      <c r="T43" s="1065">
        <f>'Yield Mechanism'!$AI$62</f>
        <v>10.000055466100285</v>
      </c>
      <c r="U43" s="205">
        <f t="shared" si="33"/>
        <v>123.89763677300147</v>
      </c>
      <c r="V43" s="1013"/>
      <c r="W43" s="194"/>
      <c r="X43" s="291">
        <v>1</v>
      </c>
      <c r="Y43" s="17">
        <f>mstr1</f>
        <v>67.278400000000005</v>
      </c>
      <c r="Z43" s="17">
        <f t="shared" si="29"/>
        <v>6.9213108595723126E-3</v>
      </c>
      <c r="AA43" s="17">
        <f t="shared" si="30"/>
        <v>1.9033604863823859E-2</v>
      </c>
      <c r="AB43" s="540" t="s">
        <v>337</v>
      </c>
    </row>
    <row r="44" spans="2:28" x14ac:dyDescent="0.25">
      <c r="B44" s="259">
        <v>7</v>
      </c>
      <c r="C44" s="78">
        <f>V71*-1</f>
        <v>-10.000012796375236</v>
      </c>
      <c r="D44" s="261">
        <f>M71</f>
        <v>5.5160151453768761E-4</v>
      </c>
      <c r="E44" s="45" t="e">
        <f t="shared" ref="E44:E47" si="34">((C44-C43)/(D44-D43))*-1</f>
        <v>#DIV/0!</v>
      </c>
      <c r="G44" s="262"/>
      <c r="X44" s="292"/>
      <c r="Y44" s="540" t="s">
        <v>78</v>
      </c>
      <c r="Z44" s="253">
        <f>SUM(Z38:Z43)</f>
        <v>0.14348017164378923</v>
      </c>
      <c r="AA44" s="253">
        <f>SUM(AA38:AA43)</f>
        <v>1.7776831442549539</v>
      </c>
      <c r="AB44" s="204">
        <f>2*PI()*SQRT(AB42/AB40)</f>
        <v>0.85317655078832455</v>
      </c>
    </row>
    <row r="45" spans="2:28" x14ac:dyDescent="0.25">
      <c r="B45" s="259">
        <v>8</v>
      </c>
      <c r="C45" s="78">
        <f>V82*-1</f>
        <v>-10.000012796375236</v>
      </c>
      <c r="D45" s="261">
        <f>M82</f>
        <v>5.5160151453768761E-4</v>
      </c>
      <c r="E45" s="45" t="e">
        <f t="shared" si="34"/>
        <v>#DIV/0!</v>
      </c>
      <c r="G45" s="262"/>
    </row>
    <row r="46" spans="2:28" ht="15.75" x14ac:dyDescent="0.25">
      <c r="B46" s="259">
        <v>9</v>
      </c>
      <c r="C46" s="78">
        <f>V93*-1</f>
        <v>-10.000012796375236</v>
      </c>
      <c r="D46" s="261">
        <f>M93</f>
        <v>5.5160151453768761E-4</v>
      </c>
      <c r="E46" s="45" t="e">
        <f t="shared" si="34"/>
        <v>#DIV/0!</v>
      </c>
      <c r="G46" s="262"/>
      <c r="J46" s="1040" t="s">
        <v>110</v>
      </c>
      <c r="K46" s="1041"/>
      <c r="L46" s="1041"/>
      <c r="M46" s="1041"/>
      <c r="N46" s="1041"/>
      <c r="O46" s="1041"/>
      <c r="P46" s="1041"/>
      <c r="Q46" s="1041"/>
      <c r="R46" s="1041"/>
      <c r="S46" s="1041"/>
      <c r="T46" s="1041"/>
      <c r="U46" s="1041"/>
      <c r="V46" s="1042"/>
      <c r="X46" s="1037" t="s">
        <v>106</v>
      </c>
      <c r="Y46" s="1037"/>
      <c r="Z46" s="1037"/>
      <c r="AA46" s="1037"/>
      <c r="AB46" s="1037"/>
    </row>
    <row r="47" spans="2:28" ht="15" customHeight="1" x14ac:dyDescent="0.25">
      <c r="B47" s="259">
        <v>10</v>
      </c>
      <c r="C47" s="78">
        <f>V104*-1</f>
        <v>-10.000012796375236</v>
      </c>
      <c r="D47" s="261">
        <f>M104</f>
        <v>5.5160151453768761E-4</v>
      </c>
      <c r="E47" s="45" t="e">
        <f t="shared" si="34"/>
        <v>#DIV/0!</v>
      </c>
      <c r="G47" s="262"/>
      <c r="J47" s="964" t="s">
        <v>5</v>
      </c>
      <c r="K47" s="965" t="s">
        <v>3</v>
      </c>
      <c r="L47" s="965" t="s">
        <v>72</v>
      </c>
      <c r="M47" s="964" t="s">
        <v>74</v>
      </c>
      <c r="N47" s="964" t="s">
        <v>81</v>
      </c>
      <c r="O47" s="965" t="s">
        <v>101</v>
      </c>
      <c r="P47" s="965" t="s">
        <v>257</v>
      </c>
      <c r="Q47" s="965" t="s">
        <v>258</v>
      </c>
      <c r="R47" s="964" t="s">
        <v>394</v>
      </c>
      <c r="S47" s="964" t="s">
        <v>395</v>
      </c>
      <c r="T47" s="964" t="s">
        <v>75</v>
      </c>
      <c r="U47" s="965" t="s">
        <v>102</v>
      </c>
      <c r="V47" s="964" t="s">
        <v>79</v>
      </c>
      <c r="X47" s="696" t="s">
        <v>5</v>
      </c>
      <c r="Y47" s="1033" t="s">
        <v>76</v>
      </c>
      <c r="Z47" s="1033" t="s">
        <v>77</v>
      </c>
      <c r="AA47" s="1033" t="s">
        <v>104</v>
      </c>
      <c r="AB47" s="698" t="s">
        <v>105</v>
      </c>
    </row>
    <row r="48" spans="2:28" x14ac:dyDescent="0.25">
      <c r="B48" s="259">
        <v>11</v>
      </c>
      <c r="C48" s="78">
        <f>V115*-1</f>
        <v>-10.000012796375236</v>
      </c>
      <c r="D48" s="261">
        <f>M115</f>
        <v>5.5160151453768761E-4</v>
      </c>
      <c r="E48" s="45" t="e">
        <f t="shared" ref="E48:E57" si="35">((C48-C47)/(D48-D47))*-1</f>
        <v>#DIV/0!</v>
      </c>
      <c r="G48" s="262"/>
      <c r="J48" s="701"/>
      <c r="K48" s="697"/>
      <c r="L48" s="697"/>
      <c r="M48" s="701"/>
      <c r="N48" s="701"/>
      <c r="O48" s="697"/>
      <c r="P48" s="697"/>
      <c r="Q48" s="697"/>
      <c r="R48" s="701"/>
      <c r="S48" s="701"/>
      <c r="T48" s="701"/>
      <c r="U48" s="697"/>
      <c r="V48" s="701"/>
      <c r="X48" s="696"/>
      <c r="Y48" s="1033"/>
      <c r="Z48" s="1033"/>
      <c r="AA48" s="1033"/>
      <c r="AB48" s="698"/>
    </row>
    <row r="49" spans="2:28" x14ac:dyDescent="0.25">
      <c r="B49" s="259">
        <v>12</v>
      </c>
      <c r="C49" s="78">
        <f>V126*-1</f>
        <v>-10.000012796375236</v>
      </c>
      <c r="D49" s="261">
        <f>M126</f>
        <v>5.5160151453768761E-4</v>
      </c>
      <c r="E49" s="45" t="e">
        <f t="shared" si="35"/>
        <v>#DIV/0!</v>
      </c>
      <c r="G49" s="262"/>
      <c r="J49" s="250">
        <v>6</v>
      </c>
      <c r="K49" s="205">
        <f>hstr6</f>
        <v>3</v>
      </c>
      <c r="L49" s="205">
        <f t="shared" ref="L49:L51" si="36">L50+K49</f>
        <v>17.75</v>
      </c>
      <c r="M49" s="251">
        <f>'Yield Mechanism'!$X$57</f>
        <v>5.5160151453768761E-4</v>
      </c>
      <c r="N49" s="21">
        <f>M49-M50</f>
        <v>3.8666989517273809E-5</v>
      </c>
      <c r="O49" s="252">
        <f t="shared" ref="O49:O53" si="37">N49/K49</f>
        <v>1.2888996505757937E-5</v>
      </c>
      <c r="P49" s="251">
        <f>$C$26</f>
        <v>8.3125273614190701E-3</v>
      </c>
      <c r="Q49" s="251">
        <f>$D$26</f>
        <v>1.9976000809737945E-3</v>
      </c>
      <c r="R49" s="17">
        <f>O49/P49</f>
        <v>1.550550866825369E-3</v>
      </c>
      <c r="S49" s="17">
        <f t="shared" ref="S49:S54" si="38">O49/Q49</f>
        <v>6.45224068046432E-3</v>
      </c>
      <c r="T49" s="1065">
        <f>'Yield Mechanism'!$AI$57</f>
        <v>2.4248704391924543</v>
      </c>
      <c r="U49" s="205">
        <f>T49*K49</f>
        <v>7.2746113175773628</v>
      </c>
      <c r="V49" s="17">
        <f>U54/AB49</f>
        <v>10.000012796375236</v>
      </c>
      <c r="W49" s="194"/>
      <c r="X49" s="291">
        <v>6</v>
      </c>
      <c r="Y49" s="17">
        <f>mstr6</f>
        <v>63.074599999999997</v>
      </c>
      <c r="Z49" s="17">
        <f t="shared" ref="Z49:Z54" si="39">Y49*M49</f>
        <v>3.4792044888858828E-2</v>
      </c>
      <c r="AA49" s="17">
        <f t="shared" ref="AA49:AA54" si="40">Z49*L49</f>
        <v>0.61755879677724423</v>
      </c>
      <c r="AB49" s="17">
        <f>AA55/Z55</f>
        <v>12.389747822913925</v>
      </c>
    </row>
    <row r="50" spans="2:28" x14ac:dyDescent="0.25">
      <c r="B50" s="259">
        <v>13</v>
      </c>
      <c r="C50" s="78">
        <f>V137*-1</f>
        <v>-10.000012796375236</v>
      </c>
      <c r="D50" s="261">
        <f>M137</f>
        <v>5.5160151453768761E-4</v>
      </c>
      <c r="E50" s="45" t="e">
        <f t="shared" si="35"/>
        <v>#DIV/0!</v>
      </c>
      <c r="G50" s="262"/>
      <c r="J50" s="250">
        <v>5</v>
      </c>
      <c r="K50" s="205">
        <f>hstr5</f>
        <v>3</v>
      </c>
      <c r="L50" s="205">
        <f t="shared" si="36"/>
        <v>14.75</v>
      </c>
      <c r="M50" s="251">
        <f>'Yield Mechanism'!$X$58</f>
        <v>5.129345250204138E-4</v>
      </c>
      <c r="N50" s="21">
        <f t="shared" ref="N50:N52" si="41">M50-M51</f>
        <v>7.4231182883737791E-5</v>
      </c>
      <c r="O50" s="252">
        <f t="shared" si="37"/>
        <v>2.4743727627912597E-5</v>
      </c>
      <c r="P50" s="251">
        <f>$C$27</f>
        <v>9.5976000000000013E-3</v>
      </c>
      <c r="Q50" s="251">
        <f>$D$27</f>
        <v>1.9241439833606131E-3</v>
      </c>
      <c r="R50" s="17">
        <f t="shared" ref="R50:R54" si="42">O50/P50</f>
        <v>2.5781161569467985E-3</v>
      </c>
      <c r="S50" s="17">
        <f t="shared" si="38"/>
        <v>1.2859602941301953E-2</v>
      </c>
      <c r="T50" s="1065">
        <f>'Yield Mechanism'!$AI$58</f>
        <v>4.8300393004174342</v>
      </c>
      <c r="U50" s="205">
        <f>T50*K50+U49</f>
        <v>21.764729218829665</v>
      </c>
      <c r="V50" s="1011"/>
      <c r="W50" s="194"/>
      <c r="X50" s="291">
        <v>5</v>
      </c>
      <c r="Y50" s="17">
        <f>mstr5</f>
        <v>67.278400000000005</v>
      </c>
      <c r="Z50" s="17">
        <f t="shared" si="39"/>
        <v>3.450941414813341E-2</v>
      </c>
      <c r="AA50" s="17">
        <f t="shared" si="40"/>
        <v>0.50901385868496785</v>
      </c>
      <c r="AB50" s="540" t="s">
        <v>336</v>
      </c>
    </row>
    <row r="51" spans="2:28" x14ac:dyDescent="0.25">
      <c r="B51" s="259">
        <v>14</v>
      </c>
      <c r="C51" s="78">
        <f>V148*-1</f>
        <v>-10.000012796375236</v>
      </c>
      <c r="D51" s="261">
        <f>M148</f>
        <v>5.5160151453768761E-4</v>
      </c>
      <c r="E51" s="45" t="e">
        <f t="shared" si="35"/>
        <v>#DIV/0!</v>
      </c>
      <c r="G51" s="262"/>
      <c r="J51" s="250">
        <v>4</v>
      </c>
      <c r="K51" s="205">
        <f>hstr4</f>
        <v>3</v>
      </c>
      <c r="L51" s="205">
        <f t="shared" si="36"/>
        <v>11.75</v>
      </c>
      <c r="M51" s="251">
        <f>'Yield Mechanism'!$X$59</f>
        <v>4.3870334213667601E-4</v>
      </c>
      <c r="N51" s="21">
        <f t="shared" si="41"/>
        <v>1.0053006869018433E-4</v>
      </c>
      <c r="O51" s="252">
        <f t="shared" si="37"/>
        <v>3.3510022896728109E-5</v>
      </c>
      <c r="P51" s="251">
        <f>$C$28</f>
        <v>8.8673064285714302E-3</v>
      </c>
      <c r="Q51" s="251">
        <f>$D$28</f>
        <v>1.8501735321027263E-3</v>
      </c>
      <c r="R51" s="17">
        <f t="shared" si="42"/>
        <v>3.7790532183206338E-3</v>
      </c>
      <c r="S51" s="17">
        <f t="shared" si="38"/>
        <v>1.8111826980166501E-2</v>
      </c>
      <c r="T51" s="1065">
        <f>'Yield Mechanism'!$AI$59</f>
        <v>6.8871388711668882</v>
      </c>
      <c r="U51" s="205">
        <f t="shared" ref="U51:U54" si="43">T51*K51+U50</f>
        <v>42.426145832330327</v>
      </c>
      <c r="V51" s="1012"/>
      <c r="W51" s="194"/>
      <c r="X51" s="291">
        <v>4</v>
      </c>
      <c r="Y51" s="17">
        <f>mstr4</f>
        <v>67.278400000000005</v>
      </c>
      <c r="Z51" s="17">
        <f t="shared" si="39"/>
        <v>2.9515258933608145E-2</v>
      </c>
      <c r="AA51" s="17">
        <f t="shared" si="40"/>
        <v>0.34680429246989569</v>
      </c>
      <c r="AB51" s="204">
        <f>T54/M49</f>
        <v>18129.129820250051</v>
      </c>
    </row>
    <row r="52" spans="2:28" x14ac:dyDescent="0.25">
      <c r="B52" s="259">
        <v>15</v>
      </c>
      <c r="C52" s="78">
        <f>V159*-1</f>
        <v>-10.000012796375236</v>
      </c>
      <c r="D52" s="261">
        <f>M159</f>
        <v>5.5160151453768761E-4</v>
      </c>
      <c r="E52" s="45" t="e">
        <f t="shared" si="35"/>
        <v>#DIV/0!</v>
      </c>
      <c r="G52" s="262"/>
      <c r="J52" s="250">
        <v>3</v>
      </c>
      <c r="K52" s="205">
        <f>hstr3</f>
        <v>3</v>
      </c>
      <c r="L52" s="205">
        <f>L53+K52</f>
        <v>8.75</v>
      </c>
      <c r="M52" s="251">
        <f>'Yield Mechanism'!$X$60</f>
        <v>3.3817327344649168E-4</v>
      </c>
      <c r="N52" s="21">
        <f t="shared" si="41"/>
        <v>1.1536199890110882E-4</v>
      </c>
      <c r="O52" s="252">
        <f t="shared" si="37"/>
        <v>3.8453999633702941E-5</v>
      </c>
      <c r="P52" s="251">
        <f>$C$29</f>
        <v>8.3556867009551838E-3</v>
      </c>
      <c r="Q52" s="251">
        <f>$D$29</f>
        <v>1.7909714066512246E-3</v>
      </c>
      <c r="R52" s="17">
        <f t="shared" si="42"/>
        <v>4.6021351697290245E-3</v>
      </c>
      <c r="S52" s="17">
        <f t="shared" si="38"/>
        <v>2.1471029348036661E-2</v>
      </c>
      <c r="T52" s="1065">
        <f>'Yield Mechanism'!$AI$60</f>
        <v>8.472847474495925</v>
      </c>
      <c r="U52" s="205">
        <f t="shared" si="43"/>
        <v>67.844688255818099</v>
      </c>
      <c r="V52" s="1012"/>
      <c r="W52" s="194"/>
      <c r="X52" s="291">
        <v>3</v>
      </c>
      <c r="Y52" s="17">
        <f>mstr3</f>
        <v>67.278400000000005</v>
      </c>
      <c r="Z52" s="17">
        <f t="shared" si="39"/>
        <v>2.2751756760242447E-2</v>
      </c>
      <c r="AA52" s="17">
        <f t="shared" si="40"/>
        <v>0.1990778716521214</v>
      </c>
      <c r="AB52" s="541" t="s">
        <v>338</v>
      </c>
    </row>
    <row r="53" spans="2:28" x14ac:dyDescent="0.25">
      <c r="B53" s="259">
        <v>16</v>
      </c>
      <c r="C53" s="78">
        <f>V170*-1</f>
        <v>-10.000012796375236</v>
      </c>
      <c r="D53" s="261">
        <f>M170</f>
        <v>5.5160151453768761E-4</v>
      </c>
      <c r="E53" s="45" t="e">
        <f t="shared" si="35"/>
        <v>#DIV/0!</v>
      </c>
      <c r="G53" s="262"/>
      <c r="J53" s="250">
        <v>2</v>
      </c>
      <c r="K53" s="205">
        <f>hstr2</f>
        <v>3</v>
      </c>
      <c r="L53" s="205">
        <f>L54+K53</f>
        <v>5.75</v>
      </c>
      <c r="M53" s="251">
        <f>'Yield Mechanism'!$X$61</f>
        <v>2.2281127454538285E-4</v>
      </c>
      <c r="N53" s="21">
        <f>M53-M54</f>
        <v>1.19935598851961E-4</v>
      </c>
      <c r="O53" s="252">
        <f t="shared" si="37"/>
        <v>3.997853295065367E-5</v>
      </c>
      <c r="P53" s="251">
        <f>$C$30</f>
        <v>6.4157970868129726E-3</v>
      </c>
      <c r="Q53" s="251">
        <f>$D$30</f>
        <v>1.7349058472302754E-3</v>
      </c>
      <c r="R53" s="17">
        <f t="shared" si="42"/>
        <v>6.2312651740226536E-3</v>
      </c>
      <c r="S53" s="17">
        <f t="shared" si="38"/>
        <v>2.3043632606621383E-2</v>
      </c>
      <c r="T53" s="1065">
        <f>'Yield Mechanism'!$AI$61</f>
        <v>9.5175986618025288</v>
      </c>
      <c r="U53" s="205">
        <f t="shared" si="43"/>
        <v>96.397484241225683</v>
      </c>
      <c r="V53" s="1012"/>
      <c r="W53" s="194"/>
      <c r="X53" s="291">
        <v>2</v>
      </c>
      <c r="Y53" s="17">
        <f>mstr2</f>
        <v>67.278400000000005</v>
      </c>
      <c r="Z53" s="17">
        <f t="shared" si="39"/>
        <v>1.4990386053374086E-2</v>
      </c>
      <c r="AA53" s="17">
        <f t="shared" si="40"/>
        <v>8.6194719806900993E-2</v>
      </c>
      <c r="AB53" s="17">
        <f>((Y54*M52+Y53*M53+Y52*M54+M51*Y51+M50*Y50+M49*Y49)^2)/(Y54*M52*M52+Y53*M53*M53+Y52*M54*M54+Y51*M51*M51+Y50*M50*M50+Y49*M49*M49)</f>
        <v>334.26818500347838</v>
      </c>
    </row>
    <row r="54" spans="2:28" x14ac:dyDescent="0.25">
      <c r="B54" s="259">
        <v>17</v>
      </c>
      <c r="C54" s="78">
        <f>V181*-1</f>
        <v>-10.000012796375236</v>
      </c>
      <c r="D54" s="261">
        <f>M181</f>
        <v>5.5160151453768761E-4</v>
      </c>
      <c r="E54" s="45" t="e">
        <f t="shared" si="35"/>
        <v>#DIV/0!</v>
      </c>
      <c r="G54" s="262"/>
      <c r="J54" s="250">
        <v>1</v>
      </c>
      <c r="K54" s="205">
        <f>hstr1</f>
        <v>2.75</v>
      </c>
      <c r="L54" s="205">
        <f>K54</f>
        <v>2.75</v>
      </c>
      <c r="M54" s="251">
        <f>'Yield Mechanism'!$X$62</f>
        <v>1.0287567569342185E-4</v>
      </c>
      <c r="N54" s="21">
        <f>M54</f>
        <v>1.0287567569342185E-4</v>
      </c>
      <c r="O54" s="252">
        <f>N54/K54</f>
        <v>3.7409336615789761E-5</v>
      </c>
      <c r="P54" s="251">
        <f>$C$31</f>
        <v>4.8471720397440425E-3</v>
      </c>
      <c r="Q54" s="251">
        <f>$D$31</f>
        <v>1.7665298310518072E-3</v>
      </c>
      <c r="R54" s="17">
        <f t="shared" si="42"/>
        <v>7.7177653916664325E-3</v>
      </c>
      <c r="S54" s="17">
        <f t="shared" si="38"/>
        <v>2.1176736423135247E-2</v>
      </c>
      <c r="T54" s="1065">
        <f>'Yield Mechanism'!$AI$62</f>
        <v>10.000055466100285</v>
      </c>
      <c r="U54" s="205">
        <f t="shared" si="43"/>
        <v>123.89763677300147</v>
      </c>
      <c r="V54" s="1013"/>
      <c r="W54" s="194"/>
      <c r="X54" s="291">
        <v>1</v>
      </c>
      <c r="Y54" s="17">
        <f>mstr1</f>
        <v>67.278400000000005</v>
      </c>
      <c r="Z54" s="17">
        <f t="shared" si="39"/>
        <v>6.9213108595723126E-3</v>
      </c>
      <c r="AA54" s="17">
        <f t="shared" si="40"/>
        <v>1.9033604863823859E-2</v>
      </c>
      <c r="AB54" s="540" t="s">
        <v>337</v>
      </c>
    </row>
    <row r="55" spans="2:28" x14ac:dyDescent="0.25">
      <c r="B55" s="259">
        <v>18</v>
      </c>
      <c r="C55" s="78">
        <f>V192*-1</f>
        <v>-10.000012796375236</v>
      </c>
      <c r="D55" s="261">
        <f>M192</f>
        <v>5.5160151453768761E-4</v>
      </c>
      <c r="E55" s="45" t="e">
        <f t="shared" si="35"/>
        <v>#DIV/0!</v>
      </c>
      <c r="G55" s="262"/>
      <c r="X55" s="292"/>
      <c r="Y55" s="540" t="s">
        <v>78</v>
      </c>
      <c r="Z55" s="253">
        <f>SUM(Z49:Z54)</f>
        <v>0.14348017164378923</v>
      </c>
      <c r="AA55" s="253">
        <f>SUM(AA49:AA54)</f>
        <v>1.7776831442549539</v>
      </c>
      <c r="AB55" s="204">
        <f>2*PI()*SQRT(AB53/AB51)</f>
        <v>0.85317655078832455</v>
      </c>
    </row>
    <row r="56" spans="2:28" x14ac:dyDescent="0.25">
      <c r="B56" s="259">
        <v>19</v>
      </c>
      <c r="C56" s="78">
        <f>V203*-1</f>
        <v>-10.000012796375236</v>
      </c>
      <c r="D56" s="261">
        <f>M203</f>
        <v>5.5160151453768761E-4</v>
      </c>
      <c r="E56" s="45" t="e">
        <f t="shared" si="35"/>
        <v>#DIV/0!</v>
      </c>
      <c r="G56" s="262"/>
    </row>
    <row r="57" spans="2:28" ht="15.75" x14ac:dyDescent="0.25">
      <c r="B57" s="129">
        <v>20</v>
      </c>
      <c r="C57" s="73">
        <f>V214*-1</f>
        <v>-10.000012796375236</v>
      </c>
      <c r="D57" s="263">
        <f>M214</f>
        <v>5.5160151453768761E-4</v>
      </c>
      <c r="E57" s="147" t="e">
        <f t="shared" si="35"/>
        <v>#DIV/0!</v>
      </c>
      <c r="F57" s="264"/>
      <c r="G57" s="265"/>
      <c r="J57" s="1034" t="s">
        <v>111</v>
      </c>
      <c r="K57" s="1035"/>
      <c r="L57" s="1035"/>
      <c r="M57" s="1035"/>
      <c r="N57" s="1035"/>
      <c r="O57" s="1035"/>
      <c r="P57" s="1035"/>
      <c r="Q57" s="1035"/>
      <c r="R57" s="1035"/>
      <c r="S57" s="1035"/>
      <c r="T57" s="1035"/>
      <c r="U57" s="1035"/>
      <c r="V57" s="1036"/>
      <c r="W57" s="266"/>
      <c r="X57" s="1032" t="s">
        <v>106</v>
      </c>
      <c r="Y57" s="1032"/>
      <c r="Z57" s="1032"/>
      <c r="AA57" s="1032"/>
      <c r="AB57" s="1032"/>
    </row>
    <row r="58" spans="2:28" ht="15" customHeight="1" x14ac:dyDescent="0.25">
      <c r="J58" s="964" t="s">
        <v>5</v>
      </c>
      <c r="K58" s="965" t="s">
        <v>3</v>
      </c>
      <c r="L58" s="965" t="s">
        <v>72</v>
      </c>
      <c r="M58" s="964" t="s">
        <v>74</v>
      </c>
      <c r="N58" s="964" t="s">
        <v>81</v>
      </c>
      <c r="O58" s="965" t="s">
        <v>101</v>
      </c>
      <c r="P58" s="965" t="s">
        <v>257</v>
      </c>
      <c r="Q58" s="965" t="s">
        <v>258</v>
      </c>
      <c r="R58" s="964" t="s">
        <v>394</v>
      </c>
      <c r="S58" s="964" t="s">
        <v>395</v>
      </c>
      <c r="T58" s="964" t="s">
        <v>75</v>
      </c>
      <c r="U58" s="965" t="s">
        <v>102</v>
      </c>
      <c r="V58" s="964" t="s">
        <v>79</v>
      </c>
      <c r="X58" s="696" t="s">
        <v>5</v>
      </c>
      <c r="Y58" s="1033" t="s">
        <v>76</v>
      </c>
      <c r="Z58" s="1033" t="s">
        <v>77</v>
      </c>
      <c r="AA58" s="1033" t="s">
        <v>104</v>
      </c>
      <c r="AB58" s="698" t="s">
        <v>105</v>
      </c>
    </row>
    <row r="59" spans="2:28" x14ac:dyDescent="0.25">
      <c r="J59" s="701"/>
      <c r="K59" s="697"/>
      <c r="L59" s="697"/>
      <c r="M59" s="701"/>
      <c r="N59" s="701"/>
      <c r="O59" s="697"/>
      <c r="P59" s="697"/>
      <c r="Q59" s="697"/>
      <c r="R59" s="701"/>
      <c r="S59" s="701"/>
      <c r="T59" s="701"/>
      <c r="U59" s="697"/>
      <c r="V59" s="701"/>
      <c r="X59" s="696"/>
      <c r="Y59" s="1033"/>
      <c r="Z59" s="1033"/>
      <c r="AA59" s="1033"/>
      <c r="AB59" s="698"/>
    </row>
    <row r="60" spans="2:28" x14ac:dyDescent="0.25">
      <c r="J60" s="250">
        <v>6</v>
      </c>
      <c r="K60" s="205">
        <f>hstr6</f>
        <v>3</v>
      </c>
      <c r="L60" s="205">
        <f t="shared" ref="L60:L62" si="44">L61+K60</f>
        <v>17.75</v>
      </c>
      <c r="M60" s="251">
        <f>'Yield Mechanism'!$X$57</f>
        <v>5.5160151453768761E-4</v>
      </c>
      <c r="N60" s="21">
        <f>M60-M61</f>
        <v>3.8666989517273809E-5</v>
      </c>
      <c r="O60" s="252">
        <f t="shared" ref="O60:O64" si="45">N60/K60</f>
        <v>1.2888996505757937E-5</v>
      </c>
      <c r="P60" s="251">
        <f>$C$26</f>
        <v>8.3125273614190701E-3</v>
      </c>
      <c r="Q60" s="251">
        <f>$D$26</f>
        <v>1.9976000809737945E-3</v>
      </c>
      <c r="R60" s="17">
        <f>O60/P60</f>
        <v>1.550550866825369E-3</v>
      </c>
      <c r="S60" s="17">
        <f t="shared" ref="S60:S65" si="46">O60/Q60</f>
        <v>6.45224068046432E-3</v>
      </c>
      <c r="T60" s="1065">
        <f>'Yield Mechanism'!$AI$57</f>
        <v>2.4248704391924543</v>
      </c>
      <c r="U60" s="205">
        <f>T60*K60</f>
        <v>7.2746113175773628</v>
      </c>
      <c r="V60" s="17">
        <f>U65/AB60</f>
        <v>10.000012796375236</v>
      </c>
      <c r="W60" s="194"/>
      <c r="X60" s="291">
        <v>6</v>
      </c>
      <c r="Y60" s="17">
        <f>mstr6</f>
        <v>63.074599999999997</v>
      </c>
      <c r="Z60" s="17">
        <f t="shared" ref="Z60:Z65" si="47">Y60*M60</f>
        <v>3.4792044888858828E-2</v>
      </c>
      <c r="AA60" s="17">
        <f t="shared" ref="AA60:AA65" si="48">Z60*L60</f>
        <v>0.61755879677724423</v>
      </c>
      <c r="AB60" s="17">
        <f>AA66/Z66</f>
        <v>12.389747822913925</v>
      </c>
    </row>
    <row r="61" spans="2:28" x14ac:dyDescent="0.25">
      <c r="J61" s="250">
        <v>5</v>
      </c>
      <c r="K61" s="205">
        <f>hstr5</f>
        <v>3</v>
      </c>
      <c r="L61" s="205">
        <f t="shared" si="44"/>
        <v>14.75</v>
      </c>
      <c r="M61" s="251">
        <f>'Yield Mechanism'!$X$58</f>
        <v>5.129345250204138E-4</v>
      </c>
      <c r="N61" s="21">
        <f t="shared" ref="N61:N63" si="49">M61-M62</f>
        <v>7.4231182883737791E-5</v>
      </c>
      <c r="O61" s="252">
        <f t="shared" si="45"/>
        <v>2.4743727627912597E-5</v>
      </c>
      <c r="P61" s="251">
        <f>$C$27</f>
        <v>9.5976000000000013E-3</v>
      </c>
      <c r="Q61" s="251">
        <f>$D$27</f>
        <v>1.9241439833606131E-3</v>
      </c>
      <c r="R61" s="17">
        <f t="shared" ref="R61:R65" si="50">O61/P61</f>
        <v>2.5781161569467985E-3</v>
      </c>
      <c r="S61" s="17">
        <f t="shared" si="46"/>
        <v>1.2859602941301953E-2</v>
      </c>
      <c r="T61" s="1065">
        <f>'Yield Mechanism'!$AI$58</f>
        <v>4.8300393004174342</v>
      </c>
      <c r="U61" s="205">
        <f>T61*K61+U60</f>
        <v>21.764729218829665</v>
      </c>
      <c r="V61" s="1011"/>
      <c r="W61" s="194"/>
      <c r="X61" s="291">
        <v>5</v>
      </c>
      <c r="Y61" s="17">
        <f>mstr5</f>
        <v>67.278400000000005</v>
      </c>
      <c r="Z61" s="17">
        <f t="shared" si="47"/>
        <v>3.450941414813341E-2</v>
      </c>
      <c r="AA61" s="17">
        <f t="shared" si="48"/>
        <v>0.50901385868496785</v>
      </c>
      <c r="AB61" s="540" t="s">
        <v>336</v>
      </c>
    </row>
    <row r="62" spans="2:28" x14ac:dyDescent="0.25">
      <c r="J62" s="250">
        <v>4</v>
      </c>
      <c r="K62" s="205">
        <f>hstr4</f>
        <v>3</v>
      </c>
      <c r="L62" s="205">
        <f t="shared" si="44"/>
        <v>11.75</v>
      </c>
      <c r="M62" s="251">
        <f>'Yield Mechanism'!$X$59</f>
        <v>4.3870334213667601E-4</v>
      </c>
      <c r="N62" s="21">
        <f t="shared" si="49"/>
        <v>1.0053006869018433E-4</v>
      </c>
      <c r="O62" s="252">
        <f t="shared" si="45"/>
        <v>3.3510022896728109E-5</v>
      </c>
      <c r="P62" s="251">
        <f>$C$28</f>
        <v>8.8673064285714302E-3</v>
      </c>
      <c r="Q62" s="251">
        <f>$D$28</f>
        <v>1.8501735321027263E-3</v>
      </c>
      <c r="R62" s="17">
        <f t="shared" si="50"/>
        <v>3.7790532183206338E-3</v>
      </c>
      <c r="S62" s="17">
        <f t="shared" si="46"/>
        <v>1.8111826980166501E-2</v>
      </c>
      <c r="T62" s="1065">
        <f>'Yield Mechanism'!$AI$59</f>
        <v>6.8871388711668882</v>
      </c>
      <c r="U62" s="205">
        <f t="shared" ref="U62:U65" si="51">T62*K62+U61</f>
        <v>42.426145832330327</v>
      </c>
      <c r="V62" s="1012"/>
      <c r="W62" s="194"/>
      <c r="X62" s="291">
        <v>4</v>
      </c>
      <c r="Y62" s="17">
        <f>mstr4</f>
        <v>67.278400000000005</v>
      </c>
      <c r="Z62" s="17">
        <f t="shared" si="47"/>
        <v>2.9515258933608145E-2</v>
      </c>
      <c r="AA62" s="17">
        <f t="shared" si="48"/>
        <v>0.34680429246989569</v>
      </c>
      <c r="AB62" s="204">
        <f>T65/M60</f>
        <v>18129.129820250051</v>
      </c>
    </row>
    <row r="63" spans="2:28" x14ac:dyDescent="0.25">
      <c r="J63" s="250">
        <v>3</v>
      </c>
      <c r="K63" s="205">
        <f>hstr3</f>
        <v>3</v>
      </c>
      <c r="L63" s="205">
        <f>L64+K63</f>
        <v>8.75</v>
      </c>
      <c r="M63" s="251">
        <f>'Yield Mechanism'!$X$60</f>
        <v>3.3817327344649168E-4</v>
      </c>
      <c r="N63" s="21">
        <f t="shared" si="49"/>
        <v>1.1536199890110882E-4</v>
      </c>
      <c r="O63" s="252">
        <f t="shared" si="45"/>
        <v>3.8453999633702941E-5</v>
      </c>
      <c r="P63" s="251">
        <f>$C$29</f>
        <v>8.3556867009551838E-3</v>
      </c>
      <c r="Q63" s="251">
        <f>$D$29</f>
        <v>1.7909714066512246E-3</v>
      </c>
      <c r="R63" s="17">
        <f t="shared" si="50"/>
        <v>4.6021351697290245E-3</v>
      </c>
      <c r="S63" s="17">
        <f t="shared" si="46"/>
        <v>2.1471029348036661E-2</v>
      </c>
      <c r="T63" s="1065">
        <f>'Yield Mechanism'!$AI$60</f>
        <v>8.472847474495925</v>
      </c>
      <c r="U63" s="205">
        <f t="shared" si="51"/>
        <v>67.844688255818099</v>
      </c>
      <c r="V63" s="1012"/>
      <c r="W63" s="194"/>
      <c r="X63" s="291">
        <v>3</v>
      </c>
      <c r="Y63" s="17">
        <f>mstr3</f>
        <v>67.278400000000005</v>
      </c>
      <c r="Z63" s="17">
        <f t="shared" si="47"/>
        <v>2.2751756760242447E-2</v>
      </c>
      <c r="AA63" s="17">
        <f t="shared" si="48"/>
        <v>0.1990778716521214</v>
      </c>
      <c r="AB63" s="541" t="s">
        <v>338</v>
      </c>
    </row>
    <row r="64" spans="2:28" x14ac:dyDescent="0.25">
      <c r="J64" s="250">
        <v>2</v>
      </c>
      <c r="K64" s="205">
        <f>hstr2</f>
        <v>3</v>
      </c>
      <c r="L64" s="205">
        <f>L65+K64</f>
        <v>5.75</v>
      </c>
      <c r="M64" s="251">
        <f>'Yield Mechanism'!$X$61</f>
        <v>2.2281127454538285E-4</v>
      </c>
      <c r="N64" s="21">
        <f>M64-M65</f>
        <v>1.19935598851961E-4</v>
      </c>
      <c r="O64" s="252">
        <f t="shared" si="45"/>
        <v>3.997853295065367E-5</v>
      </c>
      <c r="P64" s="251">
        <f>$C$30</f>
        <v>6.4157970868129726E-3</v>
      </c>
      <c r="Q64" s="251">
        <f>$D$30</f>
        <v>1.7349058472302754E-3</v>
      </c>
      <c r="R64" s="17">
        <f t="shared" si="50"/>
        <v>6.2312651740226536E-3</v>
      </c>
      <c r="S64" s="17">
        <f t="shared" si="46"/>
        <v>2.3043632606621383E-2</v>
      </c>
      <c r="T64" s="1065">
        <f>'Yield Mechanism'!$AI$61</f>
        <v>9.5175986618025288</v>
      </c>
      <c r="U64" s="205">
        <f t="shared" si="51"/>
        <v>96.397484241225683</v>
      </c>
      <c r="V64" s="1012"/>
      <c r="W64" s="194"/>
      <c r="X64" s="291">
        <v>2</v>
      </c>
      <c r="Y64" s="17">
        <f>mstr2</f>
        <v>67.278400000000005</v>
      </c>
      <c r="Z64" s="17">
        <f t="shared" si="47"/>
        <v>1.4990386053374086E-2</v>
      </c>
      <c r="AA64" s="17">
        <f t="shared" si="48"/>
        <v>8.6194719806900993E-2</v>
      </c>
      <c r="AB64" s="17">
        <f>((Y65*M63+Y64*M64+Y63*M65+M62*Y62+M61*Y61+M60*Y60)^2)/(Y65*M63*M63+Y64*M64*M64+Y63*M65*M65+Y62*M62*M62+Y61*M61*M61+Y60*M60*M60)</f>
        <v>334.26818500347838</v>
      </c>
    </row>
    <row r="65" spans="10:28" x14ac:dyDescent="0.25">
      <c r="J65" s="250">
        <v>1</v>
      </c>
      <c r="K65" s="205">
        <f>hstr1</f>
        <v>2.75</v>
      </c>
      <c r="L65" s="205">
        <f>K65</f>
        <v>2.75</v>
      </c>
      <c r="M65" s="251">
        <f>'Yield Mechanism'!$X$62</f>
        <v>1.0287567569342185E-4</v>
      </c>
      <c r="N65" s="21">
        <f>M65</f>
        <v>1.0287567569342185E-4</v>
      </c>
      <c r="O65" s="252">
        <f>N65/K65</f>
        <v>3.7409336615789761E-5</v>
      </c>
      <c r="P65" s="251">
        <f>$C$31</f>
        <v>4.8471720397440425E-3</v>
      </c>
      <c r="Q65" s="251">
        <f>$D$31</f>
        <v>1.7665298310518072E-3</v>
      </c>
      <c r="R65" s="17">
        <f t="shared" si="50"/>
        <v>7.7177653916664325E-3</v>
      </c>
      <c r="S65" s="17">
        <f t="shared" si="46"/>
        <v>2.1176736423135247E-2</v>
      </c>
      <c r="T65" s="1065">
        <f>'Yield Mechanism'!$AI$62</f>
        <v>10.000055466100285</v>
      </c>
      <c r="U65" s="205">
        <f t="shared" si="51"/>
        <v>123.89763677300147</v>
      </c>
      <c r="V65" s="1013"/>
      <c r="W65" s="194"/>
      <c r="X65" s="291">
        <v>1</v>
      </c>
      <c r="Y65" s="17">
        <f>mstr1</f>
        <v>67.278400000000005</v>
      </c>
      <c r="Z65" s="17">
        <f t="shared" si="47"/>
        <v>6.9213108595723126E-3</v>
      </c>
      <c r="AA65" s="17">
        <f t="shared" si="48"/>
        <v>1.9033604863823859E-2</v>
      </c>
      <c r="AB65" s="540" t="s">
        <v>337</v>
      </c>
    </row>
    <row r="66" spans="10:28" x14ac:dyDescent="0.25">
      <c r="X66" s="292"/>
      <c r="Y66" s="540" t="s">
        <v>78</v>
      </c>
      <c r="Z66" s="253">
        <f>SUM(Z60:Z65)</f>
        <v>0.14348017164378923</v>
      </c>
      <c r="AA66" s="253">
        <f>SUM(AA60:AA65)</f>
        <v>1.7776831442549539</v>
      </c>
      <c r="AB66" s="204">
        <f>2*PI()*SQRT(AB64/AB62)</f>
        <v>0.85317655078832455</v>
      </c>
    </row>
    <row r="67" spans="10:28" x14ac:dyDescent="0.25">
      <c r="R67" s="267"/>
      <c r="S67" s="267"/>
    </row>
    <row r="68" spans="10:28" ht="15.75" x14ac:dyDescent="0.25">
      <c r="J68" s="1034" t="s">
        <v>272</v>
      </c>
      <c r="K68" s="1035"/>
      <c r="L68" s="1035"/>
      <c r="M68" s="1035"/>
      <c r="N68" s="1035"/>
      <c r="O68" s="1035"/>
      <c r="P68" s="1035"/>
      <c r="Q68" s="1035"/>
      <c r="R68" s="1035"/>
      <c r="S68" s="1035"/>
      <c r="T68" s="1035"/>
      <c r="U68" s="1035"/>
      <c r="V68" s="1036"/>
      <c r="W68" s="266"/>
      <c r="X68" s="1032" t="s">
        <v>106</v>
      </c>
      <c r="Y68" s="1032"/>
      <c r="Z68" s="1032"/>
      <c r="AA68" s="1032"/>
      <c r="AB68" s="1032"/>
    </row>
    <row r="69" spans="10:28" ht="15" customHeight="1" x14ac:dyDescent="0.25">
      <c r="J69" s="964" t="s">
        <v>5</v>
      </c>
      <c r="K69" s="965" t="s">
        <v>3</v>
      </c>
      <c r="L69" s="965" t="s">
        <v>72</v>
      </c>
      <c r="M69" s="964" t="s">
        <v>74</v>
      </c>
      <c r="N69" s="964" t="s">
        <v>81</v>
      </c>
      <c r="O69" s="965" t="s">
        <v>101</v>
      </c>
      <c r="P69" s="965" t="s">
        <v>257</v>
      </c>
      <c r="Q69" s="965" t="s">
        <v>258</v>
      </c>
      <c r="R69" s="964" t="s">
        <v>394</v>
      </c>
      <c r="S69" s="964" t="s">
        <v>395</v>
      </c>
      <c r="T69" s="964" t="s">
        <v>75</v>
      </c>
      <c r="U69" s="965" t="s">
        <v>102</v>
      </c>
      <c r="V69" s="964" t="s">
        <v>79</v>
      </c>
      <c r="X69" s="696" t="s">
        <v>5</v>
      </c>
      <c r="Y69" s="1033" t="s">
        <v>76</v>
      </c>
      <c r="Z69" s="1033" t="s">
        <v>77</v>
      </c>
      <c r="AA69" s="1033" t="s">
        <v>104</v>
      </c>
      <c r="AB69" s="698" t="s">
        <v>105</v>
      </c>
    </row>
    <row r="70" spans="10:28" x14ac:dyDescent="0.25">
      <c r="J70" s="701"/>
      <c r="K70" s="697"/>
      <c r="L70" s="697"/>
      <c r="M70" s="701"/>
      <c r="N70" s="701"/>
      <c r="O70" s="697"/>
      <c r="P70" s="697"/>
      <c r="Q70" s="697"/>
      <c r="R70" s="701"/>
      <c r="S70" s="701"/>
      <c r="T70" s="701"/>
      <c r="U70" s="697"/>
      <c r="V70" s="701"/>
      <c r="X70" s="696"/>
      <c r="Y70" s="1033"/>
      <c r="Z70" s="1033"/>
      <c r="AA70" s="1033"/>
      <c r="AB70" s="698"/>
    </row>
    <row r="71" spans="10:28" x14ac:dyDescent="0.25">
      <c r="J71" s="250">
        <v>6</v>
      </c>
      <c r="K71" s="205">
        <f>hstr6</f>
        <v>3</v>
      </c>
      <c r="L71" s="205">
        <f t="shared" ref="L71:L73" si="52">L72+K71</f>
        <v>17.75</v>
      </c>
      <c r="M71" s="251">
        <f>'Yield Mechanism'!$X$57</f>
        <v>5.5160151453768761E-4</v>
      </c>
      <c r="N71" s="21">
        <f>M71-M72</f>
        <v>3.8666989517273809E-5</v>
      </c>
      <c r="O71" s="252">
        <f t="shared" ref="O71:O75" si="53">N71/K71</f>
        <v>1.2888996505757937E-5</v>
      </c>
      <c r="P71" s="251">
        <f>$C$26</f>
        <v>8.3125273614190701E-3</v>
      </c>
      <c r="Q71" s="251">
        <f>$D$26</f>
        <v>1.9976000809737945E-3</v>
      </c>
      <c r="R71" s="17">
        <f>O71/P71</f>
        <v>1.550550866825369E-3</v>
      </c>
      <c r="S71" s="17">
        <f t="shared" ref="S71:S76" si="54">O71/Q71</f>
        <v>6.45224068046432E-3</v>
      </c>
      <c r="T71" s="1065">
        <f>'Yield Mechanism'!$AI$57</f>
        <v>2.4248704391924543</v>
      </c>
      <c r="U71" s="205">
        <f>T71*K71</f>
        <v>7.2746113175773628</v>
      </c>
      <c r="V71" s="17">
        <f>U76/AB71</f>
        <v>10.000012796375236</v>
      </c>
      <c r="W71" s="194"/>
      <c r="X71" s="291">
        <v>6</v>
      </c>
      <c r="Y71" s="17">
        <f>mstr6</f>
        <v>63.074599999999997</v>
      </c>
      <c r="Z71" s="17">
        <f t="shared" ref="Z71:Z76" si="55">Y71*M71</f>
        <v>3.4792044888858828E-2</v>
      </c>
      <c r="AA71" s="17">
        <f t="shared" ref="AA71:AA76" si="56">Z71*L71</f>
        <v>0.61755879677724423</v>
      </c>
      <c r="AB71" s="17">
        <f>AA77/Z77</f>
        <v>12.389747822913925</v>
      </c>
    </row>
    <row r="72" spans="10:28" x14ac:dyDescent="0.25">
      <c r="J72" s="250">
        <v>5</v>
      </c>
      <c r="K72" s="205">
        <f>hstr5</f>
        <v>3</v>
      </c>
      <c r="L72" s="205">
        <f t="shared" si="52"/>
        <v>14.75</v>
      </c>
      <c r="M72" s="251">
        <f>'Yield Mechanism'!$X$58</f>
        <v>5.129345250204138E-4</v>
      </c>
      <c r="N72" s="21">
        <f t="shared" ref="N72:N74" si="57">M72-M73</f>
        <v>7.4231182883737791E-5</v>
      </c>
      <c r="O72" s="252">
        <f t="shared" si="53"/>
        <v>2.4743727627912597E-5</v>
      </c>
      <c r="P72" s="251">
        <f>$C$27</f>
        <v>9.5976000000000013E-3</v>
      </c>
      <c r="Q72" s="251">
        <f>$D$27</f>
        <v>1.9241439833606131E-3</v>
      </c>
      <c r="R72" s="17">
        <f t="shared" ref="R72:R76" si="58">O72/P72</f>
        <v>2.5781161569467985E-3</v>
      </c>
      <c r="S72" s="17">
        <f t="shared" si="54"/>
        <v>1.2859602941301953E-2</v>
      </c>
      <c r="T72" s="1065">
        <f>'Yield Mechanism'!$AI$58</f>
        <v>4.8300393004174342</v>
      </c>
      <c r="U72" s="205">
        <f>T72*K72+U71</f>
        <v>21.764729218829665</v>
      </c>
      <c r="V72" s="1011"/>
      <c r="W72" s="194"/>
      <c r="X72" s="291">
        <v>5</v>
      </c>
      <c r="Y72" s="17">
        <f>mstr5</f>
        <v>67.278400000000005</v>
      </c>
      <c r="Z72" s="17">
        <f t="shared" si="55"/>
        <v>3.450941414813341E-2</v>
      </c>
      <c r="AA72" s="17">
        <f t="shared" si="56"/>
        <v>0.50901385868496785</v>
      </c>
      <c r="AB72" s="540" t="s">
        <v>336</v>
      </c>
    </row>
    <row r="73" spans="10:28" x14ac:dyDescent="0.25">
      <c r="J73" s="250">
        <v>4</v>
      </c>
      <c r="K73" s="205">
        <f>hstr4</f>
        <v>3</v>
      </c>
      <c r="L73" s="205">
        <f t="shared" si="52"/>
        <v>11.75</v>
      </c>
      <c r="M73" s="251">
        <f>'Yield Mechanism'!$X$59</f>
        <v>4.3870334213667601E-4</v>
      </c>
      <c r="N73" s="21">
        <f t="shared" si="57"/>
        <v>1.0053006869018433E-4</v>
      </c>
      <c r="O73" s="252">
        <f t="shared" si="53"/>
        <v>3.3510022896728109E-5</v>
      </c>
      <c r="P73" s="251">
        <f>$C$28</f>
        <v>8.8673064285714302E-3</v>
      </c>
      <c r="Q73" s="251">
        <f>$D$28</f>
        <v>1.8501735321027263E-3</v>
      </c>
      <c r="R73" s="17">
        <f t="shared" si="58"/>
        <v>3.7790532183206338E-3</v>
      </c>
      <c r="S73" s="17">
        <f t="shared" si="54"/>
        <v>1.8111826980166501E-2</v>
      </c>
      <c r="T73" s="1065">
        <f>'Yield Mechanism'!$AI$59</f>
        <v>6.8871388711668882</v>
      </c>
      <c r="U73" s="205">
        <f t="shared" ref="U73:U76" si="59">T73*K73+U72</f>
        <v>42.426145832330327</v>
      </c>
      <c r="V73" s="1012"/>
      <c r="W73" s="194"/>
      <c r="X73" s="291">
        <v>4</v>
      </c>
      <c r="Y73" s="17">
        <f>mstr4</f>
        <v>67.278400000000005</v>
      </c>
      <c r="Z73" s="17">
        <f t="shared" si="55"/>
        <v>2.9515258933608145E-2</v>
      </c>
      <c r="AA73" s="17">
        <f t="shared" si="56"/>
        <v>0.34680429246989569</v>
      </c>
      <c r="AB73" s="204">
        <f>T76/M71</f>
        <v>18129.129820250051</v>
      </c>
    </row>
    <row r="74" spans="10:28" x14ac:dyDescent="0.25">
      <c r="J74" s="250">
        <v>3</v>
      </c>
      <c r="K74" s="205">
        <f>hstr3</f>
        <v>3</v>
      </c>
      <c r="L74" s="205">
        <f>L75+K74</f>
        <v>8.75</v>
      </c>
      <c r="M74" s="251">
        <f>'Yield Mechanism'!$X$60</f>
        <v>3.3817327344649168E-4</v>
      </c>
      <c r="N74" s="21">
        <f t="shared" si="57"/>
        <v>1.1536199890110882E-4</v>
      </c>
      <c r="O74" s="252">
        <f t="shared" si="53"/>
        <v>3.8453999633702941E-5</v>
      </c>
      <c r="P74" s="251">
        <f>$C$29</f>
        <v>8.3556867009551838E-3</v>
      </c>
      <c r="Q74" s="251">
        <f>$D$29</f>
        <v>1.7909714066512246E-3</v>
      </c>
      <c r="R74" s="17">
        <f t="shared" si="58"/>
        <v>4.6021351697290245E-3</v>
      </c>
      <c r="S74" s="17">
        <f t="shared" si="54"/>
        <v>2.1471029348036661E-2</v>
      </c>
      <c r="T74" s="1065">
        <f>'Yield Mechanism'!$AI$60</f>
        <v>8.472847474495925</v>
      </c>
      <c r="U74" s="205">
        <f t="shared" si="59"/>
        <v>67.844688255818099</v>
      </c>
      <c r="V74" s="1012"/>
      <c r="W74" s="194"/>
      <c r="X74" s="291">
        <v>3</v>
      </c>
      <c r="Y74" s="17">
        <f>mstr3</f>
        <v>67.278400000000005</v>
      </c>
      <c r="Z74" s="17">
        <f t="shared" si="55"/>
        <v>2.2751756760242447E-2</v>
      </c>
      <c r="AA74" s="17">
        <f t="shared" si="56"/>
        <v>0.1990778716521214</v>
      </c>
      <c r="AB74" s="541" t="s">
        <v>338</v>
      </c>
    </row>
    <row r="75" spans="10:28" x14ac:dyDescent="0.25">
      <c r="J75" s="250">
        <v>2</v>
      </c>
      <c r="K75" s="205">
        <f>hstr2</f>
        <v>3</v>
      </c>
      <c r="L75" s="205">
        <f>L76+K75</f>
        <v>5.75</v>
      </c>
      <c r="M75" s="251">
        <f>'Yield Mechanism'!$X$61</f>
        <v>2.2281127454538285E-4</v>
      </c>
      <c r="N75" s="21">
        <f>M75-M76</f>
        <v>1.19935598851961E-4</v>
      </c>
      <c r="O75" s="252">
        <f t="shared" si="53"/>
        <v>3.997853295065367E-5</v>
      </c>
      <c r="P75" s="251">
        <f>$C$30</f>
        <v>6.4157970868129726E-3</v>
      </c>
      <c r="Q75" s="251">
        <f>$D$30</f>
        <v>1.7349058472302754E-3</v>
      </c>
      <c r="R75" s="17">
        <f t="shared" si="58"/>
        <v>6.2312651740226536E-3</v>
      </c>
      <c r="S75" s="17">
        <f t="shared" si="54"/>
        <v>2.3043632606621383E-2</v>
      </c>
      <c r="T75" s="1065">
        <f>'Yield Mechanism'!$AI$61</f>
        <v>9.5175986618025288</v>
      </c>
      <c r="U75" s="205">
        <f t="shared" si="59"/>
        <v>96.397484241225683</v>
      </c>
      <c r="V75" s="1012"/>
      <c r="W75" s="194"/>
      <c r="X75" s="291">
        <v>2</v>
      </c>
      <c r="Y75" s="17">
        <f>mstr2</f>
        <v>67.278400000000005</v>
      </c>
      <c r="Z75" s="17">
        <f t="shared" si="55"/>
        <v>1.4990386053374086E-2</v>
      </c>
      <c r="AA75" s="17">
        <f t="shared" si="56"/>
        <v>8.6194719806900993E-2</v>
      </c>
      <c r="AB75" s="17">
        <f>((Y76*M74+Y75*M75+Y74*M76+M73*Y73+M72*Y72+M71*Y71)^2)/(Y76*M74*M74+Y75*M75*M75+Y74*M76*M76+Y73*M73*M73+Y72*M72*M72+Y71*M71*M71)</f>
        <v>334.26818500347838</v>
      </c>
    </row>
    <row r="76" spans="10:28" x14ac:dyDescent="0.25">
      <c r="J76" s="250">
        <v>1</v>
      </c>
      <c r="K76" s="205">
        <f>hstr1</f>
        <v>2.75</v>
      </c>
      <c r="L76" s="205">
        <f>K76</f>
        <v>2.75</v>
      </c>
      <c r="M76" s="251">
        <f>'Yield Mechanism'!$X$62</f>
        <v>1.0287567569342185E-4</v>
      </c>
      <c r="N76" s="21">
        <f>M76</f>
        <v>1.0287567569342185E-4</v>
      </c>
      <c r="O76" s="252">
        <f>N76/K76</f>
        <v>3.7409336615789761E-5</v>
      </c>
      <c r="P76" s="251">
        <f>$C$31</f>
        <v>4.8471720397440425E-3</v>
      </c>
      <c r="Q76" s="251">
        <f>$D$31</f>
        <v>1.7665298310518072E-3</v>
      </c>
      <c r="R76" s="17">
        <f t="shared" si="58"/>
        <v>7.7177653916664325E-3</v>
      </c>
      <c r="S76" s="17">
        <f t="shared" si="54"/>
        <v>2.1176736423135247E-2</v>
      </c>
      <c r="T76" s="1065">
        <f>'Yield Mechanism'!$AI$62</f>
        <v>10.000055466100285</v>
      </c>
      <c r="U76" s="205">
        <f t="shared" si="59"/>
        <v>123.89763677300147</v>
      </c>
      <c r="V76" s="1013"/>
      <c r="W76" s="194"/>
      <c r="X76" s="291">
        <v>1</v>
      </c>
      <c r="Y76" s="17">
        <f>mstr1</f>
        <v>67.278400000000005</v>
      </c>
      <c r="Z76" s="17">
        <f t="shared" si="55"/>
        <v>6.9213108595723126E-3</v>
      </c>
      <c r="AA76" s="17">
        <f t="shared" si="56"/>
        <v>1.9033604863823859E-2</v>
      </c>
      <c r="AB76" s="540" t="s">
        <v>337</v>
      </c>
    </row>
    <row r="77" spans="10:28" x14ac:dyDescent="0.25">
      <c r="X77" s="292"/>
      <c r="Y77" s="540" t="s">
        <v>78</v>
      </c>
      <c r="Z77" s="253">
        <f>SUM(Z71:Z76)</f>
        <v>0.14348017164378923</v>
      </c>
      <c r="AA77" s="253">
        <f>SUM(AA71:AA76)</f>
        <v>1.7776831442549539</v>
      </c>
      <c r="AB77" s="204">
        <f>2*PI()*SQRT(AB75/AB73)</f>
        <v>0.85317655078832455</v>
      </c>
    </row>
    <row r="78" spans="10:28" x14ac:dyDescent="0.25">
      <c r="Q78" s="79"/>
      <c r="T78" s="268"/>
    </row>
    <row r="79" spans="10:28" ht="15.75" x14ac:dyDescent="0.25">
      <c r="J79" s="1032" t="s">
        <v>273</v>
      </c>
      <c r="K79" s="1032"/>
      <c r="L79" s="1032"/>
      <c r="M79" s="1032"/>
      <c r="N79" s="1032"/>
      <c r="O79" s="1032"/>
      <c r="P79" s="1032"/>
      <c r="Q79" s="1032"/>
      <c r="R79" s="1032"/>
      <c r="S79" s="1032"/>
      <c r="T79" s="1032"/>
      <c r="U79" s="1032"/>
      <c r="V79" s="1032"/>
      <c r="W79" s="266"/>
      <c r="X79" s="1032" t="s">
        <v>106</v>
      </c>
      <c r="Y79" s="1032"/>
      <c r="Z79" s="1032"/>
      <c r="AA79" s="1032"/>
      <c r="AB79" s="1032"/>
    </row>
    <row r="80" spans="10:28" ht="15" customHeight="1" x14ac:dyDescent="0.25">
      <c r="J80" s="964" t="s">
        <v>5</v>
      </c>
      <c r="K80" s="965" t="s">
        <v>3</v>
      </c>
      <c r="L80" s="965" t="s">
        <v>72</v>
      </c>
      <c r="M80" s="964" t="s">
        <v>74</v>
      </c>
      <c r="N80" s="964" t="s">
        <v>81</v>
      </c>
      <c r="O80" s="965" t="s">
        <v>101</v>
      </c>
      <c r="P80" s="965" t="s">
        <v>257</v>
      </c>
      <c r="Q80" s="965" t="s">
        <v>258</v>
      </c>
      <c r="R80" s="964" t="s">
        <v>394</v>
      </c>
      <c r="S80" s="964" t="s">
        <v>395</v>
      </c>
      <c r="T80" s="964" t="s">
        <v>75</v>
      </c>
      <c r="U80" s="965" t="s">
        <v>102</v>
      </c>
      <c r="V80" s="964" t="s">
        <v>79</v>
      </c>
      <c r="X80" s="696" t="s">
        <v>5</v>
      </c>
      <c r="Y80" s="1033" t="s">
        <v>76</v>
      </c>
      <c r="Z80" s="1033" t="s">
        <v>77</v>
      </c>
      <c r="AA80" s="1033" t="s">
        <v>104</v>
      </c>
      <c r="AB80" s="698" t="s">
        <v>105</v>
      </c>
    </row>
    <row r="81" spans="10:28" x14ac:dyDescent="0.25">
      <c r="J81" s="701"/>
      <c r="K81" s="697"/>
      <c r="L81" s="697"/>
      <c r="M81" s="701"/>
      <c r="N81" s="701"/>
      <c r="O81" s="697"/>
      <c r="P81" s="697"/>
      <c r="Q81" s="697"/>
      <c r="R81" s="701"/>
      <c r="S81" s="701"/>
      <c r="T81" s="701"/>
      <c r="U81" s="697"/>
      <c r="V81" s="701"/>
      <c r="X81" s="696"/>
      <c r="Y81" s="1033"/>
      <c r="Z81" s="1033"/>
      <c r="AA81" s="1033"/>
      <c r="AB81" s="698"/>
    </row>
    <row r="82" spans="10:28" ht="15" customHeight="1" x14ac:dyDescent="0.25">
      <c r="J82" s="250">
        <v>6</v>
      </c>
      <c r="K82" s="205">
        <f>hstr6</f>
        <v>3</v>
      </c>
      <c r="L82" s="205">
        <f t="shared" ref="L82:L84" si="60">L83+K82</f>
        <v>17.75</v>
      </c>
      <c r="M82" s="251">
        <f>'Yield Mechanism'!$X$57</f>
        <v>5.5160151453768761E-4</v>
      </c>
      <c r="N82" s="21">
        <f>M82-M83</f>
        <v>3.8666989517273809E-5</v>
      </c>
      <c r="O82" s="252">
        <f t="shared" ref="O82:O86" si="61">N82/K82</f>
        <v>1.2888996505757937E-5</v>
      </c>
      <c r="P82" s="251">
        <f>$C$26</f>
        <v>8.3125273614190701E-3</v>
      </c>
      <c r="Q82" s="251">
        <f>$D$26</f>
        <v>1.9976000809737945E-3</v>
      </c>
      <c r="R82" s="17">
        <f>O82/P82</f>
        <v>1.550550866825369E-3</v>
      </c>
      <c r="S82" s="17">
        <f t="shared" ref="S82:S87" si="62">O82/Q82</f>
        <v>6.45224068046432E-3</v>
      </c>
      <c r="T82" s="1065">
        <f>'Yield Mechanism'!$AI$57</f>
        <v>2.4248704391924543</v>
      </c>
      <c r="U82" s="205">
        <f>T82*K82</f>
        <v>7.2746113175773628</v>
      </c>
      <c r="V82" s="17">
        <f>U87/AB82</f>
        <v>10.000012796375236</v>
      </c>
      <c r="W82" s="194"/>
      <c r="X82" s="291">
        <v>6</v>
      </c>
      <c r="Y82" s="17">
        <f>mstr6</f>
        <v>63.074599999999997</v>
      </c>
      <c r="Z82" s="17">
        <f t="shared" ref="Z82:Z87" si="63">Y82*M82</f>
        <v>3.4792044888858828E-2</v>
      </c>
      <c r="AA82" s="17">
        <f t="shared" ref="AA82:AA87" si="64">Z82*L82</f>
        <v>0.61755879677724423</v>
      </c>
      <c r="AB82" s="17">
        <f>AA88/Z88</f>
        <v>12.389747822913925</v>
      </c>
    </row>
    <row r="83" spans="10:28" x14ac:dyDescent="0.25">
      <c r="J83" s="250">
        <v>5</v>
      </c>
      <c r="K83" s="205">
        <f>hstr5</f>
        <v>3</v>
      </c>
      <c r="L83" s="205">
        <f t="shared" si="60"/>
        <v>14.75</v>
      </c>
      <c r="M83" s="251">
        <f>'Yield Mechanism'!$X$58</f>
        <v>5.129345250204138E-4</v>
      </c>
      <c r="N83" s="21">
        <f t="shared" ref="N83:N85" si="65">M83-M84</f>
        <v>7.4231182883737791E-5</v>
      </c>
      <c r="O83" s="252">
        <f t="shared" si="61"/>
        <v>2.4743727627912597E-5</v>
      </c>
      <c r="P83" s="251">
        <f>$C$27</f>
        <v>9.5976000000000013E-3</v>
      </c>
      <c r="Q83" s="251">
        <f>$D$27</f>
        <v>1.9241439833606131E-3</v>
      </c>
      <c r="R83" s="17">
        <f t="shared" ref="R83:R87" si="66">O83/P83</f>
        <v>2.5781161569467985E-3</v>
      </c>
      <c r="S83" s="17">
        <f t="shared" si="62"/>
        <v>1.2859602941301953E-2</v>
      </c>
      <c r="T83" s="1065">
        <f>'Yield Mechanism'!$AI$58</f>
        <v>4.8300393004174342</v>
      </c>
      <c r="U83" s="205">
        <f>T83*K83+U82</f>
        <v>21.764729218829665</v>
      </c>
      <c r="V83" s="1011"/>
      <c r="W83" s="194"/>
      <c r="X83" s="291">
        <v>5</v>
      </c>
      <c r="Y83" s="17">
        <f>mstr5</f>
        <v>67.278400000000005</v>
      </c>
      <c r="Z83" s="17">
        <f t="shared" si="63"/>
        <v>3.450941414813341E-2</v>
      </c>
      <c r="AA83" s="17">
        <f t="shared" si="64"/>
        <v>0.50901385868496785</v>
      </c>
      <c r="AB83" s="540" t="s">
        <v>336</v>
      </c>
    </row>
    <row r="84" spans="10:28" ht="15" customHeight="1" x14ac:dyDescent="0.25">
      <c r="J84" s="250">
        <v>4</v>
      </c>
      <c r="K84" s="205">
        <f>hstr4</f>
        <v>3</v>
      </c>
      <c r="L84" s="205">
        <f t="shared" si="60"/>
        <v>11.75</v>
      </c>
      <c r="M84" s="251">
        <f>'Yield Mechanism'!$X$59</f>
        <v>4.3870334213667601E-4</v>
      </c>
      <c r="N84" s="21">
        <f t="shared" si="65"/>
        <v>1.0053006869018433E-4</v>
      </c>
      <c r="O84" s="252">
        <f t="shared" si="61"/>
        <v>3.3510022896728109E-5</v>
      </c>
      <c r="P84" s="251">
        <f>$C$28</f>
        <v>8.8673064285714302E-3</v>
      </c>
      <c r="Q84" s="251">
        <f>$D$28</f>
        <v>1.8501735321027263E-3</v>
      </c>
      <c r="R84" s="17">
        <f t="shared" si="66"/>
        <v>3.7790532183206338E-3</v>
      </c>
      <c r="S84" s="17">
        <f t="shared" si="62"/>
        <v>1.8111826980166501E-2</v>
      </c>
      <c r="T84" s="1065">
        <f>'Yield Mechanism'!$AI$59</f>
        <v>6.8871388711668882</v>
      </c>
      <c r="U84" s="205">
        <f t="shared" ref="U84:U87" si="67">T84*K84+U83</f>
        <v>42.426145832330327</v>
      </c>
      <c r="V84" s="1012"/>
      <c r="W84" s="194"/>
      <c r="X84" s="291">
        <v>4</v>
      </c>
      <c r="Y84" s="17">
        <f>mstr4</f>
        <v>67.278400000000005</v>
      </c>
      <c r="Z84" s="17">
        <f t="shared" si="63"/>
        <v>2.9515258933608145E-2</v>
      </c>
      <c r="AA84" s="17">
        <f t="shared" si="64"/>
        <v>0.34680429246989569</v>
      </c>
      <c r="AB84" s="204">
        <f>T87/M82</f>
        <v>18129.129820250051</v>
      </c>
    </row>
    <row r="85" spans="10:28" x14ac:dyDescent="0.25">
      <c r="J85" s="250">
        <v>3</v>
      </c>
      <c r="K85" s="205">
        <f>hstr3</f>
        <v>3</v>
      </c>
      <c r="L85" s="205">
        <f>L86+K85</f>
        <v>8.75</v>
      </c>
      <c r="M85" s="251">
        <f>'Yield Mechanism'!$X$60</f>
        <v>3.3817327344649168E-4</v>
      </c>
      <c r="N85" s="21">
        <f t="shared" si="65"/>
        <v>1.1536199890110882E-4</v>
      </c>
      <c r="O85" s="252">
        <f t="shared" si="61"/>
        <v>3.8453999633702941E-5</v>
      </c>
      <c r="P85" s="251">
        <f>$C$29</f>
        <v>8.3556867009551838E-3</v>
      </c>
      <c r="Q85" s="251">
        <f>$D$29</f>
        <v>1.7909714066512246E-3</v>
      </c>
      <c r="R85" s="17">
        <f t="shared" si="66"/>
        <v>4.6021351697290245E-3</v>
      </c>
      <c r="S85" s="17">
        <f t="shared" si="62"/>
        <v>2.1471029348036661E-2</v>
      </c>
      <c r="T85" s="1065">
        <f>'Yield Mechanism'!$AI$60</f>
        <v>8.472847474495925</v>
      </c>
      <c r="U85" s="205">
        <f t="shared" si="67"/>
        <v>67.844688255818099</v>
      </c>
      <c r="V85" s="1012"/>
      <c r="W85" s="194"/>
      <c r="X85" s="291">
        <v>3</v>
      </c>
      <c r="Y85" s="17">
        <f>mstr3</f>
        <v>67.278400000000005</v>
      </c>
      <c r="Z85" s="17">
        <f t="shared" si="63"/>
        <v>2.2751756760242447E-2</v>
      </c>
      <c r="AA85" s="17">
        <f t="shared" si="64"/>
        <v>0.1990778716521214</v>
      </c>
      <c r="AB85" s="541" t="s">
        <v>338</v>
      </c>
    </row>
    <row r="86" spans="10:28" x14ac:dyDescent="0.25">
      <c r="J86" s="250">
        <v>2</v>
      </c>
      <c r="K86" s="205">
        <f>hstr2</f>
        <v>3</v>
      </c>
      <c r="L86" s="205">
        <f>L87+K86</f>
        <v>5.75</v>
      </c>
      <c r="M86" s="251">
        <f>'Yield Mechanism'!$X$61</f>
        <v>2.2281127454538285E-4</v>
      </c>
      <c r="N86" s="21">
        <f>M86-M87</f>
        <v>1.19935598851961E-4</v>
      </c>
      <c r="O86" s="252">
        <f t="shared" si="61"/>
        <v>3.997853295065367E-5</v>
      </c>
      <c r="P86" s="251">
        <f>$C$30</f>
        <v>6.4157970868129726E-3</v>
      </c>
      <c r="Q86" s="251">
        <f>$D$30</f>
        <v>1.7349058472302754E-3</v>
      </c>
      <c r="R86" s="17">
        <f t="shared" si="66"/>
        <v>6.2312651740226536E-3</v>
      </c>
      <c r="S86" s="17">
        <f t="shared" si="62"/>
        <v>2.3043632606621383E-2</v>
      </c>
      <c r="T86" s="1065">
        <f>'Yield Mechanism'!$AI$61</f>
        <v>9.5175986618025288</v>
      </c>
      <c r="U86" s="205">
        <f t="shared" si="67"/>
        <v>96.397484241225683</v>
      </c>
      <c r="V86" s="1012"/>
      <c r="W86" s="194"/>
      <c r="X86" s="291">
        <v>2</v>
      </c>
      <c r="Y86" s="17">
        <f>mstr2</f>
        <v>67.278400000000005</v>
      </c>
      <c r="Z86" s="17">
        <f t="shared" si="63"/>
        <v>1.4990386053374086E-2</v>
      </c>
      <c r="AA86" s="17">
        <f t="shared" si="64"/>
        <v>8.6194719806900993E-2</v>
      </c>
      <c r="AB86" s="17">
        <f>((Y87*M85+Y86*M86+Y85*M87+M84*Y84+M83*Y83+M82*Y82)^2)/(Y87*M85*M85+Y86*M86*M86+Y85*M87*M87+Y84*M84*M84+Y83*M83*M83+Y82*M82*M82)</f>
        <v>334.26818500347838</v>
      </c>
    </row>
    <row r="87" spans="10:28" x14ac:dyDescent="0.25">
      <c r="J87" s="250">
        <v>1</v>
      </c>
      <c r="K87" s="205">
        <f>hstr1</f>
        <v>2.75</v>
      </c>
      <c r="L87" s="205">
        <f>K87</f>
        <v>2.75</v>
      </c>
      <c r="M87" s="251">
        <f>'Yield Mechanism'!$X$62</f>
        <v>1.0287567569342185E-4</v>
      </c>
      <c r="N87" s="21">
        <f>M87</f>
        <v>1.0287567569342185E-4</v>
      </c>
      <c r="O87" s="252">
        <f>N87/K87</f>
        <v>3.7409336615789761E-5</v>
      </c>
      <c r="P87" s="251">
        <f>$C$31</f>
        <v>4.8471720397440425E-3</v>
      </c>
      <c r="Q87" s="251">
        <f>$D$31</f>
        <v>1.7665298310518072E-3</v>
      </c>
      <c r="R87" s="17">
        <f t="shared" si="66"/>
        <v>7.7177653916664325E-3</v>
      </c>
      <c r="S87" s="17">
        <f t="shared" si="62"/>
        <v>2.1176736423135247E-2</v>
      </c>
      <c r="T87" s="1065">
        <f>'Yield Mechanism'!$AI$62</f>
        <v>10.000055466100285</v>
      </c>
      <c r="U87" s="205">
        <f t="shared" si="67"/>
        <v>123.89763677300147</v>
      </c>
      <c r="V87" s="1013"/>
      <c r="W87" s="194"/>
      <c r="X87" s="291">
        <v>1</v>
      </c>
      <c r="Y87" s="17">
        <f>mstr1</f>
        <v>67.278400000000005</v>
      </c>
      <c r="Z87" s="17">
        <f t="shared" si="63"/>
        <v>6.9213108595723126E-3</v>
      </c>
      <c r="AA87" s="17">
        <f t="shared" si="64"/>
        <v>1.9033604863823859E-2</v>
      </c>
      <c r="AB87" s="540" t="s">
        <v>337</v>
      </c>
    </row>
    <row r="88" spans="10:28" x14ac:dyDescent="0.25">
      <c r="X88" s="292"/>
      <c r="Y88" s="540" t="s">
        <v>78</v>
      </c>
      <c r="Z88" s="253">
        <f>SUM(Z82:Z87)</f>
        <v>0.14348017164378923</v>
      </c>
      <c r="AA88" s="253">
        <f>SUM(AA82:AA87)</f>
        <v>1.7776831442549539</v>
      </c>
      <c r="AB88" s="204">
        <f>2*PI()*SQRT(AB86/AB84)</f>
        <v>0.85317655078832455</v>
      </c>
    </row>
    <row r="89" spans="10:28" x14ac:dyDescent="0.25">
      <c r="S89" s="79"/>
    </row>
    <row r="90" spans="10:28" ht="15.75" x14ac:dyDescent="0.25">
      <c r="J90" s="1032" t="s">
        <v>274</v>
      </c>
      <c r="K90" s="1032"/>
      <c r="L90" s="1032"/>
      <c r="M90" s="1032"/>
      <c r="N90" s="1032"/>
      <c r="O90" s="1032"/>
      <c r="P90" s="1032"/>
      <c r="Q90" s="1032"/>
      <c r="R90" s="1032"/>
      <c r="S90" s="1032"/>
      <c r="T90" s="1032"/>
      <c r="U90" s="1032"/>
      <c r="V90" s="1032"/>
      <c r="W90" s="266"/>
      <c r="X90" s="1032" t="s">
        <v>106</v>
      </c>
      <c r="Y90" s="1032"/>
      <c r="Z90" s="1032"/>
      <c r="AA90" s="1032"/>
      <c r="AB90" s="1032"/>
    </row>
    <row r="91" spans="10:28" ht="15" customHeight="1" x14ac:dyDescent="0.25">
      <c r="J91" s="964" t="s">
        <v>5</v>
      </c>
      <c r="K91" s="965" t="s">
        <v>3</v>
      </c>
      <c r="L91" s="965" t="s">
        <v>72</v>
      </c>
      <c r="M91" s="964" t="s">
        <v>74</v>
      </c>
      <c r="N91" s="964" t="s">
        <v>81</v>
      </c>
      <c r="O91" s="965" t="s">
        <v>101</v>
      </c>
      <c r="P91" s="965" t="s">
        <v>257</v>
      </c>
      <c r="Q91" s="965" t="s">
        <v>258</v>
      </c>
      <c r="R91" s="964" t="s">
        <v>394</v>
      </c>
      <c r="S91" s="964" t="s">
        <v>395</v>
      </c>
      <c r="T91" s="964" t="s">
        <v>75</v>
      </c>
      <c r="U91" s="965" t="s">
        <v>102</v>
      </c>
      <c r="V91" s="964" t="s">
        <v>79</v>
      </c>
      <c r="X91" s="696" t="s">
        <v>5</v>
      </c>
      <c r="Y91" s="1033" t="s">
        <v>76</v>
      </c>
      <c r="Z91" s="1033" t="s">
        <v>77</v>
      </c>
      <c r="AA91" s="1033" t="s">
        <v>104</v>
      </c>
      <c r="AB91" s="698" t="s">
        <v>105</v>
      </c>
    </row>
    <row r="92" spans="10:28" x14ac:dyDescent="0.25">
      <c r="J92" s="701"/>
      <c r="K92" s="697"/>
      <c r="L92" s="697"/>
      <c r="M92" s="701"/>
      <c r="N92" s="701"/>
      <c r="O92" s="697"/>
      <c r="P92" s="697"/>
      <c r="Q92" s="697"/>
      <c r="R92" s="701"/>
      <c r="S92" s="701"/>
      <c r="T92" s="701"/>
      <c r="U92" s="697"/>
      <c r="V92" s="701"/>
      <c r="X92" s="696"/>
      <c r="Y92" s="1033"/>
      <c r="Z92" s="1033"/>
      <c r="AA92" s="1033"/>
      <c r="AB92" s="698"/>
    </row>
    <row r="93" spans="10:28" x14ac:dyDescent="0.25">
      <c r="J93" s="250">
        <v>6</v>
      </c>
      <c r="K93" s="205">
        <f>hstr6</f>
        <v>3</v>
      </c>
      <c r="L93" s="205">
        <f t="shared" ref="L93:L95" si="68">L94+K93</f>
        <v>17.75</v>
      </c>
      <c r="M93" s="251">
        <f>'Yield Mechanism'!$X$57</f>
        <v>5.5160151453768761E-4</v>
      </c>
      <c r="N93" s="21">
        <f>M93-M94</f>
        <v>3.8666989517273809E-5</v>
      </c>
      <c r="O93" s="252">
        <f t="shared" ref="O93:O97" si="69">N93/K93</f>
        <v>1.2888996505757937E-5</v>
      </c>
      <c r="P93" s="251">
        <f>$C$26</f>
        <v>8.3125273614190701E-3</v>
      </c>
      <c r="Q93" s="251">
        <f>$D$26</f>
        <v>1.9976000809737945E-3</v>
      </c>
      <c r="R93" s="17">
        <f>O93/P93</f>
        <v>1.550550866825369E-3</v>
      </c>
      <c r="S93" s="17">
        <f t="shared" ref="S93:S98" si="70">O93/Q93</f>
        <v>6.45224068046432E-3</v>
      </c>
      <c r="T93" s="1065">
        <f>'Yield Mechanism'!$AI$57</f>
        <v>2.4248704391924543</v>
      </c>
      <c r="U93" s="205">
        <f>T93*K93</f>
        <v>7.2746113175773628</v>
      </c>
      <c r="V93" s="17">
        <f>U98/AB93</f>
        <v>10.000012796375236</v>
      </c>
      <c r="W93" s="194"/>
      <c r="X93" s="291">
        <v>6</v>
      </c>
      <c r="Y93" s="17">
        <f>mstr6</f>
        <v>63.074599999999997</v>
      </c>
      <c r="Z93" s="17">
        <f t="shared" ref="Z93:Z98" si="71">Y93*M93</f>
        <v>3.4792044888858828E-2</v>
      </c>
      <c r="AA93" s="17">
        <f t="shared" ref="AA93:AA98" si="72">Z93*L93</f>
        <v>0.61755879677724423</v>
      </c>
      <c r="AB93" s="17">
        <f>AA99/Z99</f>
        <v>12.389747822913925</v>
      </c>
    </row>
    <row r="94" spans="10:28" x14ac:dyDescent="0.25">
      <c r="J94" s="250">
        <v>5</v>
      </c>
      <c r="K94" s="205">
        <f>hstr5</f>
        <v>3</v>
      </c>
      <c r="L94" s="205">
        <f t="shared" si="68"/>
        <v>14.75</v>
      </c>
      <c r="M94" s="251">
        <f>'Yield Mechanism'!$X$58</f>
        <v>5.129345250204138E-4</v>
      </c>
      <c r="N94" s="21">
        <f t="shared" ref="N94:N96" si="73">M94-M95</f>
        <v>7.4231182883737791E-5</v>
      </c>
      <c r="O94" s="252">
        <f t="shared" si="69"/>
        <v>2.4743727627912597E-5</v>
      </c>
      <c r="P94" s="251">
        <f>$C$27</f>
        <v>9.5976000000000013E-3</v>
      </c>
      <c r="Q94" s="251">
        <f>$D$27</f>
        <v>1.9241439833606131E-3</v>
      </c>
      <c r="R94" s="17">
        <f t="shared" ref="R94:R98" si="74">O94/P94</f>
        <v>2.5781161569467985E-3</v>
      </c>
      <c r="S94" s="17">
        <f t="shared" si="70"/>
        <v>1.2859602941301953E-2</v>
      </c>
      <c r="T94" s="1065">
        <f>'Yield Mechanism'!$AI$58</f>
        <v>4.8300393004174342</v>
      </c>
      <c r="U94" s="205">
        <f>T94*K94+U93</f>
        <v>21.764729218829665</v>
      </c>
      <c r="V94" s="1011"/>
      <c r="W94" s="194"/>
      <c r="X94" s="291">
        <v>5</v>
      </c>
      <c r="Y94" s="17">
        <f>mstr5</f>
        <v>67.278400000000005</v>
      </c>
      <c r="Z94" s="17">
        <f t="shared" si="71"/>
        <v>3.450941414813341E-2</v>
      </c>
      <c r="AA94" s="17">
        <f t="shared" si="72"/>
        <v>0.50901385868496785</v>
      </c>
      <c r="AB94" s="540" t="s">
        <v>336</v>
      </c>
    </row>
    <row r="95" spans="10:28" ht="15" customHeight="1" x14ac:dyDescent="0.25">
      <c r="J95" s="250">
        <v>4</v>
      </c>
      <c r="K95" s="205">
        <f>hstr4</f>
        <v>3</v>
      </c>
      <c r="L95" s="205">
        <f t="shared" si="68"/>
        <v>11.75</v>
      </c>
      <c r="M95" s="251">
        <f>'Yield Mechanism'!$X$59</f>
        <v>4.3870334213667601E-4</v>
      </c>
      <c r="N95" s="21">
        <f t="shared" si="73"/>
        <v>1.0053006869018433E-4</v>
      </c>
      <c r="O95" s="252">
        <f t="shared" si="69"/>
        <v>3.3510022896728109E-5</v>
      </c>
      <c r="P95" s="251">
        <f>$C$28</f>
        <v>8.8673064285714302E-3</v>
      </c>
      <c r="Q95" s="251">
        <f>$D$28</f>
        <v>1.8501735321027263E-3</v>
      </c>
      <c r="R95" s="17">
        <f t="shared" si="74"/>
        <v>3.7790532183206338E-3</v>
      </c>
      <c r="S95" s="17">
        <f t="shared" si="70"/>
        <v>1.8111826980166501E-2</v>
      </c>
      <c r="T95" s="1065">
        <f>'Yield Mechanism'!$AI$59</f>
        <v>6.8871388711668882</v>
      </c>
      <c r="U95" s="205">
        <f t="shared" ref="U95:U98" si="75">T95*K95+U94</f>
        <v>42.426145832330327</v>
      </c>
      <c r="V95" s="1012"/>
      <c r="W95" s="194"/>
      <c r="X95" s="291">
        <v>4</v>
      </c>
      <c r="Y95" s="17">
        <f>mstr4</f>
        <v>67.278400000000005</v>
      </c>
      <c r="Z95" s="17">
        <f t="shared" si="71"/>
        <v>2.9515258933608145E-2</v>
      </c>
      <c r="AA95" s="17">
        <f t="shared" si="72"/>
        <v>0.34680429246989569</v>
      </c>
      <c r="AB95" s="204">
        <f>T98/M93</f>
        <v>18129.129820250051</v>
      </c>
    </row>
    <row r="96" spans="10:28" x14ac:dyDescent="0.25">
      <c r="J96" s="250">
        <v>3</v>
      </c>
      <c r="K96" s="205">
        <f>hstr3</f>
        <v>3</v>
      </c>
      <c r="L96" s="205">
        <f>L97+K96</f>
        <v>8.75</v>
      </c>
      <c r="M96" s="251">
        <f>'Yield Mechanism'!$X$60</f>
        <v>3.3817327344649168E-4</v>
      </c>
      <c r="N96" s="21">
        <f t="shared" si="73"/>
        <v>1.1536199890110882E-4</v>
      </c>
      <c r="O96" s="252">
        <f t="shared" si="69"/>
        <v>3.8453999633702941E-5</v>
      </c>
      <c r="P96" s="251">
        <f>$C$29</f>
        <v>8.3556867009551838E-3</v>
      </c>
      <c r="Q96" s="251">
        <f>$D$29</f>
        <v>1.7909714066512246E-3</v>
      </c>
      <c r="R96" s="17">
        <f t="shared" si="74"/>
        <v>4.6021351697290245E-3</v>
      </c>
      <c r="S96" s="17">
        <f t="shared" si="70"/>
        <v>2.1471029348036661E-2</v>
      </c>
      <c r="T96" s="1065">
        <f>'Yield Mechanism'!$AI$60</f>
        <v>8.472847474495925</v>
      </c>
      <c r="U96" s="205">
        <f t="shared" si="75"/>
        <v>67.844688255818099</v>
      </c>
      <c r="V96" s="1012"/>
      <c r="W96" s="194"/>
      <c r="X96" s="291">
        <v>3</v>
      </c>
      <c r="Y96" s="17">
        <f>mstr3</f>
        <v>67.278400000000005</v>
      </c>
      <c r="Z96" s="17">
        <f t="shared" si="71"/>
        <v>2.2751756760242447E-2</v>
      </c>
      <c r="AA96" s="17">
        <f t="shared" si="72"/>
        <v>0.1990778716521214</v>
      </c>
      <c r="AB96" s="541" t="s">
        <v>338</v>
      </c>
    </row>
    <row r="97" spans="9:28" x14ac:dyDescent="0.25">
      <c r="J97" s="250">
        <v>2</v>
      </c>
      <c r="K97" s="205">
        <f>hstr2</f>
        <v>3</v>
      </c>
      <c r="L97" s="205">
        <f>L98+K97</f>
        <v>5.75</v>
      </c>
      <c r="M97" s="251">
        <f>'Yield Mechanism'!$X$61</f>
        <v>2.2281127454538285E-4</v>
      </c>
      <c r="N97" s="21">
        <f>M97-M98</f>
        <v>1.19935598851961E-4</v>
      </c>
      <c r="O97" s="252">
        <f t="shared" si="69"/>
        <v>3.997853295065367E-5</v>
      </c>
      <c r="P97" s="251">
        <f>$C$30</f>
        <v>6.4157970868129726E-3</v>
      </c>
      <c r="Q97" s="251">
        <f>$D$30</f>
        <v>1.7349058472302754E-3</v>
      </c>
      <c r="R97" s="17">
        <f t="shared" si="74"/>
        <v>6.2312651740226536E-3</v>
      </c>
      <c r="S97" s="17">
        <f t="shared" si="70"/>
        <v>2.3043632606621383E-2</v>
      </c>
      <c r="T97" s="1065">
        <f>'Yield Mechanism'!$AI$61</f>
        <v>9.5175986618025288</v>
      </c>
      <c r="U97" s="205">
        <f t="shared" si="75"/>
        <v>96.397484241225683</v>
      </c>
      <c r="V97" s="1012"/>
      <c r="W97" s="194"/>
      <c r="X97" s="291">
        <v>2</v>
      </c>
      <c r="Y97" s="17">
        <f>mstr2</f>
        <v>67.278400000000005</v>
      </c>
      <c r="Z97" s="17">
        <f t="shared" si="71"/>
        <v>1.4990386053374086E-2</v>
      </c>
      <c r="AA97" s="17">
        <f t="shared" si="72"/>
        <v>8.6194719806900993E-2</v>
      </c>
      <c r="AB97" s="17">
        <f>((Y98*M96+Y97*M97+Y96*M98+M95*Y95+M94*Y94+M93*Y93)^2)/(Y98*M96*M96+Y97*M97*M97+Y96*M98*M98+Y95*M95*M95+Y94*M94*M94+Y93*M93*M93)</f>
        <v>334.26818500347838</v>
      </c>
    </row>
    <row r="98" spans="9:28" x14ac:dyDescent="0.25">
      <c r="J98" s="250">
        <v>1</v>
      </c>
      <c r="K98" s="205">
        <f>hstr1</f>
        <v>2.75</v>
      </c>
      <c r="L98" s="205">
        <f>K98</f>
        <v>2.75</v>
      </c>
      <c r="M98" s="251">
        <f>'Yield Mechanism'!$X$62</f>
        <v>1.0287567569342185E-4</v>
      </c>
      <c r="N98" s="21">
        <f>M98</f>
        <v>1.0287567569342185E-4</v>
      </c>
      <c r="O98" s="252">
        <f>N98/K98</f>
        <v>3.7409336615789761E-5</v>
      </c>
      <c r="P98" s="251">
        <f>$C$31</f>
        <v>4.8471720397440425E-3</v>
      </c>
      <c r="Q98" s="251">
        <f>$D$31</f>
        <v>1.7665298310518072E-3</v>
      </c>
      <c r="R98" s="17">
        <f t="shared" si="74"/>
        <v>7.7177653916664325E-3</v>
      </c>
      <c r="S98" s="17">
        <f t="shared" si="70"/>
        <v>2.1176736423135247E-2</v>
      </c>
      <c r="T98" s="1065">
        <f>'Yield Mechanism'!$AI$62</f>
        <v>10.000055466100285</v>
      </c>
      <c r="U98" s="205">
        <f t="shared" si="75"/>
        <v>123.89763677300147</v>
      </c>
      <c r="V98" s="1013"/>
      <c r="W98" s="194"/>
      <c r="X98" s="291">
        <v>1</v>
      </c>
      <c r="Y98" s="17">
        <f>mstr1</f>
        <v>67.278400000000005</v>
      </c>
      <c r="Z98" s="17">
        <f t="shared" si="71"/>
        <v>6.9213108595723126E-3</v>
      </c>
      <c r="AA98" s="17">
        <f t="shared" si="72"/>
        <v>1.9033604863823859E-2</v>
      </c>
      <c r="AB98" s="540" t="s">
        <v>337</v>
      </c>
    </row>
    <row r="99" spans="9:28" x14ac:dyDescent="0.25">
      <c r="X99" s="292"/>
      <c r="Y99" s="540" t="s">
        <v>78</v>
      </c>
      <c r="Z99" s="253">
        <f>SUM(Z93:Z98)</f>
        <v>0.14348017164378923</v>
      </c>
      <c r="AA99" s="253">
        <f>SUM(AA93:AA98)</f>
        <v>1.7776831442549539</v>
      </c>
      <c r="AB99" s="204">
        <f>2*PI()*SQRT(AB97/AB95)</f>
        <v>0.85317655078832455</v>
      </c>
    </row>
    <row r="101" spans="9:28" ht="15.75" x14ac:dyDescent="0.25">
      <c r="J101" s="1032" t="s">
        <v>275</v>
      </c>
      <c r="K101" s="1032"/>
      <c r="L101" s="1032"/>
      <c r="M101" s="1032"/>
      <c r="N101" s="1032"/>
      <c r="O101" s="1032"/>
      <c r="P101" s="1032"/>
      <c r="Q101" s="1032"/>
      <c r="R101" s="1032"/>
      <c r="S101" s="1032"/>
      <c r="T101" s="1032"/>
      <c r="U101" s="1032"/>
      <c r="V101" s="1032"/>
      <c r="W101" s="266"/>
      <c r="X101" s="1032" t="s">
        <v>106</v>
      </c>
      <c r="Y101" s="1032"/>
      <c r="Z101" s="1032"/>
      <c r="AA101" s="1032"/>
      <c r="AB101" s="1032"/>
    </row>
    <row r="102" spans="9:28" ht="15" customHeight="1" x14ac:dyDescent="0.25">
      <c r="J102" s="964" t="s">
        <v>5</v>
      </c>
      <c r="K102" s="965" t="s">
        <v>3</v>
      </c>
      <c r="L102" s="965" t="s">
        <v>72</v>
      </c>
      <c r="M102" s="964" t="s">
        <v>74</v>
      </c>
      <c r="N102" s="964" t="s">
        <v>81</v>
      </c>
      <c r="O102" s="965" t="s">
        <v>101</v>
      </c>
      <c r="P102" s="965" t="s">
        <v>257</v>
      </c>
      <c r="Q102" s="965" t="s">
        <v>258</v>
      </c>
      <c r="R102" s="964" t="s">
        <v>394</v>
      </c>
      <c r="S102" s="964" t="s">
        <v>395</v>
      </c>
      <c r="T102" s="964" t="s">
        <v>75</v>
      </c>
      <c r="U102" s="965" t="s">
        <v>102</v>
      </c>
      <c r="V102" s="964" t="s">
        <v>79</v>
      </c>
      <c r="X102" s="696" t="s">
        <v>5</v>
      </c>
      <c r="Y102" s="1033" t="s">
        <v>76</v>
      </c>
      <c r="Z102" s="1033" t="s">
        <v>77</v>
      </c>
      <c r="AA102" s="1033" t="s">
        <v>104</v>
      </c>
      <c r="AB102" s="698" t="s">
        <v>105</v>
      </c>
    </row>
    <row r="103" spans="9:28" x14ac:dyDescent="0.25">
      <c r="J103" s="701"/>
      <c r="K103" s="697"/>
      <c r="L103" s="697"/>
      <c r="M103" s="701"/>
      <c r="N103" s="701"/>
      <c r="O103" s="697"/>
      <c r="P103" s="697"/>
      <c r="Q103" s="697"/>
      <c r="R103" s="701"/>
      <c r="S103" s="701"/>
      <c r="T103" s="701"/>
      <c r="U103" s="697"/>
      <c r="V103" s="701"/>
      <c r="X103" s="696"/>
      <c r="Y103" s="1033"/>
      <c r="Z103" s="1033"/>
      <c r="AA103" s="1033"/>
      <c r="AB103" s="698"/>
    </row>
    <row r="104" spans="9:28" x14ac:dyDescent="0.25">
      <c r="J104" s="250">
        <v>6</v>
      </c>
      <c r="K104" s="205">
        <f>hstr6</f>
        <v>3</v>
      </c>
      <c r="L104" s="205">
        <f t="shared" ref="L104:L106" si="76">L105+K104</f>
        <v>17.75</v>
      </c>
      <c r="M104" s="251">
        <f>'Yield Mechanism'!$X$57</f>
        <v>5.5160151453768761E-4</v>
      </c>
      <c r="N104" s="21">
        <f>M104-M105</f>
        <v>3.8666989517273809E-5</v>
      </c>
      <c r="O104" s="252">
        <f t="shared" ref="O104:O108" si="77">N104/K104</f>
        <v>1.2888996505757937E-5</v>
      </c>
      <c r="P104" s="251">
        <f>$C$26</f>
        <v>8.3125273614190701E-3</v>
      </c>
      <c r="Q104" s="251">
        <f>$D$26</f>
        <v>1.9976000809737945E-3</v>
      </c>
      <c r="R104" s="17">
        <f>O104/P104</f>
        <v>1.550550866825369E-3</v>
      </c>
      <c r="S104" s="17">
        <f t="shared" ref="S104:S109" si="78">O104/Q104</f>
        <v>6.45224068046432E-3</v>
      </c>
      <c r="T104" s="1065">
        <f>'Yield Mechanism'!$AI$57</f>
        <v>2.4248704391924543</v>
      </c>
      <c r="U104" s="205">
        <f>T104*K104</f>
        <v>7.2746113175773628</v>
      </c>
      <c r="V104" s="17">
        <f>U109/AB104</f>
        <v>10.000012796375236</v>
      </c>
      <c r="W104" s="194"/>
      <c r="X104" s="291">
        <v>6</v>
      </c>
      <c r="Y104" s="17">
        <f>mstr6</f>
        <v>63.074599999999997</v>
      </c>
      <c r="Z104" s="17">
        <f t="shared" ref="Z104:Z109" si="79">Y104*M104</f>
        <v>3.4792044888858828E-2</v>
      </c>
      <c r="AA104" s="17">
        <f t="shared" ref="AA104:AA109" si="80">Z104*L104</f>
        <v>0.61755879677724423</v>
      </c>
      <c r="AB104" s="17">
        <f>AA110/Z110</f>
        <v>12.389747822913925</v>
      </c>
    </row>
    <row r="105" spans="9:28" x14ac:dyDescent="0.25">
      <c r="J105" s="250">
        <v>5</v>
      </c>
      <c r="K105" s="205">
        <f>hstr5</f>
        <v>3</v>
      </c>
      <c r="L105" s="205">
        <f t="shared" si="76"/>
        <v>14.75</v>
      </c>
      <c r="M105" s="251">
        <f>'Yield Mechanism'!$X$58</f>
        <v>5.129345250204138E-4</v>
      </c>
      <c r="N105" s="21">
        <f t="shared" ref="N105:N107" si="81">M105-M106</f>
        <v>7.4231182883737791E-5</v>
      </c>
      <c r="O105" s="252">
        <f t="shared" si="77"/>
        <v>2.4743727627912597E-5</v>
      </c>
      <c r="P105" s="251">
        <f>$C$27</f>
        <v>9.5976000000000013E-3</v>
      </c>
      <c r="Q105" s="251">
        <f>$D$27</f>
        <v>1.9241439833606131E-3</v>
      </c>
      <c r="R105" s="17">
        <f t="shared" ref="R105:R109" si="82">O105/P105</f>
        <v>2.5781161569467985E-3</v>
      </c>
      <c r="S105" s="17">
        <f t="shared" si="78"/>
        <v>1.2859602941301953E-2</v>
      </c>
      <c r="T105" s="1065">
        <f>'Yield Mechanism'!$AI$58</f>
        <v>4.8300393004174342</v>
      </c>
      <c r="U105" s="205">
        <f>T105*K105+U104</f>
        <v>21.764729218829665</v>
      </c>
      <c r="V105" s="1011"/>
      <c r="W105" s="194"/>
      <c r="X105" s="291">
        <v>5</v>
      </c>
      <c r="Y105" s="17">
        <f>mstr5</f>
        <v>67.278400000000005</v>
      </c>
      <c r="Z105" s="17">
        <f t="shared" si="79"/>
        <v>3.450941414813341E-2</v>
      </c>
      <c r="AA105" s="17">
        <f t="shared" si="80"/>
        <v>0.50901385868496785</v>
      </c>
      <c r="AB105" s="540" t="s">
        <v>336</v>
      </c>
    </row>
    <row r="106" spans="9:28" ht="15.75" x14ac:dyDescent="0.25">
      <c r="I106" s="269"/>
      <c r="J106" s="250">
        <v>4</v>
      </c>
      <c r="K106" s="205">
        <f>hstr4</f>
        <v>3</v>
      </c>
      <c r="L106" s="205">
        <f t="shared" si="76"/>
        <v>11.75</v>
      </c>
      <c r="M106" s="251">
        <f>'Yield Mechanism'!$X$59</f>
        <v>4.3870334213667601E-4</v>
      </c>
      <c r="N106" s="21">
        <f t="shared" si="81"/>
        <v>1.0053006869018433E-4</v>
      </c>
      <c r="O106" s="252">
        <f t="shared" si="77"/>
        <v>3.3510022896728109E-5</v>
      </c>
      <c r="P106" s="251">
        <f>$C$28</f>
        <v>8.8673064285714302E-3</v>
      </c>
      <c r="Q106" s="251">
        <f>$D$28</f>
        <v>1.8501735321027263E-3</v>
      </c>
      <c r="R106" s="17">
        <f t="shared" si="82"/>
        <v>3.7790532183206338E-3</v>
      </c>
      <c r="S106" s="17">
        <f t="shared" si="78"/>
        <v>1.8111826980166501E-2</v>
      </c>
      <c r="T106" s="1065">
        <f>'Yield Mechanism'!$AI$59</f>
        <v>6.8871388711668882</v>
      </c>
      <c r="U106" s="205">
        <f t="shared" ref="U106:U109" si="83">T106*K106+U105</f>
        <v>42.426145832330327</v>
      </c>
      <c r="V106" s="1012"/>
      <c r="W106" s="194"/>
      <c r="X106" s="291">
        <v>4</v>
      </c>
      <c r="Y106" s="17">
        <f>mstr4</f>
        <v>67.278400000000005</v>
      </c>
      <c r="Z106" s="17">
        <f t="shared" si="79"/>
        <v>2.9515258933608145E-2</v>
      </c>
      <c r="AA106" s="17">
        <f t="shared" si="80"/>
        <v>0.34680429246989569</v>
      </c>
      <c r="AB106" s="204">
        <f>T109/M104</f>
        <v>18129.129820250051</v>
      </c>
    </row>
    <row r="107" spans="9:28" x14ac:dyDescent="0.25">
      <c r="I107" s="239"/>
      <c r="J107" s="250">
        <v>3</v>
      </c>
      <c r="K107" s="205">
        <f>hstr3</f>
        <v>3</v>
      </c>
      <c r="L107" s="205">
        <f>L108+K107</f>
        <v>8.75</v>
      </c>
      <c r="M107" s="251">
        <f>'Yield Mechanism'!$X$60</f>
        <v>3.3817327344649168E-4</v>
      </c>
      <c r="N107" s="21">
        <f t="shared" si="81"/>
        <v>1.1536199890110882E-4</v>
      </c>
      <c r="O107" s="252">
        <f t="shared" si="77"/>
        <v>3.8453999633702941E-5</v>
      </c>
      <c r="P107" s="251">
        <f>$C$29</f>
        <v>8.3556867009551838E-3</v>
      </c>
      <c r="Q107" s="251">
        <f>$D$29</f>
        <v>1.7909714066512246E-3</v>
      </c>
      <c r="R107" s="17">
        <f t="shared" si="82"/>
        <v>4.6021351697290245E-3</v>
      </c>
      <c r="S107" s="17">
        <f t="shared" si="78"/>
        <v>2.1471029348036661E-2</v>
      </c>
      <c r="T107" s="1065">
        <f>'Yield Mechanism'!$AI$60</f>
        <v>8.472847474495925</v>
      </c>
      <c r="U107" s="205">
        <f t="shared" si="83"/>
        <v>67.844688255818099</v>
      </c>
      <c r="V107" s="1012"/>
      <c r="W107" s="194"/>
      <c r="X107" s="291">
        <v>3</v>
      </c>
      <c r="Y107" s="17">
        <f>mstr3</f>
        <v>67.278400000000005</v>
      </c>
      <c r="Z107" s="17">
        <f t="shared" si="79"/>
        <v>2.2751756760242447E-2</v>
      </c>
      <c r="AA107" s="17">
        <f t="shared" si="80"/>
        <v>0.1990778716521214</v>
      </c>
      <c r="AB107" s="541" t="s">
        <v>338</v>
      </c>
    </row>
    <row r="108" spans="9:28" x14ac:dyDescent="0.25">
      <c r="J108" s="250">
        <v>2</v>
      </c>
      <c r="K108" s="205">
        <f>hstr2</f>
        <v>3</v>
      </c>
      <c r="L108" s="205">
        <f>L109+K108</f>
        <v>5.75</v>
      </c>
      <c r="M108" s="251">
        <f>'Yield Mechanism'!$X$61</f>
        <v>2.2281127454538285E-4</v>
      </c>
      <c r="N108" s="21">
        <f>M108-M109</f>
        <v>1.19935598851961E-4</v>
      </c>
      <c r="O108" s="252">
        <f t="shared" si="77"/>
        <v>3.997853295065367E-5</v>
      </c>
      <c r="P108" s="251">
        <f>$C$30</f>
        <v>6.4157970868129726E-3</v>
      </c>
      <c r="Q108" s="251">
        <f>$D$30</f>
        <v>1.7349058472302754E-3</v>
      </c>
      <c r="R108" s="17">
        <f t="shared" si="82"/>
        <v>6.2312651740226536E-3</v>
      </c>
      <c r="S108" s="17">
        <f t="shared" si="78"/>
        <v>2.3043632606621383E-2</v>
      </c>
      <c r="T108" s="1065">
        <f>'Yield Mechanism'!$AI$61</f>
        <v>9.5175986618025288</v>
      </c>
      <c r="U108" s="205">
        <f t="shared" si="83"/>
        <v>96.397484241225683</v>
      </c>
      <c r="V108" s="1012"/>
      <c r="W108" s="194"/>
      <c r="X108" s="291">
        <v>2</v>
      </c>
      <c r="Y108" s="17">
        <f>mstr2</f>
        <v>67.278400000000005</v>
      </c>
      <c r="Z108" s="17">
        <f t="shared" si="79"/>
        <v>1.4990386053374086E-2</v>
      </c>
      <c r="AA108" s="17">
        <f t="shared" si="80"/>
        <v>8.6194719806900993E-2</v>
      </c>
      <c r="AB108" s="17">
        <f>((Y109*M107+Y108*M108+Y107*M109+M106*Y106+M105*Y105+M104*Y104)^2)/(Y109*M107*M107+Y108*M108*M108+Y107*M109*M109+Y106*M106*M106+Y105*M105*M105+Y104*M104*M104)</f>
        <v>334.26818500347838</v>
      </c>
    </row>
    <row r="109" spans="9:28" x14ac:dyDescent="0.25">
      <c r="J109" s="250">
        <v>1</v>
      </c>
      <c r="K109" s="205">
        <f>hstr1</f>
        <v>2.75</v>
      </c>
      <c r="L109" s="205">
        <f>K109</f>
        <v>2.75</v>
      </c>
      <c r="M109" s="251">
        <f>'Yield Mechanism'!$X$62</f>
        <v>1.0287567569342185E-4</v>
      </c>
      <c r="N109" s="21">
        <f>M109</f>
        <v>1.0287567569342185E-4</v>
      </c>
      <c r="O109" s="252">
        <f>N109/K109</f>
        <v>3.7409336615789761E-5</v>
      </c>
      <c r="P109" s="251">
        <f>$C$31</f>
        <v>4.8471720397440425E-3</v>
      </c>
      <c r="Q109" s="251">
        <f>$D$31</f>
        <v>1.7665298310518072E-3</v>
      </c>
      <c r="R109" s="17">
        <f t="shared" si="82"/>
        <v>7.7177653916664325E-3</v>
      </c>
      <c r="S109" s="17">
        <f t="shared" si="78"/>
        <v>2.1176736423135247E-2</v>
      </c>
      <c r="T109" s="1065">
        <f>'Yield Mechanism'!$AI$62</f>
        <v>10.000055466100285</v>
      </c>
      <c r="U109" s="205">
        <f t="shared" si="83"/>
        <v>123.89763677300147</v>
      </c>
      <c r="V109" s="1013"/>
      <c r="W109" s="194"/>
      <c r="X109" s="291">
        <v>1</v>
      </c>
      <c r="Y109" s="17">
        <f>mstr1</f>
        <v>67.278400000000005</v>
      </c>
      <c r="Z109" s="17">
        <f t="shared" si="79"/>
        <v>6.9213108595723126E-3</v>
      </c>
      <c r="AA109" s="17">
        <f t="shared" si="80"/>
        <v>1.9033604863823859E-2</v>
      </c>
      <c r="AB109" s="540" t="s">
        <v>337</v>
      </c>
    </row>
    <row r="110" spans="9:28" x14ac:dyDescent="0.25">
      <c r="X110" s="292"/>
      <c r="Y110" s="540" t="s">
        <v>78</v>
      </c>
      <c r="Z110" s="253">
        <f>SUM(Z104:Z109)</f>
        <v>0.14348017164378923</v>
      </c>
      <c r="AA110" s="253">
        <f>SUM(AA104:AA109)</f>
        <v>1.7776831442549539</v>
      </c>
      <c r="AB110" s="204">
        <f>2*PI()*SQRT(AB108/AB106)</f>
        <v>0.85317655078832455</v>
      </c>
    </row>
    <row r="112" spans="9:28" ht="15.75" x14ac:dyDescent="0.25">
      <c r="J112" s="1040" t="s">
        <v>339</v>
      </c>
      <c r="K112" s="1041"/>
      <c r="L112" s="1041"/>
      <c r="M112" s="1041"/>
      <c r="N112" s="1041"/>
      <c r="O112" s="1041"/>
      <c r="P112" s="1041"/>
      <c r="Q112" s="1041"/>
      <c r="R112" s="1041"/>
      <c r="S112" s="1041"/>
      <c r="T112" s="1041"/>
      <c r="U112" s="1041"/>
      <c r="V112" s="1042"/>
      <c r="W112" s="34"/>
      <c r="X112" s="1039" t="s">
        <v>106</v>
      </c>
      <c r="Y112" s="1039"/>
      <c r="Z112" s="1039"/>
      <c r="AA112" s="1039"/>
      <c r="AB112" s="1039"/>
    </row>
    <row r="113" spans="2:28" ht="15" customHeight="1" x14ac:dyDescent="0.25">
      <c r="J113" s="964" t="s">
        <v>5</v>
      </c>
      <c r="K113" s="965" t="s">
        <v>3</v>
      </c>
      <c r="L113" s="965" t="s">
        <v>72</v>
      </c>
      <c r="M113" s="964" t="s">
        <v>74</v>
      </c>
      <c r="N113" s="964" t="s">
        <v>81</v>
      </c>
      <c r="O113" s="965" t="s">
        <v>101</v>
      </c>
      <c r="P113" s="965" t="s">
        <v>257</v>
      </c>
      <c r="Q113" s="965" t="s">
        <v>258</v>
      </c>
      <c r="R113" s="964" t="s">
        <v>394</v>
      </c>
      <c r="S113" s="964" t="s">
        <v>395</v>
      </c>
      <c r="T113" s="964" t="s">
        <v>75</v>
      </c>
      <c r="U113" s="965" t="s">
        <v>102</v>
      </c>
      <c r="V113" s="964" t="s">
        <v>79</v>
      </c>
      <c r="X113" s="696" t="s">
        <v>5</v>
      </c>
      <c r="Y113" s="1033" t="s">
        <v>76</v>
      </c>
      <c r="Z113" s="1033" t="s">
        <v>77</v>
      </c>
      <c r="AA113" s="1033" t="s">
        <v>104</v>
      </c>
      <c r="AB113" s="698" t="s">
        <v>105</v>
      </c>
    </row>
    <row r="114" spans="2:28" x14ac:dyDescent="0.25">
      <c r="J114" s="701"/>
      <c r="K114" s="697"/>
      <c r="L114" s="697"/>
      <c r="M114" s="701"/>
      <c r="N114" s="701"/>
      <c r="O114" s="697"/>
      <c r="P114" s="697"/>
      <c r="Q114" s="697"/>
      <c r="R114" s="701"/>
      <c r="S114" s="701"/>
      <c r="T114" s="701"/>
      <c r="U114" s="697"/>
      <c r="V114" s="701"/>
      <c r="X114" s="696"/>
      <c r="Y114" s="1033"/>
      <c r="Z114" s="1033"/>
      <c r="AA114" s="1033"/>
      <c r="AB114" s="698"/>
    </row>
    <row r="115" spans="2:28" x14ac:dyDescent="0.25">
      <c r="J115" s="250">
        <v>6</v>
      </c>
      <c r="K115" s="205">
        <f>hstr6</f>
        <v>3</v>
      </c>
      <c r="L115" s="205">
        <f t="shared" ref="L115:L117" si="84">L116+K115</f>
        <v>17.75</v>
      </c>
      <c r="M115" s="251">
        <f>'Yield Mechanism'!$X$57</f>
        <v>5.5160151453768761E-4</v>
      </c>
      <c r="N115" s="21">
        <f>M115-M116</f>
        <v>3.8666989517273809E-5</v>
      </c>
      <c r="O115" s="252">
        <f t="shared" ref="O115:O119" si="85">N115/K115</f>
        <v>1.2888996505757937E-5</v>
      </c>
      <c r="P115" s="251">
        <f>$C$26</f>
        <v>8.3125273614190701E-3</v>
      </c>
      <c r="Q115" s="251">
        <f>$D$26</f>
        <v>1.9976000809737945E-3</v>
      </c>
      <c r="R115" s="17">
        <f>O115/P115</f>
        <v>1.550550866825369E-3</v>
      </c>
      <c r="S115" s="17">
        <f t="shared" ref="S115:S120" si="86">O115/Q115</f>
        <v>6.45224068046432E-3</v>
      </c>
      <c r="T115" s="1065">
        <f>'Yield Mechanism'!$AI$57</f>
        <v>2.4248704391924543</v>
      </c>
      <c r="U115" s="205">
        <f>T115*K115</f>
        <v>7.2746113175773628</v>
      </c>
      <c r="V115" s="17">
        <f>U120/AB115</f>
        <v>10.000012796375236</v>
      </c>
      <c r="W115" s="194"/>
      <c r="X115" s="291">
        <v>6</v>
      </c>
      <c r="Y115" s="17">
        <f>mstr6</f>
        <v>63.074599999999997</v>
      </c>
      <c r="Z115" s="17">
        <f t="shared" ref="Z115:Z120" si="87">Y115*M115</f>
        <v>3.4792044888858828E-2</v>
      </c>
      <c r="AA115" s="17">
        <f t="shared" ref="AA115:AA120" si="88">Z115*L115</f>
        <v>0.61755879677724423</v>
      </c>
      <c r="AB115" s="17">
        <f>AA121/Z121</f>
        <v>12.389747822913925</v>
      </c>
    </row>
    <row r="116" spans="2:28" x14ac:dyDescent="0.25">
      <c r="J116" s="250">
        <v>5</v>
      </c>
      <c r="K116" s="205">
        <f>hstr5</f>
        <v>3</v>
      </c>
      <c r="L116" s="205">
        <f t="shared" si="84"/>
        <v>14.75</v>
      </c>
      <c r="M116" s="251">
        <f>'Yield Mechanism'!$X$58</f>
        <v>5.129345250204138E-4</v>
      </c>
      <c r="N116" s="21">
        <f t="shared" ref="N116:N118" si="89">M116-M117</f>
        <v>7.4231182883737791E-5</v>
      </c>
      <c r="O116" s="252">
        <f t="shared" si="85"/>
        <v>2.4743727627912597E-5</v>
      </c>
      <c r="P116" s="251">
        <f>$C$27</f>
        <v>9.5976000000000013E-3</v>
      </c>
      <c r="Q116" s="251">
        <f>$D$27</f>
        <v>1.9241439833606131E-3</v>
      </c>
      <c r="R116" s="17">
        <f t="shared" ref="R116:R120" si="90">O116/P116</f>
        <v>2.5781161569467985E-3</v>
      </c>
      <c r="S116" s="17">
        <f t="shared" si="86"/>
        <v>1.2859602941301953E-2</v>
      </c>
      <c r="T116" s="1065">
        <f>'Yield Mechanism'!$AI$58</f>
        <v>4.8300393004174342</v>
      </c>
      <c r="U116" s="205">
        <f>T116*K116+U115</f>
        <v>21.764729218829665</v>
      </c>
      <c r="V116" s="1011"/>
      <c r="W116" s="194"/>
      <c r="X116" s="291">
        <v>5</v>
      </c>
      <c r="Y116" s="17">
        <f>mstr5</f>
        <v>67.278400000000005</v>
      </c>
      <c r="Z116" s="17">
        <f t="shared" si="87"/>
        <v>3.450941414813341E-2</v>
      </c>
      <c r="AA116" s="17">
        <f t="shared" si="88"/>
        <v>0.50901385868496785</v>
      </c>
      <c r="AB116" s="540" t="s">
        <v>336</v>
      </c>
    </row>
    <row r="117" spans="2:28" ht="15" customHeight="1" x14ac:dyDescent="0.25">
      <c r="J117" s="250">
        <v>4</v>
      </c>
      <c r="K117" s="205">
        <f>hstr4</f>
        <v>3</v>
      </c>
      <c r="L117" s="205">
        <f t="shared" si="84"/>
        <v>11.75</v>
      </c>
      <c r="M117" s="251">
        <f>'Yield Mechanism'!$X$59</f>
        <v>4.3870334213667601E-4</v>
      </c>
      <c r="N117" s="21">
        <f t="shared" si="89"/>
        <v>1.0053006869018433E-4</v>
      </c>
      <c r="O117" s="252">
        <f t="shared" si="85"/>
        <v>3.3510022896728109E-5</v>
      </c>
      <c r="P117" s="251">
        <f>$C$28</f>
        <v>8.8673064285714302E-3</v>
      </c>
      <c r="Q117" s="251">
        <f>$D$28</f>
        <v>1.8501735321027263E-3</v>
      </c>
      <c r="R117" s="17">
        <f t="shared" si="90"/>
        <v>3.7790532183206338E-3</v>
      </c>
      <c r="S117" s="17">
        <f t="shared" si="86"/>
        <v>1.8111826980166501E-2</v>
      </c>
      <c r="T117" s="1065">
        <f>'Yield Mechanism'!$AI$59</f>
        <v>6.8871388711668882</v>
      </c>
      <c r="U117" s="205">
        <f t="shared" ref="U117:U120" si="91">T117*K117+U116</f>
        <v>42.426145832330327</v>
      </c>
      <c r="V117" s="1012"/>
      <c r="W117" s="194"/>
      <c r="X117" s="291">
        <v>4</v>
      </c>
      <c r="Y117" s="17">
        <f>mstr4</f>
        <v>67.278400000000005</v>
      </c>
      <c r="Z117" s="17">
        <f t="shared" si="87"/>
        <v>2.9515258933608145E-2</v>
      </c>
      <c r="AA117" s="17">
        <f t="shared" si="88"/>
        <v>0.34680429246989569</v>
      </c>
      <c r="AB117" s="204">
        <f>T120/M115</f>
        <v>18129.129820250051</v>
      </c>
    </row>
    <row r="118" spans="2:28" ht="15" customHeight="1" x14ac:dyDescent="0.25">
      <c r="J118" s="250">
        <v>3</v>
      </c>
      <c r="K118" s="205">
        <f>hstr3</f>
        <v>3</v>
      </c>
      <c r="L118" s="205">
        <f>L119+K118</f>
        <v>8.75</v>
      </c>
      <c r="M118" s="251">
        <f>'Yield Mechanism'!$X$60</f>
        <v>3.3817327344649168E-4</v>
      </c>
      <c r="N118" s="21">
        <f t="shared" si="89"/>
        <v>1.1536199890110882E-4</v>
      </c>
      <c r="O118" s="252">
        <f t="shared" si="85"/>
        <v>3.8453999633702941E-5</v>
      </c>
      <c r="P118" s="251">
        <f>$C$29</f>
        <v>8.3556867009551838E-3</v>
      </c>
      <c r="Q118" s="251">
        <f>$D$29</f>
        <v>1.7909714066512246E-3</v>
      </c>
      <c r="R118" s="17">
        <f t="shared" si="90"/>
        <v>4.6021351697290245E-3</v>
      </c>
      <c r="S118" s="17">
        <f t="shared" si="86"/>
        <v>2.1471029348036661E-2</v>
      </c>
      <c r="T118" s="1065">
        <f>'Yield Mechanism'!$AI$60</f>
        <v>8.472847474495925</v>
      </c>
      <c r="U118" s="205">
        <f t="shared" si="91"/>
        <v>67.844688255818099</v>
      </c>
      <c r="V118" s="1012"/>
      <c r="W118" s="194"/>
      <c r="X118" s="291">
        <v>3</v>
      </c>
      <c r="Y118" s="17">
        <f>mstr3</f>
        <v>67.278400000000005</v>
      </c>
      <c r="Z118" s="17">
        <f t="shared" si="87"/>
        <v>2.2751756760242447E-2</v>
      </c>
      <c r="AA118" s="17">
        <f t="shared" si="88"/>
        <v>0.1990778716521214</v>
      </c>
      <c r="AB118" s="541" t="s">
        <v>338</v>
      </c>
    </row>
    <row r="119" spans="2:28" x14ac:dyDescent="0.25">
      <c r="J119" s="250">
        <v>2</v>
      </c>
      <c r="K119" s="205">
        <f>hstr2</f>
        <v>3</v>
      </c>
      <c r="L119" s="205">
        <f>L120+K119</f>
        <v>5.75</v>
      </c>
      <c r="M119" s="251">
        <f>'Yield Mechanism'!$X$61</f>
        <v>2.2281127454538285E-4</v>
      </c>
      <c r="N119" s="21">
        <f>M119-M120</f>
        <v>1.19935598851961E-4</v>
      </c>
      <c r="O119" s="252">
        <f t="shared" si="85"/>
        <v>3.997853295065367E-5</v>
      </c>
      <c r="P119" s="251">
        <f>$C$30</f>
        <v>6.4157970868129726E-3</v>
      </c>
      <c r="Q119" s="251">
        <f>$D$30</f>
        <v>1.7349058472302754E-3</v>
      </c>
      <c r="R119" s="17">
        <f t="shared" si="90"/>
        <v>6.2312651740226536E-3</v>
      </c>
      <c r="S119" s="17">
        <f t="shared" si="86"/>
        <v>2.3043632606621383E-2</v>
      </c>
      <c r="T119" s="1065">
        <f>'Yield Mechanism'!$AI$61</f>
        <v>9.5175986618025288</v>
      </c>
      <c r="U119" s="205">
        <f t="shared" si="91"/>
        <v>96.397484241225683</v>
      </c>
      <c r="V119" s="1012"/>
      <c r="W119" s="194"/>
      <c r="X119" s="291">
        <v>2</v>
      </c>
      <c r="Y119" s="17">
        <f>mstr2</f>
        <v>67.278400000000005</v>
      </c>
      <c r="Z119" s="17">
        <f t="shared" si="87"/>
        <v>1.4990386053374086E-2</v>
      </c>
      <c r="AA119" s="17">
        <f t="shared" si="88"/>
        <v>8.6194719806900993E-2</v>
      </c>
      <c r="AB119" s="17">
        <f>((Y120*M118+Y119*M119+Y118*M120+M117*Y117+M116*Y116+M115*Y115)^2)/(Y120*M118*M118+Y119*M119*M119+Y118*M120*M120+Y117*M117*M117+Y116*M116*M116+Y115*M115*M115)</f>
        <v>334.26818500347838</v>
      </c>
    </row>
    <row r="120" spans="2:28" x14ac:dyDescent="0.25">
      <c r="J120" s="250">
        <v>1</v>
      </c>
      <c r="K120" s="205">
        <f>hstr1</f>
        <v>2.75</v>
      </c>
      <c r="L120" s="205">
        <f>K120</f>
        <v>2.75</v>
      </c>
      <c r="M120" s="251">
        <f>'Yield Mechanism'!$X$62</f>
        <v>1.0287567569342185E-4</v>
      </c>
      <c r="N120" s="21">
        <f>M120</f>
        <v>1.0287567569342185E-4</v>
      </c>
      <c r="O120" s="252">
        <f>N120/K120</f>
        <v>3.7409336615789761E-5</v>
      </c>
      <c r="P120" s="251">
        <f>$C$31</f>
        <v>4.8471720397440425E-3</v>
      </c>
      <c r="Q120" s="251">
        <f>$D$31</f>
        <v>1.7665298310518072E-3</v>
      </c>
      <c r="R120" s="17">
        <f t="shared" si="90"/>
        <v>7.7177653916664325E-3</v>
      </c>
      <c r="S120" s="17">
        <f t="shared" si="86"/>
        <v>2.1176736423135247E-2</v>
      </c>
      <c r="T120" s="1065">
        <f>'Yield Mechanism'!$AI$62</f>
        <v>10.000055466100285</v>
      </c>
      <c r="U120" s="205">
        <f t="shared" si="91"/>
        <v>123.89763677300147</v>
      </c>
      <c r="V120" s="1013"/>
      <c r="W120" s="194"/>
      <c r="X120" s="291">
        <v>1</v>
      </c>
      <c r="Y120" s="17">
        <f>mstr1</f>
        <v>67.278400000000005</v>
      </c>
      <c r="Z120" s="17">
        <f t="shared" si="87"/>
        <v>6.9213108595723126E-3</v>
      </c>
      <c r="AA120" s="17">
        <f t="shared" si="88"/>
        <v>1.9033604863823859E-2</v>
      </c>
      <c r="AB120" s="540" t="s">
        <v>337</v>
      </c>
    </row>
    <row r="121" spans="2:28" x14ac:dyDescent="0.25">
      <c r="X121" s="292"/>
      <c r="Y121" s="540" t="s">
        <v>78</v>
      </c>
      <c r="Z121" s="253">
        <f>SUM(Z115:Z120)</f>
        <v>0.14348017164378923</v>
      </c>
      <c r="AA121" s="253">
        <f>SUM(AA115:AA120)</f>
        <v>1.7776831442549539</v>
      </c>
      <c r="AB121" s="204">
        <f>2*PI()*SQRT(AB119/AB117)</f>
        <v>0.85317655078832455</v>
      </c>
    </row>
    <row r="123" spans="2:28" ht="15.75" x14ac:dyDescent="0.25">
      <c r="B123" s="1057" t="s">
        <v>209</v>
      </c>
      <c r="C123" s="1058"/>
      <c r="D123" s="1058"/>
      <c r="E123" s="1058"/>
      <c r="F123" s="1058"/>
      <c r="G123" s="1058"/>
      <c r="H123" s="1059"/>
      <c r="J123" s="1037" t="s">
        <v>340</v>
      </c>
      <c r="K123" s="1037"/>
      <c r="L123" s="1037"/>
      <c r="M123" s="1037"/>
      <c r="N123" s="1037"/>
      <c r="O123" s="1037"/>
      <c r="P123" s="1037"/>
      <c r="Q123" s="1037"/>
      <c r="R123" s="1037"/>
      <c r="S123" s="1037"/>
      <c r="T123" s="1037"/>
      <c r="U123" s="1037"/>
      <c r="V123" s="1037"/>
      <c r="X123" s="1060" t="s">
        <v>106</v>
      </c>
      <c r="Y123" s="1060"/>
      <c r="Z123" s="1060"/>
      <c r="AA123" s="1060"/>
      <c r="AB123" s="1060"/>
    </row>
    <row r="124" spans="2:28" ht="15" customHeight="1" x14ac:dyDescent="0.25">
      <c r="B124" s="696" t="s">
        <v>208</v>
      </c>
      <c r="C124" s="696" t="s">
        <v>5</v>
      </c>
      <c r="D124" s="708" t="s">
        <v>84</v>
      </c>
      <c r="E124" s="925"/>
      <c r="F124" s="925"/>
      <c r="G124" s="925"/>
      <c r="H124" s="709"/>
      <c r="J124" s="964" t="s">
        <v>5</v>
      </c>
      <c r="K124" s="965" t="s">
        <v>3</v>
      </c>
      <c r="L124" s="965" t="s">
        <v>72</v>
      </c>
      <c r="M124" s="964" t="s">
        <v>74</v>
      </c>
      <c r="N124" s="964" t="s">
        <v>81</v>
      </c>
      <c r="O124" s="965" t="s">
        <v>101</v>
      </c>
      <c r="P124" s="965" t="s">
        <v>257</v>
      </c>
      <c r="Q124" s="965" t="s">
        <v>258</v>
      </c>
      <c r="R124" s="964" t="s">
        <v>394</v>
      </c>
      <c r="S124" s="964" t="s">
        <v>395</v>
      </c>
      <c r="T124" s="964" t="s">
        <v>75</v>
      </c>
      <c r="U124" s="965" t="s">
        <v>102</v>
      </c>
      <c r="V124" s="964" t="s">
        <v>79</v>
      </c>
      <c r="X124" s="696" t="s">
        <v>5</v>
      </c>
      <c r="Y124" s="1033" t="s">
        <v>76</v>
      </c>
      <c r="Z124" s="1033" t="s">
        <v>77</v>
      </c>
      <c r="AA124" s="1033" t="s">
        <v>104</v>
      </c>
      <c r="AB124" s="698" t="s">
        <v>105</v>
      </c>
    </row>
    <row r="125" spans="2:28" x14ac:dyDescent="0.25">
      <c r="B125" s="696"/>
      <c r="C125" s="696"/>
      <c r="D125" s="270"/>
      <c r="E125" s="270"/>
      <c r="F125" s="270"/>
      <c r="G125" s="297"/>
      <c r="H125" s="271" t="s">
        <v>268</v>
      </c>
      <c r="J125" s="701"/>
      <c r="K125" s="697"/>
      <c r="L125" s="697"/>
      <c r="M125" s="701"/>
      <c r="N125" s="701"/>
      <c r="O125" s="697"/>
      <c r="P125" s="697"/>
      <c r="Q125" s="697"/>
      <c r="R125" s="701"/>
      <c r="S125" s="701"/>
      <c r="T125" s="701"/>
      <c r="U125" s="697"/>
      <c r="V125" s="701"/>
      <c r="X125" s="696"/>
      <c r="Y125" s="1033"/>
      <c r="Z125" s="1033"/>
      <c r="AA125" s="1033"/>
      <c r="AB125" s="698"/>
    </row>
    <row r="126" spans="2:28" x14ac:dyDescent="0.25">
      <c r="B126" s="335">
        <f t="shared" ref="B126:B128" si="92">B127+3</f>
        <v>17.75</v>
      </c>
      <c r="C126" s="335">
        <v>6</v>
      </c>
      <c r="D126" s="21"/>
      <c r="E126" s="21"/>
      <c r="F126" s="21"/>
      <c r="G126" s="21"/>
      <c r="H126" s="272">
        <v>0</v>
      </c>
      <c r="I126" s="268"/>
      <c r="J126" s="250">
        <v>6</v>
      </c>
      <c r="K126" s="205">
        <f>hstr6</f>
        <v>3</v>
      </c>
      <c r="L126" s="205">
        <f t="shared" ref="L126:L128" si="93">L127+K126</f>
        <v>17.75</v>
      </c>
      <c r="M126" s="251">
        <f>'Yield Mechanism'!$X$57</f>
        <v>5.5160151453768761E-4</v>
      </c>
      <c r="N126" s="21">
        <f>M126-M127</f>
        <v>3.8666989517273809E-5</v>
      </c>
      <c r="O126" s="252">
        <f t="shared" ref="O126:O130" si="94">N126/K126</f>
        <v>1.2888996505757937E-5</v>
      </c>
      <c r="P126" s="251">
        <f>$C$26</f>
        <v>8.3125273614190701E-3</v>
      </c>
      <c r="Q126" s="251">
        <f>$D$26</f>
        <v>1.9976000809737945E-3</v>
      </c>
      <c r="R126" s="17">
        <f>O126/P126</f>
        <v>1.550550866825369E-3</v>
      </c>
      <c r="S126" s="17">
        <f t="shared" ref="S126:S131" si="95">O126/Q126</f>
        <v>6.45224068046432E-3</v>
      </c>
      <c r="T126" s="1065">
        <f>'Yield Mechanism'!$AI$57</f>
        <v>2.4248704391924543</v>
      </c>
      <c r="U126" s="205">
        <f>T126*K126</f>
        <v>7.2746113175773628</v>
      </c>
      <c r="V126" s="17">
        <f>U131/AB126</f>
        <v>10.000012796375236</v>
      </c>
      <c r="W126" s="194"/>
      <c r="X126" s="291">
        <v>6</v>
      </c>
      <c r="Y126" s="17">
        <f>mstr6</f>
        <v>63.074599999999997</v>
      </c>
      <c r="Z126" s="17">
        <f t="shared" ref="Z126:Z131" si="96">Y126*M126</f>
        <v>3.4792044888858828E-2</v>
      </c>
      <c r="AA126" s="17">
        <f t="shared" ref="AA126:AA131" si="97">Z126*L126</f>
        <v>0.61755879677724423</v>
      </c>
      <c r="AB126" s="17">
        <f>AA132/Z132</f>
        <v>12.389747822913925</v>
      </c>
    </row>
    <row r="127" spans="2:28" x14ac:dyDescent="0.25">
      <c r="B127" s="335">
        <f t="shared" si="92"/>
        <v>14.75</v>
      </c>
      <c r="C127" s="335">
        <v>5</v>
      </c>
      <c r="D127" s="21"/>
      <c r="E127" s="21"/>
      <c r="F127" s="21"/>
      <c r="G127" s="21"/>
      <c r="H127" s="272">
        <v>0</v>
      </c>
      <c r="I127" s="268"/>
      <c r="J127" s="250">
        <v>5</v>
      </c>
      <c r="K127" s="205">
        <f>hstr5</f>
        <v>3</v>
      </c>
      <c r="L127" s="205">
        <f t="shared" si="93"/>
        <v>14.75</v>
      </c>
      <c r="M127" s="251">
        <f>'Yield Mechanism'!$X$58</f>
        <v>5.129345250204138E-4</v>
      </c>
      <c r="N127" s="21">
        <f t="shared" ref="N127:N129" si="98">M127-M128</f>
        <v>7.4231182883737791E-5</v>
      </c>
      <c r="O127" s="252">
        <f t="shared" si="94"/>
        <v>2.4743727627912597E-5</v>
      </c>
      <c r="P127" s="251">
        <f>$C$27</f>
        <v>9.5976000000000013E-3</v>
      </c>
      <c r="Q127" s="251">
        <f>$D$27</f>
        <v>1.9241439833606131E-3</v>
      </c>
      <c r="R127" s="17">
        <f t="shared" ref="R127:R131" si="99">O127/P127</f>
        <v>2.5781161569467985E-3</v>
      </c>
      <c r="S127" s="17">
        <f t="shared" si="95"/>
        <v>1.2859602941301953E-2</v>
      </c>
      <c r="T127" s="1065">
        <f>'Yield Mechanism'!$AI$58</f>
        <v>4.8300393004174342</v>
      </c>
      <c r="U127" s="205">
        <f>T127*K127+U126</f>
        <v>21.764729218829665</v>
      </c>
      <c r="V127" s="1011"/>
      <c r="W127" s="194"/>
      <c r="X127" s="291">
        <v>5</v>
      </c>
      <c r="Y127" s="17">
        <f>mstr5</f>
        <v>67.278400000000005</v>
      </c>
      <c r="Z127" s="17">
        <f t="shared" si="96"/>
        <v>3.450941414813341E-2</v>
      </c>
      <c r="AA127" s="17">
        <f t="shared" si="97"/>
        <v>0.50901385868496785</v>
      </c>
      <c r="AB127" s="540" t="s">
        <v>336</v>
      </c>
    </row>
    <row r="128" spans="2:28" x14ac:dyDescent="0.25">
      <c r="B128" s="335">
        <f t="shared" si="92"/>
        <v>11.75</v>
      </c>
      <c r="C128" s="335">
        <v>4</v>
      </c>
      <c r="D128" s="21"/>
      <c r="E128" s="21"/>
      <c r="F128" s="21"/>
      <c r="G128" s="21"/>
      <c r="H128" s="272">
        <v>0</v>
      </c>
      <c r="I128" s="268"/>
      <c r="J128" s="250">
        <v>4</v>
      </c>
      <c r="K128" s="205">
        <f>hstr4</f>
        <v>3</v>
      </c>
      <c r="L128" s="205">
        <f t="shared" si="93"/>
        <v>11.75</v>
      </c>
      <c r="M128" s="251">
        <f>'Yield Mechanism'!$X$59</f>
        <v>4.3870334213667601E-4</v>
      </c>
      <c r="N128" s="21">
        <f t="shared" si="98"/>
        <v>1.0053006869018433E-4</v>
      </c>
      <c r="O128" s="252">
        <f t="shared" si="94"/>
        <v>3.3510022896728109E-5</v>
      </c>
      <c r="P128" s="251">
        <f>$C$28</f>
        <v>8.8673064285714302E-3</v>
      </c>
      <c r="Q128" s="251">
        <f>$D$28</f>
        <v>1.8501735321027263E-3</v>
      </c>
      <c r="R128" s="17">
        <f t="shared" si="99"/>
        <v>3.7790532183206338E-3</v>
      </c>
      <c r="S128" s="17">
        <f t="shared" si="95"/>
        <v>1.8111826980166501E-2</v>
      </c>
      <c r="T128" s="1065">
        <f>'Yield Mechanism'!$AI$59</f>
        <v>6.8871388711668882</v>
      </c>
      <c r="U128" s="205">
        <f t="shared" ref="U128:U131" si="100">T128*K128+U127</f>
        <v>42.426145832330327</v>
      </c>
      <c r="V128" s="1012"/>
      <c r="W128" s="194"/>
      <c r="X128" s="291">
        <v>4</v>
      </c>
      <c r="Y128" s="17">
        <f>mstr4</f>
        <v>67.278400000000005</v>
      </c>
      <c r="Z128" s="17">
        <f t="shared" si="96"/>
        <v>2.9515258933608145E-2</v>
      </c>
      <c r="AA128" s="17">
        <f t="shared" si="97"/>
        <v>0.34680429246989569</v>
      </c>
      <c r="AB128" s="204">
        <f>T131/M126</f>
        <v>18129.129820250051</v>
      </c>
    </row>
    <row r="129" spans="2:28" x14ac:dyDescent="0.25">
      <c r="B129" s="8">
        <f>B130+3</f>
        <v>8.75</v>
      </c>
      <c r="C129" s="8">
        <v>3</v>
      </c>
      <c r="D129" s="21"/>
      <c r="E129" s="21"/>
      <c r="F129" s="21"/>
      <c r="G129" s="21"/>
      <c r="H129" s="272">
        <v>0</v>
      </c>
      <c r="I129" s="268"/>
      <c r="J129" s="250">
        <v>3</v>
      </c>
      <c r="K129" s="205">
        <f>hstr3</f>
        <v>3</v>
      </c>
      <c r="L129" s="205">
        <f>L130+K129</f>
        <v>8.75</v>
      </c>
      <c r="M129" s="251">
        <f>'Yield Mechanism'!$X$60</f>
        <v>3.3817327344649168E-4</v>
      </c>
      <c r="N129" s="21">
        <f t="shared" si="98"/>
        <v>1.1536199890110882E-4</v>
      </c>
      <c r="O129" s="252">
        <f t="shared" si="94"/>
        <v>3.8453999633702941E-5</v>
      </c>
      <c r="P129" s="251">
        <f>$C$29</f>
        <v>8.3556867009551838E-3</v>
      </c>
      <c r="Q129" s="251">
        <f>$D$29</f>
        <v>1.7909714066512246E-3</v>
      </c>
      <c r="R129" s="17">
        <f t="shared" si="99"/>
        <v>4.6021351697290245E-3</v>
      </c>
      <c r="S129" s="17">
        <f t="shared" si="95"/>
        <v>2.1471029348036661E-2</v>
      </c>
      <c r="T129" s="1065">
        <f>'Yield Mechanism'!$AI$60</f>
        <v>8.472847474495925</v>
      </c>
      <c r="U129" s="205">
        <f t="shared" si="100"/>
        <v>67.844688255818099</v>
      </c>
      <c r="V129" s="1012"/>
      <c r="W129" s="194"/>
      <c r="X129" s="291">
        <v>3</v>
      </c>
      <c r="Y129" s="17">
        <f>mstr3</f>
        <v>67.278400000000005</v>
      </c>
      <c r="Z129" s="17">
        <f t="shared" si="96"/>
        <v>2.2751756760242447E-2</v>
      </c>
      <c r="AA129" s="17">
        <f t="shared" si="97"/>
        <v>0.1990778716521214</v>
      </c>
      <c r="AB129" s="541" t="s">
        <v>338</v>
      </c>
    </row>
    <row r="130" spans="2:28" x14ac:dyDescent="0.25">
      <c r="B130" s="8">
        <f>B131+3</f>
        <v>5.75</v>
      </c>
      <c r="C130" s="8">
        <v>2</v>
      </c>
      <c r="D130" s="21"/>
      <c r="E130" s="21"/>
      <c r="F130" s="21"/>
      <c r="G130" s="21"/>
      <c r="H130" s="272">
        <v>0</v>
      </c>
      <c r="I130" s="268"/>
      <c r="J130" s="250">
        <v>2</v>
      </c>
      <c r="K130" s="205">
        <f>hstr2</f>
        <v>3</v>
      </c>
      <c r="L130" s="205">
        <f>L131+K130</f>
        <v>5.75</v>
      </c>
      <c r="M130" s="251">
        <f>'Yield Mechanism'!$X$61</f>
        <v>2.2281127454538285E-4</v>
      </c>
      <c r="N130" s="21">
        <f>M130-M131</f>
        <v>1.19935598851961E-4</v>
      </c>
      <c r="O130" s="252">
        <f t="shared" si="94"/>
        <v>3.997853295065367E-5</v>
      </c>
      <c r="P130" s="251">
        <f>$C$30</f>
        <v>6.4157970868129726E-3</v>
      </c>
      <c r="Q130" s="251">
        <f>$D$30</f>
        <v>1.7349058472302754E-3</v>
      </c>
      <c r="R130" s="17">
        <f t="shared" si="99"/>
        <v>6.2312651740226536E-3</v>
      </c>
      <c r="S130" s="17">
        <f t="shared" si="95"/>
        <v>2.3043632606621383E-2</v>
      </c>
      <c r="T130" s="1065">
        <f>'Yield Mechanism'!$AI$61</f>
        <v>9.5175986618025288</v>
      </c>
      <c r="U130" s="205">
        <f t="shared" si="100"/>
        <v>96.397484241225683</v>
      </c>
      <c r="V130" s="1012"/>
      <c r="W130" s="194"/>
      <c r="X130" s="291">
        <v>2</v>
      </c>
      <c r="Y130" s="17">
        <f>mstr2</f>
        <v>67.278400000000005</v>
      </c>
      <c r="Z130" s="17">
        <f t="shared" si="96"/>
        <v>1.4990386053374086E-2</v>
      </c>
      <c r="AA130" s="17">
        <f t="shared" si="97"/>
        <v>8.6194719806900993E-2</v>
      </c>
      <c r="AB130" s="17">
        <f>((Y131*M129+Y130*M130+Y129*M131+M128*Y128+M127*Y127+M126*Y126)^2)/(Y131*M129*M129+Y130*M130*M130+Y129*M131*M131+Y128*M128*M128+Y127*M127*M127+Y126*M126*M126)</f>
        <v>334.26818500347838</v>
      </c>
    </row>
    <row r="131" spans="2:28" x14ac:dyDescent="0.25">
      <c r="B131" s="8">
        <v>2.75</v>
      </c>
      <c r="C131" s="8">
        <v>1</v>
      </c>
      <c r="D131" s="21"/>
      <c r="E131" s="21"/>
      <c r="F131" s="21"/>
      <c r="G131" s="21"/>
      <c r="H131" s="272">
        <v>0</v>
      </c>
      <c r="I131" s="268"/>
      <c r="J131" s="250">
        <v>1</v>
      </c>
      <c r="K131" s="205">
        <f>hstr1</f>
        <v>2.75</v>
      </c>
      <c r="L131" s="205">
        <f>K131</f>
        <v>2.75</v>
      </c>
      <c r="M131" s="251">
        <f>'Yield Mechanism'!$X$62</f>
        <v>1.0287567569342185E-4</v>
      </c>
      <c r="N131" s="21">
        <f>M131</f>
        <v>1.0287567569342185E-4</v>
      </c>
      <c r="O131" s="252">
        <f>N131/K131</f>
        <v>3.7409336615789761E-5</v>
      </c>
      <c r="P131" s="251">
        <f>$C$31</f>
        <v>4.8471720397440425E-3</v>
      </c>
      <c r="Q131" s="251">
        <f>$D$31</f>
        <v>1.7665298310518072E-3</v>
      </c>
      <c r="R131" s="17">
        <f t="shared" si="99"/>
        <v>7.7177653916664325E-3</v>
      </c>
      <c r="S131" s="17">
        <f t="shared" si="95"/>
        <v>2.1176736423135247E-2</v>
      </c>
      <c r="T131" s="1065">
        <f>'Yield Mechanism'!$AI$62</f>
        <v>10.000055466100285</v>
      </c>
      <c r="U131" s="205">
        <f t="shared" si="100"/>
        <v>123.89763677300147</v>
      </c>
      <c r="V131" s="1013"/>
      <c r="W131" s="194"/>
      <c r="X131" s="291">
        <v>1</v>
      </c>
      <c r="Y131" s="17">
        <f>mstr1</f>
        <v>67.278400000000005</v>
      </c>
      <c r="Z131" s="17">
        <f t="shared" si="96"/>
        <v>6.9213108595723126E-3</v>
      </c>
      <c r="AA131" s="17">
        <f t="shared" si="97"/>
        <v>1.9033604863823859E-2</v>
      </c>
      <c r="AB131" s="540" t="s">
        <v>337</v>
      </c>
    </row>
    <row r="132" spans="2:28" x14ac:dyDescent="0.25">
      <c r="B132" s="270">
        <v>0</v>
      </c>
      <c r="C132" s="8">
        <v>0</v>
      </c>
      <c r="D132" s="21"/>
      <c r="E132" s="21"/>
      <c r="F132" s="21"/>
      <c r="G132" s="21"/>
      <c r="H132" s="272">
        <v>0</v>
      </c>
      <c r="I132" s="268"/>
      <c r="X132" s="292"/>
      <c r="Y132" s="540" t="s">
        <v>78</v>
      </c>
      <c r="Z132" s="253">
        <f>SUM(Z126:Z131)</f>
        <v>0.14348017164378923</v>
      </c>
      <c r="AA132" s="253">
        <f>SUM(AA126:AA131)</f>
        <v>1.7776831442549539</v>
      </c>
      <c r="AB132" s="204">
        <f>2*PI()*SQRT(AB130/AB128)</f>
        <v>0.85317655078832455</v>
      </c>
    </row>
    <row r="134" spans="2:28" ht="18.75" x14ac:dyDescent="0.25">
      <c r="B134" s="1051" t="s">
        <v>120</v>
      </c>
      <c r="C134" s="1052"/>
      <c r="D134" s="1052"/>
      <c r="E134" s="1052"/>
      <c r="F134" s="1052"/>
      <c r="G134" s="1052"/>
      <c r="H134" s="1053"/>
      <c r="J134" s="1040" t="s">
        <v>341</v>
      </c>
      <c r="K134" s="1041"/>
      <c r="L134" s="1041"/>
      <c r="M134" s="1041"/>
      <c r="N134" s="1041"/>
      <c r="O134" s="1041"/>
      <c r="P134" s="1041"/>
      <c r="Q134" s="1041"/>
      <c r="R134" s="1041"/>
      <c r="S134" s="1041"/>
      <c r="T134" s="1041"/>
      <c r="U134" s="1041"/>
      <c r="V134" s="1042"/>
      <c r="X134" s="1043" t="s">
        <v>106</v>
      </c>
      <c r="Y134" s="1043"/>
      <c r="Z134" s="1043"/>
      <c r="AA134" s="1043"/>
      <c r="AB134" s="1043"/>
    </row>
    <row r="135" spans="2:28" ht="15" customHeight="1" x14ac:dyDescent="0.25">
      <c r="B135" s="956" t="s">
        <v>5</v>
      </c>
      <c r="C135" s="956" t="s">
        <v>114</v>
      </c>
      <c r="D135" s="956" t="s">
        <v>115</v>
      </c>
      <c r="E135" s="956" t="s">
        <v>116</v>
      </c>
      <c r="F135" s="956" t="s">
        <v>117</v>
      </c>
      <c r="G135" s="956" t="s">
        <v>118</v>
      </c>
      <c r="H135" s="956" t="s">
        <v>119</v>
      </c>
      <c r="J135" s="964" t="s">
        <v>5</v>
      </c>
      <c r="K135" s="965" t="s">
        <v>3</v>
      </c>
      <c r="L135" s="965" t="s">
        <v>72</v>
      </c>
      <c r="M135" s="964" t="s">
        <v>74</v>
      </c>
      <c r="N135" s="964" t="s">
        <v>81</v>
      </c>
      <c r="O135" s="965" t="s">
        <v>101</v>
      </c>
      <c r="P135" s="965" t="s">
        <v>257</v>
      </c>
      <c r="Q135" s="965" t="s">
        <v>258</v>
      </c>
      <c r="R135" s="964" t="s">
        <v>394</v>
      </c>
      <c r="S135" s="964" t="s">
        <v>395</v>
      </c>
      <c r="T135" s="964" t="s">
        <v>75</v>
      </c>
      <c r="U135" s="965" t="s">
        <v>102</v>
      </c>
      <c r="V135" s="964" t="s">
        <v>79</v>
      </c>
      <c r="X135" s="696" t="s">
        <v>5</v>
      </c>
      <c r="Y135" s="1033" t="s">
        <v>76</v>
      </c>
      <c r="Z135" s="1033" t="s">
        <v>77</v>
      </c>
      <c r="AA135" s="1033" t="s">
        <v>104</v>
      </c>
      <c r="AB135" s="698" t="s">
        <v>105</v>
      </c>
    </row>
    <row r="136" spans="2:28" x14ac:dyDescent="0.25">
      <c r="B136" s="956"/>
      <c r="C136" s="956"/>
      <c r="D136" s="956"/>
      <c r="E136" s="956"/>
      <c r="F136" s="956"/>
      <c r="G136" s="956"/>
      <c r="H136" s="956"/>
      <c r="J136" s="701"/>
      <c r="K136" s="697"/>
      <c r="L136" s="697"/>
      <c r="M136" s="701"/>
      <c r="N136" s="701"/>
      <c r="O136" s="697"/>
      <c r="P136" s="697"/>
      <c r="Q136" s="697"/>
      <c r="R136" s="701"/>
      <c r="S136" s="701"/>
      <c r="T136" s="701"/>
      <c r="U136" s="697"/>
      <c r="V136" s="701"/>
      <c r="X136" s="696"/>
      <c r="Y136" s="1033"/>
      <c r="Z136" s="1033"/>
      <c r="AA136" s="1033"/>
      <c r="AB136" s="698"/>
    </row>
    <row r="137" spans="2:28" x14ac:dyDescent="0.25">
      <c r="B137" s="273">
        <v>6</v>
      </c>
      <c r="C137" s="21">
        <f>M5-H126</f>
        <v>5.5160151453768761E-4</v>
      </c>
      <c r="D137" s="21">
        <f>M16-H126</f>
        <v>5.5160151453768761E-4</v>
      </c>
      <c r="E137" s="21">
        <f>M27-H126</f>
        <v>5.5160151453768761E-4</v>
      </c>
      <c r="F137" s="21">
        <f>M38-H126</f>
        <v>5.5160151453768761E-4</v>
      </c>
      <c r="G137" s="21">
        <f>M49-H126</f>
        <v>5.5160151453768761E-4</v>
      </c>
      <c r="H137" s="21">
        <f>M159-H126</f>
        <v>5.5160151453768761E-4</v>
      </c>
      <c r="J137" s="250">
        <v>6</v>
      </c>
      <c r="K137" s="205">
        <f>hstr6</f>
        <v>3</v>
      </c>
      <c r="L137" s="205">
        <f t="shared" ref="L137:L139" si="101">L138+K137</f>
        <v>17.75</v>
      </c>
      <c r="M137" s="251">
        <f>'Yield Mechanism'!$X$57</f>
        <v>5.5160151453768761E-4</v>
      </c>
      <c r="N137" s="21">
        <f>M137-M138</f>
        <v>3.8666989517273809E-5</v>
      </c>
      <c r="O137" s="252">
        <f t="shared" ref="O137:O141" si="102">N137/K137</f>
        <v>1.2888996505757937E-5</v>
      </c>
      <c r="P137" s="251">
        <f>$C$26</f>
        <v>8.3125273614190701E-3</v>
      </c>
      <c r="Q137" s="251">
        <f>$D$26</f>
        <v>1.9976000809737945E-3</v>
      </c>
      <c r="R137" s="17">
        <f>O137/P137</f>
        <v>1.550550866825369E-3</v>
      </c>
      <c r="S137" s="17">
        <f t="shared" ref="S137:S142" si="103">O137/Q137</f>
        <v>6.45224068046432E-3</v>
      </c>
      <c r="T137" s="1065">
        <f>'Yield Mechanism'!$AI$57</f>
        <v>2.4248704391924543</v>
      </c>
      <c r="U137" s="205">
        <f>T137*K137</f>
        <v>7.2746113175773628</v>
      </c>
      <c r="V137" s="17">
        <f>U142/AB137</f>
        <v>10.000012796375236</v>
      </c>
      <c r="W137" s="194"/>
      <c r="X137" s="291">
        <v>6</v>
      </c>
      <c r="Y137" s="17">
        <f>mstr6</f>
        <v>63.074599999999997</v>
      </c>
      <c r="Z137" s="17">
        <f t="shared" ref="Z137:Z142" si="104">Y137*M137</f>
        <v>3.4792044888858828E-2</v>
      </c>
      <c r="AA137" s="17">
        <f t="shared" ref="AA137:AA142" si="105">Z137*L137</f>
        <v>0.61755879677724423</v>
      </c>
      <c r="AB137" s="17">
        <f>AA143/Z143</f>
        <v>12.389747822913925</v>
      </c>
    </row>
    <row r="138" spans="2:28" x14ac:dyDescent="0.25">
      <c r="B138" s="273">
        <v>5</v>
      </c>
      <c r="C138" s="21">
        <f t="shared" ref="C138:C143" si="106">M6-H127</f>
        <v>5.129345250204138E-4</v>
      </c>
      <c r="D138" s="21">
        <f t="shared" ref="D138:D143" si="107">M17-H127</f>
        <v>5.129345250204138E-4</v>
      </c>
      <c r="E138" s="21">
        <f t="shared" ref="E138:E143" si="108">M28-H127</f>
        <v>5.129345250204138E-4</v>
      </c>
      <c r="F138" s="21">
        <f t="shared" ref="F138:F143" si="109">M39-H127</f>
        <v>5.129345250204138E-4</v>
      </c>
      <c r="G138" s="21">
        <f t="shared" ref="G138:G143" si="110">M50-H127</f>
        <v>5.129345250204138E-4</v>
      </c>
      <c r="H138" s="21">
        <f t="shared" ref="H138:H143" si="111">M160-H127</f>
        <v>5.129345250204138E-4</v>
      </c>
      <c r="I138" s="274"/>
      <c r="J138" s="250">
        <v>5</v>
      </c>
      <c r="K138" s="205">
        <f>hstr5</f>
        <v>3</v>
      </c>
      <c r="L138" s="205">
        <f t="shared" si="101"/>
        <v>14.75</v>
      </c>
      <c r="M138" s="251">
        <f>'Yield Mechanism'!$X$58</f>
        <v>5.129345250204138E-4</v>
      </c>
      <c r="N138" s="21">
        <f t="shared" ref="N138:N140" si="112">M138-M139</f>
        <v>7.4231182883737791E-5</v>
      </c>
      <c r="O138" s="252">
        <f t="shared" si="102"/>
        <v>2.4743727627912597E-5</v>
      </c>
      <c r="P138" s="251">
        <f>$C$27</f>
        <v>9.5976000000000013E-3</v>
      </c>
      <c r="Q138" s="251">
        <f>$D$27</f>
        <v>1.9241439833606131E-3</v>
      </c>
      <c r="R138" s="17">
        <f t="shared" ref="R138:R142" si="113">O138/P138</f>
        <v>2.5781161569467985E-3</v>
      </c>
      <c r="S138" s="17">
        <f t="shared" si="103"/>
        <v>1.2859602941301953E-2</v>
      </c>
      <c r="T138" s="1065">
        <f>'Yield Mechanism'!$AI$58</f>
        <v>4.8300393004174342</v>
      </c>
      <c r="U138" s="205">
        <f>T138*K138+U137</f>
        <v>21.764729218829665</v>
      </c>
      <c r="V138" s="1011"/>
      <c r="W138" s="194"/>
      <c r="X138" s="291">
        <v>5</v>
      </c>
      <c r="Y138" s="17">
        <f>mstr5</f>
        <v>67.278400000000005</v>
      </c>
      <c r="Z138" s="17">
        <f t="shared" si="104"/>
        <v>3.450941414813341E-2</v>
      </c>
      <c r="AA138" s="17">
        <f t="shared" si="105"/>
        <v>0.50901385868496785</v>
      </c>
      <c r="AB138" s="540" t="s">
        <v>336</v>
      </c>
    </row>
    <row r="139" spans="2:28" x14ac:dyDescent="0.25">
      <c r="B139" s="273">
        <v>4</v>
      </c>
      <c r="C139" s="21">
        <f t="shared" si="106"/>
        <v>4.3870334213667601E-4</v>
      </c>
      <c r="D139" s="21">
        <f t="shared" si="107"/>
        <v>4.3870334213667601E-4</v>
      </c>
      <c r="E139" s="21">
        <f t="shared" si="108"/>
        <v>4.3870334213667601E-4</v>
      </c>
      <c r="F139" s="21">
        <f t="shared" si="109"/>
        <v>4.3870334213667601E-4</v>
      </c>
      <c r="G139" s="21">
        <f t="shared" si="110"/>
        <v>4.3870334213667601E-4</v>
      </c>
      <c r="H139" s="21">
        <f t="shared" si="111"/>
        <v>4.3870334213667601E-4</v>
      </c>
      <c r="I139" s="274"/>
      <c r="J139" s="250">
        <v>4</v>
      </c>
      <c r="K139" s="205">
        <f>hstr4</f>
        <v>3</v>
      </c>
      <c r="L139" s="205">
        <f t="shared" si="101"/>
        <v>11.75</v>
      </c>
      <c r="M139" s="251">
        <f>'Yield Mechanism'!$X$59</f>
        <v>4.3870334213667601E-4</v>
      </c>
      <c r="N139" s="21">
        <f t="shared" si="112"/>
        <v>1.0053006869018433E-4</v>
      </c>
      <c r="O139" s="252">
        <f t="shared" si="102"/>
        <v>3.3510022896728109E-5</v>
      </c>
      <c r="P139" s="251">
        <f>$C$28</f>
        <v>8.8673064285714302E-3</v>
      </c>
      <c r="Q139" s="251">
        <f>$D$28</f>
        <v>1.8501735321027263E-3</v>
      </c>
      <c r="R139" s="17">
        <f t="shared" si="113"/>
        <v>3.7790532183206338E-3</v>
      </c>
      <c r="S139" s="17">
        <f t="shared" si="103"/>
        <v>1.8111826980166501E-2</v>
      </c>
      <c r="T139" s="1065">
        <f>'Yield Mechanism'!$AI$59</f>
        <v>6.8871388711668882</v>
      </c>
      <c r="U139" s="205">
        <f t="shared" ref="U139:U142" si="114">T139*K139+U138</f>
        <v>42.426145832330327</v>
      </c>
      <c r="V139" s="1012"/>
      <c r="W139" s="194"/>
      <c r="X139" s="291">
        <v>4</v>
      </c>
      <c r="Y139" s="17">
        <f>mstr4</f>
        <v>67.278400000000005</v>
      </c>
      <c r="Z139" s="17">
        <f t="shared" si="104"/>
        <v>2.9515258933608145E-2</v>
      </c>
      <c r="AA139" s="17">
        <f t="shared" si="105"/>
        <v>0.34680429246989569</v>
      </c>
      <c r="AB139" s="204">
        <f>T142/M137</f>
        <v>18129.129820250051</v>
      </c>
    </row>
    <row r="140" spans="2:28" x14ac:dyDescent="0.25">
      <c r="B140" s="273">
        <v>3</v>
      </c>
      <c r="C140" s="21">
        <f t="shared" si="106"/>
        <v>3.3817327344649168E-4</v>
      </c>
      <c r="D140" s="21">
        <f t="shared" si="107"/>
        <v>3.3817327344649168E-4</v>
      </c>
      <c r="E140" s="21">
        <f t="shared" si="108"/>
        <v>3.3817327344649168E-4</v>
      </c>
      <c r="F140" s="21">
        <f t="shared" si="109"/>
        <v>3.3817327344649168E-4</v>
      </c>
      <c r="G140" s="21">
        <f t="shared" si="110"/>
        <v>3.3817327344649168E-4</v>
      </c>
      <c r="H140" s="21">
        <f t="shared" si="111"/>
        <v>3.3817327344649168E-4</v>
      </c>
      <c r="J140" s="250">
        <v>3</v>
      </c>
      <c r="K140" s="205">
        <f>hstr3</f>
        <v>3</v>
      </c>
      <c r="L140" s="205">
        <f>L141+K140</f>
        <v>8.75</v>
      </c>
      <c r="M140" s="251">
        <f>'Yield Mechanism'!$X$60</f>
        <v>3.3817327344649168E-4</v>
      </c>
      <c r="N140" s="21">
        <f t="shared" si="112"/>
        <v>1.1536199890110882E-4</v>
      </c>
      <c r="O140" s="252">
        <f t="shared" si="102"/>
        <v>3.8453999633702941E-5</v>
      </c>
      <c r="P140" s="251">
        <f>$C$29</f>
        <v>8.3556867009551838E-3</v>
      </c>
      <c r="Q140" s="251">
        <f>$D$29</f>
        <v>1.7909714066512246E-3</v>
      </c>
      <c r="R140" s="17">
        <f t="shared" si="113"/>
        <v>4.6021351697290245E-3</v>
      </c>
      <c r="S140" s="17">
        <f t="shared" si="103"/>
        <v>2.1471029348036661E-2</v>
      </c>
      <c r="T140" s="1065">
        <f>'Yield Mechanism'!$AI$60</f>
        <v>8.472847474495925</v>
      </c>
      <c r="U140" s="205">
        <f t="shared" si="114"/>
        <v>67.844688255818099</v>
      </c>
      <c r="V140" s="1012"/>
      <c r="W140" s="194"/>
      <c r="X140" s="291">
        <v>3</v>
      </c>
      <c r="Y140" s="17">
        <f>mstr3</f>
        <v>67.278400000000005</v>
      </c>
      <c r="Z140" s="17">
        <f t="shared" si="104"/>
        <v>2.2751756760242447E-2</v>
      </c>
      <c r="AA140" s="17">
        <f t="shared" si="105"/>
        <v>0.1990778716521214</v>
      </c>
      <c r="AB140" s="541" t="s">
        <v>338</v>
      </c>
    </row>
    <row r="141" spans="2:28" x14ac:dyDescent="0.25">
      <c r="B141" s="273">
        <v>2</v>
      </c>
      <c r="C141" s="21">
        <f t="shared" si="106"/>
        <v>2.2281127454538285E-4</v>
      </c>
      <c r="D141" s="21">
        <f t="shared" si="107"/>
        <v>2.2281127454538285E-4</v>
      </c>
      <c r="E141" s="21">
        <f t="shared" si="108"/>
        <v>2.2281127454538285E-4</v>
      </c>
      <c r="F141" s="21">
        <f t="shared" si="109"/>
        <v>2.2281127454538285E-4</v>
      </c>
      <c r="G141" s="21">
        <f t="shared" si="110"/>
        <v>2.2281127454538285E-4</v>
      </c>
      <c r="H141" s="21">
        <f t="shared" si="111"/>
        <v>2.2281127454538285E-4</v>
      </c>
      <c r="J141" s="250">
        <v>2</v>
      </c>
      <c r="K141" s="205">
        <f>hstr2</f>
        <v>3</v>
      </c>
      <c r="L141" s="205">
        <f>L142+K141</f>
        <v>5.75</v>
      </c>
      <c r="M141" s="251">
        <f>'Yield Mechanism'!$X$61</f>
        <v>2.2281127454538285E-4</v>
      </c>
      <c r="N141" s="21">
        <f>M141-M142</f>
        <v>1.19935598851961E-4</v>
      </c>
      <c r="O141" s="252">
        <f t="shared" si="102"/>
        <v>3.997853295065367E-5</v>
      </c>
      <c r="P141" s="251">
        <f>$C$30</f>
        <v>6.4157970868129726E-3</v>
      </c>
      <c r="Q141" s="251">
        <f>$D$30</f>
        <v>1.7349058472302754E-3</v>
      </c>
      <c r="R141" s="17">
        <f t="shared" si="113"/>
        <v>6.2312651740226536E-3</v>
      </c>
      <c r="S141" s="17">
        <f t="shared" si="103"/>
        <v>2.3043632606621383E-2</v>
      </c>
      <c r="T141" s="1065">
        <f>'Yield Mechanism'!$AI$61</f>
        <v>9.5175986618025288</v>
      </c>
      <c r="U141" s="205">
        <f t="shared" si="114"/>
        <v>96.397484241225683</v>
      </c>
      <c r="V141" s="1012"/>
      <c r="W141" s="194"/>
      <c r="X141" s="291">
        <v>2</v>
      </c>
      <c r="Y141" s="17">
        <f>mstr2</f>
        <v>67.278400000000005</v>
      </c>
      <c r="Z141" s="17">
        <f t="shared" si="104"/>
        <v>1.4990386053374086E-2</v>
      </c>
      <c r="AA141" s="17">
        <f t="shared" si="105"/>
        <v>8.6194719806900993E-2</v>
      </c>
      <c r="AB141" s="17">
        <f>((Y142*M140+Y141*M141+Y140*M142+M139*Y139+M138*Y138+M137*Y137)^2)/(Y142*M140*M140+Y141*M141*M141+Y140*M142*M142+Y139*M139*M139+Y138*M138*M138+Y137*M137*M137)</f>
        <v>334.26818500347838</v>
      </c>
    </row>
    <row r="142" spans="2:28" x14ac:dyDescent="0.25">
      <c r="B142" s="273">
        <v>1</v>
      </c>
      <c r="C142" s="21">
        <f t="shared" si="106"/>
        <v>1.0287567569342185E-4</v>
      </c>
      <c r="D142" s="21">
        <f t="shared" si="107"/>
        <v>1.0287567569342185E-4</v>
      </c>
      <c r="E142" s="21">
        <f t="shared" si="108"/>
        <v>1.0287567569342185E-4</v>
      </c>
      <c r="F142" s="21">
        <f t="shared" si="109"/>
        <v>1.0287567569342185E-4</v>
      </c>
      <c r="G142" s="21">
        <f t="shared" si="110"/>
        <v>1.0287567569342185E-4</v>
      </c>
      <c r="H142" s="21">
        <f t="shared" si="111"/>
        <v>1.0287567569342185E-4</v>
      </c>
      <c r="J142" s="250">
        <v>1</v>
      </c>
      <c r="K142" s="205">
        <f>hstr1</f>
        <v>2.75</v>
      </c>
      <c r="L142" s="205">
        <f>K142</f>
        <v>2.75</v>
      </c>
      <c r="M142" s="251">
        <f>'Yield Mechanism'!$X$62</f>
        <v>1.0287567569342185E-4</v>
      </c>
      <c r="N142" s="21">
        <f>M142</f>
        <v>1.0287567569342185E-4</v>
      </c>
      <c r="O142" s="252">
        <f>N142/K142</f>
        <v>3.7409336615789761E-5</v>
      </c>
      <c r="P142" s="251">
        <f>$C$31</f>
        <v>4.8471720397440425E-3</v>
      </c>
      <c r="Q142" s="251">
        <f>$D$31</f>
        <v>1.7665298310518072E-3</v>
      </c>
      <c r="R142" s="17">
        <f t="shared" si="113"/>
        <v>7.7177653916664325E-3</v>
      </c>
      <c r="S142" s="17">
        <f t="shared" si="103"/>
        <v>2.1176736423135247E-2</v>
      </c>
      <c r="T142" s="1065">
        <f>'Yield Mechanism'!$AI$62</f>
        <v>10.000055466100285</v>
      </c>
      <c r="U142" s="205">
        <f t="shared" si="114"/>
        <v>123.89763677300147</v>
      </c>
      <c r="V142" s="1013"/>
      <c r="W142" s="194"/>
      <c r="X142" s="291">
        <v>1</v>
      </c>
      <c r="Y142" s="17">
        <f>mstr1</f>
        <v>67.278400000000005</v>
      </c>
      <c r="Z142" s="17">
        <f t="shared" si="104"/>
        <v>6.9213108595723126E-3</v>
      </c>
      <c r="AA142" s="17">
        <f t="shared" si="105"/>
        <v>1.9033604863823859E-2</v>
      </c>
      <c r="AB142" s="540" t="s">
        <v>337</v>
      </c>
    </row>
    <row r="143" spans="2:28" x14ac:dyDescent="0.25">
      <c r="B143" s="275">
        <v>0</v>
      </c>
      <c r="C143" s="21">
        <f t="shared" si="106"/>
        <v>0</v>
      </c>
      <c r="D143" s="21">
        <f t="shared" si="107"/>
        <v>0</v>
      </c>
      <c r="E143" s="21">
        <f t="shared" si="108"/>
        <v>0</v>
      </c>
      <c r="F143" s="21">
        <f t="shared" si="109"/>
        <v>0</v>
      </c>
      <c r="G143" s="21">
        <f t="shared" si="110"/>
        <v>0</v>
      </c>
      <c r="H143" s="21">
        <f t="shared" si="111"/>
        <v>0</v>
      </c>
      <c r="X143" s="292"/>
      <c r="Y143" s="540" t="s">
        <v>78</v>
      </c>
      <c r="Z143" s="253">
        <f>SUM(Z137:Z142)</f>
        <v>0.14348017164378923</v>
      </c>
      <c r="AA143" s="253">
        <f>SUM(AA137:AA142)</f>
        <v>1.7776831442549539</v>
      </c>
      <c r="AB143" s="204">
        <f>2*PI()*SQRT(AB141/AB139)</f>
        <v>0.85317655078832455</v>
      </c>
    </row>
    <row r="145" spans="10:28" ht="15.75" x14ac:dyDescent="0.25">
      <c r="J145" s="1037" t="s">
        <v>342</v>
      </c>
      <c r="K145" s="1037"/>
      <c r="L145" s="1037"/>
      <c r="M145" s="1037"/>
      <c r="N145" s="1037"/>
      <c r="O145" s="1037"/>
      <c r="P145" s="1037"/>
      <c r="Q145" s="1037"/>
      <c r="R145" s="1037"/>
      <c r="S145" s="1037"/>
      <c r="T145" s="1037"/>
      <c r="U145" s="1037"/>
      <c r="V145" s="1037"/>
      <c r="X145" s="1038" t="s">
        <v>106</v>
      </c>
      <c r="Y145" s="1038"/>
      <c r="Z145" s="1038"/>
      <c r="AA145" s="1038"/>
      <c r="AB145" s="1038"/>
    </row>
    <row r="146" spans="10:28" ht="15" customHeight="1" x14ac:dyDescent="0.25">
      <c r="J146" s="964" t="s">
        <v>5</v>
      </c>
      <c r="K146" s="965" t="s">
        <v>3</v>
      </c>
      <c r="L146" s="965" t="s">
        <v>72</v>
      </c>
      <c r="M146" s="964" t="s">
        <v>74</v>
      </c>
      <c r="N146" s="964" t="s">
        <v>81</v>
      </c>
      <c r="O146" s="965" t="s">
        <v>101</v>
      </c>
      <c r="P146" s="965" t="s">
        <v>257</v>
      </c>
      <c r="Q146" s="965" t="s">
        <v>258</v>
      </c>
      <c r="R146" s="964" t="s">
        <v>394</v>
      </c>
      <c r="S146" s="964" t="s">
        <v>395</v>
      </c>
      <c r="T146" s="964" t="s">
        <v>75</v>
      </c>
      <c r="U146" s="965" t="s">
        <v>102</v>
      </c>
      <c r="V146" s="964" t="s">
        <v>79</v>
      </c>
      <c r="X146" s="696" t="s">
        <v>5</v>
      </c>
      <c r="Y146" s="1033" t="s">
        <v>76</v>
      </c>
      <c r="Z146" s="1033" t="s">
        <v>77</v>
      </c>
      <c r="AA146" s="1033" t="s">
        <v>104</v>
      </c>
      <c r="AB146" s="698" t="s">
        <v>105</v>
      </c>
    </row>
    <row r="147" spans="10:28" x14ac:dyDescent="0.25">
      <c r="J147" s="701"/>
      <c r="K147" s="697"/>
      <c r="L147" s="697"/>
      <c r="M147" s="701"/>
      <c r="N147" s="701"/>
      <c r="O147" s="697"/>
      <c r="P147" s="697"/>
      <c r="Q147" s="697"/>
      <c r="R147" s="701"/>
      <c r="S147" s="701"/>
      <c r="T147" s="701"/>
      <c r="U147" s="697"/>
      <c r="V147" s="701"/>
      <c r="X147" s="696"/>
      <c r="Y147" s="1033"/>
      <c r="Z147" s="1033"/>
      <c r="AA147" s="1033"/>
      <c r="AB147" s="698"/>
    </row>
    <row r="148" spans="10:28" x14ac:dyDescent="0.25">
      <c r="J148" s="250">
        <v>6</v>
      </c>
      <c r="K148" s="205">
        <f>hstr6</f>
        <v>3</v>
      </c>
      <c r="L148" s="205">
        <f t="shared" ref="L148:L150" si="115">L149+K148</f>
        <v>17.75</v>
      </c>
      <c r="M148" s="251">
        <f>'Yield Mechanism'!$X$57</f>
        <v>5.5160151453768761E-4</v>
      </c>
      <c r="N148" s="21">
        <f>M148-M149</f>
        <v>3.8666989517273809E-5</v>
      </c>
      <c r="O148" s="252">
        <f t="shared" ref="O148:O152" si="116">N148/K148</f>
        <v>1.2888996505757937E-5</v>
      </c>
      <c r="P148" s="251">
        <f>$C$26</f>
        <v>8.3125273614190701E-3</v>
      </c>
      <c r="Q148" s="251">
        <f>$D$26</f>
        <v>1.9976000809737945E-3</v>
      </c>
      <c r="R148" s="17">
        <f>O148/P148</f>
        <v>1.550550866825369E-3</v>
      </c>
      <c r="S148" s="17">
        <f t="shared" ref="S148:S153" si="117">O148/Q148</f>
        <v>6.45224068046432E-3</v>
      </c>
      <c r="T148" s="1065">
        <f>'Yield Mechanism'!$AI$57</f>
        <v>2.4248704391924543</v>
      </c>
      <c r="U148" s="205">
        <f>T148*K148</f>
        <v>7.2746113175773628</v>
      </c>
      <c r="V148" s="17">
        <f>U153/AB148</f>
        <v>10.000012796375236</v>
      </c>
      <c r="W148" s="194"/>
      <c r="X148" s="291">
        <v>6</v>
      </c>
      <c r="Y148" s="17">
        <f>mstr6</f>
        <v>63.074599999999997</v>
      </c>
      <c r="Z148" s="17">
        <f t="shared" ref="Z148:Z153" si="118">Y148*M148</f>
        <v>3.4792044888858828E-2</v>
      </c>
      <c r="AA148" s="17">
        <f t="shared" ref="AA148:AA153" si="119">Z148*L148</f>
        <v>0.61755879677724423</v>
      </c>
      <c r="AB148" s="17">
        <f>AA154/Z154</f>
        <v>12.389747822913925</v>
      </c>
    </row>
    <row r="149" spans="10:28" x14ac:dyDescent="0.25">
      <c r="J149" s="250">
        <v>5</v>
      </c>
      <c r="K149" s="205">
        <f>hstr5</f>
        <v>3</v>
      </c>
      <c r="L149" s="205">
        <f t="shared" si="115"/>
        <v>14.75</v>
      </c>
      <c r="M149" s="251">
        <f>'Yield Mechanism'!$X$58</f>
        <v>5.129345250204138E-4</v>
      </c>
      <c r="N149" s="21">
        <f t="shared" ref="N149:N151" si="120">M149-M150</f>
        <v>7.4231182883737791E-5</v>
      </c>
      <c r="O149" s="252">
        <f t="shared" si="116"/>
        <v>2.4743727627912597E-5</v>
      </c>
      <c r="P149" s="251">
        <f>$C$27</f>
        <v>9.5976000000000013E-3</v>
      </c>
      <c r="Q149" s="251">
        <f>$D$27</f>
        <v>1.9241439833606131E-3</v>
      </c>
      <c r="R149" s="17">
        <f t="shared" ref="R149:R153" si="121">O149/P149</f>
        <v>2.5781161569467985E-3</v>
      </c>
      <c r="S149" s="17">
        <f t="shared" si="117"/>
        <v>1.2859602941301953E-2</v>
      </c>
      <c r="T149" s="1065">
        <f>'Yield Mechanism'!$AI$58</f>
        <v>4.8300393004174342</v>
      </c>
      <c r="U149" s="205">
        <f>T149*K149+U148</f>
        <v>21.764729218829665</v>
      </c>
      <c r="V149" s="1011"/>
      <c r="W149" s="194"/>
      <c r="X149" s="291">
        <v>5</v>
      </c>
      <c r="Y149" s="17">
        <f>mstr5</f>
        <v>67.278400000000005</v>
      </c>
      <c r="Z149" s="17">
        <f t="shared" si="118"/>
        <v>3.450941414813341E-2</v>
      </c>
      <c r="AA149" s="17">
        <f t="shared" si="119"/>
        <v>0.50901385868496785</v>
      </c>
      <c r="AB149" s="540" t="s">
        <v>336</v>
      </c>
    </row>
    <row r="150" spans="10:28" x14ac:dyDescent="0.25">
      <c r="J150" s="250">
        <v>4</v>
      </c>
      <c r="K150" s="205">
        <f>hstr4</f>
        <v>3</v>
      </c>
      <c r="L150" s="205">
        <f t="shared" si="115"/>
        <v>11.75</v>
      </c>
      <c r="M150" s="251">
        <f>'Yield Mechanism'!$X$59</f>
        <v>4.3870334213667601E-4</v>
      </c>
      <c r="N150" s="21">
        <f t="shared" si="120"/>
        <v>1.0053006869018433E-4</v>
      </c>
      <c r="O150" s="252">
        <f t="shared" si="116"/>
        <v>3.3510022896728109E-5</v>
      </c>
      <c r="P150" s="251">
        <f>$C$28</f>
        <v>8.8673064285714302E-3</v>
      </c>
      <c r="Q150" s="251">
        <f>$D$28</f>
        <v>1.8501735321027263E-3</v>
      </c>
      <c r="R150" s="17">
        <f t="shared" si="121"/>
        <v>3.7790532183206338E-3</v>
      </c>
      <c r="S150" s="17">
        <f t="shared" si="117"/>
        <v>1.8111826980166501E-2</v>
      </c>
      <c r="T150" s="1065">
        <f>'Yield Mechanism'!$AI$59</f>
        <v>6.8871388711668882</v>
      </c>
      <c r="U150" s="205">
        <f t="shared" ref="U150:U153" si="122">T150*K150+U149</f>
        <v>42.426145832330327</v>
      </c>
      <c r="V150" s="1012"/>
      <c r="W150" s="194"/>
      <c r="X150" s="291">
        <v>4</v>
      </c>
      <c r="Y150" s="17">
        <f>mstr4</f>
        <v>67.278400000000005</v>
      </c>
      <c r="Z150" s="17">
        <f t="shared" si="118"/>
        <v>2.9515258933608145E-2</v>
      </c>
      <c r="AA150" s="17">
        <f t="shared" si="119"/>
        <v>0.34680429246989569</v>
      </c>
      <c r="AB150" s="204">
        <f>T153/M148</f>
        <v>18129.129820250051</v>
      </c>
    </row>
    <row r="151" spans="10:28" x14ac:dyDescent="0.25">
      <c r="J151" s="250">
        <v>3</v>
      </c>
      <c r="K151" s="205">
        <f>hstr3</f>
        <v>3</v>
      </c>
      <c r="L151" s="205">
        <f>L152+K151</f>
        <v>8.75</v>
      </c>
      <c r="M151" s="251">
        <f>'Yield Mechanism'!$X$60</f>
        <v>3.3817327344649168E-4</v>
      </c>
      <c r="N151" s="21">
        <f t="shared" si="120"/>
        <v>1.1536199890110882E-4</v>
      </c>
      <c r="O151" s="252">
        <f t="shared" si="116"/>
        <v>3.8453999633702941E-5</v>
      </c>
      <c r="P151" s="251">
        <f>$C$29</f>
        <v>8.3556867009551838E-3</v>
      </c>
      <c r="Q151" s="251">
        <f>$D$29</f>
        <v>1.7909714066512246E-3</v>
      </c>
      <c r="R151" s="17">
        <f t="shared" si="121"/>
        <v>4.6021351697290245E-3</v>
      </c>
      <c r="S151" s="17">
        <f t="shared" si="117"/>
        <v>2.1471029348036661E-2</v>
      </c>
      <c r="T151" s="1065">
        <f>'Yield Mechanism'!$AI$60</f>
        <v>8.472847474495925</v>
      </c>
      <c r="U151" s="205">
        <f t="shared" si="122"/>
        <v>67.844688255818099</v>
      </c>
      <c r="V151" s="1012"/>
      <c r="W151" s="194"/>
      <c r="X151" s="291">
        <v>3</v>
      </c>
      <c r="Y151" s="17">
        <f>mstr3</f>
        <v>67.278400000000005</v>
      </c>
      <c r="Z151" s="17">
        <f t="shared" si="118"/>
        <v>2.2751756760242447E-2</v>
      </c>
      <c r="AA151" s="17">
        <f t="shared" si="119"/>
        <v>0.1990778716521214</v>
      </c>
      <c r="AB151" s="541" t="s">
        <v>338</v>
      </c>
    </row>
    <row r="152" spans="10:28" x14ac:dyDescent="0.25">
      <c r="J152" s="250">
        <v>2</v>
      </c>
      <c r="K152" s="205">
        <f>hstr2</f>
        <v>3</v>
      </c>
      <c r="L152" s="205">
        <f>L153+K152</f>
        <v>5.75</v>
      </c>
      <c r="M152" s="251">
        <f>'Yield Mechanism'!$X$61</f>
        <v>2.2281127454538285E-4</v>
      </c>
      <c r="N152" s="21">
        <f>M152-M153</f>
        <v>1.19935598851961E-4</v>
      </c>
      <c r="O152" s="252">
        <f t="shared" si="116"/>
        <v>3.997853295065367E-5</v>
      </c>
      <c r="P152" s="251">
        <f>$C$30</f>
        <v>6.4157970868129726E-3</v>
      </c>
      <c r="Q152" s="251">
        <f>$D$30</f>
        <v>1.7349058472302754E-3</v>
      </c>
      <c r="R152" s="17">
        <f t="shared" si="121"/>
        <v>6.2312651740226536E-3</v>
      </c>
      <c r="S152" s="17">
        <f t="shared" si="117"/>
        <v>2.3043632606621383E-2</v>
      </c>
      <c r="T152" s="1065">
        <f>'Yield Mechanism'!$AI$61</f>
        <v>9.5175986618025288</v>
      </c>
      <c r="U152" s="205">
        <f t="shared" si="122"/>
        <v>96.397484241225683</v>
      </c>
      <c r="V152" s="1012"/>
      <c r="W152" s="194"/>
      <c r="X152" s="291">
        <v>2</v>
      </c>
      <c r="Y152" s="17">
        <f>mstr2</f>
        <v>67.278400000000005</v>
      </c>
      <c r="Z152" s="17">
        <f t="shared" si="118"/>
        <v>1.4990386053374086E-2</v>
      </c>
      <c r="AA152" s="17">
        <f t="shared" si="119"/>
        <v>8.6194719806900993E-2</v>
      </c>
      <c r="AB152" s="17">
        <f>((Y153*M151+Y152*M152+Y151*M153+M150*Y150+M149*Y149+M148*Y148)^2)/(Y153*M151*M151+Y152*M152*M152+Y151*M153*M153+Y150*M150*M150+Y149*M149*M149+Y148*M148*M148)</f>
        <v>334.26818500347838</v>
      </c>
    </row>
    <row r="153" spans="10:28" x14ac:dyDescent="0.25">
      <c r="J153" s="250">
        <v>1</v>
      </c>
      <c r="K153" s="205">
        <f>hstr1</f>
        <v>2.75</v>
      </c>
      <c r="L153" s="205">
        <f>K153</f>
        <v>2.75</v>
      </c>
      <c r="M153" s="251">
        <f>'Yield Mechanism'!$X$62</f>
        <v>1.0287567569342185E-4</v>
      </c>
      <c r="N153" s="21">
        <f>M153</f>
        <v>1.0287567569342185E-4</v>
      </c>
      <c r="O153" s="252">
        <f>N153/K153</f>
        <v>3.7409336615789761E-5</v>
      </c>
      <c r="P153" s="251">
        <f>$C$31</f>
        <v>4.8471720397440425E-3</v>
      </c>
      <c r="Q153" s="251">
        <f>$D$31</f>
        <v>1.7665298310518072E-3</v>
      </c>
      <c r="R153" s="17">
        <f t="shared" si="121"/>
        <v>7.7177653916664325E-3</v>
      </c>
      <c r="S153" s="17">
        <f t="shared" si="117"/>
        <v>2.1176736423135247E-2</v>
      </c>
      <c r="T153" s="1065">
        <f>'Yield Mechanism'!$AI$62</f>
        <v>10.000055466100285</v>
      </c>
      <c r="U153" s="205">
        <f t="shared" si="122"/>
        <v>123.89763677300147</v>
      </c>
      <c r="V153" s="1013"/>
      <c r="W153" s="194"/>
      <c r="X153" s="291">
        <v>1</v>
      </c>
      <c r="Y153" s="17">
        <f>mstr1</f>
        <v>67.278400000000005</v>
      </c>
      <c r="Z153" s="17">
        <f t="shared" si="118"/>
        <v>6.9213108595723126E-3</v>
      </c>
      <c r="AA153" s="17">
        <f t="shared" si="119"/>
        <v>1.9033604863823859E-2</v>
      </c>
      <c r="AB153" s="540" t="s">
        <v>337</v>
      </c>
    </row>
    <row r="154" spans="10:28" x14ac:dyDescent="0.25">
      <c r="X154" s="292"/>
      <c r="Y154" s="540" t="s">
        <v>78</v>
      </c>
      <c r="Z154" s="253">
        <f>SUM(Z148:Z153)</f>
        <v>0.14348017164378923</v>
      </c>
      <c r="AA154" s="253">
        <f>SUM(AA148:AA153)</f>
        <v>1.7776831442549539</v>
      </c>
      <c r="AB154" s="204">
        <f>2*PI()*SQRT(AB152/AB150)</f>
        <v>0.85317655078832455</v>
      </c>
    </row>
    <row r="156" spans="10:28" ht="15.75" x14ac:dyDescent="0.25">
      <c r="J156" s="1040" t="s">
        <v>343</v>
      </c>
      <c r="K156" s="1041"/>
      <c r="L156" s="1041"/>
      <c r="M156" s="1041"/>
      <c r="N156" s="1041"/>
      <c r="O156" s="1041"/>
      <c r="P156" s="1041"/>
      <c r="Q156" s="1041"/>
      <c r="R156" s="1041"/>
      <c r="S156" s="1041"/>
      <c r="T156" s="1041"/>
      <c r="U156" s="1041"/>
      <c r="V156" s="1042"/>
      <c r="X156" s="1037" t="s">
        <v>106</v>
      </c>
      <c r="Y156" s="1037"/>
      <c r="Z156" s="1037"/>
      <c r="AA156" s="1037"/>
      <c r="AB156" s="1037"/>
    </row>
    <row r="157" spans="10:28" ht="15" customHeight="1" x14ac:dyDescent="0.25">
      <c r="J157" s="964" t="s">
        <v>5</v>
      </c>
      <c r="K157" s="965" t="s">
        <v>3</v>
      </c>
      <c r="L157" s="965" t="s">
        <v>72</v>
      </c>
      <c r="M157" s="964" t="s">
        <v>74</v>
      </c>
      <c r="N157" s="964" t="s">
        <v>81</v>
      </c>
      <c r="O157" s="965" t="s">
        <v>101</v>
      </c>
      <c r="P157" s="965" t="s">
        <v>257</v>
      </c>
      <c r="Q157" s="965" t="s">
        <v>258</v>
      </c>
      <c r="R157" s="964" t="s">
        <v>394</v>
      </c>
      <c r="S157" s="964" t="s">
        <v>395</v>
      </c>
      <c r="T157" s="964" t="s">
        <v>75</v>
      </c>
      <c r="U157" s="965" t="s">
        <v>102</v>
      </c>
      <c r="V157" s="964" t="s">
        <v>79</v>
      </c>
      <c r="X157" s="696" t="s">
        <v>5</v>
      </c>
      <c r="Y157" s="1033" t="s">
        <v>76</v>
      </c>
      <c r="Z157" s="1033" t="s">
        <v>77</v>
      </c>
      <c r="AA157" s="1033" t="s">
        <v>104</v>
      </c>
      <c r="AB157" s="698" t="s">
        <v>105</v>
      </c>
    </row>
    <row r="158" spans="10:28" x14ac:dyDescent="0.25">
      <c r="J158" s="701"/>
      <c r="K158" s="697"/>
      <c r="L158" s="697"/>
      <c r="M158" s="701"/>
      <c r="N158" s="701"/>
      <c r="O158" s="697"/>
      <c r="P158" s="697"/>
      <c r="Q158" s="697"/>
      <c r="R158" s="701"/>
      <c r="S158" s="701"/>
      <c r="T158" s="701"/>
      <c r="U158" s="697"/>
      <c r="V158" s="701"/>
      <c r="X158" s="696"/>
      <c r="Y158" s="1033"/>
      <c r="Z158" s="1033"/>
      <c r="AA158" s="1033"/>
      <c r="AB158" s="698"/>
    </row>
    <row r="159" spans="10:28" ht="15" customHeight="1" x14ac:dyDescent="0.25">
      <c r="J159" s="250">
        <v>6</v>
      </c>
      <c r="K159" s="205">
        <f>hstr6</f>
        <v>3</v>
      </c>
      <c r="L159" s="205">
        <f t="shared" ref="L159:L161" si="123">L160+K159</f>
        <v>17.75</v>
      </c>
      <c r="M159" s="251">
        <f>'Yield Mechanism'!$X$57</f>
        <v>5.5160151453768761E-4</v>
      </c>
      <c r="N159" s="21">
        <f>M159-M160</f>
        <v>3.8666989517273809E-5</v>
      </c>
      <c r="O159" s="252">
        <f t="shared" ref="O159:O163" si="124">N159/K159</f>
        <v>1.2888996505757937E-5</v>
      </c>
      <c r="P159" s="251">
        <f>$C$26</f>
        <v>8.3125273614190701E-3</v>
      </c>
      <c r="Q159" s="251">
        <f>$D$26</f>
        <v>1.9976000809737945E-3</v>
      </c>
      <c r="R159" s="17">
        <f>O159/P159</f>
        <v>1.550550866825369E-3</v>
      </c>
      <c r="S159" s="17">
        <f t="shared" ref="S159:S164" si="125">O159/Q159</f>
        <v>6.45224068046432E-3</v>
      </c>
      <c r="T159" s="1065">
        <f>'Yield Mechanism'!$AI$57</f>
        <v>2.4248704391924543</v>
      </c>
      <c r="U159" s="205">
        <f>T159*K159</f>
        <v>7.2746113175773628</v>
      </c>
      <c r="V159" s="17">
        <f>U164/AB159</f>
        <v>10.000012796375236</v>
      </c>
      <c r="W159" s="194"/>
      <c r="X159" s="291">
        <v>6</v>
      </c>
      <c r="Y159" s="17">
        <f>mstr6</f>
        <v>63.074599999999997</v>
      </c>
      <c r="Z159" s="17">
        <f t="shared" ref="Z159:Z164" si="126">Y159*M159</f>
        <v>3.4792044888858828E-2</v>
      </c>
      <c r="AA159" s="17">
        <f t="shared" ref="AA159:AA164" si="127">Z159*L159</f>
        <v>0.61755879677724423</v>
      </c>
      <c r="AB159" s="17">
        <f>AA165/Z165</f>
        <v>12.389747822913925</v>
      </c>
    </row>
    <row r="160" spans="10:28" x14ac:dyDescent="0.25">
      <c r="J160" s="250">
        <v>5</v>
      </c>
      <c r="K160" s="205">
        <f>hstr5</f>
        <v>3</v>
      </c>
      <c r="L160" s="205">
        <f t="shared" si="123"/>
        <v>14.75</v>
      </c>
      <c r="M160" s="251">
        <f>'Yield Mechanism'!$X$58</f>
        <v>5.129345250204138E-4</v>
      </c>
      <c r="N160" s="21">
        <f t="shared" ref="N160:N162" si="128">M160-M161</f>
        <v>7.4231182883737791E-5</v>
      </c>
      <c r="O160" s="252">
        <f t="shared" si="124"/>
        <v>2.4743727627912597E-5</v>
      </c>
      <c r="P160" s="251">
        <f>$C$27</f>
        <v>9.5976000000000013E-3</v>
      </c>
      <c r="Q160" s="251">
        <f>$D$27</f>
        <v>1.9241439833606131E-3</v>
      </c>
      <c r="R160" s="17">
        <f t="shared" ref="R160:R164" si="129">O160/P160</f>
        <v>2.5781161569467985E-3</v>
      </c>
      <c r="S160" s="17">
        <f t="shared" si="125"/>
        <v>1.2859602941301953E-2</v>
      </c>
      <c r="T160" s="1065">
        <f>'Yield Mechanism'!$AI$58</f>
        <v>4.8300393004174342</v>
      </c>
      <c r="U160" s="205">
        <f>T160*K160+U159</f>
        <v>21.764729218829665</v>
      </c>
      <c r="V160" s="1011"/>
      <c r="W160" s="194"/>
      <c r="X160" s="291">
        <v>5</v>
      </c>
      <c r="Y160" s="17">
        <f>mstr5</f>
        <v>67.278400000000005</v>
      </c>
      <c r="Z160" s="17">
        <f t="shared" si="126"/>
        <v>3.450941414813341E-2</v>
      </c>
      <c r="AA160" s="17">
        <f t="shared" si="127"/>
        <v>0.50901385868496785</v>
      </c>
      <c r="AB160" s="540" t="s">
        <v>336</v>
      </c>
    </row>
    <row r="161" spans="10:28" x14ac:dyDescent="0.25">
      <c r="J161" s="250">
        <v>4</v>
      </c>
      <c r="K161" s="205">
        <f>hstr4</f>
        <v>3</v>
      </c>
      <c r="L161" s="205">
        <f t="shared" si="123"/>
        <v>11.75</v>
      </c>
      <c r="M161" s="251">
        <f>'Yield Mechanism'!$X$59</f>
        <v>4.3870334213667601E-4</v>
      </c>
      <c r="N161" s="21">
        <f t="shared" si="128"/>
        <v>1.0053006869018433E-4</v>
      </c>
      <c r="O161" s="252">
        <f t="shared" si="124"/>
        <v>3.3510022896728109E-5</v>
      </c>
      <c r="P161" s="251">
        <f>$C$28</f>
        <v>8.8673064285714302E-3</v>
      </c>
      <c r="Q161" s="251">
        <f>$D$28</f>
        <v>1.8501735321027263E-3</v>
      </c>
      <c r="R161" s="17">
        <f t="shared" si="129"/>
        <v>3.7790532183206338E-3</v>
      </c>
      <c r="S161" s="17">
        <f t="shared" si="125"/>
        <v>1.8111826980166501E-2</v>
      </c>
      <c r="T161" s="1065">
        <f>'Yield Mechanism'!$AI$59</f>
        <v>6.8871388711668882</v>
      </c>
      <c r="U161" s="205">
        <f t="shared" ref="U161:U164" si="130">T161*K161+U160</f>
        <v>42.426145832330327</v>
      </c>
      <c r="V161" s="1012"/>
      <c r="W161" s="194"/>
      <c r="X161" s="291">
        <v>4</v>
      </c>
      <c r="Y161" s="17">
        <f>mstr4</f>
        <v>67.278400000000005</v>
      </c>
      <c r="Z161" s="17">
        <f t="shared" si="126"/>
        <v>2.9515258933608145E-2</v>
      </c>
      <c r="AA161" s="17">
        <f t="shared" si="127"/>
        <v>0.34680429246989569</v>
      </c>
      <c r="AB161" s="204">
        <f>T164/M159</f>
        <v>18129.129820250051</v>
      </c>
    </row>
    <row r="162" spans="10:28" x14ac:dyDescent="0.25">
      <c r="J162" s="250">
        <v>3</v>
      </c>
      <c r="K162" s="205">
        <f>hstr3</f>
        <v>3</v>
      </c>
      <c r="L162" s="205">
        <f>L163+K162</f>
        <v>8.75</v>
      </c>
      <c r="M162" s="251">
        <f>'Yield Mechanism'!$X$60</f>
        <v>3.3817327344649168E-4</v>
      </c>
      <c r="N162" s="21">
        <f t="shared" si="128"/>
        <v>1.1536199890110882E-4</v>
      </c>
      <c r="O162" s="252">
        <f t="shared" si="124"/>
        <v>3.8453999633702941E-5</v>
      </c>
      <c r="P162" s="251">
        <f>$C$29</f>
        <v>8.3556867009551838E-3</v>
      </c>
      <c r="Q162" s="251">
        <f>$D$29</f>
        <v>1.7909714066512246E-3</v>
      </c>
      <c r="R162" s="17">
        <f t="shared" si="129"/>
        <v>4.6021351697290245E-3</v>
      </c>
      <c r="S162" s="17">
        <f t="shared" si="125"/>
        <v>2.1471029348036661E-2</v>
      </c>
      <c r="T162" s="1065">
        <f>'Yield Mechanism'!$AI$60</f>
        <v>8.472847474495925</v>
      </c>
      <c r="U162" s="205">
        <f t="shared" si="130"/>
        <v>67.844688255818099</v>
      </c>
      <c r="V162" s="1012"/>
      <c r="W162" s="194"/>
      <c r="X162" s="291">
        <v>3</v>
      </c>
      <c r="Y162" s="17">
        <f>mstr3</f>
        <v>67.278400000000005</v>
      </c>
      <c r="Z162" s="17">
        <f t="shared" si="126"/>
        <v>2.2751756760242447E-2</v>
      </c>
      <c r="AA162" s="17">
        <f t="shared" si="127"/>
        <v>0.1990778716521214</v>
      </c>
      <c r="AB162" s="541" t="s">
        <v>338</v>
      </c>
    </row>
    <row r="163" spans="10:28" x14ac:dyDescent="0.25">
      <c r="J163" s="250">
        <v>2</v>
      </c>
      <c r="K163" s="205">
        <f>hstr2</f>
        <v>3</v>
      </c>
      <c r="L163" s="205">
        <f>L164+K163</f>
        <v>5.75</v>
      </c>
      <c r="M163" s="251">
        <f>'Yield Mechanism'!$X$61</f>
        <v>2.2281127454538285E-4</v>
      </c>
      <c r="N163" s="21">
        <f>M163-M164</f>
        <v>1.19935598851961E-4</v>
      </c>
      <c r="O163" s="252">
        <f t="shared" si="124"/>
        <v>3.997853295065367E-5</v>
      </c>
      <c r="P163" s="251">
        <f>$C$30</f>
        <v>6.4157970868129726E-3</v>
      </c>
      <c r="Q163" s="251">
        <f>$D$30</f>
        <v>1.7349058472302754E-3</v>
      </c>
      <c r="R163" s="17">
        <f t="shared" si="129"/>
        <v>6.2312651740226536E-3</v>
      </c>
      <c r="S163" s="17">
        <f t="shared" si="125"/>
        <v>2.3043632606621383E-2</v>
      </c>
      <c r="T163" s="1065">
        <f>'Yield Mechanism'!$AI$61</f>
        <v>9.5175986618025288</v>
      </c>
      <c r="U163" s="205">
        <f t="shared" si="130"/>
        <v>96.397484241225683</v>
      </c>
      <c r="V163" s="1012"/>
      <c r="W163" s="194"/>
      <c r="X163" s="291">
        <v>2</v>
      </c>
      <c r="Y163" s="17">
        <f>mstr2</f>
        <v>67.278400000000005</v>
      </c>
      <c r="Z163" s="17">
        <f t="shared" si="126"/>
        <v>1.4990386053374086E-2</v>
      </c>
      <c r="AA163" s="17">
        <f t="shared" si="127"/>
        <v>8.6194719806900993E-2</v>
      </c>
      <c r="AB163" s="17">
        <f>((Y164*M162+Y163*M163+Y162*M164+M161*Y161+M160*Y160+M159*Y159)^2)/(Y164*M162*M162+Y163*M163*M163+Y162*M164*M164+Y161*M161*M161+Y160*M160*M160+Y159*M159*M159)</f>
        <v>334.26818500347838</v>
      </c>
    </row>
    <row r="164" spans="10:28" x14ac:dyDescent="0.25">
      <c r="J164" s="250">
        <v>1</v>
      </c>
      <c r="K164" s="205">
        <f>hstr1</f>
        <v>2.75</v>
      </c>
      <c r="L164" s="205">
        <f>K164</f>
        <v>2.75</v>
      </c>
      <c r="M164" s="251">
        <f>'Yield Mechanism'!$X$62</f>
        <v>1.0287567569342185E-4</v>
      </c>
      <c r="N164" s="21">
        <f>M164</f>
        <v>1.0287567569342185E-4</v>
      </c>
      <c r="O164" s="252">
        <f>N164/K164</f>
        <v>3.7409336615789761E-5</v>
      </c>
      <c r="P164" s="251">
        <f>$C$31</f>
        <v>4.8471720397440425E-3</v>
      </c>
      <c r="Q164" s="251">
        <f>$D$31</f>
        <v>1.7665298310518072E-3</v>
      </c>
      <c r="R164" s="17">
        <f t="shared" si="129"/>
        <v>7.7177653916664325E-3</v>
      </c>
      <c r="S164" s="17">
        <f t="shared" si="125"/>
        <v>2.1176736423135247E-2</v>
      </c>
      <c r="T164" s="1065">
        <f>'Yield Mechanism'!$AI$62</f>
        <v>10.000055466100285</v>
      </c>
      <c r="U164" s="205">
        <f t="shared" si="130"/>
        <v>123.89763677300147</v>
      </c>
      <c r="V164" s="1013"/>
      <c r="W164" s="194"/>
      <c r="X164" s="291">
        <v>1</v>
      </c>
      <c r="Y164" s="17">
        <f>mstr1</f>
        <v>67.278400000000005</v>
      </c>
      <c r="Z164" s="17">
        <f t="shared" si="126"/>
        <v>6.9213108595723126E-3</v>
      </c>
      <c r="AA164" s="17">
        <f t="shared" si="127"/>
        <v>1.9033604863823859E-2</v>
      </c>
      <c r="AB164" s="540" t="s">
        <v>337</v>
      </c>
    </row>
    <row r="165" spans="10:28" x14ac:dyDescent="0.25">
      <c r="X165" s="292"/>
      <c r="Y165" s="540" t="s">
        <v>78</v>
      </c>
      <c r="Z165" s="253">
        <f>SUM(Z159:Z164)</f>
        <v>0.14348017164378923</v>
      </c>
      <c r="AA165" s="253">
        <f>SUM(AA159:AA164)</f>
        <v>1.7776831442549539</v>
      </c>
      <c r="AB165" s="204">
        <f>2*PI()*SQRT(AB163/AB161)</f>
        <v>0.85317655078832455</v>
      </c>
    </row>
    <row r="167" spans="10:28" ht="15.75" x14ac:dyDescent="0.25">
      <c r="J167" s="1034" t="s">
        <v>344</v>
      </c>
      <c r="K167" s="1035"/>
      <c r="L167" s="1035"/>
      <c r="M167" s="1035"/>
      <c r="N167" s="1035"/>
      <c r="O167" s="1035"/>
      <c r="P167" s="1035"/>
      <c r="Q167" s="1035"/>
      <c r="R167" s="1035"/>
      <c r="S167" s="1035"/>
      <c r="T167" s="1035"/>
      <c r="U167" s="1035"/>
      <c r="V167" s="1036"/>
      <c r="W167" s="266"/>
      <c r="X167" s="1034" t="s">
        <v>106</v>
      </c>
      <c r="Y167" s="1035"/>
      <c r="Z167" s="1035"/>
      <c r="AA167" s="1035"/>
      <c r="AB167" s="1036"/>
    </row>
    <row r="168" spans="10:28" ht="15" customHeight="1" x14ac:dyDescent="0.25">
      <c r="J168" s="964" t="s">
        <v>5</v>
      </c>
      <c r="K168" s="965" t="s">
        <v>3</v>
      </c>
      <c r="L168" s="965" t="s">
        <v>72</v>
      </c>
      <c r="M168" s="964" t="s">
        <v>74</v>
      </c>
      <c r="N168" s="964" t="s">
        <v>81</v>
      </c>
      <c r="O168" s="965" t="s">
        <v>101</v>
      </c>
      <c r="P168" s="965" t="s">
        <v>257</v>
      </c>
      <c r="Q168" s="965" t="s">
        <v>258</v>
      </c>
      <c r="R168" s="964" t="s">
        <v>394</v>
      </c>
      <c r="S168" s="964" t="s">
        <v>395</v>
      </c>
      <c r="T168" s="964" t="s">
        <v>75</v>
      </c>
      <c r="U168" s="965" t="s">
        <v>102</v>
      </c>
      <c r="V168" s="964" t="s">
        <v>79</v>
      </c>
      <c r="X168" s="696" t="s">
        <v>5</v>
      </c>
      <c r="Y168" s="1033" t="s">
        <v>76</v>
      </c>
      <c r="Z168" s="1033" t="s">
        <v>77</v>
      </c>
      <c r="AA168" s="1033" t="s">
        <v>104</v>
      </c>
      <c r="AB168" s="698" t="s">
        <v>105</v>
      </c>
    </row>
    <row r="169" spans="10:28" x14ac:dyDescent="0.25">
      <c r="J169" s="701"/>
      <c r="K169" s="697"/>
      <c r="L169" s="697"/>
      <c r="M169" s="701"/>
      <c r="N169" s="701"/>
      <c r="O169" s="697"/>
      <c r="P169" s="697"/>
      <c r="Q169" s="697"/>
      <c r="R169" s="701"/>
      <c r="S169" s="701"/>
      <c r="T169" s="701"/>
      <c r="U169" s="697"/>
      <c r="V169" s="701"/>
      <c r="X169" s="696"/>
      <c r="Y169" s="1033"/>
      <c r="Z169" s="1033"/>
      <c r="AA169" s="1033"/>
      <c r="AB169" s="698"/>
    </row>
    <row r="170" spans="10:28" x14ac:dyDescent="0.25">
      <c r="J170" s="250">
        <v>6</v>
      </c>
      <c r="K170" s="205">
        <f>hstr6</f>
        <v>3</v>
      </c>
      <c r="L170" s="205">
        <f t="shared" ref="L170:L172" si="131">L171+K170</f>
        <v>17.75</v>
      </c>
      <c r="M170" s="251">
        <f>'Yield Mechanism'!$X$57</f>
        <v>5.5160151453768761E-4</v>
      </c>
      <c r="N170" s="21">
        <f>M170-M171</f>
        <v>3.8666989517273809E-5</v>
      </c>
      <c r="O170" s="252">
        <f t="shared" ref="O170:O174" si="132">N170/K170</f>
        <v>1.2888996505757937E-5</v>
      </c>
      <c r="P170" s="251">
        <f>$C$26</f>
        <v>8.3125273614190701E-3</v>
      </c>
      <c r="Q170" s="251">
        <f>$D$26</f>
        <v>1.9976000809737945E-3</v>
      </c>
      <c r="R170" s="17">
        <f>O170/P170</f>
        <v>1.550550866825369E-3</v>
      </c>
      <c r="S170" s="17">
        <f t="shared" ref="S170:S175" si="133">O170/Q170</f>
        <v>6.45224068046432E-3</v>
      </c>
      <c r="T170" s="1065">
        <f>'Yield Mechanism'!$AI$57</f>
        <v>2.4248704391924543</v>
      </c>
      <c r="U170" s="205">
        <f>T170*K170</f>
        <v>7.2746113175773628</v>
      </c>
      <c r="V170" s="17">
        <f>U175/AB170</f>
        <v>10.000012796375236</v>
      </c>
      <c r="W170" s="194"/>
      <c r="X170" s="291">
        <v>6</v>
      </c>
      <c r="Y170" s="17">
        <f>mstr6</f>
        <v>63.074599999999997</v>
      </c>
      <c r="Z170" s="17">
        <f t="shared" ref="Z170:Z175" si="134">Y170*M170</f>
        <v>3.4792044888858828E-2</v>
      </c>
      <c r="AA170" s="17">
        <f t="shared" ref="AA170:AA175" si="135">Z170*L170</f>
        <v>0.61755879677724423</v>
      </c>
      <c r="AB170" s="17">
        <f>AA176/Z176</f>
        <v>12.389747822913925</v>
      </c>
    </row>
    <row r="171" spans="10:28" x14ac:dyDescent="0.25">
      <c r="J171" s="250">
        <v>5</v>
      </c>
      <c r="K171" s="205">
        <f>hstr5</f>
        <v>3</v>
      </c>
      <c r="L171" s="205">
        <f t="shared" si="131"/>
        <v>14.75</v>
      </c>
      <c r="M171" s="251">
        <f>'Yield Mechanism'!$X$58</f>
        <v>5.129345250204138E-4</v>
      </c>
      <c r="N171" s="21">
        <f t="shared" ref="N171:N173" si="136">M171-M172</f>
        <v>7.4231182883737791E-5</v>
      </c>
      <c r="O171" s="252">
        <f t="shared" si="132"/>
        <v>2.4743727627912597E-5</v>
      </c>
      <c r="P171" s="251">
        <f>$C$27</f>
        <v>9.5976000000000013E-3</v>
      </c>
      <c r="Q171" s="251">
        <f>$D$27</f>
        <v>1.9241439833606131E-3</v>
      </c>
      <c r="R171" s="17">
        <f t="shared" ref="R171:R175" si="137">O171/P171</f>
        <v>2.5781161569467985E-3</v>
      </c>
      <c r="S171" s="17">
        <f t="shared" si="133"/>
        <v>1.2859602941301953E-2</v>
      </c>
      <c r="T171" s="1065">
        <f>'Yield Mechanism'!$AI$58</f>
        <v>4.8300393004174342</v>
      </c>
      <c r="U171" s="205">
        <f>T171*K171+U170</f>
        <v>21.764729218829665</v>
      </c>
      <c r="V171" s="1011"/>
      <c r="W171" s="194"/>
      <c r="X171" s="291">
        <v>5</v>
      </c>
      <c r="Y171" s="17">
        <f>mstr5</f>
        <v>67.278400000000005</v>
      </c>
      <c r="Z171" s="17">
        <f t="shared" si="134"/>
        <v>3.450941414813341E-2</v>
      </c>
      <c r="AA171" s="17">
        <f t="shared" si="135"/>
        <v>0.50901385868496785</v>
      </c>
      <c r="AB171" s="540" t="s">
        <v>336</v>
      </c>
    </row>
    <row r="172" spans="10:28" x14ac:dyDescent="0.25">
      <c r="J172" s="250">
        <v>4</v>
      </c>
      <c r="K172" s="205">
        <f>hstr4</f>
        <v>3</v>
      </c>
      <c r="L172" s="205">
        <f t="shared" si="131"/>
        <v>11.75</v>
      </c>
      <c r="M172" s="251">
        <f>'Yield Mechanism'!$X$59</f>
        <v>4.3870334213667601E-4</v>
      </c>
      <c r="N172" s="21">
        <f t="shared" si="136"/>
        <v>1.0053006869018433E-4</v>
      </c>
      <c r="O172" s="252">
        <f t="shared" si="132"/>
        <v>3.3510022896728109E-5</v>
      </c>
      <c r="P172" s="251">
        <f>$C$28</f>
        <v>8.8673064285714302E-3</v>
      </c>
      <c r="Q172" s="251">
        <f>$D$28</f>
        <v>1.8501735321027263E-3</v>
      </c>
      <c r="R172" s="17">
        <f t="shared" si="137"/>
        <v>3.7790532183206338E-3</v>
      </c>
      <c r="S172" s="17">
        <f t="shared" si="133"/>
        <v>1.8111826980166501E-2</v>
      </c>
      <c r="T172" s="1065">
        <f>'Yield Mechanism'!$AI$59</f>
        <v>6.8871388711668882</v>
      </c>
      <c r="U172" s="205">
        <f t="shared" ref="U172:U175" si="138">T172*K172+U171</f>
        <v>42.426145832330327</v>
      </c>
      <c r="V172" s="1012"/>
      <c r="W172" s="194"/>
      <c r="X172" s="291">
        <v>4</v>
      </c>
      <c r="Y172" s="17">
        <f>mstr4</f>
        <v>67.278400000000005</v>
      </c>
      <c r="Z172" s="17">
        <f t="shared" si="134"/>
        <v>2.9515258933608145E-2</v>
      </c>
      <c r="AA172" s="17">
        <f t="shared" si="135"/>
        <v>0.34680429246989569</v>
      </c>
      <c r="AB172" s="204">
        <f>T175/M170</f>
        <v>18129.129820250051</v>
      </c>
    </row>
    <row r="173" spans="10:28" x14ac:dyDescent="0.25">
      <c r="J173" s="250">
        <v>3</v>
      </c>
      <c r="K173" s="205">
        <f>hstr3</f>
        <v>3</v>
      </c>
      <c r="L173" s="205">
        <f>L174+K173</f>
        <v>8.75</v>
      </c>
      <c r="M173" s="251">
        <f>'Yield Mechanism'!$X$60</f>
        <v>3.3817327344649168E-4</v>
      </c>
      <c r="N173" s="21">
        <f t="shared" si="136"/>
        <v>1.1536199890110882E-4</v>
      </c>
      <c r="O173" s="252">
        <f t="shared" si="132"/>
        <v>3.8453999633702941E-5</v>
      </c>
      <c r="P173" s="251">
        <f>$C$29</f>
        <v>8.3556867009551838E-3</v>
      </c>
      <c r="Q173" s="251">
        <f>$D$29</f>
        <v>1.7909714066512246E-3</v>
      </c>
      <c r="R173" s="17">
        <f t="shared" si="137"/>
        <v>4.6021351697290245E-3</v>
      </c>
      <c r="S173" s="17">
        <f t="shared" si="133"/>
        <v>2.1471029348036661E-2</v>
      </c>
      <c r="T173" s="1065">
        <f>'Yield Mechanism'!$AI$60</f>
        <v>8.472847474495925</v>
      </c>
      <c r="U173" s="205">
        <f t="shared" si="138"/>
        <v>67.844688255818099</v>
      </c>
      <c r="V173" s="1012"/>
      <c r="W173" s="194"/>
      <c r="X173" s="291">
        <v>3</v>
      </c>
      <c r="Y173" s="17">
        <f>mstr3</f>
        <v>67.278400000000005</v>
      </c>
      <c r="Z173" s="17">
        <f t="shared" si="134"/>
        <v>2.2751756760242447E-2</v>
      </c>
      <c r="AA173" s="17">
        <f t="shared" si="135"/>
        <v>0.1990778716521214</v>
      </c>
      <c r="AB173" s="541" t="s">
        <v>338</v>
      </c>
    </row>
    <row r="174" spans="10:28" x14ac:dyDescent="0.25">
      <c r="J174" s="250">
        <v>2</v>
      </c>
      <c r="K174" s="205">
        <f>hstr2</f>
        <v>3</v>
      </c>
      <c r="L174" s="205">
        <f>L175+K174</f>
        <v>5.75</v>
      </c>
      <c r="M174" s="251">
        <f>'Yield Mechanism'!$X$61</f>
        <v>2.2281127454538285E-4</v>
      </c>
      <c r="N174" s="21">
        <f>M174-M175</f>
        <v>1.19935598851961E-4</v>
      </c>
      <c r="O174" s="252">
        <f t="shared" si="132"/>
        <v>3.997853295065367E-5</v>
      </c>
      <c r="P174" s="251">
        <f>$C$30</f>
        <v>6.4157970868129726E-3</v>
      </c>
      <c r="Q174" s="251">
        <f>$D$30</f>
        <v>1.7349058472302754E-3</v>
      </c>
      <c r="R174" s="17">
        <f t="shared" si="137"/>
        <v>6.2312651740226536E-3</v>
      </c>
      <c r="S174" s="17">
        <f t="shared" si="133"/>
        <v>2.3043632606621383E-2</v>
      </c>
      <c r="T174" s="1065">
        <f>'Yield Mechanism'!$AI$61</f>
        <v>9.5175986618025288</v>
      </c>
      <c r="U174" s="205">
        <f t="shared" si="138"/>
        <v>96.397484241225683</v>
      </c>
      <c r="V174" s="1012"/>
      <c r="W174" s="194"/>
      <c r="X174" s="291">
        <v>2</v>
      </c>
      <c r="Y174" s="17">
        <f>mstr2</f>
        <v>67.278400000000005</v>
      </c>
      <c r="Z174" s="17">
        <f t="shared" si="134"/>
        <v>1.4990386053374086E-2</v>
      </c>
      <c r="AA174" s="17">
        <f t="shared" si="135"/>
        <v>8.6194719806900993E-2</v>
      </c>
      <c r="AB174" s="17">
        <f>((Y175*M173+Y174*M174+Y173*M175+M172*Y172+M171*Y171+M170*Y170)^2)/(Y175*M173*M173+Y174*M174*M174+Y173*M175*M175+Y172*M172*M172+Y171*M171*M171+Y170*M170*M170)</f>
        <v>334.26818500347838</v>
      </c>
    </row>
    <row r="175" spans="10:28" x14ac:dyDescent="0.25">
      <c r="J175" s="250">
        <v>1</v>
      </c>
      <c r="K175" s="205">
        <f>hstr1</f>
        <v>2.75</v>
      </c>
      <c r="L175" s="205">
        <f>K175</f>
        <v>2.75</v>
      </c>
      <c r="M175" s="251">
        <f>'Yield Mechanism'!$X$62</f>
        <v>1.0287567569342185E-4</v>
      </c>
      <c r="N175" s="21">
        <f>M175</f>
        <v>1.0287567569342185E-4</v>
      </c>
      <c r="O175" s="252">
        <f>N175/K175</f>
        <v>3.7409336615789761E-5</v>
      </c>
      <c r="P175" s="251">
        <f>$C$31</f>
        <v>4.8471720397440425E-3</v>
      </c>
      <c r="Q175" s="251">
        <f>$D$31</f>
        <v>1.7665298310518072E-3</v>
      </c>
      <c r="R175" s="17">
        <f t="shared" si="137"/>
        <v>7.7177653916664325E-3</v>
      </c>
      <c r="S175" s="17">
        <f t="shared" si="133"/>
        <v>2.1176736423135247E-2</v>
      </c>
      <c r="T175" s="1065">
        <f>'Yield Mechanism'!$AI$62</f>
        <v>10.000055466100285</v>
      </c>
      <c r="U175" s="205">
        <f t="shared" si="138"/>
        <v>123.89763677300147</v>
      </c>
      <c r="V175" s="1013"/>
      <c r="W175" s="194"/>
      <c r="X175" s="291">
        <v>1</v>
      </c>
      <c r="Y175" s="17">
        <f>mstr1</f>
        <v>67.278400000000005</v>
      </c>
      <c r="Z175" s="17">
        <f t="shared" si="134"/>
        <v>6.9213108595723126E-3</v>
      </c>
      <c r="AA175" s="17">
        <f t="shared" si="135"/>
        <v>1.9033604863823859E-2</v>
      </c>
      <c r="AB175" s="540" t="s">
        <v>337</v>
      </c>
    </row>
    <row r="176" spans="10:28" x14ac:dyDescent="0.25">
      <c r="X176" s="292"/>
      <c r="Y176" s="540" t="s">
        <v>78</v>
      </c>
      <c r="Z176" s="253">
        <f>SUM(Z170:Z175)</f>
        <v>0.14348017164378923</v>
      </c>
      <c r="AA176" s="253">
        <f>SUM(AA170:AA175)</f>
        <v>1.7776831442549539</v>
      </c>
      <c r="AB176" s="204">
        <f>2*PI()*SQRT(AB174/AB172)</f>
        <v>0.85317655078832455</v>
      </c>
    </row>
    <row r="177" spans="3:28" x14ac:dyDescent="0.25">
      <c r="R177" s="267"/>
      <c r="S177" s="267"/>
    </row>
    <row r="178" spans="3:28" ht="15.75" x14ac:dyDescent="0.25">
      <c r="J178" s="1034" t="s">
        <v>345</v>
      </c>
      <c r="K178" s="1035"/>
      <c r="L178" s="1035"/>
      <c r="M178" s="1035"/>
      <c r="N178" s="1035"/>
      <c r="O178" s="1035"/>
      <c r="P178" s="1035"/>
      <c r="Q178" s="1035"/>
      <c r="R178" s="1035"/>
      <c r="S178" s="1035"/>
      <c r="T178" s="1035"/>
      <c r="U178" s="1035"/>
      <c r="V178" s="1036"/>
      <c r="W178" s="266"/>
      <c r="X178" s="1032" t="s">
        <v>106</v>
      </c>
      <c r="Y178" s="1032"/>
      <c r="Z178" s="1032"/>
      <c r="AA178" s="1032"/>
      <c r="AB178" s="1032"/>
    </row>
    <row r="179" spans="3:28" ht="15" customHeight="1" x14ac:dyDescent="0.25">
      <c r="J179" s="964" t="s">
        <v>5</v>
      </c>
      <c r="K179" s="965" t="s">
        <v>3</v>
      </c>
      <c r="L179" s="965" t="s">
        <v>72</v>
      </c>
      <c r="M179" s="964" t="s">
        <v>74</v>
      </c>
      <c r="N179" s="964" t="s">
        <v>81</v>
      </c>
      <c r="O179" s="965" t="s">
        <v>101</v>
      </c>
      <c r="P179" s="965" t="s">
        <v>257</v>
      </c>
      <c r="Q179" s="965" t="s">
        <v>258</v>
      </c>
      <c r="R179" s="964" t="s">
        <v>394</v>
      </c>
      <c r="S179" s="964" t="s">
        <v>395</v>
      </c>
      <c r="T179" s="964" t="s">
        <v>75</v>
      </c>
      <c r="U179" s="965" t="s">
        <v>102</v>
      </c>
      <c r="V179" s="964" t="s">
        <v>79</v>
      </c>
      <c r="X179" s="696" t="s">
        <v>5</v>
      </c>
      <c r="Y179" s="1033" t="s">
        <v>76</v>
      </c>
      <c r="Z179" s="1033" t="s">
        <v>77</v>
      </c>
      <c r="AA179" s="1033" t="s">
        <v>104</v>
      </c>
      <c r="AB179" s="698" t="s">
        <v>105</v>
      </c>
    </row>
    <row r="180" spans="3:28" x14ac:dyDescent="0.25">
      <c r="J180" s="701"/>
      <c r="K180" s="697"/>
      <c r="L180" s="697"/>
      <c r="M180" s="701"/>
      <c r="N180" s="701"/>
      <c r="O180" s="697"/>
      <c r="P180" s="697"/>
      <c r="Q180" s="697"/>
      <c r="R180" s="701"/>
      <c r="S180" s="701"/>
      <c r="T180" s="701"/>
      <c r="U180" s="697"/>
      <c r="V180" s="701"/>
      <c r="X180" s="696"/>
      <c r="Y180" s="1033"/>
      <c r="Z180" s="1033"/>
      <c r="AA180" s="1033"/>
      <c r="AB180" s="698"/>
    </row>
    <row r="181" spans="3:28" x14ac:dyDescent="0.25">
      <c r="J181" s="250">
        <v>6</v>
      </c>
      <c r="K181" s="205">
        <f>hstr6</f>
        <v>3</v>
      </c>
      <c r="L181" s="205">
        <f t="shared" ref="L181:L183" si="139">L182+K181</f>
        <v>17.75</v>
      </c>
      <c r="M181" s="251">
        <f>'Yield Mechanism'!$X$57</f>
        <v>5.5160151453768761E-4</v>
      </c>
      <c r="N181" s="21">
        <f>M181-M182</f>
        <v>3.8666989517273809E-5</v>
      </c>
      <c r="O181" s="252">
        <f t="shared" ref="O181:O185" si="140">N181/K181</f>
        <v>1.2888996505757937E-5</v>
      </c>
      <c r="P181" s="251">
        <f>$C$26</f>
        <v>8.3125273614190701E-3</v>
      </c>
      <c r="Q181" s="251">
        <f>$D$26</f>
        <v>1.9976000809737945E-3</v>
      </c>
      <c r="R181" s="17">
        <f>O181/P181</f>
        <v>1.550550866825369E-3</v>
      </c>
      <c r="S181" s="17">
        <f t="shared" ref="S181:S186" si="141">O181/Q181</f>
        <v>6.45224068046432E-3</v>
      </c>
      <c r="T181" s="1065">
        <f>'Yield Mechanism'!$AI$57</f>
        <v>2.4248704391924543</v>
      </c>
      <c r="U181" s="205">
        <f>T181*K181</f>
        <v>7.2746113175773628</v>
      </c>
      <c r="V181" s="17">
        <f>U186/AB181</f>
        <v>10.000012796375236</v>
      </c>
      <c r="W181" s="194"/>
      <c r="X181" s="291">
        <v>6</v>
      </c>
      <c r="Y181" s="17">
        <f>mstr6</f>
        <v>63.074599999999997</v>
      </c>
      <c r="Z181" s="17">
        <f t="shared" ref="Z181:Z186" si="142">Y181*M181</f>
        <v>3.4792044888858828E-2</v>
      </c>
      <c r="AA181" s="17">
        <f t="shared" ref="AA181:AA186" si="143">Z181*L181</f>
        <v>0.61755879677724423</v>
      </c>
      <c r="AB181" s="17">
        <f>AA187/Z187</f>
        <v>12.389747822913925</v>
      </c>
    </row>
    <row r="182" spans="3:28" x14ac:dyDescent="0.25">
      <c r="J182" s="250">
        <v>5</v>
      </c>
      <c r="K182" s="205">
        <f>hstr5</f>
        <v>3</v>
      </c>
      <c r="L182" s="205">
        <f t="shared" si="139"/>
        <v>14.75</v>
      </c>
      <c r="M182" s="251">
        <f>'Yield Mechanism'!$X$58</f>
        <v>5.129345250204138E-4</v>
      </c>
      <c r="N182" s="21">
        <f t="shared" ref="N182:N184" si="144">M182-M183</f>
        <v>7.4231182883737791E-5</v>
      </c>
      <c r="O182" s="252">
        <f t="shared" si="140"/>
        <v>2.4743727627912597E-5</v>
      </c>
      <c r="P182" s="251">
        <f>$C$27</f>
        <v>9.5976000000000013E-3</v>
      </c>
      <c r="Q182" s="251">
        <f>$D$27</f>
        <v>1.9241439833606131E-3</v>
      </c>
      <c r="R182" s="17">
        <f t="shared" ref="R182:R186" si="145">O182/P182</f>
        <v>2.5781161569467985E-3</v>
      </c>
      <c r="S182" s="17">
        <f t="shared" si="141"/>
        <v>1.2859602941301953E-2</v>
      </c>
      <c r="T182" s="1065">
        <f>'Yield Mechanism'!$AI$58</f>
        <v>4.8300393004174342</v>
      </c>
      <c r="U182" s="205">
        <f>T182*K182+U181</f>
        <v>21.764729218829665</v>
      </c>
      <c r="V182" s="1011"/>
      <c r="W182" s="194"/>
      <c r="X182" s="291">
        <v>5</v>
      </c>
      <c r="Y182" s="17">
        <f>mstr5</f>
        <v>67.278400000000005</v>
      </c>
      <c r="Z182" s="17">
        <f t="shared" si="142"/>
        <v>3.450941414813341E-2</v>
      </c>
      <c r="AA182" s="17">
        <f t="shared" si="143"/>
        <v>0.50901385868496785</v>
      </c>
      <c r="AB182" s="540" t="s">
        <v>336</v>
      </c>
    </row>
    <row r="183" spans="3:28" x14ac:dyDescent="0.25">
      <c r="J183" s="250">
        <v>4</v>
      </c>
      <c r="K183" s="205">
        <f>hstr4</f>
        <v>3</v>
      </c>
      <c r="L183" s="205">
        <f t="shared" si="139"/>
        <v>11.75</v>
      </c>
      <c r="M183" s="251">
        <f>'Yield Mechanism'!$X$59</f>
        <v>4.3870334213667601E-4</v>
      </c>
      <c r="N183" s="21">
        <f t="shared" si="144"/>
        <v>1.0053006869018433E-4</v>
      </c>
      <c r="O183" s="252">
        <f t="shared" si="140"/>
        <v>3.3510022896728109E-5</v>
      </c>
      <c r="P183" s="251">
        <f>$C$28</f>
        <v>8.8673064285714302E-3</v>
      </c>
      <c r="Q183" s="251">
        <f>$D$28</f>
        <v>1.8501735321027263E-3</v>
      </c>
      <c r="R183" s="17">
        <f t="shared" si="145"/>
        <v>3.7790532183206338E-3</v>
      </c>
      <c r="S183" s="17">
        <f t="shared" si="141"/>
        <v>1.8111826980166501E-2</v>
      </c>
      <c r="T183" s="1065">
        <f>'Yield Mechanism'!$AI$59</f>
        <v>6.8871388711668882</v>
      </c>
      <c r="U183" s="205">
        <f t="shared" ref="U183:U186" si="146">T183*K183+U182</f>
        <v>42.426145832330327</v>
      </c>
      <c r="V183" s="1012"/>
      <c r="W183" s="194"/>
      <c r="X183" s="291">
        <v>4</v>
      </c>
      <c r="Y183" s="17">
        <f>mstr4</f>
        <v>67.278400000000005</v>
      </c>
      <c r="Z183" s="17">
        <f t="shared" si="142"/>
        <v>2.9515258933608145E-2</v>
      </c>
      <c r="AA183" s="17">
        <f t="shared" si="143"/>
        <v>0.34680429246989569</v>
      </c>
      <c r="AB183" s="204">
        <f>T186/M181</f>
        <v>18129.129820250051</v>
      </c>
    </row>
    <row r="184" spans="3:28" x14ac:dyDescent="0.25">
      <c r="J184" s="250">
        <v>3</v>
      </c>
      <c r="K184" s="205">
        <f>hstr3</f>
        <v>3</v>
      </c>
      <c r="L184" s="205">
        <f>L185+K184</f>
        <v>8.75</v>
      </c>
      <c r="M184" s="251">
        <f>'Yield Mechanism'!$X$60</f>
        <v>3.3817327344649168E-4</v>
      </c>
      <c r="N184" s="21">
        <f t="shared" si="144"/>
        <v>1.1536199890110882E-4</v>
      </c>
      <c r="O184" s="252">
        <f t="shared" si="140"/>
        <v>3.8453999633702941E-5</v>
      </c>
      <c r="P184" s="251">
        <f>$C$29</f>
        <v>8.3556867009551838E-3</v>
      </c>
      <c r="Q184" s="251">
        <f>$D$29</f>
        <v>1.7909714066512246E-3</v>
      </c>
      <c r="R184" s="17">
        <f t="shared" si="145"/>
        <v>4.6021351697290245E-3</v>
      </c>
      <c r="S184" s="17">
        <f t="shared" si="141"/>
        <v>2.1471029348036661E-2</v>
      </c>
      <c r="T184" s="1065">
        <f>'Yield Mechanism'!$AI$60</f>
        <v>8.472847474495925</v>
      </c>
      <c r="U184" s="205">
        <f t="shared" si="146"/>
        <v>67.844688255818099</v>
      </c>
      <c r="V184" s="1012"/>
      <c r="W184" s="194"/>
      <c r="X184" s="291">
        <v>3</v>
      </c>
      <c r="Y184" s="17">
        <f>mstr3</f>
        <v>67.278400000000005</v>
      </c>
      <c r="Z184" s="17">
        <f t="shared" si="142"/>
        <v>2.2751756760242447E-2</v>
      </c>
      <c r="AA184" s="17">
        <f t="shared" si="143"/>
        <v>0.1990778716521214</v>
      </c>
      <c r="AB184" s="541" t="s">
        <v>338</v>
      </c>
    </row>
    <row r="185" spans="3:28" ht="15.75" x14ac:dyDescent="0.25">
      <c r="C185" s="1025" t="s">
        <v>290</v>
      </c>
      <c r="D185" s="1026"/>
      <c r="E185" s="1026"/>
      <c r="F185" s="1027"/>
      <c r="J185" s="250">
        <v>2</v>
      </c>
      <c r="K185" s="205">
        <f>hstr2</f>
        <v>3</v>
      </c>
      <c r="L185" s="205">
        <f>L186+K185</f>
        <v>5.75</v>
      </c>
      <c r="M185" s="251">
        <f>'Yield Mechanism'!$X$61</f>
        <v>2.2281127454538285E-4</v>
      </c>
      <c r="N185" s="21">
        <f>M185-M186</f>
        <v>1.19935598851961E-4</v>
      </c>
      <c r="O185" s="252">
        <f t="shared" si="140"/>
        <v>3.997853295065367E-5</v>
      </c>
      <c r="P185" s="251">
        <f>$C$30</f>
        <v>6.4157970868129726E-3</v>
      </c>
      <c r="Q185" s="251">
        <f>$D$30</f>
        <v>1.7349058472302754E-3</v>
      </c>
      <c r="R185" s="17">
        <f t="shared" si="145"/>
        <v>6.2312651740226536E-3</v>
      </c>
      <c r="S185" s="17">
        <f t="shared" si="141"/>
        <v>2.3043632606621383E-2</v>
      </c>
      <c r="T185" s="1065">
        <f>'Yield Mechanism'!$AI$61</f>
        <v>9.5175986618025288</v>
      </c>
      <c r="U185" s="205">
        <f t="shared" si="146"/>
        <v>96.397484241225683</v>
      </c>
      <c r="V185" s="1012"/>
      <c r="W185" s="194"/>
      <c r="X185" s="291">
        <v>2</v>
      </c>
      <c r="Y185" s="17">
        <f>mstr2</f>
        <v>67.278400000000005</v>
      </c>
      <c r="Z185" s="17">
        <f t="shared" si="142"/>
        <v>1.4990386053374086E-2</v>
      </c>
      <c r="AA185" s="17">
        <f t="shared" si="143"/>
        <v>8.6194719806900993E-2</v>
      </c>
      <c r="AB185" s="17">
        <f>((Y186*M184+Y185*M185+Y184*M186+M183*Y183+M182*Y182+M181*Y181)^2)/(Y186*M184*M184+Y185*M185*M185+Y184*M186*M186+Y183*M183*M183+Y182*M182*M182+Y181*M181*M181)</f>
        <v>334.26818500347838</v>
      </c>
    </row>
    <row r="186" spans="3:28" x14ac:dyDescent="0.25">
      <c r="C186" s="701" t="s">
        <v>5</v>
      </c>
      <c r="D186" s="1028" t="str">
        <f>H135</f>
        <v>LS6 Δi</v>
      </c>
      <c r="E186" s="1030">
        <f>D125</f>
        <v>0</v>
      </c>
      <c r="F186" s="701" t="s">
        <v>239</v>
      </c>
      <c r="J186" s="250">
        <v>1</v>
      </c>
      <c r="K186" s="205">
        <f>hstr1</f>
        <v>2.75</v>
      </c>
      <c r="L186" s="205">
        <f>K186</f>
        <v>2.75</v>
      </c>
      <c r="M186" s="251">
        <f>'Yield Mechanism'!$X$62</f>
        <v>1.0287567569342185E-4</v>
      </c>
      <c r="N186" s="21">
        <f>M186</f>
        <v>1.0287567569342185E-4</v>
      </c>
      <c r="O186" s="252">
        <f>N186/K186</f>
        <v>3.7409336615789761E-5</v>
      </c>
      <c r="P186" s="251">
        <f>$C$31</f>
        <v>4.8471720397440425E-3</v>
      </c>
      <c r="Q186" s="251">
        <f>$D$31</f>
        <v>1.7665298310518072E-3</v>
      </c>
      <c r="R186" s="17">
        <f t="shared" si="145"/>
        <v>7.7177653916664325E-3</v>
      </c>
      <c r="S186" s="17">
        <f t="shared" si="141"/>
        <v>2.1176736423135247E-2</v>
      </c>
      <c r="T186" s="1065">
        <f>'Yield Mechanism'!$AI$62</f>
        <v>10.000055466100285</v>
      </c>
      <c r="U186" s="205">
        <f t="shared" si="146"/>
        <v>123.89763677300147</v>
      </c>
      <c r="V186" s="1013"/>
      <c r="W186" s="194"/>
      <c r="X186" s="291">
        <v>1</v>
      </c>
      <c r="Y186" s="17">
        <f>mstr1</f>
        <v>67.278400000000005</v>
      </c>
      <c r="Z186" s="17">
        <f t="shared" si="142"/>
        <v>6.9213108595723126E-3</v>
      </c>
      <c r="AA186" s="17">
        <f t="shared" si="143"/>
        <v>1.9033604863823859E-2</v>
      </c>
      <c r="AB186" s="540" t="s">
        <v>337</v>
      </c>
    </row>
    <row r="187" spans="3:28" x14ac:dyDescent="0.25">
      <c r="C187" s="696"/>
      <c r="D187" s="1029"/>
      <c r="E187" s="1031"/>
      <c r="F187" s="696"/>
      <c r="X187" s="292"/>
      <c r="Y187" s="540" t="s">
        <v>78</v>
      </c>
      <c r="Z187" s="253">
        <f>SUM(Z181:Z186)</f>
        <v>0.14348017164378923</v>
      </c>
      <c r="AA187" s="253">
        <f>SUM(AA181:AA186)</f>
        <v>1.7776831442549539</v>
      </c>
      <c r="AB187" s="204">
        <f>2*PI()*SQRT(AB185/AB183)</f>
        <v>0.85317655078832455</v>
      </c>
    </row>
    <row r="188" spans="3:28" x14ac:dyDescent="0.25">
      <c r="C188" s="290">
        <v>6</v>
      </c>
      <c r="D188" s="121">
        <f>H137/$H$137</f>
        <v>1</v>
      </c>
      <c r="E188" s="121" t="e">
        <f>D126/$D$126</f>
        <v>#DIV/0!</v>
      </c>
      <c r="F188" s="276" t="e">
        <f t="shared" ref="F188:F193" si="147">(E188-D188)/E188</f>
        <v>#DIV/0!</v>
      </c>
      <c r="Q188" s="79"/>
      <c r="T188" s="268"/>
    </row>
    <row r="189" spans="3:28" ht="15.75" x14ac:dyDescent="0.25">
      <c r="C189" s="290">
        <v>5</v>
      </c>
      <c r="D189" s="121">
        <f t="shared" ref="D189:D194" si="148">H138/$H$137</f>
        <v>0.92990050154289061</v>
      </c>
      <c r="E189" s="121" t="e">
        <f t="shared" ref="E189:E194" si="149">D127/$D$126</f>
        <v>#DIV/0!</v>
      </c>
      <c r="F189" s="276" t="e">
        <f t="shared" si="147"/>
        <v>#DIV/0!</v>
      </c>
      <c r="J189" s="1032" t="s">
        <v>346</v>
      </c>
      <c r="K189" s="1032"/>
      <c r="L189" s="1032"/>
      <c r="M189" s="1032"/>
      <c r="N189" s="1032"/>
      <c r="O189" s="1032"/>
      <c r="P189" s="1032"/>
      <c r="Q189" s="1032"/>
      <c r="R189" s="1032"/>
      <c r="S189" s="1032"/>
      <c r="T189" s="1032"/>
      <c r="U189" s="1032"/>
      <c r="V189" s="1032"/>
      <c r="W189" s="266"/>
      <c r="X189" s="1032" t="s">
        <v>106</v>
      </c>
      <c r="Y189" s="1032"/>
      <c r="Z189" s="1032"/>
      <c r="AA189" s="1032"/>
      <c r="AB189" s="1032"/>
    </row>
    <row r="190" spans="3:28" ht="15" customHeight="1" x14ac:dyDescent="0.25">
      <c r="C190" s="290">
        <v>4</v>
      </c>
      <c r="D190" s="121">
        <f t="shared" si="148"/>
        <v>0.79532657285099251</v>
      </c>
      <c r="E190" s="121" t="e">
        <f t="shared" si="149"/>
        <v>#DIV/0!</v>
      </c>
      <c r="F190" s="276" t="e">
        <f t="shared" si="147"/>
        <v>#DIV/0!</v>
      </c>
      <c r="J190" s="964" t="s">
        <v>5</v>
      </c>
      <c r="K190" s="965" t="s">
        <v>3</v>
      </c>
      <c r="L190" s="965" t="s">
        <v>72</v>
      </c>
      <c r="M190" s="964" t="s">
        <v>74</v>
      </c>
      <c r="N190" s="964" t="s">
        <v>81</v>
      </c>
      <c r="O190" s="965" t="s">
        <v>101</v>
      </c>
      <c r="P190" s="965" t="s">
        <v>257</v>
      </c>
      <c r="Q190" s="965" t="s">
        <v>258</v>
      </c>
      <c r="R190" s="964" t="s">
        <v>394</v>
      </c>
      <c r="S190" s="964" t="s">
        <v>395</v>
      </c>
      <c r="T190" s="964" t="s">
        <v>75</v>
      </c>
      <c r="U190" s="965" t="s">
        <v>102</v>
      </c>
      <c r="V190" s="964" t="s">
        <v>79</v>
      </c>
      <c r="X190" s="696" t="s">
        <v>5</v>
      </c>
      <c r="Y190" s="1033" t="s">
        <v>76</v>
      </c>
      <c r="Z190" s="1033" t="s">
        <v>77</v>
      </c>
      <c r="AA190" s="1033" t="s">
        <v>104</v>
      </c>
      <c r="AB190" s="698" t="s">
        <v>105</v>
      </c>
    </row>
    <row r="191" spans="3:28" x14ac:dyDescent="0.25">
      <c r="C191" s="290">
        <v>3</v>
      </c>
      <c r="D191" s="121">
        <f t="shared" si="148"/>
        <v>0.61307531711533458</v>
      </c>
      <c r="E191" s="121" t="e">
        <f t="shared" si="149"/>
        <v>#DIV/0!</v>
      </c>
      <c r="F191" s="276" t="e">
        <f t="shared" si="147"/>
        <v>#DIV/0!</v>
      </c>
      <c r="J191" s="701"/>
      <c r="K191" s="697"/>
      <c r="L191" s="697"/>
      <c r="M191" s="701"/>
      <c r="N191" s="701"/>
      <c r="O191" s="697"/>
      <c r="P191" s="697"/>
      <c r="Q191" s="697"/>
      <c r="R191" s="701"/>
      <c r="S191" s="701"/>
      <c r="T191" s="701"/>
      <c r="U191" s="697"/>
      <c r="V191" s="701"/>
      <c r="X191" s="696"/>
      <c r="Y191" s="1033"/>
      <c r="Z191" s="1033"/>
      <c r="AA191" s="1033"/>
      <c r="AB191" s="698"/>
    </row>
    <row r="192" spans="3:28" x14ac:dyDescent="0.25">
      <c r="C192" s="290">
        <v>2</v>
      </c>
      <c r="D192" s="121">
        <f t="shared" si="148"/>
        <v>0.40393521169376612</v>
      </c>
      <c r="E192" s="121" t="e">
        <f>D130/$D$126</f>
        <v>#DIV/0!</v>
      </c>
      <c r="F192" s="276" t="e">
        <f t="shared" si="147"/>
        <v>#DIV/0!</v>
      </c>
      <c r="J192" s="250">
        <v>6</v>
      </c>
      <c r="K192" s="205">
        <f>hstr6</f>
        <v>3</v>
      </c>
      <c r="L192" s="205">
        <f t="shared" ref="L192:L194" si="150">L193+K192</f>
        <v>17.75</v>
      </c>
      <c r="M192" s="251">
        <f>'Yield Mechanism'!$X$57</f>
        <v>5.5160151453768761E-4</v>
      </c>
      <c r="N192" s="21">
        <f>M192-M193</f>
        <v>3.8666989517273809E-5</v>
      </c>
      <c r="O192" s="252">
        <f t="shared" ref="O192:O196" si="151">N192/K192</f>
        <v>1.2888996505757937E-5</v>
      </c>
      <c r="P192" s="251">
        <f>$C$26</f>
        <v>8.3125273614190701E-3</v>
      </c>
      <c r="Q192" s="251">
        <f>$D$26</f>
        <v>1.9976000809737945E-3</v>
      </c>
      <c r="R192" s="17">
        <f>O192/P192</f>
        <v>1.550550866825369E-3</v>
      </c>
      <c r="S192" s="17">
        <f t="shared" ref="S192:S197" si="152">O192/Q192</f>
        <v>6.45224068046432E-3</v>
      </c>
      <c r="T192" s="1065">
        <f>'Yield Mechanism'!$AI$57</f>
        <v>2.4248704391924543</v>
      </c>
      <c r="U192" s="205">
        <f>T192*K192</f>
        <v>7.2746113175773628</v>
      </c>
      <c r="V192" s="17">
        <f>U197/AB192</f>
        <v>10.000012796375236</v>
      </c>
      <c r="W192" s="194"/>
      <c r="X192" s="291">
        <v>6</v>
      </c>
      <c r="Y192" s="17">
        <f>mstr6</f>
        <v>63.074599999999997</v>
      </c>
      <c r="Z192" s="17">
        <f t="shared" ref="Z192:Z197" si="153">Y192*M192</f>
        <v>3.4792044888858828E-2</v>
      </c>
      <c r="AA192" s="17">
        <f t="shared" ref="AA192:AA197" si="154">Z192*L192</f>
        <v>0.61755879677724423</v>
      </c>
      <c r="AB192" s="17">
        <f>AA198/Z198</f>
        <v>12.389747822913925</v>
      </c>
    </row>
    <row r="193" spans="3:28" x14ac:dyDescent="0.25">
      <c r="C193" s="290">
        <v>1</v>
      </c>
      <c r="D193" s="121">
        <f t="shared" si="148"/>
        <v>0.18650361353638556</v>
      </c>
      <c r="E193" s="121" t="e">
        <f t="shared" si="149"/>
        <v>#DIV/0!</v>
      </c>
      <c r="F193" s="276" t="e">
        <f t="shared" si="147"/>
        <v>#DIV/0!</v>
      </c>
      <c r="J193" s="250">
        <v>5</v>
      </c>
      <c r="K193" s="205">
        <f>hstr5</f>
        <v>3</v>
      </c>
      <c r="L193" s="205">
        <f t="shared" si="150"/>
        <v>14.75</v>
      </c>
      <c r="M193" s="251">
        <f>'Yield Mechanism'!$X$58</f>
        <v>5.129345250204138E-4</v>
      </c>
      <c r="N193" s="21">
        <f t="shared" ref="N193:N195" si="155">M193-M194</f>
        <v>7.4231182883737791E-5</v>
      </c>
      <c r="O193" s="252">
        <f t="shared" si="151"/>
        <v>2.4743727627912597E-5</v>
      </c>
      <c r="P193" s="251">
        <f>$C$27</f>
        <v>9.5976000000000013E-3</v>
      </c>
      <c r="Q193" s="251">
        <f>$D$27</f>
        <v>1.9241439833606131E-3</v>
      </c>
      <c r="R193" s="17">
        <f t="shared" ref="R193:R197" si="156">O193/P193</f>
        <v>2.5781161569467985E-3</v>
      </c>
      <c r="S193" s="17">
        <f t="shared" si="152"/>
        <v>1.2859602941301953E-2</v>
      </c>
      <c r="T193" s="1065">
        <f>'Yield Mechanism'!$AI$58</f>
        <v>4.8300393004174342</v>
      </c>
      <c r="U193" s="205">
        <f>T193*K193+U192</f>
        <v>21.764729218829665</v>
      </c>
      <c r="V193" s="1011"/>
      <c r="W193" s="194"/>
      <c r="X193" s="291">
        <v>5</v>
      </c>
      <c r="Y193" s="17">
        <f>mstr5</f>
        <v>67.278400000000005</v>
      </c>
      <c r="Z193" s="17">
        <f t="shared" si="153"/>
        <v>3.450941414813341E-2</v>
      </c>
      <c r="AA193" s="17">
        <f t="shared" si="154"/>
        <v>0.50901385868496785</v>
      </c>
      <c r="AB193" s="540" t="s">
        <v>336</v>
      </c>
    </row>
    <row r="194" spans="3:28" x14ac:dyDescent="0.25">
      <c r="C194" s="277">
        <v>0</v>
      </c>
      <c r="D194" s="278">
        <f t="shared" si="148"/>
        <v>0</v>
      </c>
      <c r="E194" s="278" t="e">
        <f t="shared" si="149"/>
        <v>#DIV/0!</v>
      </c>
      <c r="F194" s="279">
        <v>0</v>
      </c>
      <c r="J194" s="250">
        <v>4</v>
      </c>
      <c r="K194" s="205">
        <f>hstr4</f>
        <v>3</v>
      </c>
      <c r="L194" s="205">
        <f t="shared" si="150"/>
        <v>11.75</v>
      </c>
      <c r="M194" s="251">
        <f>'Yield Mechanism'!$X$59</f>
        <v>4.3870334213667601E-4</v>
      </c>
      <c r="N194" s="21">
        <f t="shared" si="155"/>
        <v>1.0053006869018433E-4</v>
      </c>
      <c r="O194" s="252">
        <f t="shared" si="151"/>
        <v>3.3510022896728109E-5</v>
      </c>
      <c r="P194" s="251">
        <f>$C$28</f>
        <v>8.8673064285714302E-3</v>
      </c>
      <c r="Q194" s="251">
        <f>$D$28</f>
        <v>1.8501735321027263E-3</v>
      </c>
      <c r="R194" s="17">
        <f t="shared" si="156"/>
        <v>3.7790532183206338E-3</v>
      </c>
      <c r="S194" s="17">
        <f t="shared" si="152"/>
        <v>1.8111826980166501E-2</v>
      </c>
      <c r="T194" s="1065">
        <f>'Yield Mechanism'!$AI$59</f>
        <v>6.8871388711668882</v>
      </c>
      <c r="U194" s="205">
        <f t="shared" ref="U194:U197" si="157">T194*K194+U193</f>
        <v>42.426145832330327</v>
      </c>
      <c r="V194" s="1012"/>
      <c r="W194" s="194"/>
      <c r="X194" s="291">
        <v>4</v>
      </c>
      <c r="Y194" s="17">
        <f>mstr4</f>
        <v>67.278400000000005</v>
      </c>
      <c r="Z194" s="17">
        <f t="shared" si="153"/>
        <v>2.9515258933608145E-2</v>
      </c>
      <c r="AA194" s="17">
        <f t="shared" si="154"/>
        <v>0.34680429246989569</v>
      </c>
      <c r="AB194" s="204">
        <f>T197/M192</f>
        <v>18129.129820250051</v>
      </c>
    </row>
    <row r="195" spans="3:28" x14ac:dyDescent="0.25">
      <c r="J195" s="250">
        <v>3</v>
      </c>
      <c r="K195" s="205">
        <f>hstr3</f>
        <v>3</v>
      </c>
      <c r="L195" s="205">
        <f>L196+K195</f>
        <v>8.75</v>
      </c>
      <c r="M195" s="251">
        <f>'Yield Mechanism'!$X$60</f>
        <v>3.3817327344649168E-4</v>
      </c>
      <c r="N195" s="21">
        <f t="shared" si="155"/>
        <v>1.1536199890110882E-4</v>
      </c>
      <c r="O195" s="252">
        <f t="shared" si="151"/>
        <v>3.8453999633702941E-5</v>
      </c>
      <c r="P195" s="251">
        <f>$C$29</f>
        <v>8.3556867009551838E-3</v>
      </c>
      <c r="Q195" s="251">
        <f>$D$29</f>
        <v>1.7909714066512246E-3</v>
      </c>
      <c r="R195" s="17">
        <f t="shared" si="156"/>
        <v>4.6021351697290245E-3</v>
      </c>
      <c r="S195" s="17">
        <f t="shared" si="152"/>
        <v>2.1471029348036661E-2</v>
      </c>
      <c r="T195" s="1065">
        <f>'Yield Mechanism'!$AI$60</f>
        <v>8.472847474495925</v>
      </c>
      <c r="U195" s="205">
        <f t="shared" si="157"/>
        <v>67.844688255818099</v>
      </c>
      <c r="V195" s="1012"/>
      <c r="W195" s="194"/>
      <c r="X195" s="291">
        <v>3</v>
      </c>
      <c r="Y195" s="17">
        <f>mstr3</f>
        <v>67.278400000000005</v>
      </c>
      <c r="Z195" s="17">
        <f t="shared" si="153"/>
        <v>2.2751756760242447E-2</v>
      </c>
      <c r="AA195" s="17">
        <f t="shared" si="154"/>
        <v>0.1990778716521214</v>
      </c>
      <c r="AB195" s="541" t="s">
        <v>338</v>
      </c>
    </row>
    <row r="196" spans="3:28" x14ac:dyDescent="0.25">
      <c r="J196" s="250">
        <v>2</v>
      </c>
      <c r="K196" s="205">
        <f>hstr2</f>
        <v>3</v>
      </c>
      <c r="L196" s="205">
        <f>L197+K196</f>
        <v>5.75</v>
      </c>
      <c r="M196" s="251">
        <f>'Yield Mechanism'!$X$61</f>
        <v>2.2281127454538285E-4</v>
      </c>
      <c r="N196" s="21">
        <f>M196-M197</f>
        <v>1.19935598851961E-4</v>
      </c>
      <c r="O196" s="252">
        <f t="shared" si="151"/>
        <v>3.997853295065367E-5</v>
      </c>
      <c r="P196" s="251">
        <f>$C$30</f>
        <v>6.4157970868129726E-3</v>
      </c>
      <c r="Q196" s="251">
        <f>$D$30</f>
        <v>1.7349058472302754E-3</v>
      </c>
      <c r="R196" s="17">
        <f t="shared" si="156"/>
        <v>6.2312651740226536E-3</v>
      </c>
      <c r="S196" s="17">
        <f t="shared" si="152"/>
        <v>2.3043632606621383E-2</v>
      </c>
      <c r="T196" s="1065">
        <f>'Yield Mechanism'!$AI$61</f>
        <v>9.5175986618025288</v>
      </c>
      <c r="U196" s="205">
        <f t="shared" si="157"/>
        <v>96.397484241225683</v>
      </c>
      <c r="V196" s="1012"/>
      <c r="W196" s="194"/>
      <c r="X196" s="291">
        <v>2</v>
      </c>
      <c r="Y196" s="17">
        <f>mstr2</f>
        <v>67.278400000000005</v>
      </c>
      <c r="Z196" s="17">
        <f t="shared" si="153"/>
        <v>1.4990386053374086E-2</v>
      </c>
      <c r="AA196" s="17">
        <f t="shared" si="154"/>
        <v>8.6194719806900993E-2</v>
      </c>
      <c r="AB196" s="17">
        <f>((Y197*M195+Y196*M196+Y195*M197+M194*Y194+M193*Y193+M192*Y192)^2)/(Y197*M195*M195+Y196*M196*M196+Y195*M197*M197+Y194*M194*M194+Y193*M193*M193+Y192*M192*M192)</f>
        <v>334.26818500347838</v>
      </c>
    </row>
    <row r="197" spans="3:28" x14ac:dyDescent="0.25">
      <c r="J197" s="250">
        <v>1</v>
      </c>
      <c r="K197" s="205">
        <f>hstr1</f>
        <v>2.75</v>
      </c>
      <c r="L197" s="205">
        <f>K197</f>
        <v>2.75</v>
      </c>
      <c r="M197" s="251">
        <f>'Yield Mechanism'!$X$62</f>
        <v>1.0287567569342185E-4</v>
      </c>
      <c r="N197" s="21">
        <f>M197</f>
        <v>1.0287567569342185E-4</v>
      </c>
      <c r="O197" s="252">
        <f>N197/K197</f>
        <v>3.7409336615789761E-5</v>
      </c>
      <c r="P197" s="251">
        <f>$C$31</f>
        <v>4.8471720397440425E-3</v>
      </c>
      <c r="Q197" s="251">
        <f>$D$31</f>
        <v>1.7665298310518072E-3</v>
      </c>
      <c r="R197" s="17">
        <f t="shared" si="156"/>
        <v>7.7177653916664325E-3</v>
      </c>
      <c r="S197" s="17">
        <f t="shared" si="152"/>
        <v>2.1176736423135247E-2</v>
      </c>
      <c r="T197" s="1065">
        <f>'Yield Mechanism'!$AI$62</f>
        <v>10.000055466100285</v>
      </c>
      <c r="U197" s="205">
        <f t="shared" si="157"/>
        <v>123.89763677300147</v>
      </c>
      <c r="V197" s="1013"/>
      <c r="W197" s="194"/>
      <c r="X197" s="291">
        <v>1</v>
      </c>
      <c r="Y197" s="17">
        <f>mstr1</f>
        <v>67.278400000000005</v>
      </c>
      <c r="Z197" s="17">
        <f t="shared" si="153"/>
        <v>6.9213108595723126E-3</v>
      </c>
      <c r="AA197" s="17">
        <f t="shared" si="154"/>
        <v>1.9033604863823859E-2</v>
      </c>
      <c r="AB197" s="540" t="s">
        <v>337</v>
      </c>
    </row>
    <row r="198" spans="3:28" x14ac:dyDescent="0.25">
      <c r="X198" s="292"/>
      <c r="Y198" s="540" t="s">
        <v>78</v>
      </c>
      <c r="Z198" s="253">
        <f>SUM(Z192:Z197)</f>
        <v>0.14348017164378923</v>
      </c>
      <c r="AA198" s="253">
        <f>SUM(AA192:AA197)</f>
        <v>1.7776831442549539</v>
      </c>
      <c r="AB198" s="204">
        <f>2*PI()*SQRT(AB196/AB194)</f>
        <v>0.85317655078832455</v>
      </c>
    </row>
    <row r="199" spans="3:28" x14ac:dyDescent="0.25">
      <c r="S199" s="79"/>
    </row>
    <row r="200" spans="3:28" ht="15.75" x14ac:dyDescent="0.25">
      <c r="J200" s="1032" t="s">
        <v>347</v>
      </c>
      <c r="K200" s="1032"/>
      <c r="L200" s="1032"/>
      <c r="M200" s="1032"/>
      <c r="N200" s="1032"/>
      <c r="O200" s="1032"/>
      <c r="P200" s="1032"/>
      <c r="Q200" s="1032"/>
      <c r="R200" s="1032"/>
      <c r="S200" s="1032"/>
      <c r="T200" s="1032"/>
      <c r="U200" s="1032"/>
      <c r="V200" s="1032"/>
      <c r="W200" s="266"/>
      <c r="X200" s="1032" t="s">
        <v>106</v>
      </c>
      <c r="Y200" s="1032"/>
      <c r="Z200" s="1032"/>
      <c r="AA200" s="1032"/>
      <c r="AB200" s="1032"/>
    </row>
    <row r="201" spans="3:28" ht="15" customHeight="1" x14ac:dyDescent="0.25">
      <c r="J201" s="964" t="s">
        <v>5</v>
      </c>
      <c r="K201" s="965" t="s">
        <v>3</v>
      </c>
      <c r="L201" s="965" t="s">
        <v>72</v>
      </c>
      <c r="M201" s="964" t="s">
        <v>74</v>
      </c>
      <c r="N201" s="964" t="s">
        <v>81</v>
      </c>
      <c r="O201" s="965" t="s">
        <v>101</v>
      </c>
      <c r="P201" s="965" t="s">
        <v>257</v>
      </c>
      <c r="Q201" s="965" t="s">
        <v>258</v>
      </c>
      <c r="R201" s="964" t="s">
        <v>394</v>
      </c>
      <c r="S201" s="964" t="s">
        <v>395</v>
      </c>
      <c r="T201" s="964" t="s">
        <v>75</v>
      </c>
      <c r="U201" s="965" t="s">
        <v>102</v>
      </c>
      <c r="V201" s="964" t="s">
        <v>79</v>
      </c>
      <c r="X201" s="696" t="s">
        <v>5</v>
      </c>
      <c r="Y201" s="1033" t="s">
        <v>76</v>
      </c>
      <c r="Z201" s="1033" t="s">
        <v>77</v>
      </c>
      <c r="AA201" s="1033" t="s">
        <v>104</v>
      </c>
      <c r="AB201" s="698" t="s">
        <v>105</v>
      </c>
    </row>
    <row r="202" spans="3:28" x14ac:dyDescent="0.25">
      <c r="J202" s="701"/>
      <c r="K202" s="697"/>
      <c r="L202" s="697"/>
      <c r="M202" s="701"/>
      <c r="N202" s="701"/>
      <c r="O202" s="697"/>
      <c r="P202" s="697"/>
      <c r="Q202" s="697"/>
      <c r="R202" s="701"/>
      <c r="S202" s="701"/>
      <c r="T202" s="701"/>
      <c r="U202" s="697"/>
      <c r="V202" s="701"/>
      <c r="X202" s="696"/>
      <c r="Y202" s="1033"/>
      <c r="Z202" s="1033"/>
      <c r="AA202" s="1033"/>
      <c r="AB202" s="698"/>
    </row>
    <row r="203" spans="3:28" x14ac:dyDescent="0.25">
      <c r="J203" s="250">
        <v>6</v>
      </c>
      <c r="K203" s="205">
        <f>hstr6</f>
        <v>3</v>
      </c>
      <c r="L203" s="205">
        <f t="shared" ref="L203:L205" si="158">L204+K203</f>
        <v>17.75</v>
      </c>
      <c r="M203" s="251">
        <f>'Yield Mechanism'!$X$57</f>
        <v>5.5160151453768761E-4</v>
      </c>
      <c r="N203" s="21">
        <f>M203-M204</f>
        <v>3.8666989517273809E-5</v>
      </c>
      <c r="O203" s="252">
        <f t="shared" ref="O203:O207" si="159">N203/K203</f>
        <v>1.2888996505757937E-5</v>
      </c>
      <c r="P203" s="251">
        <f>$C$26</f>
        <v>8.3125273614190701E-3</v>
      </c>
      <c r="Q203" s="251">
        <f>$D$26</f>
        <v>1.9976000809737945E-3</v>
      </c>
      <c r="R203" s="17">
        <f>O203/P203</f>
        <v>1.550550866825369E-3</v>
      </c>
      <c r="S203" s="17">
        <f t="shared" ref="S203:S208" si="160">O203/Q203</f>
        <v>6.45224068046432E-3</v>
      </c>
      <c r="T203" s="1065">
        <f>'Yield Mechanism'!$AI$57</f>
        <v>2.4248704391924543</v>
      </c>
      <c r="U203" s="205">
        <f>T203*K203</f>
        <v>7.2746113175773628</v>
      </c>
      <c r="V203" s="17">
        <f>U208/AB203</f>
        <v>10.000012796375236</v>
      </c>
      <c r="W203" s="194"/>
      <c r="X203" s="291">
        <v>6</v>
      </c>
      <c r="Y203" s="17">
        <f>mstr6</f>
        <v>63.074599999999997</v>
      </c>
      <c r="Z203" s="17">
        <f t="shared" ref="Z203:Z208" si="161">Y203*M203</f>
        <v>3.4792044888858828E-2</v>
      </c>
      <c r="AA203" s="17">
        <f t="shared" ref="AA203:AA208" si="162">Z203*L203</f>
        <v>0.61755879677724423</v>
      </c>
      <c r="AB203" s="17">
        <f>AA209/Z209</f>
        <v>12.389747822913925</v>
      </c>
    </row>
    <row r="204" spans="3:28" x14ac:dyDescent="0.25">
      <c r="J204" s="250">
        <v>5</v>
      </c>
      <c r="K204" s="205">
        <f>hstr5</f>
        <v>3</v>
      </c>
      <c r="L204" s="205">
        <f t="shared" si="158"/>
        <v>14.75</v>
      </c>
      <c r="M204" s="251">
        <f>'Yield Mechanism'!$X$58</f>
        <v>5.129345250204138E-4</v>
      </c>
      <c r="N204" s="21">
        <f t="shared" ref="N204:N206" si="163">M204-M205</f>
        <v>7.4231182883737791E-5</v>
      </c>
      <c r="O204" s="252">
        <f t="shared" si="159"/>
        <v>2.4743727627912597E-5</v>
      </c>
      <c r="P204" s="251">
        <f>$C$27</f>
        <v>9.5976000000000013E-3</v>
      </c>
      <c r="Q204" s="251">
        <f>$D$27</f>
        <v>1.9241439833606131E-3</v>
      </c>
      <c r="R204" s="17">
        <f t="shared" ref="R204:R208" si="164">O204/P204</f>
        <v>2.5781161569467985E-3</v>
      </c>
      <c r="S204" s="17">
        <f t="shared" si="160"/>
        <v>1.2859602941301953E-2</v>
      </c>
      <c r="T204" s="1065">
        <f>'Yield Mechanism'!$AI$58</f>
        <v>4.8300393004174342</v>
      </c>
      <c r="U204" s="205">
        <f>T204*K204+U203</f>
        <v>21.764729218829665</v>
      </c>
      <c r="V204" s="1011"/>
      <c r="W204" s="194"/>
      <c r="X204" s="291">
        <v>5</v>
      </c>
      <c r="Y204" s="17">
        <f>mstr5</f>
        <v>67.278400000000005</v>
      </c>
      <c r="Z204" s="17">
        <f t="shared" si="161"/>
        <v>3.450941414813341E-2</v>
      </c>
      <c r="AA204" s="17">
        <f t="shared" si="162"/>
        <v>0.50901385868496785</v>
      </c>
      <c r="AB204" s="540" t="s">
        <v>336</v>
      </c>
    </row>
    <row r="205" spans="3:28" x14ac:dyDescent="0.25">
      <c r="J205" s="250">
        <v>4</v>
      </c>
      <c r="K205" s="205">
        <f>hstr4</f>
        <v>3</v>
      </c>
      <c r="L205" s="205">
        <f t="shared" si="158"/>
        <v>11.75</v>
      </c>
      <c r="M205" s="251">
        <f>'Yield Mechanism'!$X$59</f>
        <v>4.3870334213667601E-4</v>
      </c>
      <c r="N205" s="21">
        <f t="shared" si="163"/>
        <v>1.0053006869018433E-4</v>
      </c>
      <c r="O205" s="252">
        <f t="shared" si="159"/>
        <v>3.3510022896728109E-5</v>
      </c>
      <c r="P205" s="251">
        <f>$C$28</f>
        <v>8.8673064285714302E-3</v>
      </c>
      <c r="Q205" s="251">
        <f>$D$28</f>
        <v>1.8501735321027263E-3</v>
      </c>
      <c r="R205" s="17">
        <f t="shared" si="164"/>
        <v>3.7790532183206338E-3</v>
      </c>
      <c r="S205" s="17">
        <f t="shared" si="160"/>
        <v>1.8111826980166501E-2</v>
      </c>
      <c r="T205" s="1065">
        <f>'Yield Mechanism'!$AI$59</f>
        <v>6.8871388711668882</v>
      </c>
      <c r="U205" s="205">
        <f t="shared" ref="U205:U208" si="165">T205*K205+U204</f>
        <v>42.426145832330327</v>
      </c>
      <c r="V205" s="1012"/>
      <c r="W205" s="194"/>
      <c r="X205" s="291">
        <v>4</v>
      </c>
      <c r="Y205" s="17">
        <f>mstr4</f>
        <v>67.278400000000005</v>
      </c>
      <c r="Z205" s="17">
        <f t="shared" si="161"/>
        <v>2.9515258933608145E-2</v>
      </c>
      <c r="AA205" s="17">
        <f t="shared" si="162"/>
        <v>0.34680429246989569</v>
      </c>
      <c r="AB205" s="204">
        <f>T208/M203</f>
        <v>18129.129820250051</v>
      </c>
    </row>
    <row r="206" spans="3:28" x14ac:dyDescent="0.25">
      <c r="J206" s="250">
        <v>3</v>
      </c>
      <c r="K206" s="205">
        <f>hstr3</f>
        <v>3</v>
      </c>
      <c r="L206" s="205">
        <f>L207+K206</f>
        <v>8.75</v>
      </c>
      <c r="M206" s="251">
        <f>'Yield Mechanism'!$X$60</f>
        <v>3.3817327344649168E-4</v>
      </c>
      <c r="N206" s="21">
        <f t="shared" si="163"/>
        <v>1.1536199890110882E-4</v>
      </c>
      <c r="O206" s="252">
        <f t="shared" si="159"/>
        <v>3.8453999633702941E-5</v>
      </c>
      <c r="P206" s="251">
        <f>$C$29</f>
        <v>8.3556867009551838E-3</v>
      </c>
      <c r="Q206" s="251">
        <f>$D$29</f>
        <v>1.7909714066512246E-3</v>
      </c>
      <c r="R206" s="17">
        <f t="shared" si="164"/>
        <v>4.6021351697290245E-3</v>
      </c>
      <c r="S206" s="17">
        <f t="shared" si="160"/>
        <v>2.1471029348036661E-2</v>
      </c>
      <c r="T206" s="1065">
        <f>'Yield Mechanism'!$AI$60</f>
        <v>8.472847474495925</v>
      </c>
      <c r="U206" s="205">
        <f t="shared" si="165"/>
        <v>67.844688255818099</v>
      </c>
      <c r="V206" s="1012"/>
      <c r="W206" s="194"/>
      <c r="X206" s="291">
        <v>3</v>
      </c>
      <c r="Y206" s="17">
        <f>mstr3</f>
        <v>67.278400000000005</v>
      </c>
      <c r="Z206" s="17">
        <f t="shared" si="161"/>
        <v>2.2751756760242447E-2</v>
      </c>
      <c r="AA206" s="17">
        <f t="shared" si="162"/>
        <v>0.1990778716521214</v>
      </c>
      <c r="AB206" s="541" t="s">
        <v>338</v>
      </c>
    </row>
    <row r="207" spans="3:28" x14ac:dyDescent="0.25">
      <c r="J207" s="250">
        <v>2</v>
      </c>
      <c r="K207" s="205">
        <f>hstr2</f>
        <v>3</v>
      </c>
      <c r="L207" s="205">
        <f>L208+K207</f>
        <v>5.75</v>
      </c>
      <c r="M207" s="251">
        <f>'Yield Mechanism'!$X$61</f>
        <v>2.2281127454538285E-4</v>
      </c>
      <c r="N207" s="21">
        <f>M207-M208</f>
        <v>1.19935598851961E-4</v>
      </c>
      <c r="O207" s="252">
        <f t="shared" si="159"/>
        <v>3.997853295065367E-5</v>
      </c>
      <c r="P207" s="251">
        <f>$C$30</f>
        <v>6.4157970868129726E-3</v>
      </c>
      <c r="Q207" s="251">
        <f>$D$30</f>
        <v>1.7349058472302754E-3</v>
      </c>
      <c r="R207" s="17">
        <f t="shared" si="164"/>
        <v>6.2312651740226536E-3</v>
      </c>
      <c r="S207" s="17">
        <f t="shared" si="160"/>
        <v>2.3043632606621383E-2</v>
      </c>
      <c r="T207" s="1065">
        <f>'Yield Mechanism'!$AI$61</f>
        <v>9.5175986618025288</v>
      </c>
      <c r="U207" s="205">
        <f t="shared" si="165"/>
        <v>96.397484241225683</v>
      </c>
      <c r="V207" s="1012"/>
      <c r="W207" s="194"/>
      <c r="X207" s="291">
        <v>2</v>
      </c>
      <c r="Y207" s="17">
        <f>mstr2</f>
        <v>67.278400000000005</v>
      </c>
      <c r="Z207" s="17">
        <f t="shared" si="161"/>
        <v>1.4990386053374086E-2</v>
      </c>
      <c r="AA207" s="17">
        <f t="shared" si="162"/>
        <v>8.6194719806900993E-2</v>
      </c>
      <c r="AB207" s="17">
        <f>((Y208*M206+Y207*M207+Y206*M208+M205*Y205+M204*Y204+M203*Y203)^2)/(Y208*M206*M206+Y207*M207*M207+Y206*M208*M208+Y205*M205*M205+Y204*M204*M204+Y203*M203*M203)</f>
        <v>334.26818500347838</v>
      </c>
    </row>
    <row r="208" spans="3:28" x14ac:dyDescent="0.25">
      <c r="J208" s="250">
        <v>1</v>
      </c>
      <c r="K208" s="205">
        <f>hstr1</f>
        <v>2.75</v>
      </c>
      <c r="L208" s="205">
        <f>K208</f>
        <v>2.75</v>
      </c>
      <c r="M208" s="251">
        <f>'Yield Mechanism'!$X$62</f>
        <v>1.0287567569342185E-4</v>
      </c>
      <c r="N208" s="21">
        <f>M208</f>
        <v>1.0287567569342185E-4</v>
      </c>
      <c r="O208" s="252">
        <f>N208/K208</f>
        <v>3.7409336615789761E-5</v>
      </c>
      <c r="P208" s="251">
        <f>$C$31</f>
        <v>4.8471720397440425E-3</v>
      </c>
      <c r="Q208" s="251">
        <f>$D$31</f>
        <v>1.7665298310518072E-3</v>
      </c>
      <c r="R208" s="17">
        <f t="shared" si="164"/>
        <v>7.7177653916664325E-3</v>
      </c>
      <c r="S208" s="17">
        <f t="shared" si="160"/>
        <v>2.1176736423135247E-2</v>
      </c>
      <c r="T208" s="1065">
        <f>'Yield Mechanism'!$AI$62</f>
        <v>10.000055466100285</v>
      </c>
      <c r="U208" s="205">
        <f t="shared" si="165"/>
        <v>123.89763677300147</v>
      </c>
      <c r="V208" s="1013"/>
      <c r="W208" s="194"/>
      <c r="X208" s="291">
        <v>1</v>
      </c>
      <c r="Y208" s="17">
        <f>mstr1</f>
        <v>67.278400000000005</v>
      </c>
      <c r="Z208" s="17">
        <f t="shared" si="161"/>
        <v>6.9213108595723126E-3</v>
      </c>
      <c r="AA208" s="17">
        <f t="shared" si="162"/>
        <v>1.9033604863823859E-2</v>
      </c>
      <c r="AB208" s="540" t="s">
        <v>337</v>
      </c>
    </row>
    <row r="209" spans="10:28" x14ac:dyDescent="0.25">
      <c r="X209" s="292"/>
      <c r="Y209" s="540" t="s">
        <v>78</v>
      </c>
      <c r="Z209" s="253">
        <f>SUM(Z203:Z208)</f>
        <v>0.14348017164378923</v>
      </c>
      <c r="AA209" s="253">
        <f>SUM(AA203:AA208)</f>
        <v>1.7776831442549539</v>
      </c>
      <c r="AB209" s="204">
        <f>2*PI()*SQRT(AB207/AB205)</f>
        <v>0.85317655078832455</v>
      </c>
    </row>
    <row r="211" spans="10:28" ht="15.75" x14ac:dyDescent="0.25">
      <c r="J211" s="1032" t="s">
        <v>348</v>
      </c>
      <c r="K211" s="1032"/>
      <c r="L211" s="1032"/>
      <c r="M211" s="1032"/>
      <c r="N211" s="1032"/>
      <c r="O211" s="1032"/>
      <c r="P211" s="1032"/>
      <c r="Q211" s="1032"/>
      <c r="R211" s="1032"/>
      <c r="S211" s="1032"/>
      <c r="T211" s="1032"/>
      <c r="U211" s="1032"/>
      <c r="V211" s="1032"/>
      <c r="W211" s="266"/>
      <c r="X211" s="1032" t="s">
        <v>106</v>
      </c>
      <c r="Y211" s="1032"/>
      <c r="Z211" s="1032"/>
      <c r="AA211" s="1032"/>
      <c r="AB211" s="1032"/>
    </row>
    <row r="212" spans="10:28" ht="15" customHeight="1" x14ac:dyDescent="0.25">
      <c r="J212" s="964" t="s">
        <v>5</v>
      </c>
      <c r="K212" s="965" t="s">
        <v>3</v>
      </c>
      <c r="L212" s="965" t="s">
        <v>72</v>
      </c>
      <c r="M212" s="964" t="s">
        <v>74</v>
      </c>
      <c r="N212" s="964" t="s">
        <v>81</v>
      </c>
      <c r="O212" s="965" t="s">
        <v>101</v>
      </c>
      <c r="P212" s="965" t="s">
        <v>257</v>
      </c>
      <c r="Q212" s="965" t="s">
        <v>258</v>
      </c>
      <c r="R212" s="964" t="s">
        <v>394</v>
      </c>
      <c r="S212" s="964" t="s">
        <v>395</v>
      </c>
      <c r="T212" s="964" t="s">
        <v>75</v>
      </c>
      <c r="U212" s="965" t="s">
        <v>102</v>
      </c>
      <c r="V212" s="964" t="s">
        <v>79</v>
      </c>
      <c r="X212" s="696" t="s">
        <v>5</v>
      </c>
      <c r="Y212" s="1033" t="s">
        <v>76</v>
      </c>
      <c r="Z212" s="1033" t="s">
        <v>77</v>
      </c>
      <c r="AA212" s="1033" t="s">
        <v>104</v>
      </c>
      <c r="AB212" s="698" t="s">
        <v>105</v>
      </c>
    </row>
    <row r="213" spans="10:28" x14ac:dyDescent="0.25">
      <c r="J213" s="701"/>
      <c r="K213" s="697"/>
      <c r="L213" s="697"/>
      <c r="M213" s="701"/>
      <c r="N213" s="701"/>
      <c r="O213" s="697"/>
      <c r="P213" s="697"/>
      <c r="Q213" s="697"/>
      <c r="R213" s="701"/>
      <c r="S213" s="701"/>
      <c r="T213" s="701"/>
      <c r="U213" s="697"/>
      <c r="V213" s="701"/>
      <c r="X213" s="696"/>
      <c r="Y213" s="1033"/>
      <c r="Z213" s="1033"/>
      <c r="AA213" s="1033"/>
      <c r="AB213" s="698"/>
    </row>
    <row r="214" spans="10:28" x14ac:dyDescent="0.25">
      <c r="J214" s="250">
        <v>6</v>
      </c>
      <c r="K214" s="205">
        <f>hstr6</f>
        <v>3</v>
      </c>
      <c r="L214" s="205">
        <f t="shared" ref="L214:L216" si="166">L215+K214</f>
        <v>17.75</v>
      </c>
      <c r="M214" s="251">
        <f>'Yield Mechanism'!$X$57</f>
        <v>5.5160151453768761E-4</v>
      </c>
      <c r="N214" s="21">
        <f>M214-M215</f>
        <v>3.8666989517273809E-5</v>
      </c>
      <c r="O214" s="252">
        <f t="shared" ref="O214:O218" si="167">N214/K214</f>
        <v>1.2888996505757937E-5</v>
      </c>
      <c r="P214" s="251">
        <f>$C$26</f>
        <v>8.3125273614190701E-3</v>
      </c>
      <c r="Q214" s="251">
        <f>$D$26</f>
        <v>1.9976000809737945E-3</v>
      </c>
      <c r="R214" s="17">
        <f>O214/P214</f>
        <v>1.550550866825369E-3</v>
      </c>
      <c r="S214" s="17">
        <f t="shared" ref="S214:S219" si="168">O214/Q214</f>
        <v>6.45224068046432E-3</v>
      </c>
      <c r="T214" s="1065">
        <f>'Yield Mechanism'!$AI$57</f>
        <v>2.4248704391924543</v>
      </c>
      <c r="U214" s="205">
        <f>T214*K214</f>
        <v>7.2746113175773628</v>
      </c>
      <c r="V214" s="17">
        <f>U219/AB214</f>
        <v>10.000012796375236</v>
      </c>
      <c r="W214" s="194"/>
      <c r="X214" s="291">
        <v>6</v>
      </c>
      <c r="Y214" s="17">
        <f>mstr6</f>
        <v>63.074599999999997</v>
      </c>
      <c r="Z214" s="17">
        <f t="shared" ref="Z214:Z219" si="169">Y214*M214</f>
        <v>3.4792044888858828E-2</v>
      </c>
      <c r="AA214" s="17">
        <f t="shared" ref="AA214:AA219" si="170">Z214*L214</f>
        <v>0.61755879677724423</v>
      </c>
      <c r="AB214" s="17">
        <f>AA220/Z220</f>
        <v>12.389747822913925</v>
      </c>
    </row>
    <row r="215" spans="10:28" x14ac:dyDescent="0.25">
      <c r="J215" s="250">
        <v>5</v>
      </c>
      <c r="K215" s="205">
        <f>hstr5</f>
        <v>3</v>
      </c>
      <c r="L215" s="205">
        <f t="shared" si="166"/>
        <v>14.75</v>
      </c>
      <c r="M215" s="251">
        <f>'Yield Mechanism'!$X$58</f>
        <v>5.129345250204138E-4</v>
      </c>
      <c r="N215" s="21">
        <f t="shared" ref="N215:N217" si="171">M215-M216</f>
        <v>7.4231182883737791E-5</v>
      </c>
      <c r="O215" s="252">
        <f t="shared" si="167"/>
        <v>2.4743727627912597E-5</v>
      </c>
      <c r="P215" s="251">
        <f>$C$27</f>
        <v>9.5976000000000013E-3</v>
      </c>
      <c r="Q215" s="251">
        <f>$D$27</f>
        <v>1.9241439833606131E-3</v>
      </c>
      <c r="R215" s="17">
        <f t="shared" ref="R215:R219" si="172">O215/P215</f>
        <v>2.5781161569467985E-3</v>
      </c>
      <c r="S215" s="17">
        <f t="shared" si="168"/>
        <v>1.2859602941301953E-2</v>
      </c>
      <c r="T215" s="1065">
        <f>'Yield Mechanism'!$AI$58</f>
        <v>4.8300393004174342</v>
      </c>
      <c r="U215" s="205">
        <f>T215*K215+U214</f>
        <v>21.764729218829665</v>
      </c>
      <c r="V215" s="1011"/>
      <c r="W215" s="194"/>
      <c r="X215" s="291">
        <v>5</v>
      </c>
      <c r="Y215" s="17">
        <f>mstr5</f>
        <v>67.278400000000005</v>
      </c>
      <c r="Z215" s="17">
        <f t="shared" si="169"/>
        <v>3.450941414813341E-2</v>
      </c>
      <c r="AA215" s="17">
        <f t="shared" si="170"/>
        <v>0.50901385868496785</v>
      </c>
      <c r="AB215" s="540" t="s">
        <v>336</v>
      </c>
    </row>
    <row r="216" spans="10:28" x14ac:dyDescent="0.25">
      <c r="J216" s="250">
        <v>4</v>
      </c>
      <c r="K216" s="205">
        <f>hstr4</f>
        <v>3</v>
      </c>
      <c r="L216" s="205">
        <f t="shared" si="166"/>
        <v>11.75</v>
      </c>
      <c r="M216" s="251">
        <f>'Yield Mechanism'!$X$59</f>
        <v>4.3870334213667601E-4</v>
      </c>
      <c r="N216" s="21">
        <f t="shared" si="171"/>
        <v>1.0053006869018433E-4</v>
      </c>
      <c r="O216" s="252">
        <f t="shared" si="167"/>
        <v>3.3510022896728109E-5</v>
      </c>
      <c r="P216" s="251">
        <f>$C$28</f>
        <v>8.8673064285714302E-3</v>
      </c>
      <c r="Q216" s="251">
        <f>$D$28</f>
        <v>1.8501735321027263E-3</v>
      </c>
      <c r="R216" s="17">
        <f t="shared" si="172"/>
        <v>3.7790532183206338E-3</v>
      </c>
      <c r="S216" s="17">
        <f t="shared" si="168"/>
        <v>1.8111826980166501E-2</v>
      </c>
      <c r="T216" s="1065">
        <f>'Yield Mechanism'!$AI$59</f>
        <v>6.8871388711668882</v>
      </c>
      <c r="U216" s="205">
        <f t="shared" ref="U216:U219" si="173">T216*K216+U215</f>
        <v>42.426145832330327</v>
      </c>
      <c r="V216" s="1012"/>
      <c r="W216" s="194"/>
      <c r="X216" s="291">
        <v>4</v>
      </c>
      <c r="Y216" s="17">
        <f>mstr4</f>
        <v>67.278400000000005</v>
      </c>
      <c r="Z216" s="17">
        <f t="shared" si="169"/>
        <v>2.9515258933608145E-2</v>
      </c>
      <c r="AA216" s="17">
        <f t="shared" si="170"/>
        <v>0.34680429246989569</v>
      </c>
      <c r="AB216" s="204">
        <f>T219/M214</f>
        <v>18129.129820250051</v>
      </c>
    </row>
    <row r="217" spans="10:28" x14ac:dyDescent="0.25">
      <c r="J217" s="250">
        <v>3</v>
      </c>
      <c r="K217" s="205">
        <f>hstr3</f>
        <v>3</v>
      </c>
      <c r="L217" s="205">
        <f>L218+K217</f>
        <v>8.75</v>
      </c>
      <c r="M217" s="251">
        <f>'Yield Mechanism'!$X$60</f>
        <v>3.3817327344649168E-4</v>
      </c>
      <c r="N217" s="21">
        <f t="shared" si="171"/>
        <v>1.1536199890110882E-4</v>
      </c>
      <c r="O217" s="252">
        <f t="shared" si="167"/>
        <v>3.8453999633702941E-5</v>
      </c>
      <c r="P217" s="251">
        <f>$C$29</f>
        <v>8.3556867009551838E-3</v>
      </c>
      <c r="Q217" s="251">
        <f>$D$29</f>
        <v>1.7909714066512246E-3</v>
      </c>
      <c r="R217" s="17">
        <f t="shared" si="172"/>
        <v>4.6021351697290245E-3</v>
      </c>
      <c r="S217" s="17">
        <f t="shared" si="168"/>
        <v>2.1471029348036661E-2</v>
      </c>
      <c r="T217" s="1065">
        <f>'Yield Mechanism'!$AI$60</f>
        <v>8.472847474495925</v>
      </c>
      <c r="U217" s="205">
        <f t="shared" si="173"/>
        <v>67.844688255818099</v>
      </c>
      <c r="V217" s="1012"/>
      <c r="W217" s="194"/>
      <c r="X217" s="291">
        <v>3</v>
      </c>
      <c r="Y217" s="17">
        <f>mstr3</f>
        <v>67.278400000000005</v>
      </c>
      <c r="Z217" s="17">
        <f t="shared" si="169"/>
        <v>2.2751756760242447E-2</v>
      </c>
      <c r="AA217" s="17">
        <f t="shared" si="170"/>
        <v>0.1990778716521214</v>
      </c>
      <c r="AB217" s="541" t="s">
        <v>338</v>
      </c>
    </row>
    <row r="218" spans="10:28" x14ac:dyDescent="0.25">
      <c r="J218" s="250">
        <v>2</v>
      </c>
      <c r="K218" s="205">
        <f>hstr2</f>
        <v>3</v>
      </c>
      <c r="L218" s="205">
        <f>L219+K218</f>
        <v>5.75</v>
      </c>
      <c r="M218" s="251">
        <f>'Yield Mechanism'!$X$61</f>
        <v>2.2281127454538285E-4</v>
      </c>
      <c r="N218" s="21">
        <f>M218-M219</f>
        <v>1.19935598851961E-4</v>
      </c>
      <c r="O218" s="252">
        <f t="shared" si="167"/>
        <v>3.997853295065367E-5</v>
      </c>
      <c r="P218" s="251">
        <f>$C$30</f>
        <v>6.4157970868129726E-3</v>
      </c>
      <c r="Q218" s="251">
        <f>$D$30</f>
        <v>1.7349058472302754E-3</v>
      </c>
      <c r="R218" s="17">
        <f t="shared" si="172"/>
        <v>6.2312651740226536E-3</v>
      </c>
      <c r="S218" s="17">
        <f t="shared" si="168"/>
        <v>2.3043632606621383E-2</v>
      </c>
      <c r="T218" s="1065">
        <f>'Yield Mechanism'!$AI$61</f>
        <v>9.5175986618025288</v>
      </c>
      <c r="U218" s="205">
        <f t="shared" si="173"/>
        <v>96.397484241225683</v>
      </c>
      <c r="V218" s="1012"/>
      <c r="W218" s="194"/>
      <c r="X218" s="291">
        <v>2</v>
      </c>
      <c r="Y218" s="17">
        <f>mstr2</f>
        <v>67.278400000000005</v>
      </c>
      <c r="Z218" s="17">
        <f t="shared" si="169"/>
        <v>1.4990386053374086E-2</v>
      </c>
      <c r="AA218" s="17">
        <f t="shared" si="170"/>
        <v>8.6194719806900993E-2</v>
      </c>
      <c r="AB218" s="17">
        <f>((Y219*M217+Y218*M218+Y217*M219+M216*Y216+M215*Y215+M214*Y214)^2)/(Y219*M217*M217+Y218*M218*M218+Y217*M219*M219+Y216*M216*M216+Y215*M215*M215+Y214*M214*M214)</f>
        <v>334.26818500347838</v>
      </c>
    </row>
    <row r="219" spans="10:28" x14ac:dyDescent="0.25">
      <c r="J219" s="250">
        <v>1</v>
      </c>
      <c r="K219" s="205">
        <f>hstr1</f>
        <v>2.75</v>
      </c>
      <c r="L219" s="205">
        <f>K219</f>
        <v>2.75</v>
      </c>
      <c r="M219" s="251">
        <f>'Yield Mechanism'!$X$62</f>
        <v>1.0287567569342185E-4</v>
      </c>
      <c r="N219" s="21">
        <f>M219</f>
        <v>1.0287567569342185E-4</v>
      </c>
      <c r="O219" s="252">
        <f>N219/K219</f>
        <v>3.7409336615789761E-5</v>
      </c>
      <c r="P219" s="251">
        <f>$C$31</f>
        <v>4.8471720397440425E-3</v>
      </c>
      <c r="Q219" s="251">
        <f>$D$31</f>
        <v>1.7665298310518072E-3</v>
      </c>
      <c r="R219" s="17">
        <f t="shared" si="172"/>
        <v>7.7177653916664325E-3</v>
      </c>
      <c r="S219" s="17">
        <f t="shared" si="168"/>
        <v>2.1176736423135247E-2</v>
      </c>
      <c r="T219" s="1065">
        <f>'Yield Mechanism'!$AI$62</f>
        <v>10.000055466100285</v>
      </c>
      <c r="U219" s="205">
        <f t="shared" si="173"/>
        <v>123.89763677300147</v>
      </c>
      <c r="V219" s="1013"/>
      <c r="W219" s="194"/>
      <c r="X219" s="291">
        <v>1</v>
      </c>
      <c r="Y219" s="17">
        <f>mstr1</f>
        <v>67.278400000000005</v>
      </c>
      <c r="Z219" s="17">
        <f t="shared" si="169"/>
        <v>6.9213108595723126E-3</v>
      </c>
      <c r="AA219" s="17">
        <f t="shared" si="170"/>
        <v>1.9033604863823859E-2</v>
      </c>
      <c r="AB219" s="540" t="s">
        <v>337</v>
      </c>
    </row>
    <row r="220" spans="10:28" x14ac:dyDescent="0.25">
      <c r="X220" s="292"/>
      <c r="Y220" s="540" t="s">
        <v>78</v>
      </c>
      <c r="Z220" s="253">
        <f>SUM(Z214:Z219)</f>
        <v>0.14348017164378923</v>
      </c>
      <c r="AA220" s="253">
        <f>SUM(AA214:AA219)</f>
        <v>1.7776831442549539</v>
      </c>
      <c r="AB220" s="204">
        <f>2*PI()*SQRT(AB218/AB216)</f>
        <v>0.85317655078832455</v>
      </c>
    </row>
    <row r="223" spans="10:28" ht="15.75" customHeight="1" x14ac:dyDescent="0.25">
      <c r="J223" s="1022" t="s">
        <v>488</v>
      </c>
      <c r="K223" s="1023"/>
      <c r="L223" s="1023"/>
      <c r="M223" s="1023"/>
      <c r="N223" s="1023"/>
      <c r="O223" s="1023"/>
      <c r="P223" s="1023"/>
      <c r="Q223" s="1024"/>
      <c r="R223" s="280" t="s">
        <v>238</v>
      </c>
      <c r="S223" s="1014" t="s">
        <v>221</v>
      </c>
    </row>
    <row r="224" spans="10:28" x14ac:dyDescent="0.25">
      <c r="J224" s="698" t="s">
        <v>5</v>
      </c>
      <c r="K224" s="698" t="s">
        <v>489</v>
      </c>
      <c r="L224" s="1021" t="s">
        <v>490</v>
      </c>
      <c r="M224" s="698" t="s">
        <v>262</v>
      </c>
      <c r="N224" s="1021" t="s">
        <v>263</v>
      </c>
      <c r="O224" s="698" t="s">
        <v>491</v>
      </c>
      <c r="P224" s="1017" t="s">
        <v>237</v>
      </c>
      <c r="Q224" s="1019" t="s">
        <v>236</v>
      </c>
      <c r="R224" s="1063" t="s">
        <v>236</v>
      </c>
      <c r="S224" s="1015"/>
    </row>
    <row r="225" spans="9:20" x14ac:dyDescent="0.25">
      <c r="J225" s="698">
        <v>0</v>
      </c>
      <c r="K225" s="698">
        <v>0</v>
      </c>
      <c r="L225" s="1021">
        <v>0</v>
      </c>
      <c r="M225" s="698">
        <v>0</v>
      </c>
      <c r="N225" s="1021">
        <v>0</v>
      </c>
      <c r="O225" s="698">
        <v>0</v>
      </c>
      <c r="P225" s="1018"/>
      <c r="Q225" s="1020"/>
      <c r="R225" s="1063"/>
      <c r="S225" s="1016"/>
      <c r="T225" s="122"/>
    </row>
    <row r="226" spans="9:20" x14ac:dyDescent="0.25">
      <c r="J226" s="155">
        <v>3</v>
      </c>
      <c r="K226" s="208">
        <v>0.5</v>
      </c>
      <c r="L226" s="208">
        <v>0.5</v>
      </c>
      <c r="M226" s="208">
        <v>2.0624500000000004E-3</v>
      </c>
      <c r="N226" s="204">
        <v>119.66753499999997</v>
      </c>
      <c r="O226" s="281">
        <v>58022.029624960582</v>
      </c>
      <c r="P226" s="204">
        <v>6055.3598359075004</v>
      </c>
      <c r="Q226" s="282">
        <f>O226-P226</f>
        <v>51966.669789053078</v>
      </c>
      <c r="R226" s="283">
        <f>'System Capacities'!J22</f>
        <v>63286.325833605413</v>
      </c>
      <c r="S226" s="284">
        <f>(Q226-R226)/Q226</f>
        <v>-0.21782531169501365</v>
      </c>
      <c r="T226" s="122"/>
    </row>
    <row r="227" spans="9:20" x14ac:dyDescent="0.25">
      <c r="J227" s="155">
        <v>2</v>
      </c>
      <c r="K227" s="208">
        <v>0.33333333333333331</v>
      </c>
      <c r="L227" s="208">
        <v>0.83333333333333326</v>
      </c>
      <c r="M227" s="208">
        <v>3.3359799999999988E-3</v>
      </c>
      <c r="N227" s="204">
        <v>199.4458916666666</v>
      </c>
      <c r="O227" s="281">
        <v>59786.297180039051</v>
      </c>
      <c r="P227" s="204">
        <v>6663.5282148109345</v>
      </c>
      <c r="Q227" s="282">
        <f>O227-P227</f>
        <v>53122.768965228119</v>
      </c>
      <c r="R227" s="283">
        <f>'System Capacities'!J23</f>
        <v>65331.499217061413</v>
      </c>
      <c r="S227" s="284">
        <f>(Q227-R227)/Q227</f>
        <v>-0.2298210445284696</v>
      </c>
      <c r="T227" s="122"/>
    </row>
    <row r="228" spans="9:20" x14ac:dyDescent="0.25">
      <c r="J228" s="155">
        <v>1</v>
      </c>
      <c r="K228" s="208">
        <v>0.16666666666666666</v>
      </c>
      <c r="L228" s="208">
        <v>0.99999999999999989</v>
      </c>
      <c r="M228" s="208">
        <v>3.2016200000000005E-3</v>
      </c>
      <c r="N228" s="204">
        <v>239.33506999999992</v>
      </c>
      <c r="O228" s="281">
        <v>74754.364977729987</v>
      </c>
      <c r="P228" s="204">
        <v>11304.968775209372</v>
      </c>
      <c r="Q228" s="282">
        <f>O228-P228</f>
        <v>63449.396202520613</v>
      </c>
      <c r="R228" s="283">
        <f>'System Capacities'!J24</f>
        <v>66951.600771768368</v>
      </c>
      <c r="S228" s="285">
        <f>(Q228-R228)/Q228</f>
        <v>-5.5196814766672674E-2</v>
      </c>
      <c r="T228" s="122"/>
    </row>
    <row r="229" spans="9:20" x14ac:dyDescent="0.25">
      <c r="J229" s="1064" t="s">
        <v>492</v>
      </c>
      <c r="K229" s="1064">
        <v>0</v>
      </c>
      <c r="L229" s="1064">
        <v>0</v>
      </c>
      <c r="M229" s="208">
        <f>SUM(M226:M228)</f>
        <v>8.6000499999999997E-3</v>
      </c>
      <c r="N229" s="204">
        <f>N228</f>
        <v>239.33506999999992</v>
      </c>
      <c r="O229" s="281">
        <f>N229/M229</f>
        <v>27829.497502921487</v>
      </c>
      <c r="P229" s="6"/>
      <c r="Q229" s="6"/>
      <c r="R229" s="6"/>
      <c r="S229" s="286"/>
      <c r="T229" s="122"/>
    </row>
    <row r="230" spans="9:20" x14ac:dyDescent="0.25">
      <c r="J230" s="289"/>
      <c r="K230" s="6"/>
      <c r="L230" s="6"/>
      <c r="M230" s="6"/>
      <c r="N230" s="6"/>
      <c r="O230" s="6"/>
      <c r="P230" s="6"/>
      <c r="Q230" s="6"/>
      <c r="R230" s="6"/>
      <c r="S230" s="286"/>
      <c r="T230" s="122"/>
    </row>
    <row r="231" spans="9:20" x14ac:dyDescent="0.25">
      <c r="J231" s="289"/>
      <c r="K231" s="965" t="s">
        <v>262</v>
      </c>
      <c r="L231" s="1017" t="s">
        <v>263</v>
      </c>
      <c r="M231" s="965" t="s">
        <v>264</v>
      </c>
      <c r="N231" s="1019" t="s">
        <v>236</v>
      </c>
      <c r="O231" s="1014" t="s">
        <v>221</v>
      </c>
      <c r="P231" s="965" t="s">
        <v>262</v>
      </c>
      <c r="Q231" s="1017" t="s">
        <v>263</v>
      </c>
      <c r="R231" s="965" t="s">
        <v>265</v>
      </c>
      <c r="S231" s="1014" t="s">
        <v>221</v>
      </c>
      <c r="T231" s="122"/>
    </row>
    <row r="232" spans="9:20" x14ac:dyDescent="0.25">
      <c r="J232" s="289"/>
      <c r="K232" s="697"/>
      <c r="L232" s="1018"/>
      <c r="M232" s="697"/>
      <c r="N232" s="1020"/>
      <c r="O232" s="1016"/>
      <c r="P232" s="697"/>
      <c r="Q232" s="1018"/>
      <c r="R232" s="697"/>
      <c r="S232" s="1016"/>
      <c r="T232" s="122"/>
    </row>
    <row r="233" spans="9:20" x14ac:dyDescent="0.25">
      <c r="J233" s="289"/>
      <c r="K233" s="277">
        <v>8.5949999999999915E-4</v>
      </c>
      <c r="L233" s="294">
        <v>47.412350000000004</v>
      </c>
      <c r="M233" s="295">
        <v>55162.71087841774</v>
      </c>
      <c r="N233" s="296">
        <f>M233-P226</f>
        <v>49107.351042510243</v>
      </c>
      <c r="O233" s="284">
        <f>(N233-R226)/N233</f>
        <v>-0.28873426259178603</v>
      </c>
      <c r="P233" s="277">
        <v>-1.3799999999999576E-4</v>
      </c>
      <c r="Q233" s="294">
        <v>-12.412849999999992</v>
      </c>
      <c r="R233" s="295">
        <v>89948.188405799796</v>
      </c>
      <c r="S233" s="334">
        <f>(R226-R233)/R226</f>
        <v>-0.42128946847530174</v>
      </c>
      <c r="T233" s="122"/>
    </row>
    <row r="234" spans="9:20" x14ac:dyDescent="0.25">
      <c r="J234" s="289"/>
      <c r="K234" s="155">
        <v>5.0108300000000017E-3</v>
      </c>
      <c r="L234" s="204">
        <v>79.020583333333335</v>
      </c>
      <c r="M234" s="281">
        <v>15769.958935612125</v>
      </c>
      <c r="N234" s="296">
        <f t="shared" ref="N234:N235" si="174">M234-P227</f>
        <v>9106.4307208011905</v>
      </c>
      <c r="O234" s="284">
        <f>(N234-R227)/N234</f>
        <v>-6.1742158064003263</v>
      </c>
      <c r="P234" s="155">
        <v>1.476999999999954E-4</v>
      </c>
      <c r="Q234" s="204">
        <v>-20.688083333333317</v>
      </c>
      <c r="R234" s="281">
        <v>-140068.26901377089</v>
      </c>
      <c r="S234" s="284">
        <f>(R227-R234)/R227</f>
        <v>3.1439622646405128</v>
      </c>
      <c r="T234" s="122"/>
    </row>
    <row r="235" spans="9:20" ht="15" customHeight="1" x14ac:dyDescent="0.25">
      <c r="J235" s="289"/>
      <c r="K235" s="155">
        <v>4.5296700000000004E-3</v>
      </c>
      <c r="L235" s="204">
        <v>94.824699999999993</v>
      </c>
      <c r="M235" s="281">
        <v>20934.129859349574</v>
      </c>
      <c r="N235" s="296">
        <f t="shared" si="174"/>
        <v>9629.1610841402016</v>
      </c>
      <c r="O235" s="285">
        <f>(N235-R228)/N235</f>
        <v>-5.9530045438788664</v>
      </c>
      <c r="P235" s="155">
        <v>7.7903000000000017E-3</v>
      </c>
      <c r="Q235" s="204">
        <v>-24.82569999999998</v>
      </c>
      <c r="R235" s="281">
        <v>-3186.7450547475673</v>
      </c>
      <c r="S235" s="285">
        <f>(R228-R235)/R228</f>
        <v>1.0475977425186722</v>
      </c>
    </row>
    <row r="236" spans="9:20" x14ac:dyDescent="0.25">
      <c r="J236" s="1061" t="str">
        <f>J229</f>
        <v>Structure Stiffness (kN/m)</v>
      </c>
      <c r="K236" s="1062"/>
      <c r="L236" s="155">
        <f>SUM(K233:K235)</f>
        <v>1.0400000000000001E-2</v>
      </c>
      <c r="M236" s="204">
        <f>L235</f>
        <v>94.824699999999993</v>
      </c>
      <c r="N236" s="281">
        <f>M236/L236</f>
        <v>9117.7596153846134</v>
      </c>
      <c r="O236" s="287"/>
      <c r="P236" s="155">
        <f>SUM(P233:P235)</f>
        <v>7.8000000000000014E-3</v>
      </c>
      <c r="Q236" s="136">
        <f>Q235</f>
        <v>-24.82569999999998</v>
      </c>
      <c r="R236" s="281">
        <f>Q236/P236</f>
        <v>-3182.7820512820481</v>
      </c>
      <c r="S236" s="288"/>
    </row>
    <row r="238" spans="9:20" x14ac:dyDescent="0.25"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</row>
    <row r="239" spans="9:20" x14ac:dyDescent="0.25"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</row>
    <row r="240" spans="9:20" x14ac:dyDescent="0.25"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</row>
    <row r="241" spans="9:20" x14ac:dyDescent="0.25"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</row>
    <row r="242" spans="9:20" x14ac:dyDescent="0.25"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</row>
    <row r="243" spans="9:20" x14ac:dyDescent="0.25"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</row>
    <row r="244" spans="9:20" x14ac:dyDescent="0.25"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</row>
    <row r="245" spans="9:20" x14ac:dyDescent="0.25"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</row>
    <row r="246" spans="9:20" x14ac:dyDescent="0.25"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</row>
    <row r="247" spans="9:20" x14ac:dyDescent="0.25"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</row>
  </sheetData>
  <mergeCells count="477">
    <mergeCell ref="J236:K236"/>
    <mergeCell ref="X211:AB211"/>
    <mergeCell ref="J212:J213"/>
    <mergeCell ref="K212:K213"/>
    <mergeCell ref="L212:L213"/>
    <mergeCell ref="M212:M213"/>
    <mergeCell ref="N212:N213"/>
    <mergeCell ref="O212:O213"/>
    <mergeCell ref="P212:P213"/>
    <mergeCell ref="Q212:Q213"/>
    <mergeCell ref="R212:R213"/>
    <mergeCell ref="S212:S213"/>
    <mergeCell ref="T212:T213"/>
    <mergeCell ref="U212:U213"/>
    <mergeCell ref="V212:V213"/>
    <mergeCell ref="X212:X213"/>
    <mergeCell ref="Y212:Y213"/>
    <mergeCell ref="Z212:Z213"/>
    <mergeCell ref="AA212:AA213"/>
    <mergeCell ref="AB212:AB213"/>
    <mergeCell ref="R224:R225"/>
    <mergeCell ref="J229:L229"/>
    <mergeCell ref="K231:K232"/>
    <mergeCell ref="N231:N232"/>
    <mergeCell ref="X200:AB200"/>
    <mergeCell ref="J201:J202"/>
    <mergeCell ref="K201:K202"/>
    <mergeCell ref="L201:L202"/>
    <mergeCell ref="M201:M202"/>
    <mergeCell ref="N201:N202"/>
    <mergeCell ref="O201:O202"/>
    <mergeCell ref="P201:P202"/>
    <mergeCell ref="Q201:Q202"/>
    <mergeCell ref="R201:R202"/>
    <mergeCell ref="S201:S202"/>
    <mergeCell ref="T201:T202"/>
    <mergeCell ref="U201:U202"/>
    <mergeCell ref="V201:V202"/>
    <mergeCell ref="X201:X202"/>
    <mergeCell ref="Y201:Y202"/>
    <mergeCell ref="Z201:Z202"/>
    <mergeCell ref="AA201:AA202"/>
    <mergeCell ref="AB201:AB202"/>
    <mergeCell ref="X189:AB189"/>
    <mergeCell ref="J190:J191"/>
    <mergeCell ref="K190:K191"/>
    <mergeCell ref="L190:L191"/>
    <mergeCell ref="M190:M191"/>
    <mergeCell ref="N190:N191"/>
    <mergeCell ref="O190:O191"/>
    <mergeCell ref="P190:P191"/>
    <mergeCell ref="Q190:Q191"/>
    <mergeCell ref="R190:R191"/>
    <mergeCell ref="S190:S191"/>
    <mergeCell ref="T190:T191"/>
    <mergeCell ref="U190:U191"/>
    <mergeCell ref="V190:V191"/>
    <mergeCell ref="X190:X191"/>
    <mergeCell ref="Y190:Y191"/>
    <mergeCell ref="Z190:Z191"/>
    <mergeCell ref="AA190:AA191"/>
    <mergeCell ref="AB190:AB191"/>
    <mergeCell ref="X178:AB178"/>
    <mergeCell ref="J179:J180"/>
    <mergeCell ref="K179:K180"/>
    <mergeCell ref="L179:L180"/>
    <mergeCell ref="M179:M180"/>
    <mergeCell ref="N179:N180"/>
    <mergeCell ref="O179:O180"/>
    <mergeCell ref="P179:P180"/>
    <mergeCell ref="Q179:Q180"/>
    <mergeCell ref="R179:R180"/>
    <mergeCell ref="S179:S180"/>
    <mergeCell ref="T179:T180"/>
    <mergeCell ref="U179:U180"/>
    <mergeCell ref="V179:V180"/>
    <mergeCell ref="X179:X180"/>
    <mergeCell ref="Y179:Y180"/>
    <mergeCell ref="Z179:Z180"/>
    <mergeCell ref="AA179:AA180"/>
    <mergeCell ref="AB179:AB180"/>
    <mergeCell ref="X167:AB167"/>
    <mergeCell ref="J168:J169"/>
    <mergeCell ref="K168:K169"/>
    <mergeCell ref="L168:L169"/>
    <mergeCell ref="M168:M169"/>
    <mergeCell ref="N168:N169"/>
    <mergeCell ref="O168:O169"/>
    <mergeCell ref="P168:P169"/>
    <mergeCell ref="Q168:Q169"/>
    <mergeCell ref="R168:R169"/>
    <mergeCell ref="S168:S169"/>
    <mergeCell ref="T168:T169"/>
    <mergeCell ref="U168:U169"/>
    <mergeCell ref="V168:V169"/>
    <mergeCell ref="X168:X169"/>
    <mergeCell ref="Y168:Y169"/>
    <mergeCell ref="Z168:Z169"/>
    <mergeCell ref="AA168:AA169"/>
    <mergeCell ref="AB168:AB169"/>
    <mergeCell ref="X156:AB156"/>
    <mergeCell ref="J157:J158"/>
    <mergeCell ref="K157:K158"/>
    <mergeCell ref="L157:L158"/>
    <mergeCell ref="M157:M158"/>
    <mergeCell ref="N157:N158"/>
    <mergeCell ref="O157:O158"/>
    <mergeCell ref="P157:P158"/>
    <mergeCell ref="Q157:Q158"/>
    <mergeCell ref="R157:R158"/>
    <mergeCell ref="S157:S158"/>
    <mergeCell ref="T157:T158"/>
    <mergeCell ref="U157:U158"/>
    <mergeCell ref="V157:V158"/>
    <mergeCell ref="X157:X158"/>
    <mergeCell ref="Y157:Y158"/>
    <mergeCell ref="Z157:Z158"/>
    <mergeCell ref="AA157:AA158"/>
    <mergeCell ref="AB157:AB158"/>
    <mergeCell ref="X145:AB145"/>
    <mergeCell ref="J146:J147"/>
    <mergeCell ref="K146:K147"/>
    <mergeCell ref="L146:L147"/>
    <mergeCell ref="M146:M147"/>
    <mergeCell ref="N146:N147"/>
    <mergeCell ref="O146:O147"/>
    <mergeCell ref="P146:P147"/>
    <mergeCell ref="Q146:Q147"/>
    <mergeCell ref="R146:R147"/>
    <mergeCell ref="S146:S147"/>
    <mergeCell ref="T146:T147"/>
    <mergeCell ref="U146:U147"/>
    <mergeCell ref="V146:V147"/>
    <mergeCell ref="X146:X147"/>
    <mergeCell ref="Y146:Y147"/>
    <mergeCell ref="Z146:Z147"/>
    <mergeCell ref="AA146:AA147"/>
    <mergeCell ref="AB146:AB147"/>
    <mergeCell ref="X134:AB134"/>
    <mergeCell ref="J135:J136"/>
    <mergeCell ref="K135:K136"/>
    <mergeCell ref="L135:L136"/>
    <mergeCell ref="M135:M136"/>
    <mergeCell ref="N135:N136"/>
    <mergeCell ref="O135:O136"/>
    <mergeCell ref="P135:P136"/>
    <mergeCell ref="Q135:Q136"/>
    <mergeCell ref="R135:R136"/>
    <mergeCell ref="S135:S136"/>
    <mergeCell ref="T135:T136"/>
    <mergeCell ref="U135:U136"/>
    <mergeCell ref="V135:V136"/>
    <mergeCell ref="X135:X136"/>
    <mergeCell ref="Y135:Y136"/>
    <mergeCell ref="Z135:Z136"/>
    <mergeCell ref="AA135:AA136"/>
    <mergeCell ref="AB135:AB136"/>
    <mergeCell ref="X123:AB123"/>
    <mergeCell ref="J124:J125"/>
    <mergeCell ref="K124:K125"/>
    <mergeCell ref="L124:L125"/>
    <mergeCell ref="M124:M125"/>
    <mergeCell ref="N124:N125"/>
    <mergeCell ref="O124:O125"/>
    <mergeCell ref="P124:P125"/>
    <mergeCell ref="Q124:Q125"/>
    <mergeCell ref="R124:R125"/>
    <mergeCell ref="S124:S125"/>
    <mergeCell ref="T124:T125"/>
    <mergeCell ref="U124:U125"/>
    <mergeCell ref="V124:V125"/>
    <mergeCell ref="X124:X125"/>
    <mergeCell ref="Y124:Y125"/>
    <mergeCell ref="Z124:Z125"/>
    <mergeCell ref="AA124:AA125"/>
    <mergeCell ref="AB124:AB125"/>
    <mergeCell ref="X112:AB112"/>
    <mergeCell ref="J113:J114"/>
    <mergeCell ref="K113:K114"/>
    <mergeCell ref="L113:L114"/>
    <mergeCell ref="M113:M114"/>
    <mergeCell ref="N113:N114"/>
    <mergeCell ref="O113:O114"/>
    <mergeCell ref="P113:P114"/>
    <mergeCell ref="Q113:Q114"/>
    <mergeCell ref="R113:R114"/>
    <mergeCell ref="S113:S114"/>
    <mergeCell ref="T113:T114"/>
    <mergeCell ref="U113:U114"/>
    <mergeCell ref="V113:V114"/>
    <mergeCell ref="X113:X114"/>
    <mergeCell ref="Y113:Y114"/>
    <mergeCell ref="Z113:Z114"/>
    <mergeCell ref="AA113:AA114"/>
    <mergeCell ref="AB113:AB114"/>
    <mergeCell ref="Y102:Y103"/>
    <mergeCell ref="Z102:Z103"/>
    <mergeCell ref="AA102:AA103"/>
    <mergeCell ref="AB102:AB103"/>
    <mergeCell ref="S91:S92"/>
    <mergeCell ref="T91:T92"/>
    <mergeCell ref="U91:U92"/>
    <mergeCell ref="V91:V92"/>
    <mergeCell ref="X91:X92"/>
    <mergeCell ref="Y91:Y92"/>
    <mergeCell ref="Z91:Z92"/>
    <mergeCell ref="AA91:AA92"/>
    <mergeCell ref="AB91:AB92"/>
    <mergeCell ref="X101:AB101"/>
    <mergeCell ref="X102:X103"/>
    <mergeCell ref="J101:V101"/>
    <mergeCell ref="J102:J103"/>
    <mergeCell ref="K102:K103"/>
    <mergeCell ref="L102:L103"/>
    <mergeCell ref="M102:M103"/>
    <mergeCell ref="N102:N103"/>
    <mergeCell ref="O102:O103"/>
    <mergeCell ref="P102:P103"/>
    <mergeCell ref="Q102:Q103"/>
    <mergeCell ref="X90:AB90"/>
    <mergeCell ref="J91:J92"/>
    <mergeCell ref="K91:K92"/>
    <mergeCell ref="L91:L92"/>
    <mergeCell ref="M91:M92"/>
    <mergeCell ref="N91:N92"/>
    <mergeCell ref="O91:O92"/>
    <mergeCell ref="P91:P92"/>
    <mergeCell ref="Q91:Q92"/>
    <mergeCell ref="R91:R92"/>
    <mergeCell ref="X79:AB79"/>
    <mergeCell ref="J80:J81"/>
    <mergeCell ref="K80:K81"/>
    <mergeCell ref="L80:L81"/>
    <mergeCell ref="M80:M81"/>
    <mergeCell ref="N80:N81"/>
    <mergeCell ref="O80:O81"/>
    <mergeCell ref="P80:P81"/>
    <mergeCell ref="Q80:Q81"/>
    <mergeCell ref="R80:R81"/>
    <mergeCell ref="S80:S81"/>
    <mergeCell ref="T80:T81"/>
    <mergeCell ref="U80:U81"/>
    <mergeCell ref="V80:V81"/>
    <mergeCell ref="X80:X81"/>
    <mergeCell ref="Y80:Y81"/>
    <mergeCell ref="Z80:Z81"/>
    <mergeCell ref="AA80:AA81"/>
    <mergeCell ref="AB80:AB81"/>
    <mergeCell ref="L231:L232"/>
    <mergeCell ref="M231:M232"/>
    <mergeCell ref="P231:P232"/>
    <mergeCell ref="Q231:Q232"/>
    <mergeCell ref="R231:R232"/>
    <mergeCell ref="O231:O232"/>
    <mergeCell ref="J79:V79"/>
    <mergeCell ref="J90:V90"/>
    <mergeCell ref="J134:V134"/>
    <mergeCell ref="J145:V145"/>
    <mergeCell ref="J156:V156"/>
    <mergeCell ref="S231:S232"/>
    <mergeCell ref="R102:R103"/>
    <mergeCell ref="S102:S103"/>
    <mergeCell ref="T102:T103"/>
    <mergeCell ref="U102:U103"/>
    <mergeCell ref="V102:V103"/>
    <mergeCell ref="J112:V112"/>
    <mergeCell ref="J123:V123"/>
    <mergeCell ref="J167:V167"/>
    <mergeCell ref="J178:V178"/>
    <mergeCell ref="J189:V189"/>
    <mergeCell ref="J200:V200"/>
    <mergeCell ref="J211:V211"/>
    <mergeCell ref="B135:B136"/>
    <mergeCell ref="C135:C136"/>
    <mergeCell ref="D135:D136"/>
    <mergeCell ref="E135:E136"/>
    <mergeCell ref="F135:F136"/>
    <mergeCell ref="G135:G136"/>
    <mergeCell ref="U36:U37"/>
    <mergeCell ref="V36:V37"/>
    <mergeCell ref="J46:V46"/>
    <mergeCell ref="J36:J37"/>
    <mergeCell ref="K36:K37"/>
    <mergeCell ref="R69:R70"/>
    <mergeCell ref="S69:S70"/>
    <mergeCell ref="T69:T70"/>
    <mergeCell ref="U69:U70"/>
    <mergeCell ref="V69:V70"/>
    <mergeCell ref="E41:E42"/>
    <mergeCell ref="F41:F42"/>
    <mergeCell ref="G41:G42"/>
    <mergeCell ref="B123:H123"/>
    <mergeCell ref="D124:H124"/>
    <mergeCell ref="Q36:Q37"/>
    <mergeCell ref="S36:S37"/>
    <mergeCell ref="Q47:Q48"/>
    <mergeCell ref="B134:H134"/>
    <mergeCell ref="B124:B125"/>
    <mergeCell ref="C124:C125"/>
    <mergeCell ref="T36:T37"/>
    <mergeCell ref="R58:R59"/>
    <mergeCell ref="T58:T59"/>
    <mergeCell ref="P47:P48"/>
    <mergeCell ref="R47:R48"/>
    <mergeCell ref="T47:T48"/>
    <mergeCell ref="J47:J48"/>
    <mergeCell ref="K47:K48"/>
    <mergeCell ref="L47:L48"/>
    <mergeCell ref="M47:M48"/>
    <mergeCell ref="N47:N48"/>
    <mergeCell ref="O47:O48"/>
    <mergeCell ref="J57:V57"/>
    <mergeCell ref="J58:J59"/>
    <mergeCell ref="K58:K59"/>
    <mergeCell ref="L58:L59"/>
    <mergeCell ref="M58:M59"/>
    <mergeCell ref="N58:N59"/>
    <mergeCell ref="O58:O59"/>
    <mergeCell ref="P58:P59"/>
    <mergeCell ref="S47:S48"/>
    <mergeCell ref="P3:P4"/>
    <mergeCell ref="L14:L15"/>
    <mergeCell ref="M14:M15"/>
    <mergeCell ref="N14:N15"/>
    <mergeCell ref="J35:V35"/>
    <mergeCell ref="U3:U4"/>
    <mergeCell ref="L36:L37"/>
    <mergeCell ref="M36:M37"/>
    <mergeCell ref="N36:N37"/>
    <mergeCell ref="O36:O37"/>
    <mergeCell ref="P36:P37"/>
    <mergeCell ref="R36:R37"/>
    <mergeCell ref="S14:S15"/>
    <mergeCell ref="Q25:Q26"/>
    <mergeCell ref="S25:S26"/>
    <mergeCell ref="V6:V10"/>
    <mergeCell ref="V17:V21"/>
    <mergeCell ref="V28:V32"/>
    <mergeCell ref="X13:AB13"/>
    <mergeCell ref="X14:X15"/>
    <mergeCell ref="Y14:Y15"/>
    <mergeCell ref="Z14:Z15"/>
    <mergeCell ref="B35:D35"/>
    <mergeCell ref="B2:H2"/>
    <mergeCell ref="B13:H13"/>
    <mergeCell ref="B14:B15"/>
    <mergeCell ref="C14:D14"/>
    <mergeCell ref="E14:E15"/>
    <mergeCell ref="F14:F15"/>
    <mergeCell ref="G14:H15"/>
    <mergeCell ref="B3:B4"/>
    <mergeCell ref="E3:E4"/>
    <mergeCell ref="F3:F4"/>
    <mergeCell ref="C3:D3"/>
    <mergeCell ref="G3:H4"/>
    <mergeCell ref="B24:H24"/>
    <mergeCell ref="E35:G35"/>
    <mergeCell ref="J3:J4"/>
    <mergeCell ref="O3:O4"/>
    <mergeCell ref="T14:T15"/>
    <mergeCell ref="U14:U15"/>
    <mergeCell ref="V14:V15"/>
    <mergeCell ref="AB3:AB4"/>
    <mergeCell ref="V3:V4"/>
    <mergeCell ref="J14:J15"/>
    <mergeCell ref="K14:K15"/>
    <mergeCell ref="AA3:AA4"/>
    <mergeCell ref="P25:P26"/>
    <mergeCell ref="R25:R26"/>
    <mergeCell ref="T25:T26"/>
    <mergeCell ref="U25:U26"/>
    <mergeCell ref="M3:M4"/>
    <mergeCell ref="Y25:Y26"/>
    <mergeCell ref="Z25:Z26"/>
    <mergeCell ref="AA25:AA26"/>
    <mergeCell ref="V25:V26"/>
    <mergeCell ref="Y3:Y4"/>
    <mergeCell ref="Z3:Z4"/>
    <mergeCell ref="R3:R4"/>
    <mergeCell ref="T3:T4"/>
    <mergeCell ref="S3:S4"/>
    <mergeCell ref="Q3:Q4"/>
    <mergeCell ref="Q14:Q15"/>
    <mergeCell ref="AB14:AB15"/>
    <mergeCell ref="X24:AB24"/>
    <mergeCell ref="X25:X26"/>
    <mergeCell ref="Q58:Q59"/>
    <mergeCell ref="S58:S59"/>
    <mergeCell ref="U47:U48"/>
    <mergeCell ref="V47:V48"/>
    <mergeCell ref="U58:U59"/>
    <mergeCell ref="V58:V59"/>
    <mergeCell ref="X2:AB2"/>
    <mergeCell ref="J2:V2"/>
    <mergeCell ref="J13:V13"/>
    <mergeCell ref="R14:R15"/>
    <mergeCell ref="J24:V24"/>
    <mergeCell ref="J25:J26"/>
    <mergeCell ref="K25:K26"/>
    <mergeCell ref="K3:K4"/>
    <mergeCell ref="N3:N4"/>
    <mergeCell ref="L3:L4"/>
    <mergeCell ref="X3:X4"/>
    <mergeCell ref="L25:L26"/>
    <mergeCell ref="M25:M26"/>
    <mergeCell ref="N25:N26"/>
    <mergeCell ref="O25:O26"/>
    <mergeCell ref="O14:O15"/>
    <mergeCell ref="P14:P15"/>
    <mergeCell ref="AA14:AA15"/>
    <mergeCell ref="AB25:AB26"/>
    <mergeCell ref="X57:AB57"/>
    <mergeCell ref="X58:X59"/>
    <mergeCell ref="Y58:Y59"/>
    <mergeCell ref="Z58:Z59"/>
    <mergeCell ref="AA58:AA59"/>
    <mergeCell ref="AB58:AB59"/>
    <mergeCell ref="X46:AB46"/>
    <mergeCell ref="X47:X48"/>
    <mergeCell ref="Y47:Y48"/>
    <mergeCell ref="Z47:Z48"/>
    <mergeCell ref="AA47:AA48"/>
    <mergeCell ref="AB47:AB48"/>
    <mergeCell ref="X35:AB35"/>
    <mergeCell ref="X36:X37"/>
    <mergeCell ref="Y36:Y37"/>
    <mergeCell ref="Z36:Z37"/>
    <mergeCell ref="AA36:AA37"/>
    <mergeCell ref="AB36:AB37"/>
    <mergeCell ref="X68:AB68"/>
    <mergeCell ref="J69:J70"/>
    <mergeCell ref="K69:K70"/>
    <mergeCell ref="L69:L70"/>
    <mergeCell ref="M69:M70"/>
    <mergeCell ref="N69:N70"/>
    <mergeCell ref="O69:O70"/>
    <mergeCell ref="P69:P70"/>
    <mergeCell ref="Q69:Q70"/>
    <mergeCell ref="AB69:AB70"/>
    <mergeCell ref="X69:X70"/>
    <mergeCell ref="Y69:Y70"/>
    <mergeCell ref="Z69:Z70"/>
    <mergeCell ref="AA69:AA70"/>
    <mergeCell ref="J68:V68"/>
    <mergeCell ref="H135:H136"/>
    <mergeCell ref="C186:C187"/>
    <mergeCell ref="S223:S225"/>
    <mergeCell ref="P224:P225"/>
    <mergeCell ref="Q224:Q225"/>
    <mergeCell ref="J224:J225"/>
    <mergeCell ref="K224:K225"/>
    <mergeCell ref="L224:L225"/>
    <mergeCell ref="M224:M225"/>
    <mergeCell ref="N224:N225"/>
    <mergeCell ref="O224:O225"/>
    <mergeCell ref="J223:Q223"/>
    <mergeCell ref="F186:F187"/>
    <mergeCell ref="C185:F185"/>
    <mergeCell ref="D186:D187"/>
    <mergeCell ref="E186:E187"/>
    <mergeCell ref="V138:V142"/>
    <mergeCell ref="V149:V153"/>
    <mergeCell ref="V160:V164"/>
    <mergeCell ref="V171:V175"/>
    <mergeCell ref="V182:V186"/>
    <mergeCell ref="V193:V197"/>
    <mergeCell ref="V204:V208"/>
    <mergeCell ref="V215:V219"/>
    <mergeCell ref="V39:V43"/>
    <mergeCell ref="V50:V54"/>
    <mergeCell ref="V61:V65"/>
    <mergeCell ref="V72:V76"/>
    <mergeCell ref="V83:V87"/>
    <mergeCell ref="V94:V98"/>
    <mergeCell ref="V105:V109"/>
    <mergeCell ref="V116:V120"/>
    <mergeCell ref="V127:V131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68</vt:i4>
      </vt:variant>
    </vt:vector>
  </HeadingPairs>
  <TitlesOfParts>
    <vt:vector size="74" baseType="lpstr">
      <vt:lpstr>Structural Information</vt:lpstr>
      <vt:lpstr>Frame Capacities</vt:lpstr>
      <vt:lpstr>Infill Capacities</vt:lpstr>
      <vt:lpstr>System Capacities</vt:lpstr>
      <vt:lpstr>Yield Mechanism</vt:lpstr>
      <vt:lpstr>Post-yield Mechanism</vt:lpstr>
      <vt:lpstr>Asbb</vt:lpstr>
      <vt:lpstr>Asbt</vt:lpstr>
      <vt:lpstr>Ascol1</vt:lpstr>
      <vt:lpstr>Ascol2</vt:lpstr>
      <vt:lpstr>Ascol3</vt:lpstr>
      <vt:lpstr>Ec_M</vt:lpstr>
      <vt:lpstr>Ec_S</vt:lpstr>
      <vt:lpstr>Ec_W</vt:lpstr>
      <vt:lpstr>epc0</vt:lpstr>
      <vt:lpstr>epy</vt:lpstr>
      <vt:lpstr>Ewh_M</vt:lpstr>
      <vt:lpstr>Ewh_S</vt:lpstr>
      <vt:lpstr>Ewh_W</vt:lpstr>
      <vt:lpstr>Ewv_M</vt:lpstr>
      <vt:lpstr>Ewv_S</vt:lpstr>
      <vt:lpstr>Ewv_W</vt:lpstr>
      <vt:lpstr>Fck</vt:lpstr>
      <vt:lpstr>fwh_M</vt:lpstr>
      <vt:lpstr>fwh_S</vt:lpstr>
      <vt:lpstr>fwh_W</vt:lpstr>
      <vt:lpstr>fws_M</vt:lpstr>
      <vt:lpstr>fws_S</vt:lpstr>
      <vt:lpstr>fws_W</vt:lpstr>
      <vt:lpstr>fwu_M</vt:lpstr>
      <vt:lpstr>fwu_S</vt:lpstr>
      <vt:lpstr>fwu_W</vt:lpstr>
      <vt:lpstr>fwv_M</vt:lpstr>
      <vt:lpstr>fwv_S</vt:lpstr>
      <vt:lpstr>fwv_W</vt:lpstr>
      <vt:lpstr>Fyk</vt:lpstr>
      <vt:lpstr>Gw_M</vt:lpstr>
      <vt:lpstr>Gw_S</vt:lpstr>
      <vt:lpstr>Gw_W</vt:lpstr>
      <vt:lpstr>Hbe</vt:lpstr>
      <vt:lpstr>Hbeam1</vt:lpstr>
      <vt:lpstr>Hcol1</vt:lpstr>
      <vt:lpstr>Hcol2</vt:lpstr>
      <vt:lpstr>Hcol3</vt:lpstr>
      <vt:lpstr>hstr0</vt:lpstr>
      <vt:lpstr>hstr1</vt:lpstr>
      <vt:lpstr>hstr2</vt:lpstr>
      <vt:lpstr>hstr3</vt:lpstr>
      <vt:lpstr>hstr4</vt:lpstr>
      <vt:lpstr>hstr5</vt:lpstr>
      <vt:lpstr>hstr6</vt:lpstr>
      <vt:lpstr>Lbay1</vt:lpstr>
      <vt:lpstr>Lbay2</vt:lpstr>
      <vt:lpstr>Lbay3</vt:lpstr>
      <vt:lpstr>Lbay4</vt:lpstr>
      <vt:lpstr>Lbay5</vt:lpstr>
      <vt:lpstr>mstr1</vt:lpstr>
      <vt:lpstr>mstr2</vt:lpstr>
      <vt:lpstr>mstr3</vt:lpstr>
      <vt:lpstr>mstr4</vt:lpstr>
      <vt:lpstr>mstr5</vt:lpstr>
      <vt:lpstr>mstr6</vt:lpstr>
      <vt:lpstr>Phicol1</vt:lpstr>
      <vt:lpstr>Phicol2</vt:lpstr>
      <vt:lpstr>Phicol3</vt:lpstr>
      <vt:lpstr>StepSize</vt:lpstr>
      <vt:lpstr>theta_c</vt:lpstr>
      <vt:lpstr>tw_M</vt:lpstr>
      <vt:lpstr>tw_S</vt:lpstr>
      <vt:lpstr>tw_W</vt:lpstr>
      <vt:lpstr>Wbe</vt:lpstr>
      <vt:lpstr>Wcol1</vt:lpstr>
      <vt:lpstr>Wcol2</vt:lpstr>
      <vt:lpstr>Wcol3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2020-06-04T00:15:43Z</dcterms:modified>
</cp:coreProperties>
</file>