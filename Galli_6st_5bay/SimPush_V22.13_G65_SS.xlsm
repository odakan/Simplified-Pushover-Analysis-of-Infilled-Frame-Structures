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3D7A97B0-FCDA-41AB-9264-2555EC71E1FE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7" i="7" l="1"/>
  <c r="I67" i="7"/>
  <c r="I66" i="7"/>
  <c r="H67" i="7"/>
  <c r="H66" i="7"/>
  <c r="BG46" i="5"/>
  <c r="BI46" i="5" s="1"/>
  <c r="BD46" i="5"/>
  <c r="BF46" i="5" s="1"/>
  <c r="BA46" i="5"/>
  <c r="BC46" i="5" s="1"/>
  <c r="AZ46" i="5"/>
  <c r="AX46" i="5"/>
  <c r="BI45" i="5"/>
  <c r="BG45" i="5"/>
  <c r="BD45" i="5"/>
  <c r="BF45" i="5" s="1"/>
  <c r="BA45" i="5"/>
  <c r="BC45" i="5" s="1"/>
  <c r="AX45" i="5"/>
  <c r="AZ45" i="5" s="1"/>
  <c r="BG44" i="5"/>
  <c r="BI44" i="5" s="1"/>
  <c r="BF44" i="5"/>
  <c r="BD44" i="5"/>
  <c r="BC44" i="5"/>
  <c r="BA44" i="5"/>
  <c r="AX44" i="5"/>
  <c r="AZ44" i="5" s="1"/>
  <c r="BG43" i="5"/>
  <c r="BI43" i="5" s="1"/>
  <c r="BD43" i="5"/>
  <c r="BF43" i="5" s="1"/>
  <c r="BA43" i="5"/>
  <c r="BC43" i="5" s="1"/>
  <c r="AZ43" i="5"/>
  <c r="AX43" i="5"/>
  <c r="BI42" i="5"/>
  <c r="BG42" i="5"/>
  <c r="BD42" i="5"/>
  <c r="BF42" i="5" s="1"/>
  <c r="BA42" i="5"/>
  <c r="BC42" i="5" s="1"/>
  <c r="AX42" i="5"/>
  <c r="AZ42" i="5" s="1"/>
  <c r="BG41" i="5"/>
  <c r="BI41" i="5" s="1"/>
  <c r="BF41" i="5"/>
  <c r="BD41" i="5"/>
  <c r="BC41" i="5"/>
  <c r="BA41" i="5"/>
  <c r="AX41" i="5"/>
  <c r="AZ41" i="5" s="1"/>
  <c r="BG40" i="5"/>
  <c r="BI40" i="5" s="1"/>
  <c r="BD40" i="5"/>
  <c r="BF40" i="5" s="1"/>
  <c r="BA40" i="5"/>
  <c r="BC40" i="5" s="1"/>
  <c r="AZ40" i="5"/>
  <c r="AX40" i="5"/>
  <c r="BI39" i="5"/>
  <c r="BG39" i="5"/>
  <c r="BD39" i="5"/>
  <c r="BF39" i="5" s="1"/>
  <c r="BA39" i="5"/>
  <c r="BC39" i="5" s="1"/>
  <c r="AX39" i="5"/>
  <c r="AZ39" i="5" s="1"/>
  <c r="BG38" i="5"/>
  <c r="BI38" i="5" s="1"/>
  <c r="BF38" i="5"/>
  <c r="BD38" i="5"/>
  <c r="BC38" i="5"/>
  <c r="BA38" i="5"/>
  <c r="AX38" i="5"/>
  <c r="AZ38" i="5" s="1"/>
  <c r="BG37" i="5"/>
  <c r="BI37" i="5" s="1"/>
  <c r="BD37" i="5"/>
  <c r="BF37" i="5" s="1"/>
  <c r="BA37" i="5"/>
  <c r="BC37" i="5" s="1"/>
  <c r="AX37" i="5"/>
  <c r="AZ37" i="5" s="1"/>
  <c r="BI36" i="5"/>
  <c r="BG36" i="5"/>
  <c r="BD36" i="5"/>
  <c r="BF36" i="5" s="1"/>
  <c r="BA36" i="5"/>
  <c r="BC36" i="5" s="1"/>
  <c r="AX36" i="5"/>
  <c r="AZ36" i="5" s="1"/>
  <c r="BG35" i="5"/>
  <c r="BI35" i="5" s="1"/>
  <c r="BD35" i="5"/>
  <c r="BF35" i="5" s="1"/>
  <c r="BC35" i="5"/>
  <c r="BA35" i="5"/>
  <c r="AX35" i="5"/>
  <c r="AZ35" i="5" s="1"/>
  <c r="BG34" i="5"/>
  <c r="BI34" i="5" s="1"/>
  <c r="BD34" i="5"/>
  <c r="BF34" i="5" s="1"/>
  <c r="BA34" i="5"/>
  <c r="BC34" i="5" s="1"/>
  <c r="AX34" i="5"/>
  <c r="AZ34" i="5" s="1"/>
  <c r="BI33" i="5"/>
  <c r="BG33" i="5"/>
  <c r="BD33" i="5"/>
  <c r="BF33" i="5" s="1"/>
  <c r="BA33" i="5"/>
  <c r="BC33" i="5" s="1"/>
  <c r="AX33" i="5"/>
  <c r="AZ33" i="5" s="1"/>
  <c r="BG32" i="5"/>
  <c r="BI32" i="5" s="1"/>
  <c r="BD32" i="5"/>
  <c r="BF32" i="5" s="1"/>
  <c r="BC32" i="5"/>
  <c r="BA32" i="5"/>
  <c r="AX32" i="5"/>
  <c r="AZ32" i="5" s="1"/>
  <c r="BG31" i="5"/>
  <c r="BI31" i="5" s="1"/>
  <c r="BD31" i="5"/>
  <c r="BF31" i="5" s="1"/>
  <c r="BA31" i="5"/>
  <c r="BC31" i="5" s="1"/>
  <c r="AX31" i="5"/>
  <c r="AZ31" i="5" s="1"/>
  <c r="BI30" i="5"/>
  <c r="BG30" i="5"/>
  <c r="BD30" i="5"/>
  <c r="BF30" i="5" s="1"/>
  <c r="BA30" i="5"/>
  <c r="BC30" i="5" s="1"/>
  <c r="AX30" i="5"/>
  <c r="AZ30" i="5" s="1"/>
  <c r="BG29" i="5"/>
  <c r="BI29" i="5" s="1"/>
  <c r="BD29" i="5"/>
  <c r="BF29" i="5" s="1"/>
  <c r="BC29" i="5"/>
  <c r="BA29" i="5"/>
  <c r="AX29" i="5"/>
  <c r="AZ29" i="5" s="1"/>
  <c r="BG28" i="5"/>
  <c r="BI28" i="5" s="1"/>
  <c r="BD28" i="5"/>
  <c r="BF28" i="5" s="1"/>
  <c r="BA28" i="5"/>
  <c r="BC28" i="5" s="1"/>
  <c r="AX28" i="5"/>
  <c r="AZ28" i="5" s="1"/>
  <c r="BI27" i="5"/>
  <c r="BG27" i="5"/>
  <c r="BD27" i="5"/>
  <c r="BF27" i="5" s="1"/>
  <c r="BA27" i="5"/>
  <c r="BC27" i="5" s="1"/>
  <c r="AX27" i="5"/>
  <c r="AZ27" i="5" s="1"/>
  <c r="BG26" i="5"/>
  <c r="BI26" i="5" s="1"/>
  <c r="BD26" i="5"/>
  <c r="BF26" i="5" s="1"/>
  <c r="BC26" i="5"/>
  <c r="BA26" i="5"/>
  <c r="AX26" i="5"/>
  <c r="AZ26" i="5" s="1"/>
  <c r="BG25" i="5"/>
  <c r="BI25" i="5" s="1"/>
  <c r="BD25" i="5"/>
  <c r="BF25" i="5" s="1"/>
  <c r="BA25" i="5"/>
  <c r="BC25" i="5" s="1"/>
  <c r="AX25" i="5"/>
  <c r="AZ25" i="5" s="1"/>
  <c r="BI24" i="5"/>
  <c r="BG24" i="5"/>
  <c r="BD24" i="5"/>
  <c r="BF24" i="5" s="1"/>
  <c r="BA24" i="5"/>
  <c r="BC24" i="5" s="1"/>
  <c r="AX24" i="5"/>
  <c r="AZ24" i="5" s="1"/>
  <c r="BG23" i="5"/>
  <c r="BI23" i="5" s="1"/>
  <c r="BD23" i="5"/>
  <c r="BF23" i="5" s="1"/>
  <c r="BC23" i="5"/>
  <c r="BA23" i="5"/>
  <c r="AX23" i="5"/>
  <c r="AZ23" i="5" s="1"/>
  <c r="BG22" i="5"/>
  <c r="BI22" i="5" s="1"/>
  <c r="BD22" i="5"/>
  <c r="BF22" i="5" s="1"/>
  <c r="BA22" i="5"/>
  <c r="BC22" i="5" s="1"/>
  <c r="AX22" i="5"/>
  <c r="AZ22" i="5" s="1"/>
  <c r="BI21" i="5"/>
  <c r="BG21" i="5"/>
  <c r="BD21" i="5"/>
  <c r="BF21" i="5" s="1"/>
  <c r="BA21" i="5"/>
  <c r="BC21" i="5" s="1"/>
  <c r="AX21" i="5"/>
  <c r="AZ21" i="5" s="1"/>
  <c r="BG20" i="5"/>
  <c r="BI20" i="5" s="1"/>
  <c r="BD20" i="5"/>
  <c r="BF20" i="5" s="1"/>
  <c r="BC20" i="5"/>
  <c r="BA20" i="5"/>
  <c r="AX20" i="5"/>
  <c r="AZ20" i="5" s="1"/>
  <c r="BG19" i="5"/>
  <c r="BI19" i="5" s="1"/>
  <c r="BD19" i="5"/>
  <c r="BF19" i="5" s="1"/>
  <c r="BA19" i="5"/>
  <c r="BC19" i="5" s="1"/>
  <c r="AX19" i="5"/>
  <c r="AZ19" i="5" s="1"/>
  <c r="BI18" i="5"/>
  <c r="BG18" i="5"/>
  <c r="BD18" i="5"/>
  <c r="BF18" i="5" s="1"/>
  <c r="BA18" i="5"/>
  <c r="BC18" i="5" s="1"/>
  <c r="AX18" i="5"/>
  <c r="AZ18" i="5" s="1"/>
  <c r="BG17" i="5"/>
  <c r="BI17" i="5" s="1"/>
  <c r="BD17" i="5"/>
  <c r="BF17" i="5" s="1"/>
  <c r="BC17" i="5"/>
  <c r="BA17" i="5"/>
  <c r="AX17" i="5"/>
  <c r="AZ17" i="5" s="1"/>
  <c r="BG16" i="5"/>
  <c r="BI16" i="5" s="1"/>
  <c r="BD16" i="5"/>
  <c r="BF16" i="5" s="1"/>
  <c r="BA16" i="5"/>
  <c r="BC16" i="5" s="1"/>
  <c r="AX16" i="5"/>
  <c r="AZ16" i="5" s="1"/>
  <c r="BI15" i="5"/>
  <c r="BG15" i="5"/>
  <c r="BD15" i="5"/>
  <c r="BF15" i="5" s="1"/>
  <c r="BA15" i="5"/>
  <c r="BC15" i="5" s="1"/>
  <c r="AX15" i="5"/>
  <c r="AZ15" i="5" s="1"/>
  <c r="BG14" i="5"/>
  <c r="BI14" i="5" s="1"/>
  <c r="BD14" i="5"/>
  <c r="BF14" i="5" s="1"/>
  <c r="BC14" i="5"/>
  <c r="BA14" i="5"/>
  <c r="AX14" i="5"/>
  <c r="AZ14" i="5" s="1"/>
  <c r="BG13" i="5"/>
  <c r="BI13" i="5" s="1"/>
  <c r="BD13" i="5"/>
  <c r="BF13" i="5" s="1"/>
  <c r="BA13" i="5"/>
  <c r="BC13" i="5" s="1"/>
  <c r="AX13" i="5"/>
  <c r="AZ13" i="5" s="1"/>
  <c r="BI12" i="5"/>
  <c r="BG12" i="5"/>
  <c r="BD12" i="5"/>
  <c r="BF12" i="5" s="1"/>
  <c r="BA12" i="5"/>
  <c r="BC12" i="5" s="1"/>
  <c r="AX12" i="5"/>
  <c r="AZ12" i="5" s="1"/>
  <c r="BG11" i="5"/>
  <c r="BI11" i="5" s="1"/>
  <c r="BD11" i="5"/>
  <c r="BF11" i="5" s="1"/>
  <c r="BC11" i="5"/>
  <c r="BA11" i="5"/>
  <c r="AX11" i="5"/>
  <c r="AZ11" i="5" s="1"/>
  <c r="BG10" i="5"/>
  <c r="BI10" i="5" s="1"/>
  <c r="BD10" i="5"/>
  <c r="BF10" i="5" s="1"/>
  <c r="BA10" i="5"/>
  <c r="BC10" i="5" s="1"/>
  <c r="AX10" i="5"/>
  <c r="AZ10" i="5" s="1"/>
  <c r="BI9" i="5"/>
  <c r="BG9" i="5"/>
  <c r="BD9" i="5"/>
  <c r="BF9" i="5" s="1"/>
  <c r="BA9" i="5"/>
  <c r="BC9" i="5" s="1"/>
  <c r="AX9" i="5"/>
  <c r="AZ9" i="5" s="1"/>
  <c r="BG8" i="5"/>
  <c r="BI8" i="5" s="1"/>
  <c r="BD8" i="5"/>
  <c r="BF8" i="5" s="1"/>
  <c r="BC8" i="5"/>
  <c r="BA8" i="5"/>
  <c r="AX8" i="5"/>
  <c r="AZ8" i="5" s="1"/>
  <c r="BG7" i="5"/>
  <c r="BI7" i="5" s="1"/>
  <c r="BD7" i="5"/>
  <c r="BF7" i="5" s="1"/>
  <c r="BA7" i="5"/>
  <c r="BC7" i="5" s="1"/>
  <c r="AX7" i="5"/>
  <c r="AZ7" i="5" s="1"/>
  <c r="BG6" i="5"/>
  <c r="BI6" i="5" s="1"/>
  <c r="BD6" i="5"/>
  <c r="BF6" i="5" s="1"/>
  <c r="BA6" i="5"/>
  <c r="BC6" i="5" s="1"/>
  <c r="AX6" i="5"/>
  <c r="AZ6" i="5" s="1"/>
  <c r="BG5" i="5"/>
  <c r="BI5" i="5" s="1"/>
  <c r="CC11" i="5" s="1"/>
  <c r="BD5" i="5"/>
  <c r="BF5" i="5" s="1"/>
  <c r="BA5" i="5"/>
  <c r="BC5" i="5" s="1"/>
  <c r="AX5" i="5"/>
  <c r="AZ5" i="5" s="1"/>
  <c r="E68" i="7"/>
  <c r="D66" i="7"/>
  <c r="I68" i="7"/>
  <c r="H63" i="7"/>
  <c r="M68" i="7"/>
  <c r="L66" i="7"/>
  <c r="L63" i="7"/>
  <c r="BN11" i="5"/>
  <c r="BP12" i="5"/>
  <c r="BP13" i="5"/>
  <c r="BP14" i="5"/>
  <c r="BP15" i="5"/>
  <c r="BP16" i="5"/>
  <c r="BP11" i="5"/>
  <c r="BO16" i="5"/>
  <c r="BO15" i="5"/>
  <c r="BO14" i="5"/>
  <c r="BO13" i="5"/>
  <c r="BO12" i="5"/>
  <c r="BO11" i="5"/>
  <c r="AM40" i="5"/>
  <c r="AF40" i="5"/>
  <c r="Y40" i="5"/>
  <c r="AM39" i="5"/>
  <c r="AF39" i="5"/>
  <c r="Y39" i="5"/>
  <c r="AM36" i="5"/>
  <c r="AF36" i="5"/>
  <c r="Y36" i="5"/>
  <c r="AM35" i="5"/>
  <c r="AF35" i="5"/>
  <c r="Y35" i="5"/>
  <c r="AM30" i="5"/>
  <c r="AF30" i="5"/>
  <c r="Y30" i="5"/>
  <c r="AM29" i="5"/>
  <c r="AF29" i="5"/>
  <c r="Y29" i="5"/>
  <c r="AM26" i="5"/>
  <c r="AF26" i="5"/>
  <c r="Y26" i="5"/>
  <c r="AM25" i="5"/>
  <c r="AF25" i="5"/>
  <c r="Y25" i="5"/>
  <c r="AM20" i="5"/>
  <c r="AF20" i="5"/>
  <c r="Y20" i="5"/>
  <c r="AM19" i="5"/>
  <c r="AF19" i="5"/>
  <c r="Y19" i="5"/>
  <c r="AM16" i="5"/>
  <c r="AF16" i="5"/>
  <c r="Y16" i="5"/>
  <c r="AM15" i="5"/>
  <c r="AF15" i="5"/>
  <c r="Y15" i="5"/>
  <c r="AM10" i="5"/>
  <c r="AF10" i="5"/>
  <c r="Y10" i="5"/>
  <c r="AM9" i="5"/>
  <c r="AF9" i="5"/>
  <c r="Y9" i="5"/>
  <c r="AM6" i="5"/>
  <c r="AF6" i="5"/>
  <c r="Y6" i="5"/>
  <c r="AM5" i="5"/>
  <c r="AF5" i="5"/>
  <c r="Y5" i="5"/>
  <c r="L62" i="7"/>
  <c r="CC16" i="5" l="1"/>
  <c r="CB11" i="5"/>
  <c r="CC14" i="5"/>
  <c r="CC12" i="5"/>
  <c r="CC13" i="5"/>
  <c r="CC15" i="5"/>
  <c r="BV11" i="5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AD19" i="6"/>
  <c r="AE19" i="6"/>
  <c r="AF19" i="6"/>
  <c r="AG19" i="6"/>
  <c r="AD20" i="6"/>
  <c r="AE20" i="6"/>
  <c r="AF20" i="6"/>
  <c r="AG20" i="6"/>
  <c r="AD21" i="6"/>
  <c r="AE21" i="6"/>
  <c r="AF21" i="6"/>
  <c r="AG21" i="6"/>
  <c r="AD22" i="6"/>
  <c r="AE22" i="6"/>
  <c r="AF22" i="6"/>
  <c r="AG22" i="6"/>
  <c r="AD23" i="6"/>
  <c r="AE23" i="6"/>
  <c r="AF23" i="6"/>
  <c r="AG23" i="6"/>
  <c r="AD24" i="6"/>
  <c r="AE24" i="6"/>
  <c r="AF24" i="6"/>
  <c r="AG24" i="6"/>
  <c r="AD25" i="6"/>
  <c r="AE25" i="6"/>
  <c r="AF25" i="6"/>
  <c r="AG25" i="6"/>
  <c r="AD26" i="6"/>
  <c r="AE26" i="6"/>
  <c r="AF26" i="6"/>
  <c r="AG26" i="6"/>
  <c r="AD27" i="6"/>
  <c r="AE27" i="6"/>
  <c r="AF27" i="6"/>
  <c r="AG27" i="6"/>
  <c r="AD28" i="6"/>
  <c r="AE28" i="6"/>
  <c r="AF28" i="6"/>
  <c r="AG28" i="6"/>
  <c r="AD29" i="6"/>
  <c r="AE29" i="6"/>
  <c r="AF29" i="6"/>
  <c r="AG29" i="6"/>
  <c r="AD30" i="6"/>
  <c r="AE30" i="6"/>
  <c r="AF30" i="6"/>
  <c r="AG30" i="6"/>
  <c r="AD31" i="6"/>
  <c r="AE31" i="6"/>
  <c r="AF31" i="6"/>
  <c r="AG31" i="6"/>
  <c r="AD32" i="6"/>
  <c r="AE32" i="6"/>
  <c r="AF32" i="6"/>
  <c r="AG32" i="6"/>
  <c r="AD33" i="6"/>
  <c r="AE33" i="6"/>
  <c r="AF33" i="6"/>
  <c r="AG33" i="6"/>
  <c r="X5" i="6"/>
  <c r="Y5" i="6"/>
  <c r="X6" i="6"/>
  <c r="Y6" i="6" s="1"/>
  <c r="X7" i="6"/>
  <c r="Y7" i="6" s="1"/>
  <c r="X8" i="6"/>
  <c r="Y8" i="6" s="1"/>
  <c r="X9" i="6"/>
  <c r="Y9" i="6"/>
  <c r="X10" i="6"/>
  <c r="Y10" i="6" s="1"/>
  <c r="X11" i="6"/>
  <c r="Y11" i="6"/>
  <c r="X12" i="6"/>
  <c r="Y12" i="6" s="1"/>
  <c r="X13" i="6"/>
  <c r="Y13" i="6" s="1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/>
  <c r="X22" i="6"/>
  <c r="Y22" i="6" s="1"/>
  <c r="X23" i="6"/>
  <c r="Y23" i="6"/>
  <c r="X24" i="6"/>
  <c r="Y24" i="6" s="1"/>
  <c r="X25" i="6"/>
  <c r="Y25" i="6" s="1"/>
  <c r="X26" i="6"/>
  <c r="Y26" i="6" s="1"/>
  <c r="X27" i="6"/>
  <c r="Y27" i="6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AG4" i="6"/>
  <c r="AF4" i="6"/>
  <c r="AE4" i="6"/>
  <c r="AD4" i="6"/>
  <c r="Y4" i="6"/>
  <c r="X4" i="6"/>
  <c r="D67" i="7" l="1"/>
  <c r="L67" i="7"/>
  <c r="L69" i="7"/>
  <c r="H69" i="7"/>
  <c r="D69" i="7"/>
  <c r="L56" i="7"/>
  <c r="H56" i="7"/>
  <c r="D56" i="7"/>
  <c r="K69" i="7"/>
  <c r="G69" i="7"/>
  <c r="C69" i="7"/>
  <c r="K56" i="7"/>
  <c r="G56" i="7"/>
  <c r="C56" i="7"/>
  <c r="G33" i="7"/>
  <c r="G34" i="7"/>
  <c r="G35" i="7"/>
  <c r="G37" i="7"/>
  <c r="G32" i="7"/>
  <c r="AS48" i="7" l="1"/>
  <c r="AP49" i="7"/>
  <c r="AS56" i="7"/>
  <c r="AP57" i="7"/>
  <c r="AS64" i="7"/>
  <c r="AP65" i="7"/>
  <c r="AS72" i="7"/>
  <c r="AP73" i="7"/>
  <c r="AS80" i="7"/>
  <c r="AP81" i="7"/>
  <c r="AS88" i="7"/>
  <c r="AP89" i="7"/>
  <c r="AR33" i="1" l="1"/>
  <c r="AR27" i="1"/>
  <c r="AR21" i="1"/>
  <c r="O15" i="3" l="1"/>
  <c r="O16" i="3"/>
  <c r="O17" i="3"/>
  <c r="O18" i="3"/>
  <c r="O19" i="3"/>
  <c r="O20" i="3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D68" i="7"/>
  <c r="H68" i="7"/>
  <c r="L68" i="7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BN12" i="5"/>
  <c r="AO55" i="7" s="1"/>
  <c r="BM11" i="5"/>
  <c r="AO46" i="7" s="1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AO49" i="7" l="1"/>
  <c r="AO48" i="7"/>
  <c r="K106" i="4"/>
  <c r="K117" i="4"/>
  <c r="K139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L13" i="5"/>
  <c r="BN13" i="5"/>
  <c r="AO63" i="7" s="1"/>
  <c r="K127" i="4"/>
  <c r="K116" i="4"/>
  <c r="K138" i="4"/>
  <c r="K105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137" i="4"/>
  <c r="K104" i="4"/>
  <c r="K126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L11" i="5"/>
  <c r="AO45" i="7" s="1"/>
  <c r="AO47" i="7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L12" i="5"/>
  <c r="AO53" i="7" s="1"/>
  <c r="BM13" i="5"/>
  <c r="AO62" i="7" s="1"/>
  <c r="BM12" i="5"/>
  <c r="AO54" i="7" s="1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N8" i="7" l="1"/>
  <c r="AO61" i="7"/>
  <c r="AO57" i="7"/>
  <c r="AO56" i="7"/>
  <c r="AO65" i="7"/>
  <c r="AO64" i="7"/>
  <c r="N4" i="6"/>
  <c r="M4" i="6"/>
  <c r="AW9" i="5"/>
  <c r="M17" i="6"/>
  <c r="N17" i="6"/>
  <c r="AW17" i="5"/>
  <c r="AW5" i="5"/>
  <c r="N13" i="6"/>
  <c r="M13" i="6"/>
  <c r="AW14" i="5"/>
  <c r="AW11" i="5"/>
  <c r="N5" i="6"/>
  <c r="M5" i="6"/>
  <c r="M9" i="6"/>
  <c r="N9" i="6"/>
  <c r="AW13" i="5"/>
  <c r="N7" i="6"/>
  <c r="M7" i="6"/>
  <c r="AW16" i="5"/>
  <c r="AW15" i="5"/>
  <c r="N18" i="6"/>
  <c r="M18" i="6"/>
  <c r="N8" i="6"/>
  <c r="M8" i="6"/>
  <c r="M10" i="6"/>
  <c r="N10" i="6"/>
  <c r="M14" i="6"/>
  <c r="N14" i="6"/>
  <c r="AW20" i="5"/>
  <c r="N6" i="6"/>
  <c r="M6" i="6"/>
  <c r="AW6" i="5"/>
  <c r="AW19" i="5"/>
  <c r="AW8" i="5"/>
  <c r="N11" i="6"/>
  <c r="M11" i="6"/>
  <c r="N15" i="6"/>
  <c r="M15" i="6"/>
  <c r="AW18" i="5"/>
  <c r="AW12" i="5"/>
  <c r="AW7" i="5"/>
  <c r="M12" i="6"/>
  <c r="N12" i="6"/>
  <c r="AW21" i="5"/>
  <c r="AW10" i="5"/>
  <c r="N16" i="6"/>
  <c r="M16" i="6"/>
  <c r="AW22" i="5"/>
  <c r="E8" i="7" l="1"/>
  <c r="E6" i="7"/>
  <c r="E7" i="7"/>
  <c r="N7" i="7"/>
  <c r="F28" i="4"/>
  <c r="C18" i="3"/>
  <c r="D18" i="4" s="1"/>
  <c r="N6" i="7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Z12" i="6" l="1"/>
  <c r="Z4" i="6"/>
  <c r="Z8" i="6"/>
  <c r="Z11" i="6"/>
  <c r="Z9" i="6"/>
  <c r="Z6" i="6"/>
  <c r="Z7" i="6"/>
  <c r="Z17" i="6"/>
  <c r="Z10" i="6"/>
  <c r="Z15" i="6"/>
  <c r="Z13" i="6"/>
  <c r="Z16" i="6"/>
  <c r="Z14" i="6"/>
  <c r="Z5" i="6"/>
  <c r="Z18" i="6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118" i="4"/>
  <c r="K140" i="4"/>
  <c r="K107" i="4"/>
  <c r="K129" i="4"/>
  <c r="K162" i="4"/>
  <c r="K206" i="4"/>
  <c r="K151" i="4"/>
  <c r="K184" i="4"/>
  <c r="K173" i="4"/>
  <c r="K195" i="4"/>
  <c r="K217" i="4"/>
  <c r="H35" i="7"/>
  <c r="D9" i="7"/>
  <c r="H22" i="7"/>
  <c r="AT28" i="5"/>
  <c r="AV28" i="5" s="1"/>
  <c r="AT24" i="5"/>
  <c r="AT25" i="5"/>
  <c r="AV25" i="5" s="1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L14" i="5"/>
  <c r="AO69" i="7" s="1"/>
  <c r="BM14" i="5"/>
  <c r="AO70" i="7" s="1"/>
  <c r="BN14" i="5"/>
  <c r="AO71" i="7" s="1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141" i="4"/>
  <c r="K119" i="4"/>
  <c r="K108" i="4"/>
  <c r="K130" i="4"/>
  <c r="K174" i="4"/>
  <c r="K152" i="4"/>
  <c r="K218" i="4"/>
  <c r="K196" i="4"/>
  <c r="K163" i="4"/>
  <c r="K185" i="4"/>
  <c r="K207" i="4"/>
  <c r="H36" i="7"/>
  <c r="D10" i="7"/>
  <c r="H23" i="7"/>
  <c r="AT29" i="5"/>
  <c r="AT33" i="5"/>
  <c r="AV33" i="5" s="1"/>
  <c r="AT34" i="5"/>
  <c r="AT31" i="5"/>
  <c r="AT32" i="5"/>
  <c r="AT30" i="5"/>
  <c r="AV30" i="5" s="1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M15" i="5"/>
  <c r="AO78" i="7" s="1"/>
  <c r="BN15" i="5"/>
  <c r="AO79" i="7" s="1"/>
  <c r="BL15" i="5"/>
  <c r="AO77" i="7" s="1"/>
  <c r="G36" i="7"/>
  <c r="K109" i="4"/>
  <c r="L109" i="4" s="1"/>
  <c r="L108" i="4" s="1"/>
  <c r="L107" i="4" s="1"/>
  <c r="L106" i="4" s="1"/>
  <c r="L105" i="4" s="1"/>
  <c r="L104" i="4" s="1"/>
  <c r="K131" i="4"/>
  <c r="L131" i="4" s="1"/>
  <c r="L130" i="4" s="1"/>
  <c r="L129" i="4" s="1"/>
  <c r="L128" i="4" s="1"/>
  <c r="L127" i="4" s="1"/>
  <c r="L126" i="4" s="1"/>
  <c r="K142" i="4"/>
  <c r="L142" i="4" s="1"/>
  <c r="K120" i="4"/>
  <c r="L120" i="4" s="1"/>
  <c r="L119" i="4" s="1"/>
  <c r="L118" i="4" s="1"/>
  <c r="L117" i="4" s="1"/>
  <c r="L116" i="4" s="1"/>
  <c r="L115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T41" i="5"/>
  <c r="AT39" i="5"/>
  <c r="AV39" i="5" s="1"/>
  <c r="AT40" i="5"/>
  <c r="AV40" i="5" s="1"/>
  <c r="AT36" i="5"/>
  <c r="AV36" i="5" s="1"/>
  <c r="AT37" i="5"/>
  <c r="AT38" i="5"/>
  <c r="AV38" i="5" s="1"/>
  <c r="AT35" i="5"/>
  <c r="AV35" i="5" s="1"/>
  <c r="AV46" i="5"/>
  <c r="AT46" i="5"/>
  <c r="AV43" i="5"/>
  <c r="AV45" i="5"/>
  <c r="AT45" i="5"/>
  <c r="AV42" i="5"/>
  <c r="AT42" i="5"/>
  <c r="AV44" i="5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M16" i="5"/>
  <c r="AO86" i="7" s="1"/>
  <c r="BN16" i="5"/>
  <c r="AO87" i="7" s="1"/>
  <c r="BL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E22" i="6"/>
  <c r="L22" i="6" s="1"/>
  <c r="AV34" i="5"/>
  <c r="E28" i="6"/>
  <c r="L28" i="6" s="1"/>
  <c r="E27" i="6"/>
  <c r="L27" i="6" s="1"/>
  <c r="BJ33" i="6"/>
  <c r="BI39" i="6"/>
  <c r="BJ39" i="6" s="1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37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4" i="5"/>
  <c r="AV23" i="5"/>
  <c r="E26" i="6"/>
  <c r="L26" i="6" s="1"/>
  <c r="E25" i="6"/>
  <c r="L25" i="6" s="1"/>
  <c r="E30" i="6"/>
  <c r="L30" i="6" s="1"/>
  <c r="E29" i="6"/>
  <c r="L29" i="6" s="1"/>
  <c r="AV32" i="5"/>
  <c r="E24" i="6"/>
  <c r="L24" i="6" s="1"/>
  <c r="AV31" i="5"/>
  <c r="AV29" i="5"/>
  <c r="X37" i="3"/>
  <c r="AW44" i="5" l="1"/>
  <c r="AW41" i="5"/>
  <c r="AW42" i="5"/>
  <c r="AW45" i="5"/>
  <c r="AW43" i="5"/>
  <c r="AW34" i="5"/>
  <c r="AW46" i="5"/>
  <c r="AO73" i="7"/>
  <c r="AO72" i="7"/>
  <c r="AO89" i="7"/>
  <c r="AO88" i="7"/>
  <c r="AO81" i="7"/>
  <c r="AO80" i="7"/>
  <c r="E11" i="7"/>
  <c r="AO85" i="7"/>
  <c r="AW27" i="5"/>
  <c r="AW38" i="5"/>
  <c r="AW33" i="5"/>
  <c r="AA16" i="6"/>
  <c r="AB16" i="6"/>
  <c r="AA15" i="6"/>
  <c r="AB15" i="6"/>
  <c r="AA13" i="6"/>
  <c r="AB13" i="6"/>
  <c r="AA10" i="6"/>
  <c r="AB10" i="6"/>
  <c r="AB17" i="6"/>
  <c r="AA17" i="6"/>
  <c r="AB7" i="6"/>
  <c r="AA7" i="6"/>
  <c r="E9" i="7"/>
  <c r="AB6" i="6"/>
  <c r="AA6" i="6"/>
  <c r="AW29" i="5"/>
  <c r="AW31" i="5"/>
  <c r="AW32" i="5"/>
  <c r="AW39" i="5"/>
  <c r="L151" i="4"/>
  <c r="L150" i="4" s="1"/>
  <c r="L149" i="4" s="1"/>
  <c r="L148" i="4" s="1"/>
  <c r="AB9" i="6"/>
  <c r="AA9" i="6"/>
  <c r="AW23" i="5"/>
  <c r="AW28" i="5"/>
  <c r="AW30" i="5"/>
  <c r="AW37" i="5"/>
  <c r="B10" i="3"/>
  <c r="B9" i="3" s="1"/>
  <c r="B8" i="3" s="1"/>
  <c r="B7" i="3" s="1"/>
  <c r="B6" i="3" s="1"/>
  <c r="B5" i="3" s="1"/>
  <c r="D5" i="3" s="1"/>
  <c r="AB11" i="6"/>
  <c r="AA11" i="6"/>
  <c r="AW24" i="5"/>
  <c r="AW35" i="5"/>
  <c r="AB18" i="6"/>
  <c r="AA18" i="6"/>
  <c r="AA8" i="6"/>
  <c r="AB8" i="6"/>
  <c r="AW36" i="5"/>
  <c r="AB5" i="6"/>
  <c r="AA5" i="6"/>
  <c r="AA4" i="6"/>
  <c r="AB4" i="6"/>
  <c r="AW25" i="5"/>
  <c r="AW26" i="5"/>
  <c r="AW40" i="5"/>
  <c r="L141" i="4"/>
  <c r="L140" i="4" s="1"/>
  <c r="L139" i="4" s="1"/>
  <c r="L138" i="4" s="1"/>
  <c r="L137" i="4" s="1"/>
  <c r="N10" i="7"/>
  <c r="F30" i="4" s="1"/>
  <c r="AB14" i="6"/>
  <c r="AA14" i="6"/>
  <c r="AB12" i="6"/>
  <c r="AA12" i="6"/>
  <c r="M33" i="6"/>
  <c r="N33" i="6"/>
  <c r="Z33" i="6" s="1"/>
  <c r="AA33" i="6" s="1"/>
  <c r="M28" i="6"/>
  <c r="N28" i="6"/>
  <c r="Z28" i="6" s="1"/>
  <c r="AB28" i="6" s="1"/>
  <c r="M22" i="6"/>
  <c r="N22" i="6"/>
  <c r="Z22" i="6" s="1"/>
  <c r="AA22" i="6" s="1"/>
  <c r="M32" i="6"/>
  <c r="N32" i="6"/>
  <c r="Z32" i="6" s="1"/>
  <c r="AB32" i="6" s="1"/>
  <c r="M23" i="6"/>
  <c r="N23" i="6"/>
  <c r="Z23" i="6" s="1"/>
  <c r="AA23" i="6" s="1"/>
  <c r="M31" i="6"/>
  <c r="N31" i="6"/>
  <c r="Z31" i="6" s="1"/>
  <c r="AA31" i="6" s="1"/>
  <c r="M27" i="6"/>
  <c r="N27" i="6"/>
  <c r="Z27" i="6" s="1"/>
  <c r="AA27" i="6" s="1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M26" i="6"/>
  <c r="N26" i="6"/>
  <c r="M29" i="6"/>
  <c r="N29" i="6"/>
  <c r="N24" i="6"/>
  <c r="M24" i="6"/>
  <c r="M30" i="6"/>
  <c r="N30" i="6"/>
  <c r="N25" i="6"/>
  <c r="M25" i="6"/>
  <c r="M21" i="6"/>
  <c r="BJ22" i="6"/>
  <c r="M19" i="6"/>
  <c r="N11" i="7" l="1"/>
  <c r="F31" i="4" s="1"/>
  <c r="AC15" i="6"/>
  <c r="AC14" i="6"/>
  <c r="AC16" i="6"/>
  <c r="AC8" i="6"/>
  <c r="AC6" i="6"/>
  <c r="AC17" i="6"/>
  <c r="AC4" i="6"/>
  <c r="AC18" i="6"/>
  <c r="AC11" i="6"/>
  <c r="AC13" i="6"/>
  <c r="AC5" i="6"/>
  <c r="N9" i="7"/>
  <c r="E10" i="7"/>
  <c r="BZ12" i="5"/>
  <c r="BZ11" i="5"/>
  <c r="AC12" i="6"/>
  <c r="D11" i="3"/>
  <c r="AC10" i="6"/>
  <c r="AC9" i="6"/>
  <c r="AC7" i="6"/>
  <c r="AB33" i="6"/>
  <c r="AC33" i="6" s="1"/>
  <c r="AB31" i="6"/>
  <c r="AC31" i="6" s="1"/>
  <c r="AA32" i="6"/>
  <c r="AA28" i="6"/>
  <c r="AC28" i="6" s="1"/>
  <c r="AB22" i="6"/>
  <c r="AC22" i="6" s="1"/>
  <c r="AB27" i="6"/>
  <c r="AB23" i="6"/>
  <c r="BZ13" i="5"/>
  <c r="Z20" i="6"/>
  <c r="Z21" i="6"/>
  <c r="C20" i="3"/>
  <c r="AP45" i="7" l="1"/>
  <c r="AQ45" i="7" s="1"/>
  <c r="I32" i="7"/>
  <c r="F6" i="7" s="1"/>
  <c r="G6" i="7" s="1"/>
  <c r="AP61" i="7"/>
  <c r="AQ61" i="7" s="1"/>
  <c r="I34" i="7"/>
  <c r="F8" i="7" s="1"/>
  <c r="G8" i="7" s="1"/>
  <c r="AP53" i="7"/>
  <c r="AQ53" i="7" s="1"/>
  <c r="I33" i="7"/>
  <c r="F7" i="7" s="1"/>
  <c r="G7" i="7" s="1"/>
  <c r="C21" i="3"/>
  <c r="D21" i="4" s="1"/>
  <c r="AH13" i="6"/>
  <c r="D49" i="7"/>
  <c r="CD21" i="5"/>
  <c r="BZ21" i="5"/>
  <c r="C26" i="4"/>
  <c r="BS11" i="5"/>
  <c r="BX11" i="5" s="1"/>
  <c r="J32" i="7" s="1"/>
  <c r="BZ22" i="5"/>
  <c r="H49" i="7"/>
  <c r="CD22" i="5"/>
  <c r="C27" i="4"/>
  <c r="BS12" i="5"/>
  <c r="BX12" i="5" s="1"/>
  <c r="J33" i="7" s="1"/>
  <c r="AH15" i="6"/>
  <c r="CD23" i="5"/>
  <c r="CB12" i="5"/>
  <c r="CA12" i="5"/>
  <c r="AP54" i="7" s="1"/>
  <c r="CA11" i="5"/>
  <c r="AP46" i="7" s="1"/>
  <c r="AQ46" i="7" s="1"/>
  <c r="AH9" i="6"/>
  <c r="AH14" i="6"/>
  <c r="CA13" i="5"/>
  <c r="AP62" i="7" s="1"/>
  <c r="AQ62" i="7" s="1"/>
  <c r="L49" i="7"/>
  <c r="BZ23" i="5"/>
  <c r="BS13" i="5"/>
  <c r="BX13" i="5" s="1"/>
  <c r="J34" i="7" s="1"/>
  <c r="C28" i="4"/>
  <c r="CA16" i="5"/>
  <c r="L64" i="7" s="1"/>
  <c r="BZ16" i="5"/>
  <c r="I37" i="7" s="1"/>
  <c r="CB14" i="5"/>
  <c r="BV14" i="5" s="1"/>
  <c r="E67" i="7" s="1"/>
  <c r="CB13" i="5"/>
  <c r="AC23" i="6"/>
  <c r="AC32" i="6"/>
  <c r="BZ14" i="5"/>
  <c r="BZ15" i="5"/>
  <c r="AP77" i="7" s="1"/>
  <c r="AQ77" i="7" s="1"/>
  <c r="AC27" i="6"/>
  <c r="Z25" i="6"/>
  <c r="AA20" i="6"/>
  <c r="AB20" i="6"/>
  <c r="Z29" i="6"/>
  <c r="Z30" i="6"/>
  <c r="AA21" i="6"/>
  <c r="AB21" i="6"/>
  <c r="Z26" i="6"/>
  <c r="Z24" i="6"/>
  <c r="F29" i="4"/>
  <c r="C19" i="3"/>
  <c r="D19" i="4" s="1"/>
  <c r="Z19" i="6"/>
  <c r="AA19" i="6" s="1"/>
  <c r="D20" i="4"/>
  <c r="AP55" i="7" l="1"/>
  <c r="BV12" i="5"/>
  <c r="AP69" i="7"/>
  <c r="AQ69" i="7" s="1"/>
  <c r="I35" i="7"/>
  <c r="F9" i="7" s="1"/>
  <c r="AP63" i="7"/>
  <c r="BU13" i="5"/>
  <c r="BV13" i="5"/>
  <c r="AQ54" i="7"/>
  <c r="AP85" i="7"/>
  <c r="AQ85" i="7" s="1"/>
  <c r="L61" i="7"/>
  <c r="BS16" i="5"/>
  <c r="BX16" i="5" s="1"/>
  <c r="J37" i="7" s="1"/>
  <c r="AQ63" i="7"/>
  <c r="D65" i="7"/>
  <c r="AP71" i="7"/>
  <c r="D52" i="7"/>
  <c r="AP47" i="7"/>
  <c r="AQ47" i="7" s="1"/>
  <c r="AP86" i="7"/>
  <c r="AQ55" i="7"/>
  <c r="AH17" i="6"/>
  <c r="AK17" i="6" s="1"/>
  <c r="AZ17" i="6" s="1"/>
  <c r="AH8" i="6"/>
  <c r="AJ8" i="6" s="1"/>
  <c r="AQ8" i="6" s="1"/>
  <c r="AS8" i="6" s="1"/>
  <c r="AT8" i="6" s="1"/>
  <c r="BY25" i="6" s="1"/>
  <c r="AH5" i="6"/>
  <c r="AJ5" i="6" s="1"/>
  <c r="AQ5" i="6" s="1"/>
  <c r="AS5" i="6" s="1"/>
  <c r="AT5" i="6" s="1"/>
  <c r="BY10" i="6" s="1"/>
  <c r="AU15" i="6"/>
  <c r="AK15" i="6"/>
  <c r="AZ15" i="6" s="1"/>
  <c r="AJ15" i="6"/>
  <c r="AQ15" i="6" s="1"/>
  <c r="AS15" i="6" s="1"/>
  <c r="AT15" i="6" s="1"/>
  <c r="CA10" i="6" s="1"/>
  <c r="P115" i="4"/>
  <c r="P126" i="4"/>
  <c r="P104" i="4"/>
  <c r="P159" i="4"/>
  <c r="P137" i="4"/>
  <c r="P192" i="4"/>
  <c r="P170" i="4"/>
  <c r="P214" i="4"/>
  <c r="P148" i="4"/>
  <c r="P203" i="4"/>
  <c r="P181" i="4"/>
  <c r="AH16" i="6"/>
  <c r="CA14" i="5"/>
  <c r="AH12" i="6"/>
  <c r="P106" i="4"/>
  <c r="P128" i="4"/>
  <c r="P139" i="4"/>
  <c r="P117" i="4"/>
  <c r="P161" i="4"/>
  <c r="P183" i="4"/>
  <c r="P172" i="4"/>
  <c r="P150" i="4"/>
  <c r="P194" i="4"/>
  <c r="P205" i="4"/>
  <c r="P216" i="4"/>
  <c r="AH4" i="6"/>
  <c r="CD24" i="5"/>
  <c r="AH11" i="6"/>
  <c r="AH6" i="6"/>
  <c r="CD25" i="5"/>
  <c r="AU9" i="6"/>
  <c r="AJ9" i="6"/>
  <c r="AQ9" i="6" s="1"/>
  <c r="AK9" i="6"/>
  <c r="AZ9" i="6" s="1"/>
  <c r="BT11" i="5"/>
  <c r="E51" i="7" s="1"/>
  <c r="CA21" i="5"/>
  <c r="P105" i="4"/>
  <c r="P127" i="4"/>
  <c r="P116" i="4"/>
  <c r="P138" i="4"/>
  <c r="P215" i="4"/>
  <c r="P193" i="4"/>
  <c r="P160" i="4"/>
  <c r="P182" i="4"/>
  <c r="P171" i="4"/>
  <c r="P204" i="4"/>
  <c r="P149" i="4"/>
  <c r="AU14" i="6"/>
  <c r="AK14" i="6"/>
  <c r="AZ14" i="6" s="1"/>
  <c r="AJ14" i="6"/>
  <c r="AQ14" i="6" s="1"/>
  <c r="H51" i="7"/>
  <c r="BT12" i="5"/>
  <c r="CA22" i="5"/>
  <c r="F11" i="7"/>
  <c r="G11" i="7" s="1"/>
  <c r="CD26" i="5"/>
  <c r="AH7" i="6"/>
  <c r="AH18" i="6"/>
  <c r="D51" i="7"/>
  <c r="CB21" i="5"/>
  <c r="BU11" i="5"/>
  <c r="AU13" i="6"/>
  <c r="AJ13" i="6"/>
  <c r="AQ13" i="6" s="1"/>
  <c r="AS13" i="6" s="1"/>
  <c r="AT13" i="6" s="1"/>
  <c r="BZ25" i="6" s="1"/>
  <c r="AK13" i="6"/>
  <c r="AZ13" i="6" s="1"/>
  <c r="CB16" i="5"/>
  <c r="BV16" i="5" s="1"/>
  <c r="M67" i="7" s="1"/>
  <c r="AH10" i="6"/>
  <c r="CB22" i="5"/>
  <c r="H52" i="7"/>
  <c r="BU12" i="5"/>
  <c r="AP56" i="7" s="1"/>
  <c r="CB15" i="5"/>
  <c r="CA15" i="5"/>
  <c r="H64" i="7" s="1"/>
  <c r="BS15" i="5"/>
  <c r="BX15" i="5" s="1"/>
  <c r="BS14" i="5"/>
  <c r="BX14" i="5" s="1"/>
  <c r="J35" i="7" s="1"/>
  <c r="CA23" i="5"/>
  <c r="L51" i="7"/>
  <c r="CB23" i="5"/>
  <c r="L52" i="7"/>
  <c r="C31" i="4"/>
  <c r="BT16" i="5"/>
  <c r="BT13" i="5"/>
  <c r="BZ24" i="5"/>
  <c r="AH32" i="6"/>
  <c r="AU32" i="6" s="1"/>
  <c r="AH23" i="6"/>
  <c r="AU23" i="6" s="1"/>
  <c r="BZ26" i="5"/>
  <c r="AH27" i="6"/>
  <c r="AH28" i="6"/>
  <c r="AJ28" i="6" s="1"/>
  <c r="AQ28" i="6" s="1"/>
  <c r="AS28" i="6" s="1"/>
  <c r="AT28" i="6" s="1"/>
  <c r="CC25" i="6" s="1"/>
  <c r="AH33" i="6"/>
  <c r="AJ33" i="6" s="1"/>
  <c r="AQ33" i="6" s="1"/>
  <c r="AS33" i="6" s="1"/>
  <c r="AT33" i="6" s="1"/>
  <c r="CD25" i="6" s="1"/>
  <c r="AH22" i="6"/>
  <c r="AJ22" i="6" s="1"/>
  <c r="AQ22" i="6" s="1"/>
  <c r="AS22" i="6" s="1"/>
  <c r="AT22" i="6" s="1"/>
  <c r="CB20" i="6" s="1"/>
  <c r="AH31" i="6"/>
  <c r="AA26" i="6"/>
  <c r="AB26" i="6"/>
  <c r="AA25" i="6"/>
  <c r="AB25" i="6"/>
  <c r="AC21" i="6"/>
  <c r="AB29" i="6"/>
  <c r="AA29" i="6"/>
  <c r="AB30" i="6"/>
  <c r="AA30" i="6"/>
  <c r="AC20" i="6"/>
  <c r="AA24" i="6"/>
  <c r="AB24" i="6"/>
  <c r="H62" i="7"/>
  <c r="AB19" i="6"/>
  <c r="AC19" i="6" s="1"/>
  <c r="C30" i="4"/>
  <c r="D62" i="7"/>
  <c r="BZ25" i="5"/>
  <c r="C29" i="4"/>
  <c r="H65" i="7" l="1"/>
  <c r="BV15" i="5"/>
  <c r="M62" i="7"/>
  <c r="M64" i="7"/>
  <c r="AQ86" i="7"/>
  <c r="AU17" i="6"/>
  <c r="BB17" i="6" s="1"/>
  <c r="BC17" i="6" s="1"/>
  <c r="BB14" i="6"/>
  <c r="BC14" i="6" s="1"/>
  <c r="BB15" i="6"/>
  <c r="BC15" i="6" s="1"/>
  <c r="CA12" i="6" s="1"/>
  <c r="AU8" i="6"/>
  <c r="AK5" i="6"/>
  <c r="AZ5" i="6" s="1"/>
  <c r="AU5" i="6"/>
  <c r="AJ17" i="6"/>
  <c r="AQ17" i="6" s="1"/>
  <c r="AS17" i="6" s="1"/>
  <c r="AT17" i="6" s="1"/>
  <c r="CA20" i="6" s="1"/>
  <c r="AK8" i="6"/>
  <c r="AZ8" i="6" s="1"/>
  <c r="BB8" i="6" s="1"/>
  <c r="BC8" i="6" s="1"/>
  <c r="BY27" i="6" s="1"/>
  <c r="BB9" i="6"/>
  <c r="BC9" i="6" s="1"/>
  <c r="BZ7" i="6" s="1"/>
  <c r="AQ56" i="7"/>
  <c r="AQ57" i="7"/>
  <c r="CA25" i="5"/>
  <c r="AP78" i="7"/>
  <c r="AQ78" i="7" s="1"/>
  <c r="L54" i="7"/>
  <c r="AP64" i="7"/>
  <c r="BU16" i="5"/>
  <c r="AP87" i="7"/>
  <c r="AQ87" i="7" s="1"/>
  <c r="D64" i="7"/>
  <c r="AP70" i="7"/>
  <c r="AQ70" i="7" s="1"/>
  <c r="AQ71" i="7"/>
  <c r="AP79" i="7"/>
  <c r="AQ79" i="7" s="1"/>
  <c r="BB13" i="6"/>
  <c r="BC13" i="6" s="1"/>
  <c r="BZ27" i="6" s="1"/>
  <c r="BU14" i="5"/>
  <c r="BT14" i="5"/>
  <c r="E64" i="7" s="1"/>
  <c r="CA24" i="5"/>
  <c r="BU15" i="5"/>
  <c r="I36" i="7" s="1"/>
  <c r="F10" i="7" s="1"/>
  <c r="G10" i="7" s="1"/>
  <c r="H54" i="7"/>
  <c r="CC22" i="5"/>
  <c r="V34" i="7"/>
  <c r="AW13" i="6"/>
  <c r="AX13" i="6"/>
  <c r="AY13" i="6" s="1"/>
  <c r="BZ26" i="6" s="1"/>
  <c r="I51" i="7"/>
  <c r="AW5" i="6"/>
  <c r="AX5" i="6"/>
  <c r="AY5" i="6" s="1"/>
  <c r="BY11" i="6" s="1"/>
  <c r="E52" i="7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AU18" i="6"/>
  <c r="AK18" i="6"/>
  <c r="AZ18" i="6" s="1"/>
  <c r="AJ18" i="6"/>
  <c r="AQ18" i="6" s="1"/>
  <c r="AS18" i="6" s="1"/>
  <c r="AT18" i="6" s="1"/>
  <c r="CA25" i="6" s="1"/>
  <c r="AP48" i="7"/>
  <c r="AW15" i="6"/>
  <c r="AX15" i="6"/>
  <c r="AY15" i="6" s="1"/>
  <c r="CA11" i="6" s="1"/>
  <c r="P118" i="4"/>
  <c r="P140" i="4"/>
  <c r="P129" i="4"/>
  <c r="P107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AU16" i="6"/>
  <c r="AK16" i="6"/>
  <c r="AZ16" i="6" s="1"/>
  <c r="BB16" i="6" s="1"/>
  <c r="BC16" i="6" s="1"/>
  <c r="AJ16" i="6"/>
  <c r="AQ16" i="6" s="1"/>
  <c r="AS16" i="6" s="1"/>
  <c r="AT16" i="6" s="1"/>
  <c r="CA15" i="6" s="1"/>
  <c r="P109" i="4"/>
  <c r="P131" i="4"/>
  <c r="P120" i="4"/>
  <c r="P142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I52" i="7"/>
  <c r="AW9" i="6"/>
  <c r="AX9" i="6"/>
  <c r="AY9" i="6" s="1"/>
  <c r="BZ6" i="6" s="1"/>
  <c r="AW8" i="6"/>
  <c r="AX8" i="6"/>
  <c r="AY8" i="6" s="1"/>
  <c r="BY26" i="6" s="1"/>
  <c r="P108" i="4"/>
  <c r="P130" i="4"/>
  <c r="P141" i="4"/>
  <c r="P119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T15" i="5"/>
  <c r="I64" i="7" s="1"/>
  <c r="CC23" i="5"/>
  <c r="M52" i="7"/>
  <c r="M51" i="7"/>
  <c r="AU28" i="6"/>
  <c r="AW28" i="6" s="1"/>
  <c r="AK33" i="6"/>
  <c r="AZ33" i="6" s="1"/>
  <c r="BB33" i="6" s="1"/>
  <c r="BC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C30" i="6"/>
  <c r="AC25" i="6"/>
  <c r="AC29" i="6"/>
  <c r="AC26" i="6"/>
  <c r="CB26" i="5"/>
  <c r="L65" i="7"/>
  <c r="CB24" i="5"/>
  <c r="CB25" i="5"/>
  <c r="CA26" i="5"/>
  <c r="M65" i="7"/>
  <c r="G9" i="7"/>
  <c r="E66" i="7" l="1"/>
  <c r="CC26" i="5"/>
  <c r="M66" i="7"/>
  <c r="AW17" i="6"/>
  <c r="AX17" i="6"/>
  <c r="AY17" i="6" s="1"/>
  <c r="CA21" i="6" s="1"/>
  <c r="BB5" i="6"/>
  <c r="BC5" i="6" s="1"/>
  <c r="BY12" i="6" s="1"/>
  <c r="AP88" i="7"/>
  <c r="AQ64" i="7"/>
  <c r="AQ65" i="7"/>
  <c r="AP80" i="7"/>
  <c r="AP72" i="7"/>
  <c r="AQ49" i="7"/>
  <c r="AQ48" i="7"/>
  <c r="BB27" i="6"/>
  <c r="BC27" i="6" s="1"/>
  <c r="BB18" i="6"/>
  <c r="BC18" i="6" s="1"/>
  <c r="CA27" i="6" s="1"/>
  <c r="BB4" i="6"/>
  <c r="BC4" i="6" s="1"/>
  <c r="BY7" i="6" s="1"/>
  <c r="BB22" i="6"/>
  <c r="BC22" i="6" s="1"/>
  <c r="CB22" i="6" s="1"/>
  <c r="BB7" i="6"/>
  <c r="BC7" i="6" s="1"/>
  <c r="BY22" i="6" s="1"/>
  <c r="BB32" i="6"/>
  <c r="BC32" i="6" s="1"/>
  <c r="CD22" i="6" s="1"/>
  <c r="BB28" i="6"/>
  <c r="BC28" i="6" s="1"/>
  <c r="CC27" i="6" s="1"/>
  <c r="BB31" i="6"/>
  <c r="BC31" i="6" s="1"/>
  <c r="BB11" i="6"/>
  <c r="BC11" i="6" s="1"/>
  <c r="CM12" i="6"/>
  <c r="G20" i="7" s="1"/>
  <c r="D54" i="7"/>
  <c r="CC21" i="5"/>
  <c r="M53" i="7"/>
  <c r="M54" i="7"/>
  <c r="AW4" i="6"/>
  <c r="AX4" i="6"/>
  <c r="AW7" i="6"/>
  <c r="AX7" i="6"/>
  <c r="AY7" i="6" s="1"/>
  <c r="BY21" i="6" s="1"/>
  <c r="CA7" i="6"/>
  <c r="CM13" i="6"/>
  <c r="G21" i="7" s="1"/>
  <c r="AW11" i="6"/>
  <c r="AX11" i="6"/>
  <c r="AY11" i="6" s="1"/>
  <c r="BZ16" i="6" s="1"/>
  <c r="CM11" i="6"/>
  <c r="G19" i="7" s="1"/>
  <c r="AS4" i="6"/>
  <c r="AT4" i="6" s="1"/>
  <c r="BY5" i="6" s="1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AX28" i="6"/>
  <c r="AY28" i="6" s="1"/>
  <c r="CC26" i="6" s="1"/>
  <c r="I65" i="7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U21" i="6" s="1"/>
  <c r="E65" i="7"/>
  <c r="CC24" i="5"/>
  <c r="AH20" i="6"/>
  <c r="CD28" i="6"/>
  <c r="CB4" i="6"/>
  <c r="CC28" i="6"/>
  <c r="CC4" i="6"/>
  <c r="CD19" i="6"/>
  <c r="V32" i="7"/>
  <c r="CD15" i="6"/>
  <c r="CC25" i="5"/>
  <c r="J36" i="7" l="1"/>
  <c r="V33" i="7" s="1"/>
  <c r="AQ80" i="7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U24" i="6" s="1"/>
  <c r="AH26" i="6"/>
  <c r="AU26" i="6" s="1"/>
  <c r="CC18" i="6"/>
  <c r="CC19" i="6"/>
  <c r="AW21" i="6"/>
  <c r="AH25" i="6"/>
  <c r="AH30" i="6"/>
  <c r="AU20" i="6"/>
  <c r="AJ20" i="6"/>
  <c r="AQ20" i="6" s="1"/>
  <c r="AS20" i="6" s="1"/>
  <c r="AT20" i="6" s="1"/>
  <c r="CB10" i="6" s="1"/>
  <c r="AK20" i="6"/>
  <c r="AZ20" i="6" s="1"/>
  <c r="AH29" i="6"/>
  <c r="CD16" i="6"/>
  <c r="CD8" i="6"/>
  <c r="CD9" i="6"/>
  <c r="CC13" i="6"/>
  <c r="CC14" i="6"/>
  <c r="CC8" i="6"/>
  <c r="CC9" i="6"/>
  <c r="CB14" i="6"/>
  <c r="CB13" i="6"/>
  <c r="CD14" i="6"/>
  <c r="CD13" i="6"/>
  <c r="AH19" i="6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G22" i="7" s="1"/>
  <c r="CB15" i="6"/>
  <c r="CW13" i="6" l="1"/>
  <c r="M56" i="7" s="1"/>
  <c r="J21" i="7"/>
  <c r="CW12" i="6"/>
  <c r="I56" i="7" s="1"/>
  <c r="J20" i="7"/>
  <c r="CW11" i="6"/>
  <c r="E56" i="7" s="1"/>
  <c r="J19" i="7"/>
  <c r="CY11" i="6"/>
  <c r="CZ11" i="6" s="1"/>
  <c r="E47" i="7"/>
  <c r="R6" i="7" s="1"/>
  <c r="G16" i="3" s="1"/>
  <c r="BB25" i="6"/>
  <c r="BC25" i="6" s="1"/>
  <c r="AR69" i="7"/>
  <c r="CY21" i="6"/>
  <c r="CY13" i="6"/>
  <c r="M47" i="7"/>
  <c r="H9" i="7"/>
  <c r="O9" i="7"/>
  <c r="I49" i="7"/>
  <c r="I50" i="7"/>
  <c r="M49" i="7"/>
  <c r="M50" i="7"/>
  <c r="CY12" i="6"/>
  <c r="I47" i="7"/>
  <c r="E50" i="7"/>
  <c r="E49" i="7"/>
  <c r="D47" i="7"/>
  <c r="Q6" i="7" s="1"/>
  <c r="F16" i="3" s="1"/>
  <c r="CM16" i="6"/>
  <c r="G24" i="7" s="1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G23" i="7" s="1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AS61" i="7" l="1"/>
  <c r="AT61" i="7" s="1"/>
  <c r="I21" i="7"/>
  <c r="I8" i="7" s="1"/>
  <c r="J8" i="7" s="1"/>
  <c r="AS53" i="7"/>
  <c r="AT53" i="7" s="1"/>
  <c r="I20" i="7"/>
  <c r="I7" i="7" s="1"/>
  <c r="J7" i="7" s="1"/>
  <c r="I19" i="7"/>
  <c r="I6" i="7" s="1"/>
  <c r="J6" i="7" s="1"/>
  <c r="DB22" i="6"/>
  <c r="CY22" i="6"/>
  <c r="CY23" i="6"/>
  <c r="D27" i="4"/>
  <c r="Q149" i="4" s="1"/>
  <c r="DB23" i="6"/>
  <c r="CZ13" i="6"/>
  <c r="CZ23" i="6" s="1"/>
  <c r="AS45" i="7"/>
  <c r="DB21" i="6"/>
  <c r="D26" i="4"/>
  <c r="D48" i="7"/>
  <c r="AS46" i="7"/>
  <c r="O11" i="7"/>
  <c r="AR45" i="7"/>
  <c r="AR85" i="7"/>
  <c r="H10" i="7"/>
  <c r="AR77" i="7"/>
  <c r="AR63" i="7"/>
  <c r="D28" i="4"/>
  <c r="Q150" i="4" s="1"/>
  <c r="C47" i="7"/>
  <c r="P6" i="7" s="1"/>
  <c r="E16" i="3" s="1"/>
  <c r="R7" i="7"/>
  <c r="G17" i="3" s="1"/>
  <c r="H47" i="7"/>
  <c r="Q7" i="7" s="1"/>
  <c r="F17" i="3" s="1"/>
  <c r="CZ12" i="6"/>
  <c r="CI19" i="6"/>
  <c r="CT14" i="6" s="1"/>
  <c r="R8" i="7"/>
  <c r="G18" i="3" s="1"/>
  <c r="L47" i="7"/>
  <c r="Q8" i="7" s="1"/>
  <c r="F18" i="3" s="1"/>
  <c r="DA11" i="6"/>
  <c r="AS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Q172" i="4" l="1"/>
  <c r="Q194" i="4"/>
  <c r="Q138" i="4"/>
  <c r="AT47" i="7"/>
  <c r="DA13" i="6"/>
  <c r="AS63" i="7" s="1"/>
  <c r="AT63" i="7" s="1"/>
  <c r="AS62" i="7"/>
  <c r="AT62" i="7" s="1"/>
  <c r="L48" i="7"/>
  <c r="AT64" i="7"/>
  <c r="Q105" i="4"/>
  <c r="CW14" i="6"/>
  <c r="E69" i="7" s="1"/>
  <c r="J22" i="7"/>
  <c r="CW15" i="6"/>
  <c r="I69" i="7" s="1"/>
  <c r="J23" i="7"/>
  <c r="Q160" i="4"/>
  <c r="Q106" i="4"/>
  <c r="Q116" i="4"/>
  <c r="Q204" i="4"/>
  <c r="Q182" i="4"/>
  <c r="DA23" i="6"/>
  <c r="Q171" i="4"/>
  <c r="Q193" i="4"/>
  <c r="Q205" i="4"/>
  <c r="Q183" i="4"/>
  <c r="Q161" i="4"/>
  <c r="Q216" i="4"/>
  <c r="Q139" i="4"/>
  <c r="C48" i="7"/>
  <c r="C49" i="7" s="1"/>
  <c r="Q117" i="4"/>
  <c r="Q215" i="4"/>
  <c r="Q127" i="4"/>
  <c r="O10" i="7"/>
  <c r="Q115" i="4"/>
  <c r="Q170" i="4"/>
  <c r="Q181" i="4"/>
  <c r="Q148" i="4"/>
  <c r="Q214" i="4"/>
  <c r="Q192" i="4"/>
  <c r="Q203" i="4"/>
  <c r="Q104" i="4"/>
  <c r="Q159" i="4"/>
  <c r="Q137" i="4"/>
  <c r="Q126" i="4"/>
  <c r="Q128" i="4"/>
  <c r="H11" i="7"/>
  <c r="AT48" i="7"/>
  <c r="AT45" i="7"/>
  <c r="AT46" i="7"/>
  <c r="DA12" i="6"/>
  <c r="AS55" i="7" s="1"/>
  <c r="AS54" i="7"/>
  <c r="AT54" i="7" s="1"/>
  <c r="L50" i="7"/>
  <c r="CY14" i="6"/>
  <c r="CY15" i="6"/>
  <c r="I63" i="7"/>
  <c r="G47" i="7"/>
  <c r="H48" i="7"/>
  <c r="CZ22" i="6"/>
  <c r="K47" i="7"/>
  <c r="CH29" i="6"/>
  <c r="CS16" i="6" s="1"/>
  <c r="DA21" i="6"/>
  <c r="D50" i="7"/>
  <c r="CJ29" i="6"/>
  <c r="CU16" i="6" s="1"/>
  <c r="E60" i="7"/>
  <c r="E63" i="7"/>
  <c r="E62" i="7"/>
  <c r="M61" i="7"/>
  <c r="M60" i="7" l="1"/>
  <c r="CW16" i="6"/>
  <c r="M69" i="7" s="1"/>
  <c r="J24" i="7"/>
  <c r="CZ15" i="6"/>
  <c r="AS78" i="7" s="1"/>
  <c r="I23" i="7"/>
  <c r="I10" i="7" s="1"/>
  <c r="CZ14" i="6"/>
  <c r="AS70" i="7" s="1"/>
  <c r="I22" i="7"/>
  <c r="I9" i="7" s="1"/>
  <c r="C50" i="7"/>
  <c r="C51" i="7" s="1"/>
  <c r="C52" i="7" s="1"/>
  <c r="C53" i="7" s="1"/>
  <c r="C54" i="7" s="1"/>
  <c r="C55" i="7" s="1"/>
  <c r="H50" i="7"/>
  <c r="AS77" i="7"/>
  <c r="AT55" i="7"/>
  <c r="AT56" i="7"/>
  <c r="DA22" i="6"/>
  <c r="AS69" i="7"/>
  <c r="AT69" i="7" s="1"/>
  <c r="R9" i="7"/>
  <c r="G19" i="3" s="1"/>
  <c r="P7" i="7"/>
  <c r="E17" i="3" s="1"/>
  <c r="G48" i="7"/>
  <c r="G49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M63" i="7"/>
  <c r="E28" i="4"/>
  <c r="E61" i="7"/>
  <c r="D60" i="7"/>
  <c r="Q9" i="7" s="1"/>
  <c r="F19" i="3" s="1"/>
  <c r="I62" i="7"/>
  <c r="I60" i="7"/>
  <c r="G29" i="4"/>
  <c r="G31" i="4"/>
  <c r="G50" i="7" l="1"/>
  <c r="G51" i="7" s="1"/>
  <c r="G52" i="7" s="1"/>
  <c r="G53" i="7" s="1"/>
  <c r="G54" i="7" s="1"/>
  <c r="G55" i="7" s="1"/>
  <c r="H61" i="7"/>
  <c r="D61" i="7"/>
  <c r="DA15" i="6"/>
  <c r="DA14" i="6"/>
  <c r="AS71" i="7" s="1"/>
  <c r="AT72" i="7" s="1"/>
  <c r="I24" i="7"/>
  <c r="I11" i="7" s="1"/>
  <c r="J11" i="7" s="1"/>
  <c r="AT70" i="7"/>
  <c r="CY26" i="6"/>
  <c r="AS85" i="7"/>
  <c r="AT85" i="7" s="1"/>
  <c r="AS79" i="7"/>
  <c r="AT78" i="7"/>
  <c r="AT77" i="7"/>
  <c r="D31" i="4"/>
  <c r="R11" i="7"/>
  <c r="DB26" i="6"/>
  <c r="C60" i="7"/>
  <c r="R10" i="7"/>
  <c r="G20" i="3" s="1"/>
  <c r="CZ16" i="6"/>
  <c r="AS86" i="7" s="1"/>
  <c r="L60" i="7"/>
  <c r="H28" i="4"/>
  <c r="E26" i="4"/>
  <c r="I61" i="7"/>
  <c r="H60" i="7"/>
  <c r="Q10" i="7" s="1"/>
  <c r="F20" i="3" s="1"/>
  <c r="CZ24" i="6"/>
  <c r="CY24" i="6"/>
  <c r="DB24" i="6"/>
  <c r="D29" i="4"/>
  <c r="D21" i="3"/>
  <c r="D19" i="3"/>
  <c r="AT86" i="7" l="1"/>
  <c r="AT71" i="7"/>
  <c r="D63" i="7"/>
  <c r="V8" i="7"/>
  <c r="G21" i="3"/>
  <c r="G60" i="7"/>
  <c r="Q11" i="7"/>
  <c r="F21" i="3" s="1"/>
  <c r="K60" i="7"/>
  <c r="AT79" i="7"/>
  <c r="AT80" i="7"/>
  <c r="P9" i="7"/>
  <c r="E19" i="3" s="1"/>
  <c r="C61" i="7"/>
  <c r="C62" i="7" s="1"/>
  <c r="Q140" i="4"/>
  <c r="Q129" i="4"/>
  <c r="Q107" i="4"/>
  <c r="Q118" i="4"/>
  <c r="Q206" i="4"/>
  <c r="Q173" i="4"/>
  <c r="Q151" i="4"/>
  <c r="Q162" i="4"/>
  <c r="Q217" i="4"/>
  <c r="Q195" i="4"/>
  <c r="Q184" i="4"/>
  <c r="Q109" i="4"/>
  <c r="Q120" i="4"/>
  <c r="Q142" i="4"/>
  <c r="Q131" i="4"/>
  <c r="Q219" i="4"/>
  <c r="Q164" i="4"/>
  <c r="Q208" i="4"/>
  <c r="Q186" i="4"/>
  <c r="Q175" i="4"/>
  <c r="Q153" i="4"/>
  <c r="Q197" i="4"/>
  <c r="DA16" i="6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C63" i="7" l="1"/>
  <c r="C64" i="7" s="1"/>
  <c r="C65" i="7" s="1"/>
  <c r="C66" i="7" s="1"/>
  <c r="C67" i="7" s="1"/>
  <c r="C68" i="7" s="1"/>
  <c r="E31" i="4"/>
  <c r="G61" i="7"/>
  <c r="G62" i="7" s="1"/>
  <c r="G63" i="7" s="1"/>
  <c r="G64" i="7" s="1"/>
  <c r="G65" i="7" s="1"/>
  <c r="G66" i="7" s="1"/>
  <c r="G68" i="7" s="1"/>
  <c r="AS87" i="7"/>
  <c r="Q108" i="4"/>
  <c r="Q130" i="4"/>
  <c r="Q141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DA26" i="6"/>
  <c r="H27" i="4"/>
  <c r="E27" i="4"/>
  <c r="S233" i="4"/>
  <c r="O233" i="4"/>
  <c r="V6" i="7"/>
  <c r="DA24" i="6"/>
  <c r="S235" i="4"/>
  <c r="S234" i="4"/>
  <c r="P10" i="7" l="1"/>
  <c r="E20" i="3" s="1"/>
  <c r="K64" i="7"/>
  <c r="K65" i="7" s="1"/>
  <c r="K66" i="7" s="1"/>
  <c r="K67" i="7" s="1"/>
  <c r="K68" i="7" s="1"/>
  <c r="AT88" i="7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K8" i="3" l="1"/>
  <c r="L8" i="3"/>
  <c r="N8" i="3" s="1"/>
  <c r="K7" i="3"/>
  <c r="L7" i="3"/>
  <c r="N7" i="3" s="1"/>
  <c r="K6" i="3"/>
  <c r="L6" i="3"/>
  <c r="N6" i="3" s="1"/>
  <c r="K10" i="3"/>
  <c r="L10" i="3"/>
  <c r="N10" i="3" s="1"/>
  <c r="K9" i="3"/>
  <c r="L9" i="3"/>
  <c r="N9" i="3" s="1"/>
  <c r="K5" i="3"/>
  <c r="L5" i="3"/>
  <c r="N5" i="3" s="1"/>
  <c r="F12" i="3"/>
  <c r="G5" i="3" l="1"/>
  <c r="I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J5" i="3" l="1"/>
  <c r="R5" i="3" s="1"/>
  <c r="I6" i="3"/>
  <c r="I7" i="3" l="1"/>
  <c r="J6" i="3"/>
  <c r="H5" i="3"/>
  <c r="P5" i="3"/>
  <c r="I8" i="3" l="1"/>
  <c r="J7" i="3"/>
  <c r="W5" i="3"/>
  <c r="I9" i="3" l="1"/>
  <c r="J8" i="3"/>
  <c r="AE5" i="3"/>
  <c r="AG5" i="3" s="1"/>
  <c r="AF5" i="3"/>
  <c r="AH5" i="3" s="1"/>
  <c r="P6" i="3"/>
  <c r="R6" i="3"/>
  <c r="W6" i="3" s="1"/>
  <c r="H6" i="3"/>
  <c r="I10" i="3" l="1"/>
  <c r="J10" i="3" s="1"/>
  <c r="J9" i="3"/>
  <c r="P7" i="3"/>
  <c r="AE6" i="3"/>
  <c r="AG6" i="3" s="1"/>
  <c r="AF6" i="3"/>
  <c r="AH6" i="3" s="1"/>
  <c r="H7" i="3"/>
  <c r="R7" i="3"/>
  <c r="W7" i="3" s="1"/>
  <c r="AI5" i="3"/>
  <c r="AE7" i="3" l="1"/>
  <c r="AG7" i="3" s="1"/>
  <c r="AF7" i="3"/>
  <c r="AH7" i="3" s="1"/>
  <c r="H8" i="3"/>
  <c r="R8" i="3"/>
  <c r="AI6" i="3"/>
  <c r="P8" i="3"/>
  <c r="AI7" i="3" l="1"/>
  <c r="W8" i="3"/>
  <c r="AE8" i="3" l="1"/>
  <c r="AF8" i="3"/>
  <c r="AH8" i="3" s="1"/>
  <c r="H9" i="3"/>
  <c r="R9" i="3"/>
  <c r="W9" i="3" s="1"/>
  <c r="P9" i="3"/>
  <c r="R10" i="3" l="1"/>
  <c r="AI8" i="3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D5" i="3" s="1"/>
  <c r="AC6" i="3" l="1"/>
  <c r="AD6" i="3" s="1"/>
  <c r="AK5" i="3" l="1"/>
  <c r="R18" i="3"/>
  <c r="AJ5" i="3"/>
  <c r="AB5" i="3"/>
  <c r="AC7" i="3"/>
  <c r="AD7" i="3" s="1"/>
  <c r="AC8" i="3" l="1"/>
  <c r="AD8" i="3" s="1"/>
  <c r="W18" i="3"/>
  <c r="AF18" i="3" l="1"/>
  <c r="AH18" i="3" s="1"/>
  <c r="AE18" i="3"/>
  <c r="AK6" i="3"/>
  <c r="R19" i="3"/>
  <c r="AB6" i="3"/>
  <c r="AJ6" i="3"/>
  <c r="AC9" i="3"/>
  <c r="AD9" i="3" s="1"/>
  <c r="AC10" i="3" l="1"/>
  <c r="AD10" i="3" s="1"/>
  <c r="AG18" i="3"/>
  <c r="AI18" i="3"/>
  <c r="W19" i="3"/>
  <c r="R20" i="3"/>
  <c r="AF19" i="3" l="1"/>
  <c r="AH19" i="3" s="1"/>
  <c r="AE19" i="3"/>
  <c r="AK7" i="3"/>
  <c r="AB7" i="3"/>
  <c r="AJ7" i="3"/>
  <c r="AI19" i="3" l="1"/>
  <c r="AG19" i="3"/>
  <c r="W20" i="3"/>
  <c r="R21" i="3"/>
  <c r="AF20" i="3" l="1"/>
  <c r="AH20" i="3" s="1"/>
  <c r="AE20" i="3"/>
  <c r="AK8" i="3"/>
  <c r="AJ8" i="3"/>
  <c r="AB8" i="3"/>
  <c r="AG20" i="3" l="1"/>
  <c r="AI20" i="3"/>
  <c r="W21" i="3"/>
  <c r="AE21" i="3" l="1"/>
  <c r="AF21" i="3"/>
  <c r="AH21" i="3" s="1"/>
  <c r="AK9" i="3"/>
  <c r="R22" i="3"/>
  <c r="AB9" i="3"/>
  <c r="AJ9" i="3"/>
  <c r="R23" i="3" l="1"/>
  <c r="AK10" i="3"/>
  <c r="AJ10" i="3"/>
  <c r="W22" i="3"/>
  <c r="AG21" i="3"/>
  <c r="AI21" i="3"/>
  <c r="S23" i="3" l="1"/>
  <c r="X23" i="3" s="1"/>
  <c r="Z23" i="3" s="1"/>
  <c r="AB10" i="3"/>
  <c r="AF22" i="3"/>
  <c r="AH22" i="3" s="1"/>
  <c r="AE22" i="3"/>
  <c r="AG22" i="3" s="1"/>
  <c r="W23" i="3"/>
  <c r="S22" i="3" l="1"/>
  <c r="X22" i="3" s="1"/>
  <c r="AF23" i="3"/>
  <c r="AH23" i="3" s="1"/>
  <c r="AE23" i="3"/>
  <c r="AG23" i="3" s="1"/>
  <c r="AI22" i="3"/>
  <c r="S21" i="3" l="1"/>
  <c r="X21" i="3" s="1"/>
  <c r="AI23" i="3"/>
  <c r="Z22" i="3"/>
  <c r="S20" i="3" l="1"/>
  <c r="X20" i="3" s="1"/>
  <c r="Z21" i="3"/>
  <c r="S19" i="3" l="1"/>
  <c r="X19" i="3" s="1"/>
  <c r="Z20" i="3"/>
  <c r="S18" i="3" l="1"/>
  <c r="X18" i="3" s="1"/>
  <c r="Z18" i="3" s="1"/>
  <c r="Z19" i="3"/>
  <c r="Z25" i="3" l="1"/>
  <c r="AA23" i="3" s="1"/>
  <c r="AA20" i="3" l="1"/>
  <c r="AA19" i="3"/>
  <c r="AA18" i="3"/>
  <c r="AC18" i="3" s="1"/>
  <c r="AD18" i="3" s="1"/>
  <c r="AA21" i="3"/>
  <c r="AA22" i="3"/>
  <c r="R31" i="3" l="1"/>
  <c r="AC19" i="3"/>
  <c r="AC20" i="3" l="1"/>
  <c r="AD20" i="3" s="1"/>
  <c r="AD19" i="3"/>
  <c r="AB18" i="3"/>
  <c r="AK18" i="3"/>
  <c r="AJ18" i="3"/>
  <c r="W31" i="3"/>
  <c r="AC21" i="3" l="1"/>
  <c r="AD21" i="3" s="1"/>
  <c r="R32" i="3"/>
  <c r="W32" i="3" s="1"/>
  <c r="AF31" i="3"/>
  <c r="AH31" i="3" s="1"/>
  <c r="AE31" i="3"/>
  <c r="AG31" i="3" s="1"/>
  <c r="AJ19" i="3"/>
  <c r="AK19" i="3"/>
  <c r="AB19" i="3"/>
  <c r="AC22" i="3" l="1"/>
  <c r="AD22" i="3" s="1"/>
  <c r="AF32" i="3"/>
  <c r="AH32" i="3" s="1"/>
  <c r="AE32" i="3"/>
  <c r="AG32" i="3" s="1"/>
  <c r="AK20" i="3"/>
  <c r="R33" i="3"/>
  <c r="AB20" i="3"/>
  <c r="AJ20" i="3"/>
  <c r="AI31" i="3"/>
  <c r="AC23" i="3" l="1"/>
  <c r="AD23" i="3" s="1"/>
  <c r="W33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E34" i="3" l="1"/>
  <c r="AG34" i="3" s="1"/>
  <c r="AF34" i="3"/>
  <c r="AH34" i="3" s="1"/>
  <c r="AK22" i="3"/>
  <c r="R35" i="3"/>
  <c r="W35" i="3" s="1"/>
  <c r="AJ22" i="3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D31" i="3" s="1"/>
  <c r="AA33" i="3"/>
  <c r="R44" i="3" l="1"/>
  <c r="AC32" i="3"/>
  <c r="AD32" i="3" s="1"/>
  <c r="AK31" i="3" l="1"/>
  <c r="W44" i="3"/>
  <c r="AC33" i="3"/>
  <c r="AD33" i="3" s="1"/>
  <c r="AJ31" i="3"/>
  <c r="R45" i="3" s="1"/>
  <c r="AB31" i="3"/>
  <c r="AF44" i="3" l="1"/>
  <c r="AH44" i="3" s="1"/>
  <c r="AE44" i="3"/>
  <c r="AK32" i="3"/>
  <c r="AJ32" i="3"/>
  <c r="AB32" i="3"/>
  <c r="AC34" i="3"/>
  <c r="AD34" i="3" s="1"/>
  <c r="AC35" i="3" l="1"/>
  <c r="AD35" i="3" s="1"/>
  <c r="AG44" i="3"/>
  <c r="AI44" i="3"/>
  <c r="W45" i="3"/>
  <c r="AF45" i="3" l="1"/>
  <c r="AH45" i="3" s="1"/>
  <c r="AE45" i="3"/>
  <c r="AK33" i="3"/>
  <c r="R46" i="3"/>
  <c r="AB33" i="3"/>
  <c r="AJ33" i="3"/>
  <c r="AC36" i="3"/>
  <c r="AD36" i="3" s="1"/>
  <c r="AG45" i="3" l="1"/>
  <c r="AI45" i="3"/>
  <c r="W46" i="3"/>
  <c r="AF46" i="3" l="1"/>
  <c r="AH46" i="3" s="1"/>
  <c r="AE46" i="3"/>
  <c r="AK34" i="3"/>
  <c r="R47" i="3"/>
  <c r="W47" i="3" s="1"/>
  <c r="AB34" i="3"/>
  <c r="AJ34" i="3"/>
  <c r="AE47" i="3" l="1"/>
  <c r="AF47" i="3"/>
  <c r="AH47" i="3" s="1"/>
  <c r="AK35" i="3"/>
  <c r="R48" i="3"/>
  <c r="AJ35" i="3"/>
  <c r="AB35" i="3"/>
  <c r="AG46" i="3"/>
  <c r="AI46" i="3"/>
  <c r="W48" i="3" l="1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D44" i="3" s="1"/>
  <c r="AA47" i="3"/>
  <c r="AA48" i="3"/>
  <c r="AA46" i="3"/>
  <c r="AA45" i="3"/>
  <c r="R57" i="3" l="1"/>
  <c r="AC45" i="3"/>
  <c r="AC46" i="3" l="1"/>
  <c r="AD46" i="3" s="1"/>
  <c r="AD45" i="3"/>
  <c r="AK44" i="3"/>
  <c r="AB44" i="3"/>
  <c r="AJ44" i="3"/>
  <c r="R58" i="3" l="1"/>
  <c r="W58" i="3" s="1"/>
  <c r="AC47" i="3"/>
  <c r="AC48" i="3" s="1"/>
  <c r="AB45" i="3"/>
  <c r="AK45" i="3"/>
  <c r="W57" i="3"/>
  <c r="AJ45" i="3"/>
  <c r="AD48" i="3" l="1"/>
  <c r="AC49" i="3"/>
  <c r="AD49" i="3" s="1"/>
  <c r="AD47" i="3"/>
  <c r="AF58" i="3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G58" i="3"/>
  <c r="AI58" i="3"/>
  <c r="C17" i="4"/>
  <c r="E17" i="4" s="1"/>
  <c r="T215" i="4" l="1"/>
  <c r="T193" i="4"/>
  <c r="T171" i="4"/>
  <c r="T149" i="4"/>
  <c r="T127" i="4"/>
  <c r="T105" i="4"/>
  <c r="T204" i="4"/>
  <c r="T182" i="4"/>
  <c r="T160" i="4"/>
  <c r="T138" i="4"/>
  <c r="T116" i="4"/>
  <c r="T214" i="4"/>
  <c r="T170" i="4"/>
  <c r="T126" i="4"/>
  <c r="T203" i="4"/>
  <c r="T159" i="4"/>
  <c r="T115" i="4"/>
  <c r="T148" i="4"/>
  <c r="T181" i="4"/>
  <c r="T137" i="4"/>
  <c r="T192" i="4"/>
  <c r="T104" i="4"/>
  <c r="AF59" i="3"/>
  <c r="AH59" i="3" s="1"/>
  <c r="AE59" i="3"/>
  <c r="AK47" i="3"/>
  <c r="R60" i="3"/>
  <c r="AB47" i="3"/>
  <c r="AJ47" i="3"/>
  <c r="C18" i="4" l="1"/>
  <c r="E18" i="4" s="1"/>
  <c r="AG59" i="3"/>
  <c r="AI59" i="3"/>
  <c r="W60" i="3"/>
  <c r="T216" i="4" l="1"/>
  <c r="T194" i="4"/>
  <c r="T172" i="4"/>
  <c r="T150" i="4"/>
  <c r="T128" i="4"/>
  <c r="T106" i="4"/>
  <c r="T205" i="4"/>
  <c r="T183" i="4"/>
  <c r="T161" i="4"/>
  <c r="T139" i="4"/>
  <c r="T117" i="4"/>
  <c r="AE60" i="3"/>
  <c r="AF60" i="3"/>
  <c r="AH60" i="3" s="1"/>
  <c r="AK48" i="3"/>
  <c r="R61" i="3"/>
  <c r="AJ48" i="3"/>
  <c r="AB48" i="3"/>
  <c r="W61" i="3" l="1"/>
  <c r="AI60" i="3"/>
  <c r="AG60" i="3"/>
  <c r="C19" i="4"/>
  <c r="E19" i="4" s="1"/>
  <c r="T217" i="4" l="1"/>
  <c r="T195" i="4"/>
  <c r="T173" i="4"/>
  <c r="T151" i="4"/>
  <c r="T129" i="4"/>
  <c r="T107" i="4"/>
  <c r="T206" i="4"/>
  <c r="T184" i="4"/>
  <c r="T162" i="4"/>
  <c r="T140" i="4"/>
  <c r="T118" i="4"/>
  <c r="AF61" i="3"/>
  <c r="AH61" i="3" s="1"/>
  <c r="AA71" i="3" s="1"/>
  <c r="AE61" i="3"/>
  <c r="AK49" i="3"/>
  <c r="R62" i="3"/>
  <c r="AB49" i="3"/>
  <c r="AJ49" i="3"/>
  <c r="W62" i="3" l="1"/>
  <c r="S62" i="3"/>
  <c r="C20" i="4"/>
  <c r="E20" i="4" s="1"/>
  <c r="AG61" i="3"/>
  <c r="Z71" i="3" s="1"/>
  <c r="AI61" i="3"/>
  <c r="T207" i="4" l="1"/>
  <c r="T185" i="4"/>
  <c r="T163" i="4"/>
  <c r="T141" i="4"/>
  <c r="T119" i="4"/>
  <c r="T218" i="4"/>
  <c r="T196" i="4"/>
  <c r="T174" i="4"/>
  <c r="T152" i="4"/>
  <c r="T130" i="4"/>
  <c r="T108" i="4"/>
  <c r="AF62" i="3"/>
  <c r="AH62" i="3" s="1"/>
  <c r="AE62" i="3"/>
  <c r="S61" i="3"/>
  <c r="X62" i="3"/>
  <c r="C21" i="4" l="1"/>
  <c r="E21" i="4" s="1"/>
  <c r="AI62" i="3"/>
  <c r="AG62" i="3"/>
  <c r="S60" i="3"/>
  <c r="X61" i="3"/>
  <c r="Z62" i="3"/>
  <c r="M186" i="4"/>
  <c r="M142" i="4"/>
  <c r="M153" i="4"/>
  <c r="M120" i="4"/>
  <c r="M131" i="4"/>
  <c r="M219" i="4"/>
  <c r="M109" i="4"/>
  <c r="M164" i="4"/>
  <c r="M197" i="4"/>
  <c r="M208" i="4"/>
  <c r="M175" i="4"/>
  <c r="T208" i="4" l="1"/>
  <c r="T120" i="4"/>
  <c r="T186" i="4"/>
  <c r="T164" i="4"/>
  <c r="T219" i="4"/>
  <c r="T197" i="4"/>
  <c r="T175" i="4"/>
  <c r="T153" i="4"/>
  <c r="T131" i="4"/>
  <c r="T109" i="4"/>
  <c r="T142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Z109" i="4"/>
  <c r="AA109" i="4" s="1"/>
  <c r="N109" i="4"/>
  <c r="O109" i="4" s="1"/>
  <c r="M207" i="4"/>
  <c r="M218" i="4"/>
  <c r="M152" i="4"/>
  <c r="M119" i="4"/>
  <c r="M163" i="4"/>
  <c r="M130" i="4"/>
  <c r="M174" i="4"/>
  <c r="M108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N108" i="4" l="1"/>
  <c r="O108" i="4" s="1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107" i="4"/>
  <c r="M217" i="4"/>
  <c r="M118" i="4"/>
  <c r="M173" i="4"/>
  <c r="Z60" i="3"/>
  <c r="N130" i="4"/>
  <c r="O130" i="4" s="1"/>
  <c r="Z130" i="4"/>
  <c r="AA130" i="4" s="1"/>
  <c r="S109" i="4"/>
  <c r="R109" i="4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Z97" i="4"/>
  <c r="AA97" i="4" s="1"/>
  <c r="R175" i="4"/>
  <c r="S175" i="4"/>
  <c r="N185" i="4"/>
  <c r="O185" i="4" s="1"/>
  <c r="Z185" i="4"/>
  <c r="AA185" i="4" s="1"/>
  <c r="Z86" i="4"/>
  <c r="AA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S141" i="4" l="1"/>
  <c r="R141" i="4"/>
  <c r="N151" i="4"/>
  <c r="O151" i="4" s="1"/>
  <c r="Z151" i="4"/>
  <c r="AA151" i="4" s="1"/>
  <c r="S207" i="4"/>
  <c r="R207" i="4"/>
  <c r="S196" i="4"/>
  <c r="R196" i="4"/>
  <c r="R163" i="4"/>
  <c r="S163" i="4"/>
  <c r="Z74" i="4"/>
  <c r="AA74" i="4" s="1"/>
  <c r="C140" i="4"/>
  <c r="Z8" i="4"/>
  <c r="AA8" i="4" s="1"/>
  <c r="R185" i="4"/>
  <c r="S185" i="4"/>
  <c r="Z85" i="4"/>
  <c r="AA85" i="4" s="1"/>
  <c r="G140" i="4"/>
  <c r="Z52" i="4"/>
  <c r="AA52" i="4" s="1"/>
  <c r="S174" i="4"/>
  <c r="R174" i="4"/>
  <c r="Z96" i="4"/>
  <c r="AA96" i="4" s="1"/>
  <c r="Z184" i="4"/>
  <c r="AA184" i="4" s="1"/>
  <c r="N184" i="4"/>
  <c r="O184" i="4" s="1"/>
  <c r="X58" i="3"/>
  <c r="S57" i="3"/>
  <c r="X57" i="3" s="1"/>
  <c r="S130" i="4"/>
  <c r="R130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106" i="4"/>
  <c r="M194" i="4"/>
  <c r="M139" i="4"/>
  <c r="M172" i="4"/>
  <c r="M150" i="4"/>
  <c r="M216" i="4"/>
  <c r="M128" i="4"/>
  <c r="Z59" i="3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N107" i="4"/>
  <c r="O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08" i="4"/>
  <c r="S108" i="4"/>
  <c r="R119" i="4"/>
  <c r="S119" i="4"/>
  <c r="E140" i="4"/>
  <c r="Z30" i="4"/>
  <c r="AA30" i="4" s="1"/>
  <c r="Z63" i="4"/>
  <c r="AA63" i="4" s="1"/>
  <c r="N206" i="4"/>
  <c r="O206" i="4" s="1"/>
  <c r="Z206" i="4"/>
  <c r="AA206" i="4" s="1"/>
  <c r="Y71" i="3" l="1"/>
  <c r="S69" i="3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Z57" i="3"/>
  <c r="M203" i="4"/>
  <c r="M137" i="4"/>
  <c r="M214" i="4"/>
  <c r="M148" i="4"/>
  <c r="M115" i="4"/>
  <c r="M159" i="4"/>
  <c r="M104" i="4"/>
  <c r="M126" i="4"/>
  <c r="M170" i="4"/>
  <c r="Z95" i="4"/>
  <c r="AA95" i="4" s="1"/>
  <c r="Z62" i="4"/>
  <c r="AA62" i="4" s="1"/>
  <c r="M127" i="4"/>
  <c r="M182" i="4"/>
  <c r="Z58" i="3"/>
  <c r="M105" i="4"/>
  <c r="M160" i="4"/>
  <c r="M193" i="4"/>
  <c r="M149" i="4"/>
  <c r="M116" i="4"/>
  <c r="M138" i="4"/>
  <c r="M215" i="4"/>
  <c r="M171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N106" i="4"/>
  <c r="O106" i="4" s="1"/>
  <c r="Z106" i="4"/>
  <c r="AA106" i="4" s="1"/>
  <c r="Z84" i="4"/>
  <c r="AA84" i="4" s="1"/>
  <c r="N205" i="4"/>
  <c r="O205" i="4" s="1"/>
  <c r="Z205" i="4"/>
  <c r="AA205" i="4" s="1"/>
  <c r="S195" i="4"/>
  <c r="R195" i="4"/>
  <c r="Z73" i="4"/>
  <c r="AA73" i="4" s="1"/>
  <c r="N183" i="4"/>
  <c r="O183" i="4" s="1"/>
  <c r="Z183" i="4"/>
  <c r="AA183" i="4" s="1"/>
  <c r="Z194" i="4"/>
  <c r="AA194" i="4" s="1"/>
  <c r="N194" i="4"/>
  <c r="O194" i="4" s="1"/>
  <c r="S107" i="4"/>
  <c r="R107" i="4"/>
  <c r="Z128" i="4"/>
  <c r="AA128" i="4" s="1"/>
  <c r="N128" i="4"/>
  <c r="O128" i="4" s="1"/>
  <c r="G139" i="4"/>
  <c r="Z51" i="4"/>
  <c r="AA51" i="4" s="1"/>
  <c r="S173" i="4"/>
  <c r="R173" i="4"/>
  <c r="AB42" i="4" l="1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R106" i="4"/>
  <c r="S106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N104" i="4"/>
  <c r="O104" i="4" s="1"/>
  <c r="U104" i="4" s="1"/>
  <c r="D47" i="4"/>
  <c r="S205" i="4"/>
  <c r="R205" i="4"/>
  <c r="R161" i="4"/>
  <c r="S161" i="4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AB216" i="4"/>
  <c r="Z214" i="4"/>
  <c r="N214" i="4"/>
  <c r="O214" i="4" s="1"/>
  <c r="U214" i="4" s="1"/>
  <c r="D57" i="4"/>
  <c r="Z38" i="4"/>
  <c r="AB40" i="4"/>
  <c r="F137" i="4"/>
  <c r="D41" i="4"/>
  <c r="Z71" i="4"/>
  <c r="D44" i="4"/>
  <c r="AB73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Z94" i="4"/>
  <c r="AA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AB84" i="4"/>
  <c r="R150" i="4"/>
  <c r="S150" i="4"/>
  <c r="AB185" i="4"/>
  <c r="Z6" i="4"/>
  <c r="AA6" i="4" s="1"/>
  <c r="C138" i="4"/>
  <c r="AB9" i="4"/>
  <c r="AB108" i="4"/>
  <c r="Z72" i="4"/>
  <c r="AA72" i="4" s="1"/>
  <c r="AB75" i="4"/>
  <c r="N105" i="4"/>
  <c r="O105" i="4" s="1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AB44" i="4" l="1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116" i="4"/>
  <c r="U117" i="4" s="1"/>
  <c r="U118" i="4" s="1"/>
  <c r="U119" i="4" s="1"/>
  <c r="U120" i="4" s="1"/>
  <c r="U105" i="4"/>
  <c r="U106" i="4" s="1"/>
  <c r="U107" i="4" s="1"/>
  <c r="U108" i="4" s="1"/>
  <c r="U109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137" i="4"/>
  <c r="S137" i="4"/>
  <c r="Z187" i="4"/>
  <c r="AA181" i="4"/>
  <c r="AA187" i="4" s="1"/>
  <c r="AA214" i="4"/>
  <c r="AA220" i="4" s="1"/>
  <c r="Z220" i="4"/>
  <c r="Z33" i="4"/>
  <c r="AA27" i="4"/>
  <c r="AA33" i="4" s="1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192" i="4"/>
  <c r="S192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R105" i="4"/>
  <c r="S105" i="4"/>
  <c r="AB187" i="4"/>
  <c r="D189" i="4"/>
  <c r="F189" i="4" s="1"/>
  <c r="S149" i="4"/>
  <c r="R149" i="4"/>
  <c r="D190" i="4"/>
  <c r="F190" i="4" s="1"/>
  <c r="S193" i="4"/>
  <c r="R193" i="4"/>
  <c r="Z154" i="4"/>
  <c r="AA148" i="4"/>
  <c r="AA154" i="4" s="1"/>
  <c r="Z55" i="4"/>
  <c r="AA49" i="4"/>
  <c r="AA55" i="4" s="1"/>
  <c r="S104" i="4"/>
  <c r="R104" i="4"/>
  <c r="S148" i="4"/>
  <c r="R148" i="4"/>
  <c r="S115" i="4"/>
  <c r="R115" i="4"/>
  <c r="AA5" i="4"/>
  <c r="AA11" i="4" s="1"/>
  <c r="Z11" i="4"/>
  <c r="AC57" i="3" l="1"/>
  <c r="AB16" i="4"/>
  <c r="AB27" i="4"/>
  <c r="AB115" i="4"/>
  <c r="V115" i="4" s="1"/>
  <c r="C48" i="4" s="1"/>
  <c r="AB93" i="4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V104" i="4" s="1"/>
  <c r="C47" i="4" s="1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AB126" i="4"/>
  <c r="V126" i="4" s="1"/>
  <c r="C49" i="4" s="1"/>
  <c r="AB82" i="4"/>
  <c r="C45" i="4" s="1"/>
  <c r="AB5" i="4"/>
  <c r="AB71" i="4"/>
  <c r="C46" i="4" l="1"/>
  <c r="C44" i="4"/>
  <c r="E45" i="4" s="1"/>
  <c r="AD57" i="3"/>
  <c r="AK57" i="3" s="1"/>
  <c r="C38" i="4"/>
  <c r="E38" i="4" s="1"/>
  <c r="G38" i="4" s="1"/>
  <c r="C39" i="4"/>
  <c r="C40" i="4"/>
  <c r="C41" i="4"/>
  <c r="C42" i="4"/>
  <c r="C43" i="4"/>
  <c r="E49" i="4"/>
  <c r="AC58" i="3"/>
  <c r="AD58" i="3" s="1"/>
  <c r="E54" i="4"/>
  <c r="E55" i="4"/>
  <c r="E51" i="4"/>
  <c r="E56" i="4"/>
  <c r="E57" i="4"/>
  <c r="E52" i="4"/>
  <c r="E48" i="4"/>
  <c r="E53" i="4"/>
  <c r="E50" i="4"/>
  <c r="E46" i="4" l="1"/>
  <c r="E47" i="4"/>
  <c r="AJ57" i="3"/>
  <c r="AB57" i="3"/>
  <c r="E39" i="4"/>
  <c r="E40" i="4"/>
  <c r="E41" i="4"/>
  <c r="G41" i="4" s="1"/>
  <c r="E43" i="4"/>
  <c r="E44" i="4"/>
  <c r="AC59" i="3"/>
  <c r="AC60" i="3" l="1"/>
  <c r="AD60" i="3" s="1"/>
  <c r="AD59" i="3"/>
  <c r="AJ58" i="3"/>
  <c r="AK58" i="3"/>
  <c r="AB58" i="3"/>
  <c r="AC61" i="3" l="1"/>
  <c r="AD61" i="3" s="1"/>
  <c r="AJ59" i="3"/>
  <c r="AK60" i="3" s="1"/>
  <c r="AK59" i="3"/>
  <c r="AB59" i="3"/>
  <c r="AC62" i="3" l="1"/>
  <c r="AD62" i="3" s="1"/>
  <c r="AB60" i="3"/>
  <c r="AJ60" i="3"/>
  <c r="AK61" i="3" s="1"/>
  <c r="H48" i="3" l="1"/>
  <c r="H54" i="3"/>
  <c r="H51" i="3"/>
  <c r="H50" i="3"/>
  <c r="H52" i="3"/>
  <c r="H49" i="3"/>
  <c r="H53" i="3"/>
  <c r="AB61" i="3"/>
  <c r="AJ61" i="3"/>
  <c r="AK62" i="3" s="1"/>
  <c r="I49" i="3" l="1"/>
  <c r="I54" i="3"/>
  <c r="I50" i="3"/>
  <c r="I53" i="3"/>
  <c r="I48" i="3"/>
  <c r="I52" i="3"/>
  <c r="I51" i="3"/>
  <c r="AJ62" i="3"/>
  <c r="AB62" i="3"/>
</calcChain>
</file>

<file path=xl/sharedStrings.xml><?xml version="1.0" encoding="utf-8"?>
<sst xmlns="http://schemas.openxmlformats.org/spreadsheetml/2006/main" count="1925" uniqueCount="502">
  <si>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</si>
  <si>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</si>
  <si>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</si>
  <si>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</si>
  <si>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</si>
  <si>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</si>
  <si>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</si>
  <si>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</si>
  <si>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</si>
  <si>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</si>
  <si>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</si>
  <si>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</si>
  <si>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</si>
  <si>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</si>
  <si>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</si>
  <si>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</si>
  <si>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</si>
  <si>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</si>
  <si>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</si>
  <si>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</si>
  <si>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</si>
  <si>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</si>
  <si>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</si>
  <si>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</si>
  <si>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</si>
  <si>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</si>
  <si>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</si>
  <si>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</si>
  <si>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</si>
  <si>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</si>
  <si>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</si>
  <si>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</si>
  <si>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</si>
  <si>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</si>
  <si>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</si>
  <si>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</si>
  <si>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</si>
  <si>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</si>
  <si>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</si>
  <si>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</si>
  <si>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</si>
  <si>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</si>
  <si>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</si>
  <si>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</si>
  <si>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</si>
  <si>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</si>
  <si>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</si>
  <si>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</si>
  <si>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</si>
  <si>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</si>
  <si>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</si>
  <si>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</si>
  <si>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</si>
  <si>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</si>
  <si>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</si>
  <si>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</si>
  <si>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</si>
  <si>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</si>
  <si>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</si>
  <si>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</si>
  <si>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</si>
  <si>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</si>
  <si>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</si>
  <si>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</si>
  <si>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</si>
  <si>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</si>
  <si>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</si>
  <si>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</si>
  <si>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</si>
  <si>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</si>
  <si>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</si>
  <si>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</si>
  <si>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</si>
  <si>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</si>
  <si>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</si>
  <si>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</si>
  <si>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</si>
  <si>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</si>
  <si>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</si>
  <si>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</si>
  <si>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</si>
  <si>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</si>
  <si>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</si>
  <si>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</si>
  <si>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</si>
  <si>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</si>
  <si>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</si>
  <si>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</si>
  <si>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</si>
  <si>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</si>
  <si>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</si>
  <si>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</si>
  <si>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</si>
  <si>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</si>
  <si>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</si>
  <si>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</si>
  <si>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</si>
  <si>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</si>
  <si>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</si>
  <si>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</si>
  <si>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</si>
  <si>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</si>
  <si>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</si>
  <si>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</si>
  <si>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</si>
  <si>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</si>
  <si>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</si>
  <si>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</si>
  <si>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</si>
  <si>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</si>
  <si>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</si>
  <si>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</si>
  <si>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</si>
  <si>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</si>
  <si>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</si>
  <si>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</si>
  <si>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</si>
  <si>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</si>
  <si>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</si>
  <si>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</si>
  <si>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</si>
  <si>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</si>
  <si>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</si>
  <si>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</si>
  <si>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</si>
  <si>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</si>
  <si>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</si>
  <si>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</si>
  <si>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</si>
  <si>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</si>
  <si>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</si>
  <si>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</si>
  <si>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</si>
  <si>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</si>
  <si>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</si>
  <si>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</si>
  <si>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</si>
  <si>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</si>
  <si>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</si>
  <si>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</si>
  <si>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</si>
  <si>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</si>
  <si>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</si>
  <si>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</si>
  <si>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</si>
  <si>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</si>
  <si>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</si>
  <si>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</si>
  <si>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</si>
  <si>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</si>
  <si>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</si>
  <si>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</si>
  <si>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</si>
  <si>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</si>
  <si>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</si>
  <si>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</si>
  <si>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</si>
  <si>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</si>
  <si>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</si>
  <si>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</si>
  <si>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</si>
  <si>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</si>
  <si>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</si>
  <si>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</si>
  <si>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</si>
  <si>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</si>
  <si>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</si>
  <si>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</si>
  <si>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</si>
  <si>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</si>
  <si>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</si>
  <si>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</si>
  <si>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</si>
  <si>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</si>
  <si>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</si>
  <si>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</si>
  <si>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</si>
  <si>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</si>
  <si>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</si>
  <si>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</si>
  <si>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</si>
  <si>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</si>
  <si>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</si>
  <si>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</si>
  <si>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</si>
  <si>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</si>
  <si>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</si>
  <si>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</si>
  <si>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</si>
  <si>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</si>
  <si>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</si>
  <si>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</si>
  <si>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</si>
  <si>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</si>
  <si>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</si>
  <si>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</si>
  <si>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</si>
  <si>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</si>
  <si>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</si>
  <si>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</si>
  <si>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</si>
  <si>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</si>
  <si>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</si>
  <si>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</si>
  <si>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</si>
  <si>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</si>
  <si>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</si>
  <si>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</si>
  <si>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</si>
  <si>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</si>
  <si>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</si>
  <si>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</si>
  <si>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</si>
  <si>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</si>
  <si>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</si>
  <si>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</si>
  <si>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</si>
  <si>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</si>
  <si>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</si>
  <si>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</si>
  <si>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</si>
  <si>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</si>
  <si>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</si>
  <si>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</si>
  <si>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</si>
  <si>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</si>
  <si>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</si>
  <si>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</si>
  <si>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</si>
  <si>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</si>
  <si>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</si>
  <si>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</si>
  <si>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</si>
  <si>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</si>
  <si>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</si>
  <si>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</si>
  <si>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</si>
  <si>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</si>
  <si>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</si>
  <si>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</si>
  <si>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</si>
  <si>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</si>
  <si>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</si>
  <si>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</si>
  <si>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</si>
  <si>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</si>
  <si>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</si>
  <si>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</si>
  <si>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</si>
  <si>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</si>
  <si>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</si>
  <si>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</si>
  <si>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</si>
  <si>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</si>
  <si>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</si>
  <si>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</si>
  <si>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</si>
  <si>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</si>
  <si>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</si>
  <si>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</si>
  <si>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</si>
  <si>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</si>
  <si>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</si>
  <si>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</si>
  <si>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</si>
  <si>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</si>
  <si>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</si>
  <si>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</si>
  <si>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</si>
  <si>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</si>
  <si>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</si>
  <si>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</si>
  <si>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</si>
  <si>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</si>
  <si>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</si>
  <si>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</si>
  <si>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</si>
  <si>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</si>
  <si>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</si>
  <si>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</si>
  <si>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</si>
  <si>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</si>
  <si>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</si>
  <si>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</si>
  <si>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</si>
  <si>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</si>
  <si>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</si>
  <si>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</si>
  <si>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</si>
  <si>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</si>
  <si>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</si>
  <si>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</si>
  <si>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</si>
  <si>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</si>
  <si>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</si>
  <si>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</si>
  <si>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</si>
  <si>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</si>
  <si>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</si>
  <si>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</si>
  <si>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</si>
  <si>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</si>
  <si>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</si>
  <si>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</si>
  <si>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</si>
  <si>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</si>
  <si>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</si>
  <si>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</si>
  <si>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</si>
  <si>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</si>
  <si>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</si>
  <si>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</si>
  <si>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</si>
  <si>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</si>
  <si>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</si>
  <si>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</si>
  <si>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</si>
  <si>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</si>
  <si>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</si>
  <si>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</si>
  <si>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</si>
  <si>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</si>
  <si>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</si>
  <si>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</si>
  <si>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</si>
  <si>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</si>
  <si>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</si>
  <si>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</si>
  <si>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</si>
  <si>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</si>
  <si>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</si>
  <si>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</si>
  <si>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</si>
  <si>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</si>
  <si>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</si>
  <si>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</si>
  <si>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</si>
  <si>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</si>
  <si>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</si>
  <si>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</si>
  <si>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</si>
  <si>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</si>
  <si>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</si>
  <si>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</si>
  <si>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</si>
  <si>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</si>
  <si>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</si>
  <si>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</si>
  <si>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</si>
  <si>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</si>
  <si>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</si>
  <si>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</si>
  <si>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</si>
  <si>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</si>
  <si>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</si>
  <si>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</si>
  <si>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</si>
  <si>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</si>
  <si>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</si>
  <si>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</si>
  <si>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</si>
  <si>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</si>
  <si>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</si>
  <si>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</si>
  <si>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</si>
  <si>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</si>
  <si>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</si>
  <si>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</si>
  <si>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</si>
  <si>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</si>
  <si>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</si>
  <si>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</si>
  <si>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</si>
  <si>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</si>
  <si>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</si>
  <si>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</si>
  <si>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</si>
  <si>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</si>
  <si>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</si>
  <si>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</si>
  <si>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</si>
  <si>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</si>
  <si>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</si>
  <si>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</si>
  <si>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</si>
  <si>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</si>
  <si>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</si>
  <si>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</si>
  <si>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</si>
  <si>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</si>
  <si>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</si>
  <si>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</si>
  <si>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</si>
  <si>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</si>
  <si>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</si>
  <si>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</si>
  <si>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</si>
  <si>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</si>
  <si>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</si>
  <si>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</si>
  <si>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</si>
  <si>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</si>
  <si>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</si>
  <si>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</si>
  <si>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</si>
  <si>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</si>
  <si>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</si>
  <si>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</si>
  <si>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</si>
  <si>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</si>
  <si>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</si>
  <si>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</si>
  <si>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</si>
  <si>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</si>
  <si>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</si>
  <si>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</si>
  <si>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</si>
  <si>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</si>
  <si>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</si>
  <si>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</si>
  <si>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</si>
  <si>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</si>
  <si>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</si>
  <si>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</si>
  <si>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</si>
  <si>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</si>
  <si>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</si>
  <si>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</si>
  <si>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</si>
  <si>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</si>
  <si>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</si>
  <si>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</si>
  <si>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</si>
  <si>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</si>
  <si>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</si>
  <si>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</si>
  <si>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</si>
  <si>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</si>
  <si>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</si>
  <si>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</si>
  <si>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</si>
  <si>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</si>
  <si>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</si>
  <si>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</si>
  <si>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</si>
  <si>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</si>
  <si>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</si>
  <si>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</si>
  <si>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</si>
  <si>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</si>
  <si>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</si>
  <si>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</si>
  <si>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</si>
  <si>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</si>
  <si>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</si>
  <si>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</si>
  <si>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</si>
  <si>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</si>
  <si>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</si>
  <si>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</si>
  <si>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</si>
  <si>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</si>
  <si>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</si>
  <si>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</si>
  <si>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</si>
  <si>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</si>
  <si>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</si>
  <si>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</si>
  <si>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</si>
  <si>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</si>
  <si>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</si>
  <si>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</si>
  <si>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</si>
  <si>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</si>
  <si>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</si>
  <si>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</si>
  <si>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</si>
  <si>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</si>
  <si>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</si>
  <si>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</si>
  <si>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</si>
  <si>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</si>
  <si>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</si>
  <si>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</si>
  <si>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</si>
  <si>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</si>
  <si>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</si>
  <si>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</si>
  <si>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</si>
  <si>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</si>
  <si>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</si>
  <si>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</si>
  <si>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</si>
  <si>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</si>
  <si>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</si>
  <si>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</si>
  <si>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</si>
  <si>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</si>
  <si>
    <t>Infill Strut Capacities (Strong) (Bertoldi et al., 1993)</t>
  </si>
  <si>
    <t>Horizontal Yield Drift and Flexural Capacities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</si>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</sst>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  <font>
      <i/>
      <sz val="11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7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39" fillId="0" borderId="17" xfId="0" applyNumberFormat="1" applyFont="1" applyBorder="1" applyAlignment="1">
      <alignment horizontal="center" vertical="center"/>
    </xf>
    <xf numFmtId="2" fontId="39" fillId="0" borderId="23" xfId="0" applyNumberFormat="1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2" fontId="39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39" fillId="0" borderId="1" xfId="0" applyNumberFormat="1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  <xf numFmtId="2" fontId="41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39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1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39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42" fillId="0" borderId="0" xfId="0" applyNumberFormat="1" applyFont="1" applyBorder="1" applyAlignment="1">
      <alignment horizontal="center" vertical="center"/>
    </xf>
    <xf numFmtId="164" fontId="42" fillId="0" borderId="0" xfId="0" applyNumberFormat="1" applyFont="1" applyBorder="1" applyAlignment="1">
      <alignment horizontal="center" vertical="center"/>
    </xf>
    <xf numFmtId="1" fontId="42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64" fontId="19" fillId="0" borderId="67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39" fillId="10" borderId="16" xfId="0" applyNumberFormat="1" applyFont="1" applyFill="1" applyBorder="1" applyAlignment="1">
      <alignment horizontal="center" vertical="center"/>
    </xf>
    <xf numFmtId="1" fontId="39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3" fillId="0" borderId="75" xfId="0" applyNumberFormat="1" applyFont="1" applyBorder="1" applyAlignment="1">
      <alignment horizontal="center" vertical="center"/>
    </xf>
    <xf numFmtId="164" fontId="43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43" fillId="0" borderId="31" xfId="0" applyFont="1" applyBorder="1" applyAlignment="1">
      <alignment horizontal="center" vertical="center"/>
    </xf>
    <xf numFmtId="0" fontId="43" fillId="0" borderId="34" xfId="0" applyFont="1" applyBorder="1" applyAlignment="1">
      <alignment horizontal="center" vertical="center"/>
    </xf>
    <xf numFmtId="0" fontId="43" fillId="0" borderId="44" xfId="0" applyFont="1" applyBorder="1" applyAlignment="1">
      <alignment horizontal="center" vertical="center"/>
    </xf>
    <xf numFmtId="1" fontId="43" fillId="0" borderId="55" xfId="0" applyNumberFormat="1" applyFont="1" applyBorder="1" applyAlignment="1">
      <alignment horizontal="center" vertical="center"/>
    </xf>
    <xf numFmtId="1" fontId="43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8" xfId="0" applyNumberFormat="1" applyFont="1" applyBorder="1" applyAlignment="1">
      <alignment horizontal="center" vertical="center"/>
    </xf>
    <xf numFmtId="49" fontId="10" fillId="0" borderId="29" xfId="0" applyNumberFormat="1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2" fontId="12" fillId="0" borderId="17" xfId="0" applyNumberFormat="1" applyFont="1" applyBorder="1" applyAlignment="1">
      <alignment horizontal="center" vertical="center"/>
    </xf>
    <xf numFmtId="2" fontId="44" fillId="0" borderId="68" xfId="0" applyNumberFormat="1" applyFont="1" applyBorder="1" applyAlignment="1">
      <alignment horizontal="center" vertical="center"/>
    </xf>
    <xf numFmtId="2" fontId="44" fillId="0" borderId="16" xfId="0" applyNumberFormat="1" applyFont="1" applyBorder="1" applyAlignment="1">
      <alignment horizontal="center" vertical="center"/>
    </xf>
    <xf numFmtId="2" fontId="12" fillId="0" borderId="35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2" fontId="44" fillId="0" borderId="45" xfId="0" applyNumberFormat="1" applyFont="1" applyBorder="1" applyAlignment="1">
      <alignment horizontal="center" vertical="center"/>
    </xf>
    <xf numFmtId="2" fontId="44" fillId="0" borderId="44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64" fontId="12" fillId="0" borderId="20" xfId="0" applyNumberFormat="1" applyFont="1" applyBorder="1" applyAlignment="1">
      <alignment horizontal="center" vertical="center"/>
    </xf>
    <xf numFmtId="164" fontId="12" fillId="0" borderId="21" xfId="0" applyNumberFormat="1" applyFont="1" applyBorder="1" applyAlignment="1">
      <alignment horizontal="center" vertical="center"/>
    </xf>
    <xf numFmtId="164" fontId="12" fillId="0" borderId="17" xfId="0" applyNumberFormat="1" applyFont="1" applyBorder="1" applyAlignment="1">
      <alignment horizontal="center" vertical="center"/>
    </xf>
    <xf numFmtId="164" fontId="12" fillId="0" borderId="18" xfId="0" applyNumberFormat="1" applyFont="1" applyBorder="1" applyAlignment="1">
      <alignment horizontal="center" vertical="center"/>
    </xf>
    <xf numFmtId="2" fontId="12" fillId="0" borderId="19" xfId="0" applyNumberFormat="1" applyFont="1" applyBorder="1" applyAlignment="1">
      <alignment horizontal="center" vertical="center"/>
    </xf>
    <xf numFmtId="164" fontId="12" fillId="0" borderId="19" xfId="0" applyNumberFormat="1" applyFont="1" applyBorder="1" applyAlignment="1">
      <alignment horizontal="center" vertical="center"/>
    </xf>
    <xf numFmtId="164" fontId="12" fillId="0" borderId="22" xfId="0" applyNumberFormat="1" applyFont="1" applyBorder="1" applyAlignment="1">
      <alignment horizontal="center" vertical="center"/>
    </xf>
    <xf numFmtId="164" fontId="12" fillId="0" borderId="23" xfId="0" applyNumberFormat="1" applyFont="1" applyBorder="1" applyAlignment="1">
      <alignment horizontal="center" vertical="center"/>
    </xf>
    <xf numFmtId="164" fontId="12" fillId="0" borderId="24" xfId="0" applyNumberFormat="1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0" borderId="61" xfId="0" applyNumberFormat="1" applyFont="1" applyBorder="1" applyAlignment="1">
      <alignment horizontal="center" vertical="center"/>
    </xf>
    <xf numFmtId="164" fontId="12" fillId="0" borderId="12" xfId="0" applyNumberFormat="1" applyFont="1" applyBorder="1" applyAlignment="1">
      <alignment horizontal="center" vertical="center"/>
    </xf>
    <xf numFmtId="164" fontId="12" fillId="0" borderId="58" xfId="0" applyNumberFormat="1" applyFont="1" applyBorder="1" applyAlignment="1">
      <alignment horizontal="center" vertical="center"/>
    </xf>
    <xf numFmtId="164" fontId="12" fillId="0" borderId="15" xfId="0" applyNumberFormat="1" applyFont="1" applyBorder="1" applyAlignment="1">
      <alignment horizontal="center" vertical="center"/>
    </xf>
    <xf numFmtId="164" fontId="19" fillId="0" borderId="16" xfId="0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12" fillId="0" borderId="16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10" fillId="23" borderId="41" xfId="0" applyFont="1" applyFill="1" applyBorder="1" applyAlignment="1">
      <alignment horizontal="center" vertical="center"/>
    </xf>
    <xf numFmtId="0" fontId="10" fillId="23" borderId="42" xfId="0" applyFont="1" applyFill="1" applyBorder="1" applyAlignment="1">
      <alignment horizontal="center" vertical="center"/>
    </xf>
    <xf numFmtId="0" fontId="10" fillId="23" borderId="49" xfId="0" applyFont="1" applyFill="1" applyBorder="1" applyAlignment="1">
      <alignment horizontal="center" vertical="center"/>
    </xf>
    <xf numFmtId="0" fontId="10" fillId="23" borderId="43" xfId="0" applyFont="1" applyFill="1" applyBorder="1" applyAlignment="1">
      <alignment horizontal="center" vertical="center"/>
    </xf>
    <xf numFmtId="0" fontId="10" fillId="17" borderId="41" xfId="0" applyFont="1" applyFill="1" applyBorder="1" applyAlignment="1">
      <alignment horizontal="center" vertical="center"/>
    </xf>
    <xf numFmtId="0" fontId="10" fillId="17" borderId="42" xfId="0" applyFont="1" applyFill="1" applyBorder="1" applyAlignment="1">
      <alignment horizontal="center" vertical="center"/>
    </xf>
    <xf numFmtId="0" fontId="10" fillId="17" borderId="49" xfId="0" applyFont="1" applyFill="1" applyBorder="1" applyAlignment="1">
      <alignment horizontal="center" vertical="center"/>
    </xf>
    <xf numFmtId="0" fontId="10" fillId="17" borderId="43" xfId="0" applyFont="1" applyFill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0" fillId="28" borderId="41" xfId="0" applyFont="1" applyFill="1" applyBorder="1" applyAlignment="1">
      <alignment horizontal="center" vertical="center"/>
    </xf>
    <xf numFmtId="0" fontId="10" fillId="28" borderId="42" xfId="0" applyFont="1" applyFill="1" applyBorder="1" applyAlignment="1">
      <alignment horizontal="center" vertical="center"/>
    </xf>
    <xf numFmtId="0" fontId="10" fillId="28" borderId="49" xfId="0" applyFont="1" applyFill="1" applyBorder="1" applyAlignment="1">
      <alignment horizontal="center" vertical="center"/>
    </xf>
    <xf numFmtId="0" fontId="10" fillId="28" borderId="4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10" fillId="16" borderId="41" xfId="0" applyFont="1" applyFill="1" applyBorder="1" applyAlignment="1">
      <alignment horizontal="center" vertical="center"/>
    </xf>
    <xf numFmtId="0" fontId="10" fillId="16" borderId="42" xfId="0" applyFont="1" applyFill="1" applyBorder="1" applyAlignment="1">
      <alignment horizontal="center" vertical="center"/>
    </xf>
    <xf numFmtId="0" fontId="10" fillId="16" borderId="49" xfId="0" applyFont="1" applyFill="1" applyBorder="1" applyAlignment="1">
      <alignment horizontal="center" vertical="center"/>
    </xf>
    <xf numFmtId="0" fontId="10" fillId="16" borderId="43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1.8112309252701479E-3</c:v>
                </c:pt>
                <c:pt idx="2">
                  <c:v>4.7874581356672531E-3</c:v>
                </c:pt>
                <c:pt idx="3">
                  <c:v>6.4157970868129726E-3</c:v>
                </c:pt>
                <c:pt idx="4">
                  <c:v>1.4927515543435287E-2</c:v>
                </c:pt>
                <c:pt idx="5">
                  <c:v>1.903409976050496E-2</c:v>
                </c:pt>
                <c:pt idx="6">
                  <c:v>3.2461671370565701E-2</c:v>
                </c:pt>
                <c:pt idx="7">
                  <c:v>0.08</c:v>
                </c:pt>
                <c:pt idx="8">
                  <c:v>8.0520373085405411E-2</c:v>
                </c:pt>
                <c:pt idx="9">
                  <c:v>0.1</c:v>
                </c:pt>
              </c:numCache>
              <c:extLst xmlns:c15="http://schemas.microsoft.com/office/drawing/2012/chart"/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910.82834288663798</c:v>
                </c:pt>
                <c:pt idx="2">
                  <c:v>1244.7038473050573</c:v>
                </c:pt>
                <c:pt idx="3">
                  <c:v>1162.4319271368654</c:v>
                </c:pt>
                <c:pt idx="4">
                  <c:v>388.26955809384071</c:v>
                </c:pt>
                <c:pt idx="5">
                  <c:v>395.02799999999991</c:v>
                </c:pt>
                <c:pt idx="6">
                  <c:v>336.96133333333324</c:v>
                </c:pt>
                <c:pt idx="7">
                  <c:v>135.59885884496498</c:v>
                </c:pt>
                <c:pt idx="8">
                  <c:v>133.39466666666652</c:v>
                </c:pt>
                <c:pt idx="9">
                  <c:v>133.39466666666652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8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1.903409976050496E-2</c:v>
                </c:pt>
                <c:pt idx="3">
                  <c:v>3.2461671370565701E-2</c:v>
                </c:pt>
                <c:pt idx="4">
                  <c:v>8.0520373085405411E-2</c:v>
                </c:pt>
                <c:pt idx="5">
                  <c:v>0.1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290.7</c:v>
                </c:pt>
                <c:pt idx="3">
                  <c:v>232.63333333333333</c:v>
                </c:pt>
                <c:pt idx="4">
                  <c:v>29.066666666666666</c:v>
                </c:pt>
                <c:pt idx="5">
                  <c:v>29.066666666666666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9"/>
          <c:tx>
            <c:strRef>
              <c:f>'System Capacities'!$AR$74:$AT$74</c:f>
              <c:strCache>
                <c:ptCount val="1"/>
                <c:pt idx="0">
                  <c:v>Infill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Capacities'!$AS$76:$AS$80</c:f>
              <c:numCache>
                <c:formatCode>0.0000</c:formatCode>
                <c:ptCount val="5"/>
                <c:pt idx="0">
                  <c:v>0</c:v>
                </c:pt>
                <c:pt idx="1">
                  <c:v>1.8112309252701479E-3</c:v>
                </c:pt>
                <c:pt idx="2">
                  <c:v>4.7874581356672531E-3</c:v>
                </c:pt>
                <c:pt idx="3">
                  <c:v>1.4927515543435287E-2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Capacities'!$AR$76:$AR$80</c:f>
              <c:numCache>
                <c:formatCode>0</c:formatCode>
                <c:ptCount val="5"/>
                <c:pt idx="0">
                  <c:v>0</c:v>
                </c:pt>
                <c:pt idx="1">
                  <c:v>834.62400000000002</c:v>
                </c:pt>
                <c:pt idx="2">
                  <c:v>1043.28</c:v>
                </c:pt>
                <c:pt idx="3">
                  <c:v>104.328</c:v>
                </c:pt>
                <c:pt idx="4">
                  <c:v>104.328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2.4571407410608624E-3</c:v>
                      </c:pt>
                      <c:pt idx="2">
                        <c:v>5.5389448556453927E-3</c:v>
                      </c:pt>
                      <c:pt idx="3">
                        <c:v>8.3125273614190701E-3</c:v>
                      </c:pt>
                      <c:pt idx="4">
                        <c:v>1.4913556053749014E-2</c:v>
                      </c:pt>
                      <c:pt idx="5">
                        <c:v>2.223123989456343E-2</c:v>
                      </c:pt>
                      <c:pt idx="6">
                        <c:v>5.8945354123995881E-2</c:v>
                      </c:pt>
                      <c:pt idx="7">
                        <c:v>0.08</c:v>
                      </c:pt>
                      <c:pt idx="8">
                        <c:v>0.18753831407603308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882.52208185939617</c:v>
                      </c:pt>
                      <c:pt idx="2">
                        <c:v>1140.2041472151643</c:v>
                      </c:pt>
                      <c:pt idx="3">
                        <c:v>905.96852758299315</c:v>
                      </c:pt>
                      <c:pt idx="4">
                        <c:v>245.57835847340084</c:v>
                      </c:pt>
                      <c:pt idx="5">
                        <c:v>250.97599999999989</c:v>
                      </c:pt>
                      <c:pt idx="6">
                        <c:v>221.7759999999999</c:v>
                      </c:pt>
                      <c:pt idx="7">
                        <c:v>205.03178280188018</c:v>
                      </c:pt>
                      <c:pt idx="8">
                        <c:v>119.50933333333323</c:v>
                      </c:pt>
                      <c:pt idx="9">
                        <c:v>119.50933333333323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2.2807165072368058E-3</c:v>
                      </c:pt>
                      <c:pt idx="2">
                        <c:v>5.2699368896120223E-3</c:v>
                      </c:pt>
                      <c:pt idx="3">
                        <c:v>9.5976000000000013E-3</c:v>
                      </c:pt>
                      <c:pt idx="4">
                        <c:v>1.4805390739282312E-2</c:v>
                      </c:pt>
                      <c:pt idx="5">
                        <c:v>2.3300134406808511E-2</c:v>
                      </c:pt>
                      <c:pt idx="6">
                        <c:v>4.8831826640886922E-2</c:v>
                      </c:pt>
                      <c:pt idx="7">
                        <c:v>0.08</c:v>
                      </c:pt>
                      <c:pt idx="8">
                        <c:v>0.13836677186049823</c:v>
                      </c:pt>
                      <c:pt idx="9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880.80166162055798</c:v>
                      </c:pt>
                      <c:pt idx="2">
                        <c:v>1135.2527875053454</c:v>
                      </c:pt>
                      <c:pt idx="3">
                        <c:v>780.65346692083835</c:v>
                      </c:pt>
                      <c:pt idx="4">
                        <c:v>271.00908936888072</c:v>
                      </c:pt>
                      <c:pt idx="5">
                        <c:v>278.76866666666672</c:v>
                      </c:pt>
                      <c:pt idx="6">
                        <c:v>243.86866666666674</c:v>
                      </c:pt>
                      <c:pt idx="7">
                        <c:v>201.43963682136996</c:v>
                      </c:pt>
                      <c:pt idx="8">
                        <c:v>121.98533333333339</c:v>
                      </c:pt>
                      <c:pt idx="9">
                        <c:v>121.98533333333339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2.1026318802204874E-3</c:v>
                      </c:pt>
                      <c:pt idx="2">
                        <c:v>5.0005307407854482E-3</c:v>
                      </c:pt>
                      <c:pt idx="3">
                        <c:v>8.8673064285714302E-3</c:v>
                      </c:pt>
                      <c:pt idx="4">
                        <c:v>1.4695646459588547E-2</c:v>
                      </c:pt>
                      <c:pt idx="5">
                        <c:v>2.1011637187945815E-2</c:v>
                      </c:pt>
                      <c:pt idx="6">
                        <c:v>3.9783194181818193E-2</c:v>
                      </c:pt>
                      <c:pt idx="7">
                        <c:v>0.08</c:v>
                      </c:pt>
                      <c:pt idx="8">
                        <c:v>0.10548006094143647</c:v>
                      </c:pt>
                      <c:pt idx="9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884.512836060783</c:v>
                      </c:pt>
                      <c:pt idx="2">
                        <c:v>1143.4337802620598</c:v>
                      </c:pt>
                      <c:pt idx="3">
                        <c:v>846.39073438386436</c:v>
                      </c:pt>
                      <c:pt idx="4">
                        <c:v>288.40695647588416</c:v>
                      </c:pt>
                      <c:pt idx="5">
                        <c:v>295.42799999999971</c:v>
                      </c:pt>
                      <c:pt idx="6">
                        <c:v>257.16133333333306</c:v>
                      </c:pt>
                      <c:pt idx="7">
                        <c:v>175.23430326110108</c:v>
                      </c:pt>
                      <c:pt idx="8">
                        <c:v>123.32799999999973</c:v>
                      </c:pt>
                      <c:pt idx="9">
                        <c:v>123.32799999999973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Capacities'!$B$57:$E$57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Capacities'!$D$59:$D$68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1.9478666359322766E-3</c:v>
                      </c:pt>
                      <c:pt idx="2">
                        <c:v>4.9586284649919959E-3</c:v>
                      </c:pt>
                      <c:pt idx="3">
                        <c:v>8.3556867009551838E-3</c:v>
                      </c:pt>
                      <c:pt idx="4">
                        <c:v>1.4949279331481602E-2</c:v>
                      </c:pt>
                      <c:pt idx="5">
                        <c:v>1.996593334509893E-2</c:v>
                      </c:pt>
                      <c:pt idx="6">
                        <c:v>3.5389700870039807E-2</c:v>
                      </c:pt>
                      <c:pt idx="7">
                        <c:v>0.08</c:v>
                      </c:pt>
                      <c:pt idx="8">
                        <c:v>8.9443804408163269E-2</c:v>
                      </c:pt>
                      <c:pt idx="9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Capacities'!$C$59:$C$68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893.99155661594864</c:v>
                      </c:pt>
                      <c:pt idx="2">
                        <c:v>1194.4102933693771</c:v>
                      </c:pt>
                      <c:pt idx="3">
                        <c:v>978.68071819149395</c:v>
                      </c:pt>
                      <c:pt idx="4">
                        <c:v>370.10680175661082</c:v>
                      </c:pt>
                      <c:pt idx="5">
                        <c:v>378.56133333333298</c:v>
                      </c:pt>
                      <c:pt idx="6">
                        <c:v>323.76133333333303</c:v>
                      </c:pt>
                      <c:pt idx="7">
                        <c:v>165.38822486060388</c:v>
                      </c:pt>
                      <c:pt idx="8">
                        <c:v>131.86133333333308</c:v>
                      </c:pt>
                      <c:pt idx="9">
                        <c:v>131.86133333333308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1.7850281840739108E-3</c:v>
                      </c:pt>
                      <c:pt idx="2">
                        <c:v>4.8471720397440425E-3</c:v>
                      </c:pt>
                      <c:pt idx="3">
                        <c:v>4.8619807187509365E-3</c:v>
                      </c:pt>
                      <c:pt idx="4">
                        <c:v>1.4663599359701077E-2</c:v>
                      </c:pt>
                      <c:pt idx="5">
                        <c:v>1.8687594914291256E-2</c:v>
                      </c:pt>
                      <c:pt idx="6">
                        <c:v>3.2882326066583492E-2</c:v>
                      </c:pt>
                      <c:pt idx="7">
                        <c:v>0.08</c:v>
                      </c:pt>
                      <c:pt idx="8">
                        <c:v>8.3433877475173168E-2</c:v>
                      </c:pt>
                      <c:pt idx="9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946.84593076948477</c:v>
                      </c:pt>
                      <c:pt idx="2">
                        <c:v>1400.2321744667929</c:v>
                      </c:pt>
                      <c:pt idx="3">
                        <c:v>1401.2257792655103</c:v>
                      </c:pt>
                      <c:pt idx="4">
                        <c:v>524.97434424663982</c:v>
                      </c:pt>
                      <c:pt idx="5">
                        <c:v>533.95563636363624</c:v>
                      </c:pt>
                      <c:pt idx="6">
                        <c:v>447.30109090909082</c:v>
                      </c:pt>
                      <c:pt idx="7">
                        <c:v>163.83264589935033</c:v>
                      </c:pt>
                      <c:pt idx="8">
                        <c:v>143.17381818181809</c:v>
                      </c:pt>
                      <c:pt idx="9">
                        <c:v>143.17381818181809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1.8687594914291256E-2</c:v>
                      </c:pt>
                      <c:pt idx="3">
                        <c:v>3.2882326066583492E-2</c:v>
                      </c:pt>
                      <c:pt idx="4">
                        <c:v>8.3433877475173168E-2</c:v>
                      </c:pt>
                      <c:pt idx="5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434.16363636363639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1.7850281840739108E-3</c:v>
                      </c:pt>
                      <c:pt idx="2">
                        <c:v>4.8619807187509365E-3</c:v>
                      </c:pt>
                      <c:pt idx="3">
                        <c:v>1.4663599359701077E-2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798.33600000000001</c:v>
                      </c:pt>
                      <c:pt idx="2">
                        <c:v>997.9200000000003</c:v>
                      </c:pt>
                      <c:pt idx="3">
                        <c:v>99.792000000000002</c:v>
                      </c:pt>
                      <c:pt idx="4">
                        <c:v>99.792000000000002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Capacities'!$AO$66:$AQ$66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Capacities'!$AP$68:$AP$73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1.996593334509893E-2</c:v>
                      </c:pt>
                      <c:pt idx="3">
                        <c:v>3.5389700870039807E-2</c:v>
                      </c:pt>
                      <c:pt idx="4">
                        <c:v>8.9443804408163269E-2</c:v>
                      </c:pt>
                      <c:pt idx="5">
                        <c:v>0.1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Capacities'!$AO$68:$AO$73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Capacities'!$AR$66:$AT$66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Capacities'!$AS$68:$AS$72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1.9478666359322766E-3</c:v>
                      </c:pt>
                      <c:pt idx="2">
                        <c:v>4.9586284649919959E-3</c:v>
                      </c:pt>
                      <c:pt idx="3">
                        <c:v>1.4949279331481602E-2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Capacities'!$AR$68:$AR$72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834.62400000000002</c:v>
                      </c:pt>
                      <c:pt idx="2">
                        <c:v>1043.28</c:v>
                      </c:pt>
                      <c:pt idx="3">
                        <c:v>104.328</c:v>
                      </c:pt>
                      <c:pt idx="4">
                        <c:v>104.328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2.1011637187945815E-2</c:v>
                      </c:pt>
                      <c:pt idx="3">
                        <c:v>3.9783194181818193E-2</c:v>
                      </c:pt>
                      <c:pt idx="4">
                        <c:v>0.10548006094143647</c:v>
                      </c:pt>
                      <c:pt idx="5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2.1026318802204874E-3</c:v>
                      </c:pt>
                      <c:pt idx="2">
                        <c:v>5.0005307407854482E-3</c:v>
                      </c:pt>
                      <c:pt idx="3">
                        <c:v>1.4695646459588547E-2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842.39999999999986</c:v>
                      </c:pt>
                      <c:pt idx="2">
                        <c:v>1043.28</c:v>
                      </c:pt>
                      <c:pt idx="3">
                        <c:v>104.32800000000002</c:v>
                      </c:pt>
                      <c:pt idx="4">
                        <c:v>104.32800000000002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2.3300134406808511E-2</c:v>
                      </c:pt>
                      <c:pt idx="3">
                        <c:v>4.8831826640886922E-2</c:v>
                      </c:pt>
                      <c:pt idx="4">
                        <c:v>0.13836677186049823</c:v>
                      </c:pt>
                      <c:pt idx="5">
                        <c:v>0.15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2.2807165072368058E-3</c:v>
                      </c:pt>
                      <c:pt idx="2">
                        <c:v>5.2699368896120223E-3</c:v>
                      </c:pt>
                      <c:pt idx="3">
                        <c:v>1.4805390739282312E-2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842.39999999999986</c:v>
                      </c:pt>
                      <c:pt idx="2">
                        <c:v>1046.52</c:v>
                      </c:pt>
                      <c:pt idx="3">
                        <c:v>104.652</c:v>
                      </c:pt>
                      <c:pt idx="4">
                        <c:v>104.652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2.223123989456343E-2</c:v>
                      </c:pt>
                      <c:pt idx="3">
                        <c:v>5.8945354123995881E-2</c:v>
                      </c:pt>
                      <c:pt idx="4">
                        <c:v>0.18753831407603308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2.4571407410608624E-3</c:v>
                      </c:pt>
                      <c:pt idx="2">
                        <c:v>5.5389448556453927E-3</c:v>
                      </c:pt>
                      <c:pt idx="3">
                        <c:v>1.4913556053749014E-2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798.33600000000001</c:v>
                      </c:pt>
                      <c:pt idx="2">
                        <c:v>1049.76</c:v>
                      </c:pt>
                      <c:pt idx="3">
                        <c:v>104.97599999999998</c:v>
                      </c:pt>
                      <c:pt idx="4">
                        <c:v>104.97599999999998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0.19997802214130148</c:v>
                </c:pt>
                <c:pt idx="1">
                  <c:v>0.19823164791469999</c:v>
                </c:pt>
                <c:pt idx="2">
                  <c:v>0.19495296100584433</c:v>
                </c:pt>
                <c:pt idx="3">
                  <c:v>0.19055801413697479</c:v>
                </c:pt>
                <c:pt idx="4">
                  <c:v>0.18096083143761921</c:v>
                </c:pt>
                <c:pt idx="5">
                  <c:v>9.8852218293109598E-3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0.1999780221407951</c:v>
                </c:pt>
                <c:pt idx="1">
                  <c:v>0.19823164791419445</c:v>
                </c:pt>
                <c:pt idx="2">
                  <c:v>0.19495296100534013</c:v>
                </c:pt>
                <c:pt idx="3">
                  <c:v>0.19055801413647183</c:v>
                </c:pt>
                <c:pt idx="4">
                  <c:v>0.18096083143711678</c:v>
                </c:pt>
                <c:pt idx="5">
                  <c:v>9.8852218293109598E-3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0.19055801413697479</c:v>
                      </c:pt>
                      <c:pt idx="1">
                        <c:v>0.18096083143761921</c:v>
                      </c:pt>
                      <c:pt idx="2">
                        <c:v>9.8852218293109598E-3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0.19487397375131549</c:v>
                </c:pt>
                <c:pt idx="1">
                  <c:v>0.2060467236877695</c:v>
                </c:pt>
                <c:pt idx="2">
                  <c:v>0.2026387779703438</c:v>
                </c:pt>
                <c:pt idx="3">
                  <c:v>0.19807056490930872</c:v>
                </c:pt>
                <c:pt idx="4">
                  <c:v>0.18809502330108374</c:v>
                </c:pt>
                <c:pt idx="5">
                  <c:v>1.0274936380178755E-2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2.5699996201069053E-2</c:v>
                </c:pt>
                <c:pt idx="2">
                  <c:v>2.6099759428439784E-2</c:v>
                </c:pt>
                <c:pt idx="3">
                  <c:v>3.2791265964516744E-2</c:v>
                </c:pt>
                <c:pt idx="4">
                  <c:v>5.0685507212863398E-2</c:v>
                </c:pt>
                <c:pt idx="5">
                  <c:v>5.4991328049308327E-2</c:v>
                </c:pt>
                <c:pt idx="6">
                  <c:v>7.4792284357370259E-2</c:v>
                </c:pt>
                <c:pt idx="7">
                  <c:v>8.7086465458636353E-2</c:v>
                </c:pt>
                <c:pt idx="8">
                  <c:v>0.12698399686822759</c:v>
                </c:pt>
                <c:pt idx="9">
                  <c:v>0.1999780221407951</c:v>
                </c:pt>
                <c:pt idx="10">
                  <c:v>0.1999780221407951</c:v>
                </c:pt>
                <c:pt idx="11">
                  <c:v>0.1999780221407951</c:v>
                </c:pt>
                <c:pt idx="12">
                  <c:v>0.1999780221407951</c:v>
                </c:pt>
                <c:pt idx="13">
                  <c:v>0.1999780221407951</c:v>
                </c:pt>
                <c:pt idx="14">
                  <c:v>0.1999780221407951</c:v>
                </c:pt>
                <c:pt idx="15">
                  <c:v>0.1999780221407951</c:v>
                </c:pt>
                <c:pt idx="16">
                  <c:v>0.1999780221407951</c:v>
                </c:pt>
                <c:pt idx="17">
                  <c:v>0.1999780221407951</c:v>
                </c:pt>
                <c:pt idx="18">
                  <c:v>0.1999780221407951</c:v>
                </c:pt>
                <c:pt idx="19">
                  <c:v>0.1999780221407951</c:v>
                </c:pt>
                <c:pt idx="20">
                  <c:v>0.1999780221407951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-948.25278761536538</c:v>
                </c:pt>
                <c:pt idx="2">
                  <c:v>-959.18868250201331</c:v>
                </c:pt>
                <c:pt idx="3">
                  <c:v>-1083.1993453973553</c:v>
                </c:pt>
                <c:pt idx="4">
                  <c:v>-1315.0993043379256</c:v>
                </c:pt>
                <c:pt idx="5">
                  <c:v>-1220.3393895715071</c:v>
                </c:pt>
                <c:pt idx="6">
                  <c:v>-400.71377249183888</c:v>
                </c:pt>
                <c:pt idx="7">
                  <c:v>-405.22490116105132</c:v>
                </c:pt>
                <c:pt idx="8">
                  <c:v>-342.7288193767165</c:v>
                </c:pt>
                <c:pt idx="9">
                  <c:v>-235.33335573263852</c:v>
                </c:pt>
                <c:pt idx="10">
                  <c:v>-235.33335573263852</c:v>
                </c:pt>
                <c:pt idx="11">
                  <c:v>-235.33335573263852</c:v>
                </c:pt>
                <c:pt idx="12">
                  <c:v>-235.33335573263852</c:v>
                </c:pt>
                <c:pt idx="13">
                  <c:v>-235.33335573263852</c:v>
                </c:pt>
                <c:pt idx="14">
                  <c:v>-235.33335573263852</c:v>
                </c:pt>
                <c:pt idx="15">
                  <c:v>-235.33335573263852</c:v>
                </c:pt>
                <c:pt idx="16">
                  <c:v>-235.33335573263852</c:v>
                </c:pt>
                <c:pt idx="17">
                  <c:v>-235.33335573263852</c:v>
                </c:pt>
                <c:pt idx="18">
                  <c:v>-235.33335573263852</c:v>
                </c:pt>
                <c:pt idx="19">
                  <c:v>-235.33335573263852</c:v>
                </c:pt>
                <c:pt idx="20">
                  <c:v>-235.33335573263852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4E-4D68-983C-4C004AC43AE5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1.80125E-4</c:v>
                </c:pt>
                <c:pt idx="1">
                  <c:v>2.20125E-4</c:v>
                </c:pt>
                <c:pt idx="2">
                  <c:v>2.6012499999999999E-4</c:v>
                </c:pt>
                <c:pt idx="3">
                  <c:v>3.0012499999999999E-4</c:v>
                </c:pt>
                <c:pt idx="4">
                  <c:v>3.4012499999999999E-4</c:v>
                </c:pt>
                <c:pt idx="5">
                  <c:v>3.8012499999999998E-4</c:v>
                </c:pt>
                <c:pt idx="6">
                  <c:v>4.2012499999999998E-4</c:v>
                </c:pt>
                <c:pt idx="7">
                  <c:v>4.6012499999999998E-4</c:v>
                </c:pt>
                <c:pt idx="8">
                  <c:v>5.0012500000000003E-4</c:v>
                </c:pt>
                <c:pt idx="9">
                  <c:v>5.4012500000000002E-4</c:v>
                </c:pt>
                <c:pt idx="10">
                  <c:v>5.8012500000000002E-4</c:v>
                </c:pt>
                <c:pt idx="11">
                  <c:v>6.2012500000000002E-4</c:v>
                </c:pt>
                <c:pt idx="12">
                  <c:v>6.6012500000000001E-4</c:v>
                </c:pt>
                <c:pt idx="13">
                  <c:v>7.0012500000000001E-4</c:v>
                </c:pt>
                <c:pt idx="14">
                  <c:v>7.4012500000000001E-4</c:v>
                </c:pt>
                <c:pt idx="15">
                  <c:v>7.80125E-4</c:v>
                </c:pt>
                <c:pt idx="16">
                  <c:v>8.20125E-4</c:v>
                </c:pt>
                <c:pt idx="17">
                  <c:v>8.60125E-4</c:v>
                </c:pt>
                <c:pt idx="18">
                  <c:v>9.0012499999999999E-4</c:v>
                </c:pt>
                <c:pt idx="19">
                  <c:v>9.4012499999999999E-4</c:v>
                </c:pt>
                <c:pt idx="20">
                  <c:v>9.8012500000000009E-4</c:v>
                </c:pt>
                <c:pt idx="21">
                  <c:v>1.02012E-3</c:v>
                </c:pt>
                <c:pt idx="22">
                  <c:v>1.0601199999999999E-3</c:v>
                </c:pt>
                <c:pt idx="23">
                  <c:v>1.10012E-3</c:v>
                </c:pt>
                <c:pt idx="24">
                  <c:v>1.1401199999999999E-3</c:v>
                </c:pt>
                <c:pt idx="25">
                  <c:v>1.18012E-3</c:v>
                </c:pt>
                <c:pt idx="26">
                  <c:v>1.2201200000000001E-3</c:v>
                </c:pt>
                <c:pt idx="27">
                  <c:v>1.26012E-3</c:v>
                </c:pt>
                <c:pt idx="28">
                  <c:v>1.3001200000000001E-3</c:v>
                </c:pt>
                <c:pt idx="29">
                  <c:v>1.34012E-3</c:v>
                </c:pt>
                <c:pt idx="30">
                  <c:v>1.3801200000000001E-3</c:v>
                </c:pt>
                <c:pt idx="31">
                  <c:v>1.42012E-3</c:v>
                </c:pt>
                <c:pt idx="32">
                  <c:v>1.4601200000000001E-3</c:v>
                </c:pt>
                <c:pt idx="33">
                  <c:v>1.50012E-3</c:v>
                </c:pt>
                <c:pt idx="34">
                  <c:v>1.5401200000000001E-3</c:v>
                </c:pt>
                <c:pt idx="35">
                  <c:v>1.58012E-3</c:v>
                </c:pt>
                <c:pt idx="36">
                  <c:v>1.6201200000000001E-3</c:v>
                </c:pt>
                <c:pt idx="37">
                  <c:v>1.66012E-3</c:v>
                </c:pt>
                <c:pt idx="38">
                  <c:v>1.7001200000000001E-3</c:v>
                </c:pt>
                <c:pt idx="39">
                  <c:v>1.7401199999999999E-3</c:v>
                </c:pt>
                <c:pt idx="40">
                  <c:v>1.7801200000000001E-3</c:v>
                </c:pt>
                <c:pt idx="41">
                  <c:v>1.8201199999999999E-3</c:v>
                </c:pt>
                <c:pt idx="42">
                  <c:v>1.86012E-3</c:v>
                </c:pt>
                <c:pt idx="43">
                  <c:v>1.9001199999999999E-3</c:v>
                </c:pt>
                <c:pt idx="44">
                  <c:v>1.94012E-3</c:v>
                </c:pt>
                <c:pt idx="45">
                  <c:v>1.9801200000000001E-3</c:v>
                </c:pt>
                <c:pt idx="46">
                  <c:v>2.0201199999999998E-3</c:v>
                </c:pt>
                <c:pt idx="47">
                  <c:v>2.0601199999999999E-3</c:v>
                </c:pt>
                <c:pt idx="48">
                  <c:v>2.10012E-3</c:v>
                </c:pt>
                <c:pt idx="49">
                  <c:v>2.1401200000000001E-3</c:v>
                </c:pt>
                <c:pt idx="50">
                  <c:v>2.1801199999999998E-3</c:v>
                </c:pt>
                <c:pt idx="51">
                  <c:v>2.2201199999999999E-3</c:v>
                </c:pt>
                <c:pt idx="52">
                  <c:v>2.26012E-3</c:v>
                </c:pt>
                <c:pt idx="53">
                  <c:v>2.3001200000000001E-3</c:v>
                </c:pt>
                <c:pt idx="54">
                  <c:v>2.3401199999999998E-3</c:v>
                </c:pt>
                <c:pt idx="55">
                  <c:v>2.3801199999999999E-3</c:v>
                </c:pt>
                <c:pt idx="56">
                  <c:v>2.42012E-3</c:v>
                </c:pt>
                <c:pt idx="57">
                  <c:v>2.4601200000000001E-3</c:v>
                </c:pt>
                <c:pt idx="58">
                  <c:v>2.5001200000000002E-3</c:v>
                </c:pt>
                <c:pt idx="59">
                  <c:v>2.5401199999999999E-3</c:v>
                </c:pt>
                <c:pt idx="60">
                  <c:v>2.58012E-3</c:v>
                </c:pt>
                <c:pt idx="61">
                  <c:v>2.6201200000000001E-3</c:v>
                </c:pt>
                <c:pt idx="62">
                  <c:v>2.6601200000000002E-3</c:v>
                </c:pt>
                <c:pt idx="63">
                  <c:v>2.7001199999999999E-3</c:v>
                </c:pt>
                <c:pt idx="64">
                  <c:v>2.74012E-3</c:v>
                </c:pt>
                <c:pt idx="65">
                  <c:v>2.7801200000000001E-3</c:v>
                </c:pt>
                <c:pt idx="66">
                  <c:v>2.8201200000000002E-3</c:v>
                </c:pt>
                <c:pt idx="67">
                  <c:v>2.8601199999999998E-3</c:v>
                </c:pt>
                <c:pt idx="68">
                  <c:v>2.90012E-3</c:v>
                </c:pt>
                <c:pt idx="69">
                  <c:v>2.9401200000000001E-3</c:v>
                </c:pt>
                <c:pt idx="70">
                  <c:v>2.9801200000000002E-3</c:v>
                </c:pt>
                <c:pt idx="71">
                  <c:v>3.0201199999999998E-3</c:v>
                </c:pt>
                <c:pt idx="72">
                  <c:v>3.0601199999999999E-3</c:v>
                </c:pt>
                <c:pt idx="73">
                  <c:v>3.10012E-3</c:v>
                </c:pt>
                <c:pt idx="74">
                  <c:v>3.1401200000000002E-3</c:v>
                </c:pt>
                <c:pt idx="75">
                  <c:v>3.1801199999999998E-3</c:v>
                </c:pt>
                <c:pt idx="76">
                  <c:v>3.2201199999999999E-3</c:v>
                </c:pt>
                <c:pt idx="77">
                  <c:v>3.26012E-3</c:v>
                </c:pt>
                <c:pt idx="78">
                  <c:v>3.3001200000000001E-3</c:v>
                </c:pt>
                <c:pt idx="79">
                  <c:v>3.3401199999999998E-3</c:v>
                </c:pt>
                <c:pt idx="80">
                  <c:v>3.3801199999999999E-3</c:v>
                </c:pt>
                <c:pt idx="81">
                  <c:v>3.42012E-3</c:v>
                </c:pt>
                <c:pt idx="82">
                  <c:v>3.4601200000000001E-3</c:v>
                </c:pt>
                <c:pt idx="83">
                  <c:v>3.5001199999999998E-3</c:v>
                </c:pt>
                <c:pt idx="84">
                  <c:v>3.5401199999999999E-3</c:v>
                </c:pt>
                <c:pt idx="85">
                  <c:v>3.58012E-3</c:v>
                </c:pt>
                <c:pt idx="86">
                  <c:v>3.6201200000000001E-3</c:v>
                </c:pt>
                <c:pt idx="87">
                  <c:v>3.6601200000000002E-3</c:v>
                </c:pt>
                <c:pt idx="88">
                  <c:v>3.7001199999999999E-3</c:v>
                </c:pt>
                <c:pt idx="89">
                  <c:v>3.74012E-3</c:v>
                </c:pt>
                <c:pt idx="90">
                  <c:v>3.7801200000000001E-3</c:v>
                </c:pt>
                <c:pt idx="91">
                  <c:v>3.8201200000000002E-3</c:v>
                </c:pt>
                <c:pt idx="92">
                  <c:v>3.8601199999999999E-3</c:v>
                </c:pt>
                <c:pt idx="93">
                  <c:v>3.90012E-3</c:v>
                </c:pt>
                <c:pt idx="94">
                  <c:v>3.9401200000000001E-3</c:v>
                </c:pt>
                <c:pt idx="95">
                  <c:v>3.9801200000000002E-3</c:v>
                </c:pt>
                <c:pt idx="96">
                  <c:v>4.0201200000000003E-3</c:v>
                </c:pt>
                <c:pt idx="97">
                  <c:v>4.0601200000000004E-3</c:v>
                </c:pt>
                <c:pt idx="98">
                  <c:v>4.1001199999999996E-3</c:v>
                </c:pt>
                <c:pt idx="99">
                  <c:v>4.1401199999999997E-3</c:v>
                </c:pt>
                <c:pt idx="100">
                  <c:v>4.1801199999999998E-3</c:v>
                </c:pt>
                <c:pt idx="101">
                  <c:v>4.2201199999999999E-3</c:v>
                </c:pt>
                <c:pt idx="102">
                  <c:v>4.2601200000000001E-3</c:v>
                </c:pt>
                <c:pt idx="103">
                  <c:v>4.3001200000000002E-3</c:v>
                </c:pt>
                <c:pt idx="104">
                  <c:v>4.3401200000000003E-3</c:v>
                </c:pt>
                <c:pt idx="105">
                  <c:v>4.3801200000000004E-3</c:v>
                </c:pt>
                <c:pt idx="106">
                  <c:v>4.4201199999999996E-3</c:v>
                </c:pt>
                <c:pt idx="107">
                  <c:v>4.4601199999999997E-3</c:v>
                </c:pt>
                <c:pt idx="108">
                  <c:v>4.5001199999999998E-3</c:v>
                </c:pt>
                <c:pt idx="109">
                  <c:v>4.5401199999999999E-3</c:v>
                </c:pt>
                <c:pt idx="110">
                  <c:v>4.58012E-3</c:v>
                </c:pt>
                <c:pt idx="111">
                  <c:v>4.6201200000000001E-3</c:v>
                </c:pt>
                <c:pt idx="112">
                  <c:v>4.6601200000000002E-3</c:v>
                </c:pt>
                <c:pt idx="113">
                  <c:v>4.7001200000000003E-3</c:v>
                </c:pt>
                <c:pt idx="114">
                  <c:v>4.7401199999999996E-3</c:v>
                </c:pt>
                <c:pt idx="115">
                  <c:v>4.7801199999999997E-3</c:v>
                </c:pt>
                <c:pt idx="116">
                  <c:v>4.8201199999999998E-3</c:v>
                </c:pt>
                <c:pt idx="117">
                  <c:v>4.8601199999999999E-3</c:v>
                </c:pt>
                <c:pt idx="118">
                  <c:v>4.90012E-3</c:v>
                </c:pt>
                <c:pt idx="119">
                  <c:v>4.9401200000000001E-3</c:v>
                </c:pt>
                <c:pt idx="120">
                  <c:v>4.9801200000000002E-3</c:v>
                </c:pt>
                <c:pt idx="121">
                  <c:v>5.0201200000000003E-3</c:v>
                </c:pt>
                <c:pt idx="122">
                  <c:v>5.0601200000000004E-3</c:v>
                </c:pt>
                <c:pt idx="123">
                  <c:v>5.1001199999999997E-3</c:v>
                </c:pt>
                <c:pt idx="124">
                  <c:v>5.1401199999999998E-3</c:v>
                </c:pt>
                <c:pt idx="125">
                  <c:v>5.1801199999999999E-3</c:v>
                </c:pt>
                <c:pt idx="126">
                  <c:v>5.22012E-3</c:v>
                </c:pt>
                <c:pt idx="127">
                  <c:v>5.2601200000000001E-3</c:v>
                </c:pt>
                <c:pt idx="128">
                  <c:v>5.3001200000000002E-3</c:v>
                </c:pt>
                <c:pt idx="129">
                  <c:v>5.3401200000000003E-3</c:v>
                </c:pt>
                <c:pt idx="130">
                  <c:v>5.3801200000000004E-3</c:v>
                </c:pt>
                <c:pt idx="131">
                  <c:v>5.4201199999999996E-3</c:v>
                </c:pt>
                <c:pt idx="132">
                  <c:v>5.4601199999999997E-3</c:v>
                </c:pt>
                <c:pt idx="133">
                  <c:v>5.5001199999999998E-3</c:v>
                </c:pt>
                <c:pt idx="134">
                  <c:v>5.5401199999999999E-3</c:v>
                </c:pt>
                <c:pt idx="135">
                  <c:v>5.58012E-3</c:v>
                </c:pt>
                <c:pt idx="136">
                  <c:v>5.6201200000000002E-3</c:v>
                </c:pt>
                <c:pt idx="137">
                  <c:v>5.6601200000000003E-3</c:v>
                </c:pt>
                <c:pt idx="138">
                  <c:v>5.7001200000000004E-3</c:v>
                </c:pt>
                <c:pt idx="139">
                  <c:v>5.7401199999999996E-3</c:v>
                </c:pt>
                <c:pt idx="140">
                  <c:v>5.7801199999999997E-3</c:v>
                </c:pt>
                <c:pt idx="141">
                  <c:v>5.8201199999999998E-3</c:v>
                </c:pt>
                <c:pt idx="142">
                  <c:v>5.8601199999999999E-3</c:v>
                </c:pt>
                <c:pt idx="143">
                  <c:v>5.90012E-3</c:v>
                </c:pt>
                <c:pt idx="144">
                  <c:v>5.9401200000000001E-3</c:v>
                </c:pt>
                <c:pt idx="145">
                  <c:v>5.9801200000000002E-3</c:v>
                </c:pt>
                <c:pt idx="146">
                  <c:v>6.0201200000000003E-3</c:v>
                </c:pt>
                <c:pt idx="147">
                  <c:v>6.0601199999999996E-3</c:v>
                </c:pt>
                <c:pt idx="148">
                  <c:v>6.1001199999999997E-3</c:v>
                </c:pt>
                <c:pt idx="149">
                  <c:v>6.1401199999999998E-3</c:v>
                </c:pt>
                <c:pt idx="150">
                  <c:v>6.1801199999999999E-3</c:v>
                </c:pt>
                <c:pt idx="151">
                  <c:v>6.22012E-3</c:v>
                </c:pt>
                <c:pt idx="152">
                  <c:v>6.2601200000000001E-3</c:v>
                </c:pt>
                <c:pt idx="153">
                  <c:v>6.3001200000000002E-3</c:v>
                </c:pt>
                <c:pt idx="154">
                  <c:v>6.3401200000000003E-3</c:v>
                </c:pt>
                <c:pt idx="155">
                  <c:v>6.3801200000000004E-3</c:v>
                </c:pt>
                <c:pt idx="156">
                  <c:v>6.4201199999999996E-3</c:v>
                </c:pt>
                <c:pt idx="157">
                  <c:v>6.4601199999999998E-3</c:v>
                </c:pt>
                <c:pt idx="158">
                  <c:v>6.5001199999999999E-3</c:v>
                </c:pt>
                <c:pt idx="159">
                  <c:v>6.54012E-3</c:v>
                </c:pt>
                <c:pt idx="160">
                  <c:v>6.5801200000000001E-3</c:v>
                </c:pt>
                <c:pt idx="161">
                  <c:v>6.6201200000000002E-3</c:v>
                </c:pt>
                <c:pt idx="162">
                  <c:v>6.6601200000000003E-3</c:v>
                </c:pt>
                <c:pt idx="163">
                  <c:v>6.7001200000000004E-3</c:v>
                </c:pt>
                <c:pt idx="164">
                  <c:v>6.7401199999999996E-3</c:v>
                </c:pt>
                <c:pt idx="165">
                  <c:v>6.7801199999999997E-3</c:v>
                </c:pt>
                <c:pt idx="166">
                  <c:v>6.8201199999999998E-3</c:v>
                </c:pt>
                <c:pt idx="167">
                  <c:v>6.8601199999999999E-3</c:v>
                </c:pt>
                <c:pt idx="168">
                  <c:v>6.90012E-3</c:v>
                </c:pt>
                <c:pt idx="169">
                  <c:v>6.9401200000000001E-3</c:v>
                </c:pt>
                <c:pt idx="170">
                  <c:v>6.9801200000000002E-3</c:v>
                </c:pt>
                <c:pt idx="171">
                  <c:v>7.0201200000000004E-3</c:v>
                </c:pt>
                <c:pt idx="172">
                  <c:v>7.0601199999999996E-3</c:v>
                </c:pt>
                <c:pt idx="173">
                  <c:v>7.1001199999999997E-3</c:v>
                </c:pt>
                <c:pt idx="174">
                  <c:v>7.1401199999999998E-3</c:v>
                </c:pt>
                <c:pt idx="175">
                  <c:v>7.1801199999999999E-3</c:v>
                </c:pt>
                <c:pt idx="176">
                  <c:v>7.22012E-3</c:v>
                </c:pt>
                <c:pt idx="177">
                  <c:v>7.2601200000000001E-3</c:v>
                </c:pt>
                <c:pt idx="178">
                  <c:v>7.3001200000000002E-3</c:v>
                </c:pt>
                <c:pt idx="179">
                  <c:v>7.3401200000000003E-3</c:v>
                </c:pt>
                <c:pt idx="180">
                  <c:v>7.3801200000000004E-3</c:v>
                </c:pt>
                <c:pt idx="181">
                  <c:v>7.4201199999999997E-3</c:v>
                </c:pt>
                <c:pt idx="182">
                  <c:v>7.4601199999999998E-3</c:v>
                </c:pt>
                <c:pt idx="183">
                  <c:v>7.5001199999999999E-3</c:v>
                </c:pt>
                <c:pt idx="184">
                  <c:v>7.54012E-3</c:v>
                </c:pt>
                <c:pt idx="185">
                  <c:v>7.5801200000000001E-3</c:v>
                </c:pt>
                <c:pt idx="186">
                  <c:v>7.6201200000000002E-3</c:v>
                </c:pt>
                <c:pt idx="187">
                  <c:v>7.6601200000000003E-3</c:v>
                </c:pt>
                <c:pt idx="188">
                  <c:v>7.7001200000000004E-3</c:v>
                </c:pt>
                <c:pt idx="189">
                  <c:v>7.7401199999999996E-3</c:v>
                </c:pt>
                <c:pt idx="190">
                  <c:v>7.7801199999999997E-3</c:v>
                </c:pt>
                <c:pt idx="191">
                  <c:v>7.8201199999999998E-3</c:v>
                </c:pt>
                <c:pt idx="192">
                  <c:v>7.86012E-3</c:v>
                </c:pt>
                <c:pt idx="193">
                  <c:v>7.9001200000000001E-3</c:v>
                </c:pt>
                <c:pt idx="194">
                  <c:v>7.9401200000000002E-3</c:v>
                </c:pt>
                <c:pt idx="195">
                  <c:v>7.9801200000000003E-3</c:v>
                </c:pt>
                <c:pt idx="196">
                  <c:v>8.0201200000000004E-3</c:v>
                </c:pt>
                <c:pt idx="197">
                  <c:v>8.0601200000000005E-3</c:v>
                </c:pt>
                <c:pt idx="198">
                  <c:v>8.1001200000000006E-3</c:v>
                </c:pt>
                <c:pt idx="199">
                  <c:v>8.1401200000000007E-3</c:v>
                </c:pt>
                <c:pt idx="200">
                  <c:v>8.1801200000000008E-3</c:v>
                </c:pt>
                <c:pt idx="201">
                  <c:v>8.2201199999999992E-3</c:v>
                </c:pt>
                <c:pt idx="202">
                  <c:v>8.2601199999999993E-3</c:v>
                </c:pt>
                <c:pt idx="203">
                  <c:v>8.3001199999999994E-3</c:v>
                </c:pt>
                <c:pt idx="204">
                  <c:v>8.3401199999999995E-3</c:v>
                </c:pt>
                <c:pt idx="205">
                  <c:v>8.3801199999999996E-3</c:v>
                </c:pt>
                <c:pt idx="206">
                  <c:v>8.4201199999999997E-3</c:v>
                </c:pt>
                <c:pt idx="207">
                  <c:v>8.4601199999999998E-3</c:v>
                </c:pt>
                <c:pt idx="208">
                  <c:v>8.5001199999999999E-3</c:v>
                </c:pt>
                <c:pt idx="209">
                  <c:v>8.54012E-3</c:v>
                </c:pt>
                <c:pt idx="210">
                  <c:v>8.5801200000000001E-3</c:v>
                </c:pt>
                <c:pt idx="211">
                  <c:v>8.6201200000000002E-3</c:v>
                </c:pt>
                <c:pt idx="212">
                  <c:v>8.6601200000000003E-3</c:v>
                </c:pt>
                <c:pt idx="213">
                  <c:v>8.7001200000000004E-3</c:v>
                </c:pt>
                <c:pt idx="214">
                  <c:v>8.7401200000000005E-3</c:v>
                </c:pt>
                <c:pt idx="215">
                  <c:v>8.7801200000000006E-3</c:v>
                </c:pt>
                <c:pt idx="216">
                  <c:v>8.8201200000000007E-3</c:v>
                </c:pt>
                <c:pt idx="217">
                  <c:v>8.8601200000000008E-3</c:v>
                </c:pt>
                <c:pt idx="218">
                  <c:v>8.9001199999999992E-3</c:v>
                </c:pt>
                <c:pt idx="219">
                  <c:v>8.9401199999999993E-3</c:v>
                </c:pt>
                <c:pt idx="220">
                  <c:v>8.9801199999999994E-3</c:v>
                </c:pt>
                <c:pt idx="221">
                  <c:v>9.0201199999999995E-3</c:v>
                </c:pt>
                <c:pt idx="222">
                  <c:v>9.0601199999999996E-3</c:v>
                </c:pt>
                <c:pt idx="223">
                  <c:v>9.1001199999999997E-3</c:v>
                </c:pt>
                <c:pt idx="224">
                  <c:v>9.1401199999999998E-3</c:v>
                </c:pt>
                <c:pt idx="225">
                  <c:v>9.1801199999999999E-3</c:v>
                </c:pt>
                <c:pt idx="226">
                  <c:v>9.2201200000000001E-3</c:v>
                </c:pt>
                <c:pt idx="227">
                  <c:v>9.2601200000000002E-3</c:v>
                </c:pt>
                <c:pt idx="228">
                  <c:v>9.3001200000000003E-3</c:v>
                </c:pt>
                <c:pt idx="229">
                  <c:v>9.3401200000000004E-3</c:v>
                </c:pt>
                <c:pt idx="230">
                  <c:v>9.3801200000000005E-3</c:v>
                </c:pt>
                <c:pt idx="231">
                  <c:v>9.4201200000000006E-3</c:v>
                </c:pt>
                <c:pt idx="232">
                  <c:v>9.4601200000000007E-3</c:v>
                </c:pt>
                <c:pt idx="233">
                  <c:v>9.5001200000000008E-3</c:v>
                </c:pt>
                <c:pt idx="234">
                  <c:v>9.5401199999999992E-3</c:v>
                </c:pt>
                <c:pt idx="235">
                  <c:v>9.5801199999999993E-3</c:v>
                </c:pt>
                <c:pt idx="236">
                  <c:v>9.6201199999999994E-3</c:v>
                </c:pt>
                <c:pt idx="237">
                  <c:v>9.6601199999999995E-3</c:v>
                </c:pt>
                <c:pt idx="238">
                  <c:v>9.7001199999999996E-3</c:v>
                </c:pt>
                <c:pt idx="239">
                  <c:v>9.7401199999999997E-3</c:v>
                </c:pt>
                <c:pt idx="240">
                  <c:v>9.7801199999999998E-3</c:v>
                </c:pt>
                <c:pt idx="241">
                  <c:v>9.8201199999999999E-3</c:v>
                </c:pt>
                <c:pt idx="242">
                  <c:v>9.86012E-3</c:v>
                </c:pt>
                <c:pt idx="243">
                  <c:v>9.9001200000000001E-3</c:v>
                </c:pt>
                <c:pt idx="244">
                  <c:v>9.9401200000000002E-3</c:v>
                </c:pt>
                <c:pt idx="245">
                  <c:v>9.9801200000000003E-3</c:v>
                </c:pt>
                <c:pt idx="246">
                  <c:v>1.0020100000000001E-2</c:v>
                </c:pt>
                <c:pt idx="247">
                  <c:v>1.0060100000000001E-2</c:v>
                </c:pt>
                <c:pt idx="248">
                  <c:v>1.0100100000000001E-2</c:v>
                </c:pt>
                <c:pt idx="249">
                  <c:v>1.0140100000000001E-2</c:v>
                </c:pt>
                <c:pt idx="250">
                  <c:v>1.0180099999999999E-2</c:v>
                </c:pt>
                <c:pt idx="251">
                  <c:v>1.0220099999999999E-2</c:v>
                </c:pt>
                <c:pt idx="252">
                  <c:v>1.0260099999999999E-2</c:v>
                </c:pt>
                <c:pt idx="253">
                  <c:v>1.03001E-2</c:v>
                </c:pt>
                <c:pt idx="254">
                  <c:v>1.03401E-2</c:v>
                </c:pt>
                <c:pt idx="255">
                  <c:v>1.03801E-2</c:v>
                </c:pt>
                <c:pt idx="256">
                  <c:v>1.04201E-2</c:v>
                </c:pt>
                <c:pt idx="257">
                  <c:v>1.04601E-2</c:v>
                </c:pt>
                <c:pt idx="258">
                  <c:v>1.05001E-2</c:v>
                </c:pt>
                <c:pt idx="259">
                  <c:v>1.05401E-2</c:v>
                </c:pt>
                <c:pt idx="260">
                  <c:v>1.05801E-2</c:v>
                </c:pt>
                <c:pt idx="261">
                  <c:v>1.06201E-2</c:v>
                </c:pt>
                <c:pt idx="262">
                  <c:v>1.06601E-2</c:v>
                </c:pt>
                <c:pt idx="263">
                  <c:v>1.0700100000000001E-2</c:v>
                </c:pt>
                <c:pt idx="264">
                  <c:v>1.0740100000000001E-2</c:v>
                </c:pt>
                <c:pt idx="265">
                  <c:v>1.0780100000000001E-2</c:v>
                </c:pt>
                <c:pt idx="266">
                  <c:v>1.0820099999999999E-2</c:v>
                </c:pt>
                <c:pt idx="267">
                  <c:v>1.0860099999999999E-2</c:v>
                </c:pt>
                <c:pt idx="268">
                  <c:v>1.0900099999999999E-2</c:v>
                </c:pt>
                <c:pt idx="269">
                  <c:v>1.0940099999999999E-2</c:v>
                </c:pt>
                <c:pt idx="270">
                  <c:v>1.09801E-2</c:v>
                </c:pt>
                <c:pt idx="271">
                  <c:v>1.10201E-2</c:v>
                </c:pt>
                <c:pt idx="272">
                  <c:v>1.10601E-2</c:v>
                </c:pt>
                <c:pt idx="273">
                  <c:v>1.11001E-2</c:v>
                </c:pt>
                <c:pt idx="274">
                  <c:v>1.11401E-2</c:v>
                </c:pt>
                <c:pt idx="275">
                  <c:v>1.11801E-2</c:v>
                </c:pt>
                <c:pt idx="276">
                  <c:v>1.12201E-2</c:v>
                </c:pt>
                <c:pt idx="277">
                  <c:v>1.12601E-2</c:v>
                </c:pt>
                <c:pt idx="278">
                  <c:v>1.13001E-2</c:v>
                </c:pt>
                <c:pt idx="279">
                  <c:v>1.1340100000000001E-2</c:v>
                </c:pt>
                <c:pt idx="280">
                  <c:v>1.1380100000000001E-2</c:v>
                </c:pt>
                <c:pt idx="281">
                  <c:v>1.1420100000000001E-2</c:v>
                </c:pt>
                <c:pt idx="282">
                  <c:v>1.1460100000000001E-2</c:v>
                </c:pt>
                <c:pt idx="283">
                  <c:v>1.1500099999999999E-2</c:v>
                </c:pt>
                <c:pt idx="284">
                  <c:v>1.1540099999999999E-2</c:v>
                </c:pt>
                <c:pt idx="285">
                  <c:v>1.1580099999999999E-2</c:v>
                </c:pt>
                <c:pt idx="286">
                  <c:v>1.16201E-2</c:v>
                </c:pt>
                <c:pt idx="287">
                  <c:v>1.16601E-2</c:v>
                </c:pt>
                <c:pt idx="288">
                  <c:v>1.17001E-2</c:v>
                </c:pt>
                <c:pt idx="289">
                  <c:v>1.17401E-2</c:v>
                </c:pt>
                <c:pt idx="290">
                  <c:v>1.17801E-2</c:v>
                </c:pt>
                <c:pt idx="291">
                  <c:v>1.18201E-2</c:v>
                </c:pt>
                <c:pt idx="292">
                  <c:v>1.18601E-2</c:v>
                </c:pt>
                <c:pt idx="293">
                  <c:v>1.19001E-2</c:v>
                </c:pt>
                <c:pt idx="294">
                  <c:v>1.19401E-2</c:v>
                </c:pt>
                <c:pt idx="295">
                  <c:v>1.19801E-2</c:v>
                </c:pt>
                <c:pt idx="296">
                  <c:v>1.2020100000000001E-2</c:v>
                </c:pt>
                <c:pt idx="297">
                  <c:v>1.2060100000000001E-2</c:v>
                </c:pt>
                <c:pt idx="298">
                  <c:v>1.2100100000000001E-2</c:v>
                </c:pt>
                <c:pt idx="299">
                  <c:v>1.2140099999999999E-2</c:v>
                </c:pt>
                <c:pt idx="300">
                  <c:v>1.2180099999999999E-2</c:v>
                </c:pt>
                <c:pt idx="301">
                  <c:v>1.2220099999999999E-2</c:v>
                </c:pt>
                <c:pt idx="302">
                  <c:v>1.2260099999999999E-2</c:v>
                </c:pt>
                <c:pt idx="303">
                  <c:v>1.23001E-2</c:v>
                </c:pt>
                <c:pt idx="304">
                  <c:v>1.23401E-2</c:v>
                </c:pt>
                <c:pt idx="305">
                  <c:v>1.23801E-2</c:v>
                </c:pt>
                <c:pt idx="306">
                  <c:v>1.24201E-2</c:v>
                </c:pt>
                <c:pt idx="307">
                  <c:v>1.24601E-2</c:v>
                </c:pt>
                <c:pt idx="308">
                  <c:v>1.25001E-2</c:v>
                </c:pt>
                <c:pt idx="309">
                  <c:v>1.25401E-2</c:v>
                </c:pt>
                <c:pt idx="310">
                  <c:v>1.25801E-2</c:v>
                </c:pt>
                <c:pt idx="311">
                  <c:v>1.26201E-2</c:v>
                </c:pt>
                <c:pt idx="312">
                  <c:v>1.2660100000000001E-2</c:v>
                </c:pt>
                <c:pt idx="313">
                  <c:v>1.2700100000000001E-2</c:v>
                </c:pt>
                <c:pt idx="314">
                  <c:v>1.2740100000000001E-2</c:v>
                </c:pt>
                <c:pt idx="315">
                  <c:v>1.2780100000000001E-2</c:v>
                </c:pt>
                <c:pt idx="316">
                  <c:v>1.2820099999999999E-2</c:v>
                </c:pt>
                <c:pt idx="317">
                  <c:v>1.2860099999999999E-2</c:v>
                </c:pt>
                <c:pt idx="318">
                  <c:v>1.2900099999999999E-2</c:v>
                </c:pt>
                <c:pt idx="319">
                  <c:v>1.29401E-2</c:v>
                </c:pt>
                <c:pt idx="320">
                  <c:v>1.29801E-2</c:v>
                </c:pt>
                <c:pt idx="321">
                  <c:v>1.30201E-2</c:v>
                </c:pt>
                <c:pt idx="322">
                  <c:v>1.30601E-2</c:v>
                </c:pt>
                <c:pt idx="323">
                  <c:v>1.31001E-2</c:v>
                </c:pt>
                <c:pt idx="324">
                  <c:v>1.31401E-2</c:v>
                </c:pt>
                <c:pt idx="325">
                  <c:v>1.31801E-2</c:v>
                </c:pt>
                <c:pt idx="326">
                  <c:v>1.32201E-2</c:v>
                </c:pt>
                <c:pt idx="327">
                  <c:v>1.32601E-2</c:v>
                </c:pt>
                <c:pt idx="328">
                  <c:v>1.33001E-2</c:v>
                </c:pt>
                <c:pt idx="329">
                  <c:v>1.3340100000000001E-2</c:v>
                </c:pt>
                <c:pt idx="330">
                  <c:v>1.3380100000000001E-2</c:v>
                </c:pt>
                <c:pt idx="331">
                  <c:v>1.3420100000000001E-2</c:v>
                </c:pt>
                <c:pt idx="332">
                  <c:v>1.3460099999999999E-2</c:v>
                </c:pt>
                <c:pt idx="333">
                  <c:v>1.3500099999999999E-2</c:v>
                </c:pt>
                <c:pt idx="334">
                  <c:v>1.3540099999999999E-2</c:v>
                </c:pt>
                <c:pt idx="335">
                  <c:v>1.3580099999999999E-2</c:v>
                </c:pt>
                <c:pt idx="336">
                  <c:v>1.36201E-2</c:v>
                </c:pt>
                <c:pt idx="337">
                  <c:v>1.36601E-2</c:v>
                </c:pt>
                <c:pt idx="338">
                  <c:v>1.37001E-2</c:v>
                </c:pt>
                <c:pt idx="339">
                  <c:v>1.37401E-2</c:v>
                </c:pt>
                <c:pt idx="340">
                  <c:v>1.37801E-2</c:v>
                </c:pt>
                <c:pt idx="341">
                  <c:v>1.38201E-2</c:v>
                </c:pt>
                <c:pt idx="342">
                  <c:v>1.38601E-2</c:v>
                </c:pt>
                <c:pt idx="343">
                  <c:v>1.39001E-2</c:v>
                </c:pt>
                <c:pt idx="344">
                  <c:v>1.39401E-2</c:v>
                </c:pt>
                <c:pt idx="345">
                  <c:v>1.3980100000000001E-2</c:v>
                </c:pt>
                <c:pt idx="346">
                  <c:v>1.4020100000000001E-2</c:v>
                </c:pt>
                <c:pt idx="347">
                  <c:v>1.4060100000000001E-2</c:v>
                </c:pt>
                <c:pt idx="348">
                  <c:v>1.4100100000000001E-2</c:v>
                </c:pt>
                <c:pt idx="349">
                  <c:v>1.4140099999999999E-2</c:v>
                </c:pt>
                <c:pt idx="350">
                  <c:v>1.4180099999999999E-2</c:v>
                </c:pt>
                <c:pt idx="351">
                  <c:v>1.4220099999999999E-2</c:v>
                </c:pt>
                <c:pt idx="352">
                  <c:v>1.42601E-2</c:v>
                </c:pt>
                <c:pt idx="353">
                  <c:v>1.43001E-2</c:v>
                </c:pt>
                <c:pt idx="354">
                  <c:v>1.43401E-2</c:v>
                </c:pt>
                <c:pt idx="355">
                  <c:v>1.43801E-2</c:v>
                </c:pt>
                <c:pt idx="356">
                  <c:v>1.44201E-2</c:v>
                </c:pt>
                <c:pt idx="357">
                  <c:v>1.44601E-2</c:v>
                </c:pt>
                <c:pt idx="358">
                  <c:v>1.45001E-2</c:v>
                </c:pt>
                <c:pt idx="359">
                  <c:v>1.45401E-2</c:v>
                </c:pt>
                <c:pt idx="360">
                  <c:v>1.45801E-2</c:v>
                </c:pt>
                <c:pt idx="361">
                  <c:v>1.46201E-2</c:v>
                </c:pt>
                <c:pt idx="362">
                  <c:v>1.4660100000000001E-2</c:v>
                </c:pt>
                <c:pt idx="363">
                  <c:v>1.4700100000000001E-2</c:v>
                </c:pt>
                <c:pt idx="364">
                  <c:v>1.4740100000000001E-2</c:v>
                </c:pt>
                <c:pt idx="365">
                  <c:v>1.4780099999999999E-2</c:v>
                </c:pt>
                <c:pt idx="366">
                  <c:v>1.4820099999999999E-2</c:v>
                </c:pt>
                <c:pt idx="367">
                  <c:v>1.4860099999999999E-2</c:v>
                </c:pt>
                <c:pt idx="368">
                  <c:v>1.4900099999999999E-2</c:v>
                </c:pt>
                <c:pt idx="369">
                  <c:v>1.49401E-2</c:v>
                </c:pt>
                <c:pt idx="370">
                  <c:v>1.49801E-2</c:v>
                </c:pt>
                <c:pt idx="371">
                  <c:v>1.50201E-2</c:v>
                </c:pt>
                <c:pt idx="372">
                  <c:v>1.50601E-2</c:v>
                </c:pt>
                <c:pt idx="373">
                  <c:v>1.51001E-2</c:v>
                </c:pt>
                <c:pt idx="374">
                  <c:v>1.51401E-2</c:v>
                </c:pt>
                <c:pt idx="375">
                  <c:v>1.51801E-2</c:v>
                </c:pt>
                <c:pt idx="376">
                  <c:v>1.52201E-2</c:v>
                </c:pt>
                <c:pt idx="377">
                  <c:v>1.52601E-2</c:v>
                </c:pt>
                <c:pt idx="378">
                  <c:v>1.5300100000000001E-2</c:v>
                </c:pt>
                <c:pt idx="379">
                  <c:v>1.5340100000000001E-2</c:v>
                </c:pt>
                <c:pt idx="380">
                  <c:v>1.5380100000000001E-2</c:v>
                </c:pt>
                <c:pt idx="381">
                  <c:v>1.5420100000000001E-2</c:v>
                </c:pt>
                <c:pt idx="382">
                  <c:v>1.5460099999999999E-2</c:v>
                </c:pt>
                <c:pt idx="383">
                  <c:v>1.5500099999999999E-2</c:v>
                </c:pt>
                <c:pt idx="384">
                  <c:v>1.5540099999999999E-2</c:v>
                </c:pt>
                <c:pt idx="385">
                  <c:v>1.55801E-2</c:v>
                </c:pt>
                <c:pt idx="386">
                  <c:v>1.56201E-2</c:v>
                </c:pt>
                <c:pt idx="387">
                  <c:v>1.56601E-2</c:v>
                </c:pt>
                <c:pt idx="388">
                  <c:v>1.5700100000000002E-2</c:v>
                </c:pt>
                <c:pt idx="389">
                  <c:v>1.57401E-2</c:v>
                </c:pt>
                <c:pt idx="390">
                  <c:v>1.5780099999999998E-2</c:v>
                </c:pt>
                <c:pt idx="391">
                  <c:v>1.58201E-2</c:v>
                </c:pt>
                <c:pt idx="392">
                  <c:v>1.5860099999999999E-2</c:v>
                </c:pt>
                <c:pt idx="393">
                  <c:v>1.59001E-2</c:v>
                </c:pt>
                <c:pt idx="394">
                  <c:v>1.5940099999999999E-2</c:v>
                </c:pt>
                <c:pt idx="395">
                  <c:v>1.5980100000000001E-2</c:v>
                </c:pt>
                <c:pt idx="396">
                  <c:v>1.6020099999999999E-2</c:v>
                </c:pt>
                <c:pt idx="397">
                  <c:v>1.6060100000000001E-2</c:v>
                </c:pt>
                <c:pt idx="398">
                  <c:v>1.6100099999999999E-2</c:v>
                </c:pt>
                <c:pt idx="399">
                  <c:v>1.6140100000000001E-2</c:v>
                </c:pt>
                <c:pt idx="400">
                  <c:v>1.6180099999999999E-2</c:v>
                </c:pt>
                <c:pt idx="401">
                  <c:v>1.6220100000000001E-2</c:v>
                </c:pt>
                <c:pt idx="402">
                  <c:v>1.62601E-2</c:v>
                </c:pt>
                <c:pt idx="403">
                  <c:v>1.6300100000000001E-2</c:v>
                </c:pt>
                <c:pt idx="404">
                  <c:v>1.63401E-2</c:v>
                </c:pt>
                <c:pt idx="405">
                  <c:v>1.6380100000000002E-2</c:v>
                </c:pt>
                <c:pt idx="406">
                  <c:v>1.64201E-2</c:v>
                </c:pt>
                <c:pt idx="407">
                  <c:v>1.6460099999999998E-2</c:v>
                </c:pt>
                <c:pt idx="408">
                  <c:v>1.65001E-2</c:v>
                </c:pt>
                <c:pt idx="409">
                  <c:v>1.6540099999999999E-2</c:v>
                </c:pt>
                <c:pt idx="410">
                  <c:v>1.65801E-2</c:v>
                </c:pt>
                <c:pt idx="411">
                  <c:v>1.6620099999999999E-2</c:v>
                </c:pt>
                <c:pt idx="412">
                  <c:v>1.6660100000000001E-2</c:v>
                </c:pt>
                <c:pt idx="413">
                  <c:v>1.6700099999999999E-2</c:v>
                </c:pt>
                <c:pt idx="414">
                  <c:v>1.6740100000000001E-2</c:v>
                </c:pt>
                <c:pt idx="415">
                  <c:v>1.6780099999999999E-2</c:v>
                </c:pt>
                <c:pt idx="416">
                  <c:v>1.6820100000000001E-2</c:v>
                </c:pt>
                <c:pt idx="417">
                  <c:v>1.6860099999999999E-2</c:v>
                </c:pt>
                <c:pt idx="418">
                  <c:v>1.6900100000000001E-2</c:v>
                </c:pt>
                <c:pt idx="419">
                  <c:v>1.69401E-2</c:v>
                </c:pt>
                <c:pt idx="420">
                  <c:v>1.6980100000000001E-2</c:v>
                </c:pt>
                <c:pt idx="421">
                  <c:v>1.70201E-2</c:v>
                </c:pt>
                <c:pt idx="422">
                  <c:v>1.7060100000000002E-2</c:v>
                </c:pt>
                <c:pt idx="423">
                  <c:v>1.71001E-2</c:v>
                </c:pt>
                <c:pt idx="424">
                  <c:v>1.7140099999999998E-2</c:v>
                </c:pt>
                <c:pt idx="425">
                  <c:v>1.71801E-2</c:v>
                </c:pt>
                <c:pt idx="426">
                  <c:v>1.7220099999999999E-2</c:v>
                </c:pt>
                <c:pt idx="427">
                  <c:v>1.72601E-2</c:v>
                </c:pt>
                <c:pt idx="428">
                  <c:v>1.7300099999999999E-2</c:v>
                </c:pt>
                <c:pt idx="429">
                  <c:v>1.7340100000000001E-2</c:v>
                </c:pt>
                <c:pt idx="430">
                  <c:v>1.7380099999999999E-2</c:v>
                </c:pt>
                <c:pt idx="431">
                  <c:v>1.7420100000000001E-2</c:v>
                </c:pt>
                <c:pt idx="432">
                  <c:v>1.7460099999999999E-2</c:v>
                </c:pt>
                <c:pt idx="433">
                  <c:v>1.7500100000000001E-2</c:v>
                </c:pt>
                <c:pt idx="434">
                  <c:v>1.7540099999999999E-2</c:v>
                </c:pt>
                <c:pt idx="435">
                  <c:v>1.7580100000000001E-2</c:v>
                </c:pt>
                <c:pt idx="436">
                  <c:v>1.76201E-2</c:v>
                </c:pt>
                <c:pt idx="437">
                  <c:v>1.7660100000000001E-2</c:v>
                </c:pt>
                <c:pt idx="438">
                  <c:v>1.77001E-2</c:v>
                </c:pt>
                <c:pt idx="439">
                  <c:v>1.7740100000000002E-2</c:v>
                </c:pt>
                <c:pt idx="440">
                  <c:v>1.77801E-2</c:v>
                </c:pt>
                <c:pt idx="441">
                  <c:v>1.7820099999999998E-2</c:v>
                </c:pt>
                <c:pt idx="442">
                  <c:v>1.78601E-2</c:v>
                </c:pt>
                <c:pt idx="443">
                  <c:v>1.7900099999999999E-2</c:v>
                </c:pt>
                <c:pt idx="444">
                  <c:v>1.79401E-2</c:v>
                </c:pt>
                <c:pt idx="445">
                  <c:v>1.7980099999999999E-2</c:v>
                </c:pt>
                <c:pt idx="446">
                  <c:v>1.8020100000000001E-2</c:v>
                </c:pt>
                <c:pt idx="447">
                  <c:v>1.8060099999999999E-2</c:v>
                </c:pt>
                <c:pt idx="448">
                  <c:v>1.8100100000000001E-2</c:v>
                </c:pt>
                <c:pt idx="449">
                  <c:v>1.8140099999999999E-2</c:v>
                </c:pt>
                <c:pt idx="450">
                  <c:v>1.8180100000000001E-2</c:v>
                </c:pt>
                <c:pt idx="451">
                  <c:v>1.8220099999999999E-2</c:v>
                </c:pt>
                <c:pt idx="452">
                  <c:v>1.8260100000000001E-2</c:v>
                </c:pt>
                <c:pt idx="453">
                  <c:v>1.83001E-2</c:v>
                </c:pt>
                <c:pt idx="454">
                  <c:v>1.8340100000000002E-2</c:v>
                </c:pt>
                <c:pt idx="455">
                  <c:v>1.83801E-2</c:v>
                </c:pt>
                <c:pt idx="456">
                  <c:v>1.8420099999999998E-2</c:v>
                </c:pt>
                <c:pt idx="457">
                  <c:v>1.84601E-2</c:v>
                </c:pt>
                <c:pt idx="458">
                  <c:v>1.8500099999999998E-2</c:v>
                </c:pt>
                <c:pt idx="459">
                  <c:v>1.85401E-2</c:v>
                </c:pt>
                <c:pt idx="460">
                  <c:v>1.8580099999999999E-2</c:v>
                </c:pt>
                <c:pt idx="461">
                  <c:v>1.8620100000000001E-2</c:v>
                </c:pt>
                <c:pt idx="462">
                  <c:v>1.8660099999999999E-2</c:v>
                </c:pt>
                <c:pt idx="463">
                  <c:v>1.8700100000000001E-2</c:v>
                </c:pt>
                <c:pt idx="464">
                  <c:v>1.8740099999999999E-2</c:v>
                </c:pt>
                <c:pt idx="465">
                  <c:v>1.8780100000000001E-2</c:v>
                </c:pt>
                <c:pt idx="466">
                  <c:v>1.8820099999999999E-2</c:v>
                </c:pt>
                <c:pt idx="467">
                  <c:v>1.8860100000000001E-2</c:v>
                </c:pt>
                <c:pt idx="468">
                  <c:v>1.89001E-2</c:v>
                </c:pt>
                <c:pt idx="469">
                  <c:v>1.8940100000000001E-2</c:v>
                </c:pt>
                <c:pt idx="470">
                  <c:v>1.89801E-2</c:v>
                </c:pt>
                <c:pt idx="471">
                  <c:v>1.9020100000000002E-2</c:v>
                </c:pt>
                <c:pt idx="472">
                  <c:v>1.90601E-2</c:v>
                </c:pt>
                <c:pt idx="473">
                  <c:v>1.9100099999999998E-2</c:v>
                </c:pt>
                <c:pt idx="474">
                  <c:v>1.91401E-2</c:v>
                </c:pt>
                <c:pt idx="475">
                  <c:v>1.9180099999999999E-2</c:v>
                </c:pt>
                <c:pt idx="476">
                  <c:v>1.92201E-2</c:v>
                </c:pt>
                <c:pt idx="477">
                  <c:v>1.9260099999999999E-2</c:v>
                </c:pt>
                <c:pt idx="478">
                  <c:v>1.9300100000000001E-2</c:v>
                </c:pt>
                <c:pt idx="479">
                  <c:v>1.9340099999999999E-2</c:v>
                </c:pt>
                <c:pt idx="480">
                  <c:v>1.9380100000000001E-2</c:v>
                </c:pt>
                <c:pt idx="481">
                  <c:v>1.9420099999999999E-2</c:v>
                </c:pt>
                <c:pt idx="482">
                  <c:v>1.9460100000000001E-2</c:v>
                </c:pt>
                <c:pt idx="483">
                  <c:v>1.9500099999999999E-2</c:v>
                </c:pt>
                <c:pt idx="484">
                  <c:v>1.9540100000000001E-2</c:v>
                </c:pt>
                <c:pt idx="485">
                  <c:v>1.95801E-2</c:v>
                </c:pt>
                <c:pt idx="486">
                  <c:v>1.9620100000000001E-2</c:v>
                </c:pt>
                <c:pt idx="487">
                  <c:v>1.96601E-2</c:v>
                </c:pt>
                <c:pt idx="488">
                  <c:v>1.9700100000000002E-2</c:v>
                </c:pt>
                <c:pt idx="489">
                  <c:v>1.97401E-2</c:v>
                </c:pt>
                <c:pt idx="490">
                  <c:v>1.9780099999999998E-2</c:v>
                </c:pt>
                <c:pt idx="491">
                  <c:v>1.98201E-2</c:v>
                </c:pt>
                <c:pt idx="492">
                  <c:v>1.9860099999999999E-2</c:v>
                </c:pt>
                <c:pt idx="493">
                  <c:v>1.99001E-2</c:v>
                </c:pt>
                <c:pt idx="494">
                  <c:v>1.9940099999999999E-2</c:v>
                </c:pt>
                <c:pt idx="495">
                  <c:v>1.9980100000000001E-2</c:v>
                </c:pt>
                <c:pt idx="496">
                  <c:v>2.0020099999999999E-2</c:v>
                </c:pt>
                <c:pt idx="497">
                  <c:v>2.0060100000000001E-2</c:v>
                </c:pt>
                <c:pt idx="498">
                  <c:v>2.0100099999999999E-2</c:v>
                </c:pt>
                <c:pt idx="499">
                  <c:v>2.0140100000000001E-2</c:v>
                </c:pt>
                <c:pt idx="500">
                  <c:v>2.0180099999999999E-2</c:v>
                </c:pt>
                <c:pt idx="501">
                  <c:v>2.0220100000000001E-2</c:v>
                </c:pt>
                <c:pt idx="502">
                  <c:v>2.02601E-2</c:v>
                </c:pt>
                <c:pt idx="503">
                  <c:v>2.0300100000000001E-2</c:v>
                </c:pt>
                <c:pt idx="504">
                  <c:v>2.03401E-2</c:v>
                </c:pt>
                <c:pt idx="505">
                  <c:v>2.0380100000000002E-2</c:v>
                </c:pt>
                <c:pt idx="506">
                  <c:v>2.04201E-2</c:v>
                </c:pt>
                <c:pt idx="507">
                  <c:v>2.0460099999999998E-2</c:v>
                </c:pt>
                <c:pt idx="508">
                  <c:v>2.05001E-2</c:v>
                </c:pt>
                <c:pt idx="509">
                  <c:v>2.0540099999999999E-2</c:v>
                </c:pt>
                <c:pt idx="510">
                  <c:v>2.05801E-2</c:v>
                </c:pt>
                <c:pt idx="511">
                  <c:v>2.0620099999999999E-2</c:v>
                </c:pt>
                <c:pt idx="512">
                  <c:v>2.0660100000000001E-2</c:v>
                </c:pt>
                <c:pt idx="513">
                  <c:v>2.0700099999999999E-2</c:v>
                </c:pt>
                <c:pt idx="514">
                  <c:v>2.0740100000000001E-2</c:v>
                </c:pt>
                <c:pt idx="515">
                  <c:v>2.0780099999999999E-2</c:v>
                </c:pt>
                <c:pt idx="516">
                  <c:v>2.0820100000000001E-2</c:v>
                </c:pt>
                <c:pt idx="517">
                  <c:v>2.0860099999999999E-2</c:v>
                </c:pt>
                <c:pt idx="518">
                  <c:v>2.0900100000000001E-2</c:v>
                </c:pt>
                <c:pt idx="519">
                  <c:v>2.09401E-2</c:v>
                </c:pt>
                <c:pt idx="520">
                  <c:v>2.0980100000000002E-2</c:v>
                </c:pt>
                <c:pt idx="521">
                  <c:v>2.10201E-2</c:v>
                </c:pt>
                <c:pt idx="522">
                  <c:v>2.1060099999999998E-2</c:v>
                </c:pt>
                <c:pt idx="523">
                  <c:v>2.11001E-2</c:v>
                </c:pt>
                <c:pt idx="524">
                  <c:v>2.1140099999999998E-2</c:v>
                </c:pt>
                <c:pt idx="525">
                  <c:v>2.11801E-2</c:v>
                </c:pt>
                <c:pt idx="526">
                  <c:v>2.1220099999999999E-2</c:v>
                </c:pt>
                <c:pt idx="527">
                  <c:v>2.1260100000000001E-2</c:v>
                </c:pt>
                <c:pt idx="528">
                  <c:v>2.1300099999999999E-2</c:v>
                </c:pt>
                <c:pt idx="529">
                  <c:v>2.1340100000000001E-2</c:v>
                </c:pt>
                <c:pt idx="530">
                  <c:v>2.1380099999999999E-2</c:v>
                </c:pt>
                <c:pt idx="531">
                  <c:v>2.1420100000000001E-2</c:v>
                </c:pt>
                <c:pt idx="532">
                  <c:v>2.1460099999999999E-2</c:v>
                </c:pt>
                <c:pt idx="533">
                  <c:v>2.1500100000000001E-2</c:v>
                </c:pt>
                <c:pt idx="534">
                  <c:v>2.15401E-2</c:v>
                </c:pt>
                <c:pt idx="535">
                  <c:v>2.1580100000000001E-2</c:v>
                </c:pt>
                <c:pt idx="536">
                  <c:v>2.16201E-2</c:v>
                </c:pt>
                <c:pt idx="537">
                  <c:v>2.1660100000000002E-2</c:v>
                </c:pt>
                <c:pt idx="538">
                  <c:v>2.17001E-2</c:v>
                </c:pt>
                <c:pt idx="539">
                  <c:v>2.1740099999999998E-2</c:v>
                </c:pt>
                <c:pt idx="540">
                  <c:v>2.17801E-2</c:v>
                </c:pt>
                <c:pt idx="541">
                  <c:v>2.1820099999999999E-2</c:v>
                </c:pt>
                <c:pt idx="542">
                  <c:v>2.18601E-2</c:v>
                </c:pt>
                <c:pt idx="543">
                  <c:v>2.1900099999999999E-2</c:v>
                </c:pt>
                <c:pt idx="544">
                  <c:v>2.1940100000000001E-2</c:v>
                </c:pt>
                <c:pt idx="545">
                  <c:v>2.1980099999999999E-2</c:v>
                </c:pt>
                <c:pt idx="546">
                  <c:v>2.2020100000000001E-2</c:v>
                </c:pt>
                <c:pt idx="547">
                  <c:v>2.2060099999999999E-2</c:v>
                </c:pt>
                <c:pt idx="548">
                  <c:v>2.2100100000000001E-2</c:v>
                </c:pt>
                <c:pt idx="549">
                  <c:v>2.2140099999999999E-2</c:v>
                </c:pt>
                <c:pt idx="550">
                  <c:v>2.2180100000000001E-2</c:v>
                </c:pt>
                <c:pt idx="551">
                  <c:v>2.22201E-2</c:v>
                </c:pt>
                <c:pt idx="552">
                  <c:v>2.2260100000000001E-2</c:v>
                </c:pt>
                <c:pt idx="553">
                  <c:v>2.23001E-2</c:v>
                </c:pt>
                <c:pt idx="554">
                  <c:v>2.2340100000000002E-2</c:v>
                </c:pt>
                <c:pt idx="555">
                  <c:v>2.23801E-2</c:v>
                </c:pt>
                <c:pt idx="556">
                  <c:v>2.2420099999999998E-2</c:v>
                </c:pt>
                <c:pt idx="557">
                  <c:v>2.24601E-2</c:v>
                </c:pt>
                <c:pt idx="558">
                  <c:v>2.2500099999999999E-2</c:v>
                </c:pt>
                <c:pt idx="559">
                  <c:v>2.25401E-2</c:v>
                </c:pt>
                <c:pt idx="560">
                  <c:v>2.2580099999999999E-2</c:v>
                </c:pt>
                <c:pt idx="561">
                  <c:v>2.2620100000000001E-2</c:v>
                </c:pt>
                <c:pt idx="562">
                  <c:v>2.2660099999999999E-2</c:v>
                </c:pt>
                <c:pt idx="563">
                  <c:v>2.2700100000000001E-2</c:v>
                </c:pt>
                <c:pt idx="564">
                  <c:v>2.2740099999999999E-2</c:v>
                </c:pt>
                <c:pt idx="565">
                  <c:v>2.2780100000000001E-2</c:v>
                </c:pt>
                <c:pt idx="566">
                  <c:v>2.2820099999999999E-2</c:v>
                </c:pt>
                <c:pt idx="567">
                  <c:v>2.2860100000000001E-2</c:v>
                </c:pt>
                <c:pt idx="568">
                  <c:v>2.29001E-2</c:v>
                </c:pt>
                <c:pt idx="569">
                  <c:v>2.2940100000000001E-2</c:v>
                </c:pt>
                <c:pt idx="570">
                  <c:v>2.29801E-2</c:v>
                </c:pt>
                <c:pt idx="571">
                  <c:v>2.3020100000000002E-2</c:v>
                </c:pt>
                <c:pt idx="572">
                  <c:v>2.30601E-2</c:v>
                </c:pt>
                <c:pt idx="573">
                  <c:v>2.3100099999999998E-2</c:v>
                </c:pt>
                <c:pt idx="574">
                  <c:v>2.31401E-2</c:v>
                </c:pt>
                <c:pt idx="575">
                  <c:v>2.3180099999999999E-2</c:v>
                </c:pt>
                <c:pt idx="576">
                  <c:v>2.32201E-2</c:v>
                </c:pt>
                <c:pt idx="577">
                  <c:v>2.3260099999999999E-2</c:v>
                </c:pt>
                <c:pt idx="578">
                  <c:v>2.3300100000000001E-2</c:v>
                </c:pt>
                <c:pt idx="579">
                  <c:v>2.3340099999999999E-2</c:v>
                </c:pt>
                <c:pt idx="580">
                  <c:v>2.3380100000000001E-2</c:v>
                </c:pt>
                <c:pt idx="581">
                  <c:v>2.3420099999999999E-2</c:v>
                </c:pt>
                <c:pt idx="582">
                  <c:v>2.3460100000000001E-2</c:v>
                </c:pt>
                <c:pt idx="583">
                  <c:v>2.3500099999999999E-2</c:v>
                </c:pt>
                <c:pt idx="584">
                  <c:v>2.3540100000000001E-2</c:v>
                </c:pt>
                <c:pt idx="585">
                  <c:v>2.35801E-2</c:v>
                </c:pt>
                <c:pt idx="586">
                  <c:v>2.3620100000000002E-2</c:v>
                </c:pt>
                <c:pt idx="587">
                  <c:v>2.36601E-2</c:v>
                </c:pt>
                <c:pt idx="588">
                  <c:v>2.3700100000000002E-2</c:v>
                </c:pt>
                <c:pt idx="589">
                  <c:v>2.37401E-2</c:v>
                </c:pt>
                <c:pt idx="590">
                  <c:v>2.3780099999999998E-2</c:v>
                </c:pt>
                <c:pt idx="591">
                  <c:v>2.38201E-2</c:v>
                </c:pt>
                <c:pt idx="592">
                  <c:v>2.3860099999999999E-2</c:v>
                </c:pt>
                <c:pt idx="593">
                  <c:v>2.3900100000000001E-2</c:v>
                </c:pt>
                <c:pt idx="594">
                  <c:v>2.3940099999999999E-2</c:v>
                </c:pt>
                <c:pt idx="595">
                  <c:v>2.3980100000000001E-2</c:v>
                </c:pt>
                <c:pt idx="596">
                  <c:v>2.4020099999999999E-2</c:v>
                </c:pt>
                <c:pt idx="597">
                  <c:v>2.4060100000000001E-2</c:v>
                </c:pt>
                <c:pt idx="598">
                  <c:v>2.4100099999999999E-2</c:v>
                </c:pt>
                <c:pt idx="599">
                  <c:v>2.4140100000000001E-2</c:v>
                </c:pt>
                <c:pt idx="600">
                  <c:v>2.41801E-2</c:v>
                </c:pt>
                <c:pt idx="601">
                  <c:v>2.4220100000000001E-2</c:v>
                </c:pt>
                <c:pt idx="602">
                  <c:v>2.42601E-2</c:v>
                </c:pt>
                <c:pt idx="603">
                  <c:v>2.4300100000000002E-2</c:v>
                </c:pt>
                <c:pt idx="604">
                  <c:v>2.43401E-2</c:v>
                </c:pt>
                <c:pt idx="605">
                  <c:v>2.4380099999999998E-2</c:v>
                </c:pt>
                <c:pt idx="606">
                  <c:v>2.44201E-2</c:v>
                </c:pt>
                <c:pt idx="607">
                  <c:v>2.4460099999999999E-2</c:v>
                </c:pt>
                <c:pt idx="608">
                  <c:v>2.45001E-2</c:v>
                </c:pt>
                <c:pt idx="609">
                  <c:v>2.4540099999999999E-2</c:v>
                </c:pt>
                <c:pt idx="610">
                  <c:v>2.4580100000000001E-2</c:v>
                </c:pt>
                <c:pt idx="611">
                  <c:v>2.4620099999999999E-2</c:v>
                </c:pt>
                <c:pt idx="612">
                  <c:v>2.4660100000000001E-2</c:v>
                </c:pt>
                <c:pt idx="613">
                  <c:v>2.4700099999999999E-2</c:v>
                </c:pt>
                <c:pt idx="614">
                  <c:v>2.4740100000000001E-2</c:v>
                </c:pt>
                <c:pt idx="615">
                  <c:v>2.4780099999999999E-2</c:v>
                </c:pt>
                <c:pt idx="616">
                  <c:v>2.4820100000000001E-2</c:v>
                </c:pt>
                <c:pt idx="617">
                  <c:v>2.48601E-2</c:v>
                </c:pt>
                <c:pt idx="618">
                  <c:v>2.4900100000000001E-2</c:v>
                </c:pt>
                <c:pt idx="619">
                  <c:v>2.49401E-2</c:v>
                </c:pt>
                <c:pt idx="620">
                  <c:v>2.4980100000000002E-2</c:v>
                </c:pt>
                <c:pt idx="621">
                  <c:v>2.50201E-2</c:v>
                </c:pt>
                <c:pt idx="622">
                  <c:v>2.5060099999999998E-2</c:v>
                </c:pt>
                <c:pt idx="623">
                  <c:v>2.51001E-2</c:v>
                </c:pt>
                <c:pt idx="624">
                  <c:v>2.5140099999999999E-2</c:v>
                </c:pt>
                <c:pt idx="625">
                  <c:v>2.51801E-2</c:v>
                </c:pt>
                <c:pt idx="626">
                  <c:v>2.5220099999999999E-2</c:v>
                </c:pt>
                <c:pt idx="627">
                  <c:v>2.5260100000000001E-2</c:v>
                </c:pt>
                <c:pt idx="628">
                  <c:v>2.5300099999999999E-2</c:v>
                </c:pt>
                <c:pt idx="629">
                  <c:v>2.5340100000000001E-2</c:v>
                </c:pt>
                <c:pt idx="630">
                  <c:v>2.5380099999999999E-2</c:v>
                </c:pt>
                <c:pt idx="631">
                  <c:v>2.5420100000000001E-2</c:v>
                </c:pt>
                <c:pt idx="632">
                  <c:v>2.5460099999999999E-2</c:v>
                </c:pt>
                <c:pt idx="633">
                  <c:v>2.5500100000000001E-2</c:v>
                </c:pt>
                <c:pt idx="634">
                  <c:v>2.55401E-2</c:v>
                </c:pt>
                <c:pt idx="635">
                  <c:v>2.5580100000000001E-2</c:v>
                </c:pt>
                <c:pt idx="636">
                  <c:v>2.56201E-2</c:v>
                </c:pt>
                <c:pt idx="637">
                  <c:v>2.5660100000000002E-2</c:v>
                </c:pt>
                <c:pt idx="638">
                  <c:v>2.57001E-2</c:v>
                </c:pt>
                <c:pt idx="639">
                  <c:v>2.5740099999999998E-2</c:v>
                </c:pt>
                <c:pt idx="640">
                  <c:v>2.57801E-2</c:v>
                </c:pt>
                <c:pt idx="641">
                  <c:v>2.5820099999999999E-2</c:v>
                </c:pt>
                <c:pt idx="642">
                  <c:v>2.58601E-2</c:v>
                </c:pt>
                <c:pt idx="643">
                  <c:v>2.5900099999999999E-2</c:v>
                </c:pt>
                <c:pt idx="644">
                  <c:v>2.5940100000000001E-2</c:v>
                </c:pt>
                <c:pt idx="645">
                  <c:v>2.5980099999999999E-2</c:v>
                </c:pt>
                <c:pt idx="646">
                  <c:v>2.6020100000000001E-2</c:v>
                </c:pt>
                <c:pt idx="647">
                  <c:v>2.6060099999999999E-2</c:v>
                </c:pt>
                <c:pt idx="648">
                  <c:v>2.6100100000000001E-2</c:v>
                </c:pt>
                <c:pt idx="649">
                  <c:v>2.6140099999999999E-2</c:v>
                </c:pt>
                <c:pt idx="650">
                  <c:v>2.6180100000000001E-2</c:v>
                </c:pt>
                <c:pt idx="651">
                  <c:v>2.62201E-2</c:v>
                </c:pt>
                <c:pt idx="652">
                  <c:v>2.6260100000000001E-2</c:v>
                </c:pt>
                <c:pt idx="653">
                  <c:v>2.63001E-2</c:v>
                </c:pt>
                <c:pt idx="654">
                  <c:v>2.6340100000000002E-2</c:v>
                </c:pt>
                <c:pt idx="655">
                  <c:v>2.63801E-2</c:v>
                </c:pt>
                <c:pt idx="656">
                  <c:v>2.6420099999999998E-2</c:v>
                </c:pt>
                <c:pt idx="657">
                  <c:v>2.64601E-2</c:v>
                </c:pt>
                <c:pt idx="658">
                  <c:v>2.6500099999999999E-2</c:v>
                </c:pt>
                <c:pt idx="659">
                  <c:v>2.65401E-2</c:v>
                </c:pt>
                <c:pt idx="660">
                  <c:v>2.6580099999999999E-2</c:v>
                </c:pt>
                <c:pt idx="661">
                  <c:v>2.6620100000000001E-2</c:v>
                </c:pt>
                <c:pt idx="662">
                  <c:v>2.6660099999999999E-2</c:v>
                </c:pt>
                <c:pt idx="663">
                  <c:v>2.6700100000000001E-2</c:v>
                </c:pt>
                <c:pt idx="664">
                  <c:v>2.6740099999999999E-2</c:v>
                </c:pt>
                <c:pt idx="665">
                  <c:v>2.6780100000000001E-2</c:v>
                </c:pt>
                <c:pt idx="666">
                  <c:v>2.6820099999999999E-2</c:v>
                </c:pt>
                <c:pt idx="667">
                  <c:v>2.6860100000000001E-2</c:v>
                </c:pt>
                <c:pt idx="668">
                  <c:v>2.69001E-2</c:v>
                </c:pt>
                <c:pt idx="669">
                  <c:v>2.6940100000000002E-2</c:v>
                </c:pt>
                <c:pt idx="670">
                  <c:v>2.69801E-2</c:v>
                </c:pt>
                <c:pt idx="671">
                  <c:v>2.7020099999999998E-2</c:v>
                </c:pt>
                <c:pt idx="672">
                  <c:v>2.70601E-2</c:v>
                </c:pt>
                <c:pt idx="673">
                  <c:v>2.7100099999999998E-2</c:v>
                </c:pt>
                <c:pt idx="674">
                  <c:v>2.71401E-2</c:v>
                </c:pt>
                <c:pt idx="675">
                  <c:v>2.7180099999999999E-2</c:v>
                </c:pt>
                <c:pt idx="676">
                  <c:v>2.7220100000000001E-2</c:v>
                </c:pt>
                <c:pt idx="677">
                  <c:v>2.7260099999999999E-2</c:v>
                </c:pt>
                <c:pt idx="678">
                  <c:v>2.7300100000000001E-2</c:v>
                </c:pt>
                <c:pt idx="679">
                  <c:v>2.7340099999999999E-2</c:v>
                </c:pt>
                <c:pt idx="680">
                  <c:v>2.7380100000000001E-2</c:v>
                </c:pt>
                <c:pt idx="681">
                  <c:v>2.7420099999999999E-2</c:v>
                </c:pt>
                <c:pt idx="682">
                  <c:v>2.7460100000000001E-2</c:v>
                </c:pt>
                <c:pt idx="683">
                  <c:v>2.75001E-2</c:v>
                </c:pt>
                <c:pt idx="684">
                  <c:v>2.7540100000000001E-2</c:v>
                </c:pt>
                <c:pt idx="685">
                  <c:v>2.75801E-2</c:v>
                </c:pt>
                <c:pt idx="686">
                  <c:v>2.7620100000000002E-2</c:v>
                </c:pt>
                <c:pt idx="687">
                  <c:v>2.76601E-2</c:v>
                </c:pt>
                <c:pt idx="688">
                  <c:v>2.7700099999999998E-2</c:v>
                </c:pt>
                <c:pt idx="689">
                  <c:v>2.77401E-2</c:v>
                </c:pt>
                <c:pt idx="690">
                  <c:v>2.7780099999999999E-2</c:v>
                </c:pt>
                <c:pt idx="691">
                  <c:v>2.78201E-2</c:v>
                </c:pt>
                <c:pt idx="692">
                  <c:v>2.7860099999999999E-2</c:v>
                </c:pt>
                <c:pt idx="693">
                  <c:v>2.7900100000000001E-2</c:v>
                </c:pt>
                <c:pt idx="694">
                  <c:v>2.7940099999999999E-2</c:v>
                </c:pt>
                <c:pt idx="695">
                  <c:v>2.7980100000000001E-2</c:v>
                </c:pt>
                <c:pt idx="696">
                  <c:v>2.8020099999999999E-2</c:v>
                </c:pt>
                <c:pt idx="697">
                  <c:v>2.8060100000000001E-2</c:v>
                </c:pt>
                <c:pt idx="698">
                  <c:v>2.8100099999999999E-2</c:v>
                </c:pt>
                <c:pt idx="699">
                  <c:v>2.8140100000000001E-2</c:v>
                </c:pt>
                <c:pt idx="700">
                  <c:v>2.81801E-2</c:v>
                </c:pt>
                <c:pt idx="701">
                  <c:v>2.8220100000000001E-2</c:v>
                </c:pt>
                <c:pt idx="702">
                  <c:v>2.82601E-2</c:v>
                </c:pt>
                <c:pt idx="703">
                  <c:v>2.8300100000000002E-2</c:v>
                </c:pt>
                <c:pt idx="704">
                  <c:v>2.83401E-2</c:v>
                </c:pt>
                <c:pt idx="705">
                  <c:v>2.8380099999999998E-2</c:v>
                </c:pt>
                <c:pt idx="706">
                  <c:v>2.84201E-2</c:v>
                </c:pt>
                <c:pt idx="707">
                  <c:v>2.8460099999999999E-2</c:v>
                </c:pt>
                <c:pt idx="708">
                  <c:v>2.85001E-2</c:v>
                </c:pt>
                <c:pt idx="709">
                  <c:v>2.8540099999999999E-2</c:v>
                </c:pt>
                <c:pt idx="710">
                  <c:v>2.8580100000000001E-2</c:v>
                </c:pt>
                <c:pt idx="711">
                  <c:v>2.8620099999999999E-2</c:v>
                </c:pt>
                <c:pt idx="712">
                  <c:v>2.8660100000000001E-2</c:v>
                </c:pt>
                <c:pt idx="713">
                  <c:v>2.8700099999999999E-2</c:v>
                </c:pt>
                <c:pt idx="714">
                  <c:v>2.8740100000000001E-2</c:v>
                </c:pt>
                <c:pt idx="715">
                  <c:v>2.8780099999999999E-2</c:v>
                </c:pt>
                <c:pt idx="716">
                  <c:v>2.8820100000000001E-2</c:v>
                </c:pt>
                <c:pt idx="717">
                  <c:v>2.88601E-2</c:v>
                </c:pt>
                <c:pt idx="718">
                  <c:v>2.8900100000000001E-2</c:v>
                </c:pt>
                <c:pt idx="719">
                  <c:v>2.89401E-2</c:v>
                </c:pt>
                <c:pt idx="720">
                  <c:v>2.8980100000000002E-2</c:v>
                </c:pt>
                <c:pt idx="721">
                  <c:v>2.90201E-2</c:v>
                </c:pt>
                <c:pt idx="722">
                  <c:v>2.9060099999999998E-2</c:v>
                </c:pt>
                <c:pt idx="723">
                  <c:v>2.91001E-2</c:v>
                </c:pt>
                <c:pt idx="724">
                  <c:v>2.9140099999999999E-2</c:v>
                </c:pt>
                <c:pt idx="725">
                  <c:v>2.91801E-2</c:v>
                </c:pt>
                <c:pt idx="726">
                  <c:v>2.9220099999999999E-2</c:v>
                </c:pt>
                <c:pt idx="727">
                  <c:v>2.9260100000000001E-2</c:v>
                </c:pt>
                <c:pt idx="728">
                  <c:v>2.9300099999999999E-2</c:v>
                </c:pt>
                <c:pt idx="729">
                  <c:v>2.9340100000000001E-2</c:v>
                </c:pt>
                <c:pt idx="730">
                  <c:v>2.9380099999999999E-2</c:v>
                </c:pt>
                <c:pt idx="731">
                  <c:v>2.9420100000000001E-2</c:v>
                </c:pt>
                <c:pt idx="732">
                  <c:v>2.9460099999999999E-2</c:v>
                </c:pt>
                <c:pt idx="733">
                  <c:v>2.9500100000000001E-2</c:v>
                </c:pt>
                <c:pt idx="734">
                  <c:v>2.95401E-2</c:v>
                </c:pt>
                <c:pt idx="735">
                  <c:v>2.9580100000000002E-2</c:v>
                </c:pt>
                <c:pt idx="736">
                  <c:v>2.96201E-2</c:v>
                </c:pt>
                <c:pt idx="737">
                  <c:v>2.9660099999999998E-2</c:v>
                </c:pt>
                <c:pt idx="738">
                  <c:v>2.97001E-2</c:v>
                </c:pt>
                <c:pt idx="739">
                  <c:v>2.9740099999999998E-2</c:v>
                </c:pt>
                <c:pt idx="740">
                  <c:v>2.97801E-2</c:v>
                </c:pt>
                <c:pt idx="741">
                  <c:v>2.9820099999999999E-2</c:v>
                </c:pt>
                <c:pt idx="742">
                  <c:v>2.9860100000000001E-2</c:v>
                </c:pt>
                <c:pt idx="743">
                  <c:v>2.9900099999999999E-2</c:v>
                </c:pt>
                <c:pt idx="744">
                  <c:v>2.9940100000000001E-2</c:v>
                </c:pt>
                <c:pt idx="745">
                  <c:v>2.9980099999999999E-2</c:v>
                </c:pt>
                <c:pt idx="746">
                  <c:v>3.0020100000000001E-2</c:v>
                </c:pt>
                <c:pt idx="747">
                  <c:v>3.0060099999999999E-2</c:v>
                </c:pt>
                <c:pt idx="748">
                  <c:v>3.0100100000000001E-2</c:v>
                </c:pt>
                <c:pt idx="749">
                  <c:v>3.01401E-2</c:v>
                </c:pt>
                <c:pt idx="750">
                  <c:v>3.0180100000000001E-2</c:v>
                </c:pt>
                <c:pt idx="751">
                  <c:v>3.02201E-2</c:v>
                </c:pt>
                <c:pt idx="752">
                  <c:v>3.0260100000000002E-2</c:v>
                </c:pt>
                <c:pt idx="753">
                  <c:v>3.03001E-2</c:v>
                </c:pt>
                <c:pt idx="754">
                  <c:v>3.0340099999999998E-2</c:v>
                </c:pt>
                <c:pt idx="755">
                  <c:v>3.03801E-2</c:v>
                </c:pt>
                <c:pt idx="756">
                  <c:v>3.0420099999999999E-2</c:v>
                </c:pt>
                <c:pt idx="757">
                  <c:v>3.04601E-2</c:v>
                </c:pt>
                <c:pt idx="758">
                  <c:v>3.0500099999999999E-2</c:v>
                </c:pt>
                <c:pt idx="759">
                  <c:v>3.0540100000000001E-2</c:v>
                </c:pt>
                <c:pt idx="760">
                  <c:v>3.0580099999999999E-2</c:v>
                </c:pt>
                <c:pt idx="761">
                  <c:v>3.0620100000000001E-2</c:v>
                </c:pt>
                <c:pt idx="762">
                  <c:v>3.0660099999999999E-2</c:v>
                </c:pt>
                <c:pt idx="763">
                  <c:v>3.0700100000000001E-2</c:v>
                </c:pt>
                <c:pt idx="764">
                  <c:v>3.0740099999999999E-2</c:v>
                </c:pt>
                <c:pt idx="765">
                  <c:v>3.0780100000000001E-2</c:v>
                </c:pt>
                <c:pt idx="766">
                  <c:v>3.08201E-2</c:v>
                </c:pt>
                <c:pt idx="767">
                  <c:v>3.0860100000000001E-2</c:v>
                </c:pt>
                <c:pt idx="768">
                  <c:v>3.09001E-2</c:v>
                </c:pt>
                <c:pt idx="769">
                  <c:v>3.0940100000000002E-2</c:v>
                </c:pt>
                <c:pt idx="770">
                  <c:v>3.09801E-2</c:v>
                </c:pt>
                <c:pt idx="771">
                  <c:v>3.1020099999999998E-2</c:v>
                </c:pt>
                <c:pt idx="772">
                  <c:v>3.10601E-2</c:v>
                </c:pt>
                <c:pt idx="773">
                  <c:v>3.1100099999999999E-2</c:v>
                </c:pt>
                <c:pt idx="774">
                  <c:v>3.11401E-2</c:v>
                </c:pt>
                <c:pt idx="775">
                  <c:v>3.1180099999999999E-2</c:v>
                </c:pt>
                <c:pt idx="776">
                  <c:v>3.1220100000000001E-2</c:v>
                </c:pt>
                <c:pt idx="777">
                  <c:v>3.1260099999999999E-2</c:v>
                </c:pt>
                <c:pt idx="778">
                  <c:v>3.1300099999999997E-2</c:v>
                </c:pt>
                <c:pt idx="779">
                  <c:v>3.1340100000000003E-2</c:v>
                </c:pt>
                <c:pt idx="780">
                  <c:v>3.1380100000000001E-2</c:v>
                </c:pt>
                <c:pt idx="781">
                  <c:v>3.1420099999999999E-2</c:v>
                </c:pt>
                <c:pt idx="782">
                  <c:v>3.1460099999999998E-2</c:v>
                </c:pt>
                <c:pt idx="783">
                  <c:v>3.1500100000000003E-2</c:v>
                </c:pt>
                <c:pt idx="784">
                  <c:v>3.1540100000000001E-2</c:v>
                </c:pt>
                <c:pt idx="785">
                  <c:v>3.15801E-2</c:v>
                </c:pt>
                <c:pt idx="786">
                  <c:v>3.1620099999999998E-2</c:v>
                </c:pt>
                <c:pt idx="787">
                  <c:v>3.1660099999999997E-2</c:v>
                </c:pt>
                <c:pt idx="788">
                  <c:v>3.1700100000000002E-2</c:v>
                </c:pt>
                <c:pt idx="789">
                  <c:v>3.17401E-2</c:v>
                </c:pt>
                <c:pt idx="790">
                  <c:v>3.1780099999999999E-2</c:v>
                </c:pt>
                <c:pt idx="791">
                  <c:v>3.1820099999999997E-2</c:v>
                </c:pt>
                <c:pt idx="792">
                  <c:v>3.1860100000000002E-2</c:v>
                </c:pt>
                <c:pt idx="793">
                  <c:v>3.1900100000000001E-2</c:v>
                </c:pt>
                <c:pt idx="794">
                  <c:v>3.1940099999999999E-2</c:v>
                </c:pt>
                <c:pt idx="795">
                  <c:v>3.1980099999999997E-2</c:v>
                </c:pt>
                <c:pt idx="796">
                  <c:v>3.2020100000000003E-2</c:v>
                </c:pt>
                <c:pt idx="797">
                  <c:v>3.2060100000000001E-2</c:v>
                </c:pt>
                <c:pt idx="798">
                  <c:v>3.2100099999999999E-2</c:v>
                </c:pt>
                <c:pt idx="799">
                  <c:v>3.2140099999999998E-2</c:v>
                </c:pt>
                <c:pt idx="800">
                  <c:v>3.2180100000000003E-2</c:v>
                </c:pt>
                <c:pt idx="801">
                  <c:v>3.2220100000000002E-2</c:v>
                </c:pt>
                <c:pt idx="802">
                  <c:v>3.22601E-2</c:v>
                </c:pt>
                <c:pt idx="803">
                  <c:v>3.2300099999999998E-2</c:v>
                </c:pt>
                <c:pt idx="804">
                  <c:v>3.2340099999999997E-2</c:v>
                </c:pt>
                <c:pt idx="805">
                  <c:v>3.2380100000000002E-2</c:v>
                </c:pt>
                <c:pt idx="806">
                  <c:v>3.24201E-2</c:v>
                </c:pt>
                <c:pt idx="807">
                  <c:v>3.2460099999999999E-2</c:v>
                </c:pt>
                <c:pt idx="808">
                  <c:v>3.2500099999999997E-2</c:v>
                </c:pt>
                <c:pt idx="809">
                  <c:v>3.2540100000000002E-2</c:v>
                </c:pt>
                <c:pt idx="810">
                  <c:v>3.2580100000000001E-2</c:v>
                </c:pt>
                <c:pt idx="811">
                  <c:v>3.2620099999999999E-2</c:v>
                </c:pt>
                <c:pt idx="812">
                  <c:v>3.2660099999999997E-2</c:v>
                </c:pt>
                <c:pt idx="813">
                  <c:v>3.2700100000000003E-2</c:v>
                </c:pt>
                <c:pt idx="814">
                  <c:v>3.2740100000000001E-2</c:v>
                </c:pt>
                <c:pt idx="815">
                  <c:v>3.27801E-2</c:v>
                </c:pt>
                <c:pt idx="816">
                  <c:v>3.2820099999999998E-2</c:v>
                </c:pt>
                <c:pt idx="817">
                  <c:v>3.2860100000000003E-2</c:v>
                </c:pt>
                <c:pt idx="818">
                  <c:v>3.2900100000000002E-2</c:v>
                </c:pt>
                <c:pt idx="819">
                  <c:v>3.29401E-2</c:v>
                </c:pt>
                <c:pt idx="820">
                  <c:v>3.2980099999999998E-2</c:v>
                </c:pt>
                <c:pt idx="821">
                  <c:v>3.3020099999999997E-2</c:v>
                </c:pt>
                <c:pt idx="822">
                  <c:v>3.3060100000000002E-2</c:v>
                </c:pt>
                <c:pt idx="823">
                  <c:v>3.31001E-2</c:v>
                </c:pt>
                <c:pt idx="824">
                  <c:v>3.3140099999999999E-2</c:v>
                </c:pt>
                <c:pt idx="825">
                  <c:v>3.3180099999999997E-2</c:v>
                </c:pt>
                <c:pt idx="826">
                  <c:v>3.3220100000000002E-2</c:v>
                </c:pt>
                <c:pt idx="827">
                  <c:v>3.3260100000000001E-2</c:v>
                </c:pt>
                <c:pt idx="828">
                  <c:v>3.3300099999999999E-2</c:v>
                </c:pt>
                <c:pt idx="829">
                  <c:v>3.3340099999999998E-2</c:v>
                </c:pt>
                <c:pt idx="830">
                  <c:v>3.3380100000000003E-2</c:v>
                </c:pt>
                <c:pt idx="831">
                  <c:v>3.3420100000000001E-2</c:v>
                </c:pt>
                <c:pt idx="832">
                  <c:v>3.34601E-2</c:v>
                </c:pt>
                <c:pt idx="833">
                  <c:v>3.3500099999999998E-2</c:v>
                </c:pt>
                <c:pt idx="834">
                  <c:v>3.3540100000000003E-2</c:v>
                </c:pt>
                <c:pt idx="835">
                  <c:v>3.3580100000000002E-2</c:v>
                </c:pt>
                <c:pt idx="836">
                  <c:v>3.36201E-2</c:v>
                </c:pt>
                <c:pt idx="837">
                  <c:v>3.3660099999999998E-2</c:v>
                </c:pt>
                <c:pt idx="838">
                  <c:v>3.3700099999999997E-2</c:v>
                </c:pt>
                <c:pt idx="839">
                  <c:v>3.3740100000000002E-2</c:v>
                </c:pt>
                <c:pt idx="840">
                  <c:v>3.37801E-2</c:v>
                </c:pt>
                <c:pt idx="841">
                  <c:v>3.3820099999999999E-2</c:v>
                </c:pt>
                <c:pt idx="842">
                  <c:v>3.3860099999999997E-2</c:v>
                </c:pt>
                <c:pt idx="843">
                  <c:v>3.3900100000000002E-2</c:v>
                </c:pt>
                <c:pt idx="844">
                  <c:v>3.3940100000000001E-2</c:v>
                </c:pt>
                <c:pt idx="845">
                  <c:v>3.3980099999999999E-2</c:v>
                </c:pt>
                <c:pt idx="846">
                  <c:v>3.4020099999999998E-2</c:v>
                </c:pt>
                <c:pt idx="847">
                  <c:v>3.4060100000000003E-2</c:v>
                </c:pt>
                <c:pt idx="848">
                  <c:v>3.4100100000000001E-2</c:v>
                </c:pt>
                <c:pt idx="849">
                  <c:v>3.41401E-2</c:v>
                </c:pt>
                <c:pt idx="850">
                  <c:v>3.4180099999999998E-2</c:v>
                </c:pt>
                <c:pt idx="851">
                  <c:v>3.4220100000000003E-2</c:v>
                </c:pt>
                <c:pt idx="852">
                  <c:v>3.4260100000000002E-2</c:v>
                </c:pt>
                <c:pt idx="853">
                  <c:v>3.43001E-2</c:v>
                </c:pt>
                <c:pt idx="854">
                  <c:v>3.4340099999999998E-2</c:v>
                </c:pt>
                <c:pt idx="855">
                  <c:v>3.4380099999999997E-2</c:v>
                </c:pt>
                <c:pt idx="856">
                  <c:v>3.4420100000000002E-2</c:v>
                </c:pt>
                <c:pt idx="857">
                  <c:v>3.44601E-2</c:v>
                </c:pt>
                <c:pt idx="858">
                  <c:v>3.4500099999999999E-2</c:v>
                </c:pt>
                <c:pt idx="859">
                  <c:v>3.4540099999999997E-2</c:v>
                </c:pt>
                <c:pt idx="860">
                  <c:v>3.4580100000000003E-2</c:v>
                </c:pt>
                <c:pt idx="861">
                  <c:v>3.4620100000000001E-2</c:v>
                </c:pt>
                <c:pt idx="862">
                  <c:v>3.4660099999999999E-2</c:v>
                </c:pt>
                <c:pt idx="863">
                  <c:v>3.4700099999999998E-2</c:v>
                </c:pt>
                <c:pt idx="864">
                  <c:v>3.4740100000000003E-2</c:v>
                </c:pt>
                <c:pt idx="865">
                  <c:v>3.4780100000000001E-2</c:v>
                </c:pt>
                <c:pt idx="866">
                  <c:v>3.48201E-2</c:v>
                </c:pt>
                <c:pt idx="867">
                  <c:v>3.4860099999999998E-2</c:v>
                </c:pt>
                <c:pt idx="868">
                  <c:v>3.4900100000000003E-2</c:v>
                </c:pt>
                <c:pt idx="869">
                  <c:v>3.4940100000000002E-2</c:v>
                </c:pt>
                <c:pt idx="870">
                  <c:v>3.49801E-2</c:v>
                </c:pt>
                <c:pt idx="871">
                  <c:v>3.5020099999999998E-2</c:v>
                </c:pt>
                <c:pt idx="872">
                  <c:v>3.5060099999999997E-2</c:v>
                </c:pt>
                <c:pt idx="873">
                  <c:v>3.5100100000000002E-2</c:v>
                </c:pt>
                <c:pt idx="874">
                  <c:v>3.5140100000000001E-2</c:v>
                </c:pt>
                <c:pt idx="875">
                  <c:v>3.5180099999999999E-2</c:v>
                </c:pt>
                <c:pt idx="876">
                  <c:v>3.5220099999999997E-2</c:v>
                </c:pt>
                <c:pt idx="877">
                  <c:v>3.5260100000000003E-2</c:v>
                </c:pt>
                <c:pt idx="878">
                  <c:v>3.5300100000000001E-2</c:v>
                </c:pt>
                <c:pt idx="879">
                  <c:v>3.5340099999999999E-2</c:v>
                </c:pt>
                <c:pt idx="880">
                  <c:v>3.5380099999999998E-2</c:v>
                </c:pt>
                <c:pt idx="881">
                  <c:v>3.5420100000000003E-2</c:v>
                </c:pt>
                <c:pt idx="882">
                  <c:v>3.5460100000000001E-2</c:v>
                </c:pt>
                <c:pt idx="883">
                  <c:v>3.55001E-2</c:v>
                </c:pt>
                <c:pt idx="884">
                  <c:v>3.5540099999999998E-2</c:v>
                </c:pt>
                <c:pt idx="885">
                  <c:v>3.5580100000000003E-2</c:v>
                </c:pt>
                <c:pt idx="886">
                  <c:v>3.5620100000000002E-2</c:v>
                </c:pt>
                <c:pt idx="887">
                  <c:v>3.56601E-2</c:v>
                </c:pt>
                <c:pt idx="888">
                  <c:v>3.5700099999999999E-2</c:v>
                </c:pt>
                <c:pt idx="889">
                  <c:v>3.5740099999999997E-2</c:v>
                </c:pt>
                <c:pt idx="890">
                  <c:v>3.5780100000000002E-2</c:v>
                </c:pt>
                <c:pt idx="891">
                  <c:v>3.5820100000000001E-2</c:v>
                </c:pt>
                <c:pt idx="892">
                  <c:v>3.5860099999999999E-2</c:v>
                </c:pt>
                <c:pt idx="893">
                  <c:v>3.5900099999999997E-2</c:v>
                </c:pt>
                <c:pt idx="894">
                  <c:v>3.5940100000000003E-2</c:v>
                </c:pt>
                <c:pt idx="895">
                  <c:v>3.5980100000000001E-2</c:v>
                </c:pt>
                <c:pt idx="896">
                  <c:v>3.6020099999999999E-2</c:v>
                </c:pt>
                <c:pt idx="897">
                  <c:v>3.6060099999999998E-2</c:v>
                </c:pt>
                <c:pt idx="898">
                  <c:v>3.6100100000000003E-2</c:v>
                </c:pt>
                <c:pt idx="899">
                  <c:v>3.6140100000000001E-2</c:v>
                </c:pt>
                <c:pt idx="900">
                  <c:v>3.61801E-2</c:v>
                </c:pt>
                <c:pt idx="901">
                  <c:v>3.6220099999999998E-2</c:v>
                </c:pt>
                <c:pt idx="902">
                  <c:v>3.6260100000000003E-2</c:v>
                </c:pt>
                <c:pt idx="903">
                  <c:v>3.6300100000000002E-2</c:v>
                </c:pt>
                <c:pt idx="904">
                  <c:v>3.63401E-2</c:v>
                </c:pt>
                <c:pt idx="905">
                  <c:v>3.6380099999999999E-2</c:v>
                </c:pt>
                <c:pt idx="906">
                  <c:v>3.6420099999999997E-2</c:v>
                </c:pt>
                <c:pt idx="907">
                  <c:v>3.6460100000000002E-2</c:v>
                </c:pt>
                <c:pt idx="908">
                  <c:v>3.6500100000000001E-2</c:v>
                </c:pt>
                <c:pt idx="909">
                  <c:v>3.6540099999999999E-2</c:v>
                </c:pt>
                <c:pt idx="910">
                  <c:v>3.6580099999999997E-2</c:v>
                </c:pt>
                <c:pt idx="911">
                  <c:v>3.6620100000000003E-2</c:v>
                </c:pt>
                <c:pt idx="912">
                  <c:v>3.6660100000000001E-2</c:v>
                </c:pt>
                <c:pt idx="913">
                  <c:v>3.6700099999999999E-2</c:v>
                </c:pt>
                <c:pt idx="914">
                  <c:v>3.6740099999999998E-2</c:v>
                </c:pt>
                <c:pt idx="915">
                  <c:v>3.6780100000000003E-2</c:v>
                </c:pt>
                <c:pt idx="916">
                  <c:v>3.6820100000000001E-2</c:v>
                </c:pt>
                <c:pt idx="917">
                  <c:v>3.68601E-2</c:v>
                </c:pt>
                <c:pt idx="918">
                  <c:v>3.6900099999999998E-2</c:v>
                </c:pt>
                <c:pt idx="919">
                  <c:v>3.6940099999999997E-2</c:v>
                </c:pt>
                <c:pt idx="920">
                  <c:v>3.6980100000000002E-2</c:v>
                </c:pt>
                <c:pt idx="921">
                  <c:v>3.70201E-2</c:v>
                </c:pt>
                <c:pt idx="922">
                  <c:v>3.7060099999999999E-2</c:v>
                </c:pt>
                <c:pt idx="923">
                  <c:v>3.7100099999999997E-2</c:v>
                </c:pt>
                <c:pt idx="924">
                  <c:v>3.7140100000000002E-2</c:v>
                </c:pt>
                <c:pt idx="925">
                  <c:v>3.7180100000000001E-2</c:v>
                </c:pt>
                <c:pt idx="926">
                  <c:v>3.7220099999999999E-2</c:v>
                </c:pt>
                <c:pt idx="927">
                  <c:v>3.7260099999999997E-2</c:v>
                </c:pt>
                <c:pt idx="928">
                  <c:v>3.7300100000000003E-2</c:v>
                </c:pt>
                <c:pt idx="929">
                  <c:v>3.7340100000000001E-2</c:v>
                </c:pt>
                <c:pt idx="930">
                  <c:v>3.7380099999999999E-2</c:v>
                </c:pt>
                <c:pt idx="931">
                  <c:v>3.7420099999999998E-2</c:v>
                </c:pt>
                <c:pt idx="932">
                  <c:v>3.7460100000000003E-2</c:v>
                </c:pt>
                <c:pt idx="933">
                  <c:v>3.7500100000000001E-2</c:v>
                </c:pt>
                <c:pt idx="934">
                  <c:v>3.75401E-2</c:v>
                </c:pt>
                <c:pt idx="935">
                  <c:v>3.7580099999999998E-2</c:v>
                </c:pt>
                <c:pt idx="936">
                  <c:v>3.7620099999999997E-2</c:v>
                </c:pt>
                <c:pt idx="937">
                  <c:v>3.7660100000000002E-2</c:v>
                </c:pt>
                <c:pt idx="938">
                  <c:v>3.77001E-2</c:v>
                </c:pt>
                <c:pt idx="939">
                  <c:v>3.7740099999999999E-2</c:v>
                </c:pt>
                <c:pt idx="940">
                  <c:v>3.7780099999999997E-2</c:v>
                </c:pt>
                <c:pt idx="941">
                  <c:v>3.7820100000000002E-2</c:v>
                </c:pt>
                <c:pt idx="942">
                  <c:v>3.7860100000000001E-2</c:v>
                </c:pt>
                <c:pt idx="943">
                  <c:v>3.7900099999999999E-2</c:v>
                </c:pt>
                <c:pt idx="944">
                  <c:v>3.7940099999999997E-2</c:v>
                </c:pt>
                <c:pt idx="945">
                  <c:v>3.7980100000000003E-2</c:v>
                </c:pt>
                <c:pt idx="946">
                  <c:v>3.8020100000000001E-2</c:v>
                </c:pt>
                <c:pt idx="947">
                  <c:v>3.8060099999999999E-2</c:v>
                </c:pt>
                <c:pt idx="948">
                  <c:v>3.8100099999999998E-2</c:v>
                </c:pt>
                <c:pt idx="949">
                  <c:v>3.8140100000000003E-2</c:v>
                </c:pt>
                <c:pt idx="950">
                  <c:v>3.8180100000000002E-2</c:v>
                </c:pt>
                <c:pt idx="951">
                  <c:v>3.82201E-2</c:v>
                </c:pt>
                <c:pt idx="952">
                  <c:v>3.8260099999999998E-2</c:v>
                </c:pt>
                <c:pt idx="953">
                  <c:v>3.8300099999999997E-2</c:v>
                </c:pt>
                <c:pt idx="954">
                  <c:v>3.8340100000000002E-2</c:v>
                </c:pt>
                <c:pt idx="955">
                  <c:v>3.83801E-2</c:v>
                </c:pt>
                <c:pt idx="956">
                  <c:v>3.8420099999999999E-2</c:v>
                </c:pt>
                <c:pt idx="957">
                  <c:v>3.8460099999999997E-2</c:v>
                </c:pt>
                <c:pt idx="958">
                  <c:v>3.8500100000000002E-2</c:v>
                </c:pt>
                <c:pt idx="959">
                  <c:v>3.8540100000000001E-2</c:v>
                </c:pt>
                <c:pt idx="960">
                  <c:v>3.8580099999999999E-2</c:v>
                </c:pt>
                <c:pt idx="961">
                  <c:v>3.8620099999999997E-2</c:v>
                </c:pt>
                <c:pt idx="962">
                  <c:v>3.8660100000000003E-2</c:v>
                </c:pt>
                <c:pt idx="963">
                  <c:v>3.8700100000000001E-2</c:v>
                </c:pt>
                <c:pt idx="964">
                  <c:v>3.87401E-2</c:v>
                </c:pt>
                <c:pt idx="965">
                  <c:v>3.8780099999999998E-2</c:v>
                </c:pt>
                <c:pt idx="966">
                  <c:v>3.8820100000000003E-2</c:v>
                </c:pt>
                <c:pt idx="967">
                  <c:v>3.8860100000000002E-2</c:v>
                </c:pt>
                <c:pt idx="968">
                  <c:v>3.89001E-2</c:v>
                </c:pt>
                <c:pt idx="969">
                  <c:v>3.8940099999999998E-2</c:v>
                </c:pt>
                <c:pt idx="970">
                  <c:v>3.8980099999999997E-2</c:v>
                </c:pt>
                <c:pt idx="971">
                  <c:v>3.9020100000000002E-2</c:v>
                </c:pt>
                <c:pt idx="972">
                  <c:v>3.90601E-2</c:v>
                </c:pt>
                <c:pt idx="973">
                  <c:v>3.9100099999999999E-2</c:v>
                </c:pt>
                <c:pt idx="974">
                  <c:v>3.9140099999999997E-2</c:v>
                </c:pt>
                <c:pt idx="975">
                  <c:v>3.9180100000000002E-2</c:v>
                </c:pt>
                <c:pt idx="976">
                  <c:v>3.9220100000000001E-2</c:v>
                </c:pt>
                <c:pt idx="977">
                  <c:v>3.9260099999999999E-2</c:v>
                </c:pt>
                <c:pt idx="978">
                  <c:v>3.9300099999999998E-2</c:v>
                </c:pt>
                <c:pt idx="979">
                  <c:v>3.9340100000000003E-2</c:v>
                </c:pt>
                <c:pt idx="980">
                  <c:v>3.9380100000000001E-2</c:v>
                </c:pt>
                <c:pt idx="981">
                  <c:v>3.94201E-2</c:v>
                </c:pt>
                <c:pt idx="982">
                  <c:v>3.9460099999999998E-2</c:v>
                </c:pt>
                <c:pt idx="983">
                  <c:v>3.9500100000000003E-2</c:v>
                </c:pt>
                <c:pt idx="984">
                  <c:v>3.9540100000000002E-2</c:v>
                </c:pt>
                <c:pt idx="985">
                  <c:v>3.95801E-2</c:v>
                </c:pt>
                <c:pt idx="986">
                  <c:v>3.9620099999999998E-2</c:v>
                </c:pt>
                <c:pt idx="987">
                  <c:v>3.9660099999999997E-2</c:v>
                </c:pt>
                <c:pt idx="988">
                  <c:v>3.9700100000000002E-2</c:v>
                </c:pt>
                <c:pt idx="989">
                  <c:v>3.97401E-2</c:v>
                </c:pt>
                <c:pt idx="990">
                  <c:v>3.9780099999999999E-2</c:v>
                </c:pt>
                <c:pt idx="991">
                  <c:v>3.9820099999999997E-2</c:v>
                </c:pt>
                <c:pt idx="992">
                  <c:v>3.9860100000000002E-2</c:v>
                </c:pt>
                <c:pt idx="993">
                  <c:v>3.9900100000000001E-2</c:v>
                </c:pt>
                <c:pt idx="994">
                  <c:v>3.9940099999999999E-2</c:v>
                </c:pt>
                <c:pt idx="995">
                  <c:v>3.9980099999999998E-2</c:v>
                </c:pt>
                <c:pt idx="996">
                  <c:v>4.0020100000000003E-2</c:v>
                </c:pt>
                <c:pt idx="997">
                  <c:v>4.0060100000000001E-2</c:v>
                </c:pt>
                <c:pt idx="998">
                  <c:v>4.01001E-2</c:v>
                </c:pt>
                <c:pt idx="999">
                  <c:v>4.0140099999999998E-2</c:v>
                </c:pt>
                <c:pt idx="1000">
                  <c:v>4.0180100000000003E-2</c:v>
                </c:pt>
                <c:pt idx="1001">
                  <c:v>4.0220100000000002E-2</c:v>
                </c:pt>
                <c:pt idx="1002">
                  <c:v>4.02601E-2</c:v>
                </c:pt>
                <c:pt idx="1003">
                  <c:v>4.0300099999999998E-2</c:v>
                </c:pt>
                <c:pt idx="1004">
                  <c:v>4.0340099999999997E-2</c:v>
                </c:pt>
                <c:pt idx="1005">
                  <c:v>4.0380100000000002E-2</c:v>
                </c:pt>
                <c:pt idx="1006">
                  <c:v>4.04201E-2</c:v>
                </c:pt>
                <c:pt idx="1007">
                  <c:v>4.0460099999999999E-2</c:v>
                </c:pt>
                <c:pt idx="1008">
                  <c:v>4.0500099999999997E-2</c:v>
                </c:pt>
                <c:pt idx="1009">
                  <c:v>4.0540100000000003E-2</c:v>
                </c:pt>
                <c:pt idx="1010">
                  <c:v>4.0580100000000001E-2</c:v>
                </c:pt>
                <c:pt idx="1011">
                  <c:v>4.0620099999999999E-2</c:v>
                </c:pt>
                <c:pt idx="1012">
                  <c:v>4.0660099999999998E-2</c:v>
                </c:pt>
                <c:pt idx="1013">
                  <c:v>4.0700100000000003E-2</c:v>
                </c:pt>
                <c:pt idx="1014">
                  <c:v>4.0740100000000001E-2</c:v>
                </c:pt>
                <c:pt idx="1015">
                  <c:v>4.07801E-2</c:v>
                </c:pt>
                <c:pt idx="1016">
                  <c:v>4.0820099999999998E-2</c:v>
                </c:pt>
                <c:pt idx="1017">
                  <c:v>4.0860100000000003E-2</c:v>
                </c:pt>
                <c:pt idx="1018">
                  <c:v>4.0900100000000002E-2</c:v>
                </c:pt>
                <c:pt idx="1019">
                  <c:v>4.09401E-2</c:v>
                </c:pt>
                <c:pt idx="1020">
                  <c:v>4.0980099999999998E-2</c:v>
                </c:pt>
                <c:pt idx="1021">
                  <c:v>4.1020099999999997E-2</c:v>
                </c:pt>
                <c:pt idx="1022">
                  <c:v>4.1060100000000002E-2</c:v>
                </c:pt>
                <c:pt idx="1023">
                  <c:v>4.1100100000000001E-2</c:v>
                </c:pt>
                <c:pt idx="1024">
                  <c:v>4.1140099999999999E-2</c:v>
                </c:pt>
                <c:pt idx="1025">
                  <c:v>4.1180099999999997E-2</c:v>
                </c:pt>
                <c:pt idx="1026">
                  <c:v>4.1220100000000003E-2</c:v>
                </c:pt>
                <c:pt idx="1027">
                  <c:v>4.1260100000000001E-2</c:v>
                </c:pt>
                <c:pt idx="1028">
                  <c:v>4.1300099999999999E-2</c:v>
                </c:pt>
                <c:pt idx="1029">
                  <c:v>4.1340099999999998E-2</c:v>
                </c:pt>
                <c:pt idx="1030">
                  <c:v>4.1380100000000003E-2</c:v>
                </c:pt>
                <c:pt idx="1031">
                  <c:v>4.1420100000000001E-2</c:v>
                </c:pt>
                <c:pt idx="1032">
                  <c:v>4.14601E-2</c:v>
                </c:pt>
                <c:pt idx="1033">
                  <c:v>4.1500099999999998E-2</c:v>
                </c:pt>
                <c:pt idx="1034">
                  <c:v>4.1540100000000003E-2</c:v>
                </c:pt>
                <c:pt idx="1035">
                  <c:v>4.1580100000000002E-2</c:v>
                </c:pt>
                <c:pt idx="1036">
                  <c:v>4.16201E-2</c:v>
                </c:pt>
                <c:pt idx="1037">
                  <c:v>4.1660099999999999E-2</c:v>
                </c:pt>
                <c:pt idx="1038">
                  <c:v>4.1700099999999997E-2</c:v>
                </c:pt>
                <c:pt idx="1039">
                  <c:v>4.1740100000000002E-2</c:v>
                </c:pt>
                <c:pt idx="1040">
                  <c:v>4.1780100000000001E-2</c:v>
                </c:pt>
                <c:pt idx="1041">
                  <c:v>4.1820099999999999E-2</c:v>
                </c:pt>
                <c:pt idx="1042">
                  <c:v>4.1860099999999997E-2</c:v>
                </c:pt>
                <c:pt idx="1043">
                  <c:v>4.1900100000000003E-2</c:v>
                </c:pt>
                <c:pt idx="1044">
                  <c:v>4.1940100000000001E-2</c:v>
                </c:pt>
                <c:pt idx="1045">
                  <c:v>4.1980099999999999E-2</c:v>
                </c:pt>
                <c:pt idx="1046">
                  <c:v>4.2020099999999998E-2</c:v>
                </c:pt>
                <c:pt idx="1047">
                  <c:v>4.2060100000000003E-2</c:v>
                </c:pt>
                <c:pt idx="1048">
                  <c:v>4.2100100000000001E-2</c:v>
                </c:pt>
                <c:pt idx="1049">
                  <c:v>4.21401E-2</c:v>
                </c:pt>
                <c:pt idx="1050">
                  <c:v>4.2180099999999998E-2</c:v>
                </c:pt>
                <c:pt idx="1051">
                  <c:v>4.2220100000000003E-2</c:v>
                </c:pt>
                <c:pt idx="1052">
                  <c:v>4.2260100000000002E-2</c:v>
                </c:pt>
                <c:pt idx="1053">
                  <c:v>4.23001E-2</c:v>
                </c:pt>
                <c:pt idx="1054">
                  <c:v>4.2340099999999999E-2</c:v>
                </c:pt>
                <c:pt idx="1055">
                  <c:v>4.2380099999999997E-2</c:v>
                </c:pt>
                <c:pt idx="1056">
                  <c:v>4.2420100000000002E-2</c:v>
                </c:pt>
                <c:pt idx="1057">
                  <c:v>4.2460100000000001E-2</c:v>
                </c:pt>
                <c:pt idx="1058">
                  <c:v>4.2500099999999999E-2</c:v>
                </c:pt>
                <c:pt idx="1059">
                  <c:v>4.2540099999999997E-2</c:v>
                </c:pt>
                <c:pt idx="1060">
                  <c:v>4.2580100000000003E-2</c:v>
                </c:pt>
                <c:pt idx="1061">
                  <c:v>4.2620100000000001E-2</c:v>
                </c:pt>
                <c:pt idx="1062">
                  <c:v>4.2660099999999999E-2</c:v>
                </c:pt>
                <c:pt idx="1063">
                  <c:v>4.2700099999999998E-2</c:v>
                </c:pt>
                <c:pt idx="1064">
                  <c:v>4.2740100000000003E-2</c:v>
                </c:pt>
                <c:pt idx="1065">
                  <c:v>4.2780100000000001E-2</c:v>
                </c:pt>
                <c:pt idx="1066">
                  <c:v>4.28201E-2</c:v>
                </c:pt>
                <c:pt idx="1067">
                  <c:v>4.2860099999999998E-2</c:v>
                </c:pt>
                <c:pt idx="1068">
                  <c:v>4.2900099999999997E-2</c:v>
                </c:pt>
                <c:pt idx="1069">
                  <c:v>4.2940100000000002E-2</c:v>
                </c:pt>
                <c:pt idx="1070">
                  <c:v>4.29801E-2</c:v>
                </c:pt>
                <c:pt idx="1071">
                  <c:v>4.3020099999999999E-2</c:v>
                </c:pt>
                <c:pt idx="1072">
                  <c:v>4.3060099999999997E-2</c:v>
                </c:pt>
                <c:pt idx="1073">
                  <c:v>4.3100100000000002E-2</c:v>
                </c:pt>
                <c:pt idx="1074">
                  <c:v>4.3140100000000001E-2</c:v>
                </c:pt>
                <c:pt idx="1075">
                  <c:v>4.3180099999999999E-2</c:v>
                </c:pt>
                <c:pt idx="1076">
                  <c:v>4.3220099999999997E-2</c:v>
                </c:pt>
                <c:pt idx="1077">
                  <c:v>4.3260100000000003E-2</c:v>
                </c:pt>
                <c:pt idx="1078">
                  <c:v>4.3300100000000001E-2</c:v>
                </c:pt>
                <c:pt idx="1079">
                  <c:v>4.3340099999999999E-2</c:v>
                </c:pt>
                <c:pt idx="1080">
                  <c:v>4.3380099999999998E-2</c:v>
                </c:pt>
                <c:pt idx="1081">
                  <c:v>4.3420100000000003E-2</c:v>
                </c:pt>
                <c:pt idx="1082">
                  <c:v>4.3460100000000002E-2</c:v>
                </c:pt>
                <c:pt idx="1083">
                  <c:v>4.35001E-2</c:v>
                </c:pt>
                <c:pt idx="1084">
                  <c:v>4.3540099999999998E-2</c:v>
                </c:pt>
                <c:pt idx="1085">
                  <c:v>4.3580099999999997E-2</c:v>
                </c:pt>
                <c:pt idx="1086">
                  <c:v>4.3620100000000002E-2</c:v>
                </c:pt>
                <c:pt idx="1087">
                  <c:v>4.36601E-2</c:v>
                </c:pt>
                <c:pt idx="1088">
                  <c:v>4.3700099999999999E-2</c:v>
                </c:pt>
                <c:pt idx="1089">
                  <c:v>4.3740099999999997E-2</c:v>
                </c:pt>
                <c:pt idx="1090">
                  <c:v>4.3780100000000002E-2</c:v>
                </c:pt>
                <c:pt idx="1091">
                  <c:v>4.3820100000000001E-2</c:v>
                </c:pt>
                <c:pt idx="1092">
                  <c:v>4.3860099999999999E-2</c:v>
                </c:pt>
                <c:pt idx="1093">
                  <c:v>4.3900099999999997E-2</c:v>
                </c:pt>
                <c:pt idx="1094">
                  <c:v>4.3940100000000003E-2</c:v>
                </c:pt>
                <c:pt idx="1095">
                  <c:v>4.3980100000000001E-2</c:v>
                </c:pt>
                <c:pt idx="1096">
                  <c:v>4.40201E-2</c:v>
                </c:pt>
                <c:pt idx="1097">
                  <c:v>4.4060099999999998E-2</c:v>
                </c:pt>
                <c:pt idx="1098">
                  <c:v>4.4100100000000003E-2</c:v>
                </c:pt>
                <c:pt idx="1099">
                  <c:v>4.4140100000000002E-2</c:v>
                </c:pt>
                <c:pt idx="1100">
                  <c:v>4.41801E-2</c:v>
                </c:pt>
                <c:pt idx="1101">
                  <c:v>4.4220099999999998E-2</c:v>
                </c:pt>
                <c:pt idx="1102">
                  <c:v>4.4260099999999997E-2</c:v>
                </c:pt>
                <c:pt idx="1103">
                  <c:v>4.4300100000000002E-2</c:v>
                </c:pt>
                <c:pt idx="1104">
                  <c:v>4.43401E-2</c:v>
                </c:pt>
                <c:pt idx="1105">
                  <c:v>4.4380099999999999E-2</c:v>
                </c:pt>
                <c:pt idx="1106">
                  <c:v>4.4420099999999997E-2</c:v>
                </c:pt>
                <c:pt idx="1107">
                  <c:v>4.4460100000000002E-2</c:v>
                </c:pt>
                <c:pt idx="1108">
                  <c:v>4.4500100000000001E-2</c:v>
                </c:pt>
                <c:pt idx="1109">
                  <c:v>4.4540099999999999E-2</c:v>
                </c:pt>
                <c:pt idx="1110">
                  <c:v>4.4580099999999998E-2</c:v>
                </c:pt>
                <c:pt idx="1111">
                  <c:v>4.4620100000000003E-2</c:v>
                </c:pt>
                <c:pt idx="1112">
                  <c:v>4.4660100000000001E-2</c:v>
                </c:pt>
                <c:pt idx="1113">
                  <c:v>4.47001E-2</c:v>
                </c:pt>
                <c:pt idx="1114">
                  <c:v>4.4740099999999998E-2</c:v>
                </c:pt>
                <c:pt idx="1115">
                  <c:v>4.4780100000000003E-2</c:v>
                </c:pt>
                <c:pt idx="1116">
                  <c:v>4.4820100000000002E-2</c:v>
                </c:pt>
                <c:pt idx="1117">
                  <c:v>4.48601E-2</c:v>
                </c:pt>
                <c:pt idx="1118">
                  <c:v>4.4900099999999998E-2</c:v>
                </c:pt>
                <c:pt idx="1119">
                  <c:v>4.4940099999999997E-2</c:v>
                </c:pt>
                <c:pt idx="1120">
                  <c:v>4.4980100000000002E-2</c:v>
                </c:pt>
                <c:pt idx="1121">
                  <c:v>4.50201E-2</c:v>
                </c:pt>
                <c:pt idx="1122">
                  <c:v>4.5060099999999999E-2</c:v>
                </c:pt>
                <c:pt idx="1123">
                  <c:v>4.5100099999999997E-2</c:v>
                </c:pt>
                <c:pt idx="1124">
                  <c:v>4.5140100000000002E-2</c:v>
                </c:pt>
                <c:pt idx="1125">
                  <c:v>4.5180100000000001E-2</c:v>
                </c:pt>
                <c:pt idx="1126">
                  <c:v>4.5220099999999999E-2</c:v>
                </c:pt>
                <c:pt idx="1127">
                  <c:v>4.5260099999999998E-2</c:v>
                </c:pt>
                <c:pt idx="1128">
                  <c:v>4.5300100000000003E-2</c:v>
                </c:pt>
                <c:pt idx="1129">
                  <c:v>4.5340100000000001E-2</c:v>
                </c:pt>
                <c:pt idx="1130">
                  <c:v>4.53801E-2</c:v>
                </c:pt>
                <c:pt idx="1131">
                  <c:v>4.5420099999999998E-2</c:v>
                </c:pt>
                <c:pt idx="1132">
                  <c:v>4.5460100000000003E-2</c:v>
                </c:pt>
                <c:pt idx="1133">
                  <c:v>4.5500100000000002E-2</c:v>
                </c:pt>
                <c:pt idx="1134">
                  <c:v>4.55401E-2</c:v>
                </c:pt>
                <c:pt idx="1135">
                  <c:v>4.5580099999999998E-2</c:v>
                </c:pt>
                <c:pt idx="1136">
                  <c:v>4.5620099999999997E-2</c:v>
                </c:pt>
                <c:pt idx="1137">
                  <c:v>4.5660100000000002E-2</c:v>
                </c:pt>
                <c:pt idx="1138">
                  <c:v>4.57001E-2</c:v>
                </c:pt>
                <c:pt idx="1139">
                  <c:v>4.5740099999999999E-2</c:v>
                </c:pt>
                <c:pt idx="1140">
                  <c:v>4.5780099999999997E-2</c:v>
                </c:pt>
                <c:pt idx="1141">
                  <c:v>4.5820100000000002E-2</c:v>
                </c:pt>
                <c:pt idx="1142">
                  <c:v>4.5860100000000001E-2</c:v>
                </c:pt>
                <c:pt idx="1143">
                  <c:v>4.5900099999999999E-2</c:v>
                </c:pt>
                <c:pt idx="1144">
                  <c:v>4.5940099999999998E-2</c:v>
                </c:pt>
                <c:pt idx="1145">
                  <c:v>4.5980100000000003E-2</c:v>
                </c:pt>
                <c:pt idx="1146">
                  <c:v>4.6020100000000001E-2</c:v>
                </c:pt>
                <c:pt idx="1147">
                  <c:v>4.60601E-2</c:v>
                </c:pt>
                <c:pt idx="1148">
                  <c:v>4.6100099999999998E-2</c:v>
                </c:pt>
                <c:pt idx="1149">
                  <c:v>4.6140100000000003E-2</c:v>
                </c:pt>
                <c:pt idx="1150">
                  <c:v>4.6180100000000002E-2</c:v>
                </c:pt>
                <c:pt idx="1151">
                  <c:v>4.62201E-2</c:v>
                </c:pt>
                <c:pt idx="1152">
                  <c:v>4.6260099999999998E-2</c:v>
                </c:pt>
                <c:pt idx="1153">
                  <c:v>4.6300099999999997E-2</c:v>
                </c:pt>
                <c:pt idx="1154">
                  <c:v>4.6340100000000002E-2</c:v>
                </c:pt>
                <c:pt idx="1155">
                  <c:v>4.63801E-2</c:v>
                </c:pt>
                <c:pt idx="1156">
                  <c:v>4.6420099999999999E-2</c:v>
                </c:pt>
                <c:pt idx="1157">
                  <c:v>4.6460099999999997E-2</c:v>
                </c:pt>
                <c:pt idx="1158">
                  <c:v>4.6500100000000003E-2</c:v>
                </c:pt>
                <c:pt idx="1159">
                  <c:v>4.6540100000000001E-2</c:v>
                </c:pt>
                <c:pt idx="1160">
                  <c:v>4.6580099999999999E-2</c:v>
                </c:pt>
                <c:pt idx="1161">
                  <c:v>4.6620099999999998E-2</c:v>
                </c:pt>
                <c:pt idx="1162">
                  <c:v>4.6660100000000003E-2</c:v>
                </c:pt>
                <c:pt idx="1163">
                  <c:v>4.6700100000000001E-2</c:v>
                </c:pt>
                <c:pt idx="1164">
                  <c:v>4.67401E-2</c:v>
                </c:pt>
                <c:pt idx="1165">
                  <c:v>4.6780099999999998E-2</c:v>
                </c:pt>
                <c:pt idx="1166">
                  <c:v>4.6820100000000003E-2</c:v>
                </c:pt>
                <c:pt idx="1167">
                  <c:v>4.6860100000000002E-2</c:v>
                </c:pt>
                <c:pt idx="1168">
                  <c:v>4.69001E-2</c:v>
                </c:pt>
                <c:pt idx="1169">
                  <c:v>4.6940099999999998E-2</c:v>
                </c:pt>
                <c:pt idx="1170">
                  <c:v>4.6980099999999997E-2</c:v>
                </c:pt>
                <c:pt idx="1171">
                  <c:v>4.7020100000000002E-2</c:v>
                </c:pt>
                <c:pt idx="1172">
                  <c:v>4.7060100000000001E-2</c:v>
                </c:pt>
                <c:pt idx="1173">
                  <c:v>4.7100099999999999E-2</c:v>
                </c:pt>
                <c:pt idx="1174">
                  <c:v>4.7140099999999997E-2</c:v>
                </c:pt>
                <c:pt idx="1175">
                  <c:v>4.7180100000000003E-2</c:v>
                </c:pt>
                <c:pt idx="1176">
                  <c:v>4.7220100000000001E-2</c:v>
                </c:pt>
                <c:pt idx="1177">
                  <c:v>4.7260099999999999E-2</c:v>
                </c:pt>
                <c:pt idx="1178">
                  <c:v>4.7300099999999998E-2</c:v>
                </c:pt>
                <c:pt idx="1179">
                  <c:v>4.7340100000000003E-2</c:v>
                </c:pt>
                <c:pt idx="1180">
                  <c:v>4.7380100000000001E-2</c:v>
                </c:pt>
                <c:pt idx="1181">
                  <c:v>4.74201E-2</c:v>
                </c:pt>
                <c:pt idx="1182">
                  <c:v>4.7460099999999998E-2</c:v>
                </c:pt>
                <c:pt idx="1183">
                  <c:v>4.7500100000000003E-2</c:v>
                </c:pt>
                <c:pt idx="1184">
                  <c:v>4.7540100000000002E-2</c:v>
                </c:pt>
                <c:pt idx="1185">
                  <c:v>4.75801E-2</c:v>
                </c:pt>
                <c:pt idx="1186">
                  <c:v>4.7620099999999999E-2</c:v>
                </c:pt>
                <c:pt idx="1187">
                  <c:v>4.7660099999999997E-2</c:v>
                </c:pt>
                <c:pt idx="1188">
                  <c:v>4.7700100000000002E-2</c:v>
                </c:pt>
                <c:pt idx="1189">
                  <c:v>4.7740100000000001E-2</c:v>
                </c:pt>
                <c:pt idx="1190">
                  <c:v>4.7780099999999999E-2</c:v>
                </c:pt>
                <c:pt idx="1191">
                  <c:v>4.7820099999999997E-2</c:v>
                </c:pt>
                <c:pt idx="1192">
                  <c:v>4.7860100000000003E-2</c:v>
                </c:pt>
                <c:pt idx="1193">
                  <c:v>4.7900100000000001E-2</c:v>
                </c:pt>
                <c:pt idx="1194">
                  <c:v>4.7940099999999999E-2</c:v>
                </c:pt>
                <c:pt idx="1195">
                  <c:v>4.7980099999999998E-2</c:v>
                </c:pt>
                <c:pt idx="1196">
                  <c:v>4.8020100000000003E-2</c:v>
                </c:pt>
                <c:pt idx="1197">
                  <c:v>4.8060100000000001E-2</c:v>
                </c:pt>
                <c:pt idx="1198">
                  <c:v>4.81001E-2</c:v>
                </c:pt>
                <c:pt idx="1199">
                  <c:v>4.8140099999999998E-2</c:v>
                </c:pt>
                <c:pt idx="1200">
                  <c:v>4.8180099999999997E-2</c:v>
                </c:pt>
                <c:pt idx="1201">
                  <c:v>4.8220100000000002E-2</c:v>
                </c:pt>
                <c:pt idx="1202">
                  <c:v>4.82601E-2</c:v>
                </c:pt>
                <c:pt idx="1203">
                  <c:v>4.8300099999999999E-2</c:v>
                </c:pt>
                <c:pt idx="1204">
                  <c:v>4.8340099999999997E-2</c:v>
                </c:pt>
                <c:pt idx="1205">
                  <c:v>4.8380100000000002E-2</c:v>
                </c:pt>
                <c:pt idx="1206">
                  <c:v>4.8420100000000001E-2</c:v>
                </c:pt>
                <c:pt idx="1207">
                  <c:v>4.8460099999999999E-2</c:v>
                </c:pt>
                <c:pt idx="1208">
                  <c:v>4.8500099999999997E-2</c:v>
                </c:pt>
                <c:pt idx="1209">
                  <c:v>4.8540100000000003E-2</c:v>
                </c:pt>
                <c:pt idx="1210">
                  <c:v>4.8580100000000001E-2</c:v>
                </c:pt>
                <c:pt idx="1211">
                  <c:v>4.8620099999999999E-2</c:v>
                </c:pt>
                <c:pt idx="1212">
                  <c:v>4.8660099999999998E-2</c:v>
                </c:pt>
                <c:pt idx="1213">
                  <c:v>4.8700100000000003E-2</c:v>
                </c:pt>
                <c:pt idx="1214">
                  <c:v>4.8740100000000001E-2</c:v>
                </c:pt>
                <c:pt idx="1215">
                  <c:v>4.87801E-2</c:v>
                </c:pt>
                <c:pt idx="1216">
                  <c:v>4.8820099999999998E-2</c:v>
                </c:pt>
                <c:pt idx="1217">
                  <c:v>4.8860099999999997E-2</c:v>
                </c:pt>
                <c:pt idx="1218">
                  <c:v>4.8900100000000002E-2</c:v>
                </c:pt>
                <c:pt idx="1219">
                  <c:v>4.89401E-2</c:v>
                </c:pt>
                <c:pt idx="1220">
                  <c:v>4.8980099999999999E-2</c:v>
                </c:pt>
                <c:pt idx="1221">
                  <c:v>4.9020099999999997E-2</c:v>
                </c:pt>
                <c:pt idx="1222">
                  <c:v>4.9060100000000002E-2</c:v>
                </c:pt>
                <c:pt idx="1223">
                  <c:v>4.9100100000000001E-2</c:v>
                </c:pt>
                <c:pt idx="1224">
                  <c:v>4.9140099999999999E-2</c:v>
                </c:pt>
                <c:pt idx="1225">
                  <c:v>4.9180099999999997E-2</c:v>
                </c:pt>
                <c:pt idx="1226">
                  <c:v>4.9220100000000003E-2</c:v>
                </c:pt>
                <c:pt idx="1227">
                  <c:v>4.9260100000000001E-2</c:v>
                </c:pt>
                <c:pt idx="1228">
                  <c:v>4.9300099999999999E-2</c:v>
                </c:pt>
                <c:pt idx="1229">
                  <c:v>4.9340099999999998E-2</c:v>
                </c:pt>
                <c:pt idx="1230">
                  <c:v>4.9380100000000003E-2</c:v>
                </c:pt>
                <c:pt idx="1231">
                  <c:v>4.9420100000000002E-2</c:v>
                </c:pt>
                <c:pt idx="1232">
                  <c:v>4.94601E-2</c:v>
                </c:pt>
                <c:pt idx="1233">
                  <c:v>4.9500099999999998E-2</c:v>
                </c:pt>
                <c:pt idx="1234">
                  <c:v>4.9540099999999997E-2</c:v>
                </c:pt>
                <c:pt idx="1235">
                  <c:v>4.9580100000000002E-2</c:v>
                </c:pt>
                <c:pt idx="1236">
                  <c:v>4.96201E-2</c:v>
                </c:pt>
                <c:pt idx="1237">
                  <c:v>4.9660099999999999E-2</c:v>
                </c:pt>
                <c:pt idx="1238">
                  <c:v>4.9700099999999997E-2</c:v>
                </c:pt>
                <c:pt idx="1239">
                  <c:v>4.9740100000000002E-2</c:v>
                </c:pt>
                <c:pt idx="1240">
                  <c:v>4.9780100000000001E-2</c:v>
                </c:pt>
                <c:pt idx="1241">
                  <c:v>4.9820099999999999E-2</c:v>
                </c:pt>
                <c:pt idx="1242">
                  <c:v>4.9860099999999997E-2</c:v>
                </c:pt>
                <c:pt idx="1243">
                  <c:v>4.9900100000000003E-2</c:v>
                </c:pt>
                <c:pt idx="1244">
                  <c:v>4.9940100000000001E-2</c:v>
                </c:pt>
                <c:pt idx="1245">
                  <c:v>4.99801E-2</c:v>
                </c:pt>
                <c:pt idx="1246">
                  <c:v>5.0020099999999998E-2</c:v>
                </c:pt>
                <c:pt idx="1247">
                  <c:v>5.0060100000000003E-2</c:v>
                </c:pt>
                <c:pt idx="1248">
                  <c:v>5.0100100000000002E-2</c:v>
                </c:pt>
                <c:pt idx="1249">
                  <c:v>5.01401E-2</c:v>
                </c:pt>
                <c:pt idx="1250">
                  <c:v>5.0180099999999998E-2</c:v>
                </c:pt>
                <c:pt idx="1251">
                  <c:v>5.0220099999999997E-2</c:v>
                </c:pt>
                <c:pt idx="1252">
                  <c:v>5.0260100000000002E-2</c:v>
                </c:pt>
                <c:pt idx="1253">
                  <c:v>5.03001E-2</c:v>
                </c:pt>
                <c:pt idx="1254">
                  <c:v>5.0340099999999999E-2</c:v>
                </c:pt>
                <c:pt idx="1255">
                  <c:v>5.0380099999999997E-2</c:v>
                </c:pt>
                <c:pt idx="1256">
                  <c:v>5.0420100000000002E-2</c:v>
                </c:pt>
                <c:pt idx="1257">
                  <c:v>5.0460100000000001E-2</c:v>
                </c:pt>
                <c:pt idx="1258">
                  <c:v>5.0500099999999999E-2</c:v>
                </c:pt>
                <c:pt idx="1259">
                  <c:v>5.0540099999999998E-2</c:v>
                </c:pt>
                <c:pt idx="1260">
                  <c:v>5.0580100000000003E-2</c:v>
                </c:pt>
                <c:pt idx="1261">
                  <c:v>5.0620100000000001E-2</c:v>
                </c:pt>
                <c:pt idx="1262">
                  <c:v>5.06601E-2</c:v>
                </c:pt>
                <c:pt idx="1263">
                  <c:v>5.0700099999999998E-2</c:v>
                </c:pt>
                <c:pt idx="1264">
                  <c:v>5.0740100000000003E-2</c:v>
                </c:pt>
                <c:pt idx="1265">
                  <c:v>5.0780100000000002E-2</c:v>
                </c:pt>
                <c:pt idx="1266">
                  <c:v>5.08201E-2</c:v>
                </c:pt>
                <c:pt idx="1267">
                  <c:v>5.0860099999999998E-2</c:v>
                </c:pt>
                <c:pt idx="1268">
                  <c:v>5.0900099999999997E-2</c:v>
                </c:pt>
                <c:pt idx="1269">
                  <c:v>5.0940100000000002E-2</c:v>
                </c:pt>
                <c:pt idx="1270">
                  <c:v>5.09801E-2</c:v>
                </c:pt>
                <c:pt idx="1271">
                  <c:v>5.1020099999999999E-2</c:v>
                </c:pt>
                <c:pt idx="1272">
                  <c:v>5.1060099999999997E-2</c:v>
                </c:pt>
                <c:pt idx="1273">
                  <c:v>5.1100100000000002E-2</c:v>
                </c:pt>
                <c:pt idx="1274">
                  <c:v>5.1140100000000001E-2</c:v>
                </c:pt>
                <c:pt idx="1275">
                  <c:v>5.1180099999999999E-2</c:v>
                </c:pt>
                <c:pt idx="1276">
                  <c:v>5.1220099999999998E-2</c:v>
                </c:pt>
                <c:pt idx="1277">
                  <c:v>5.1260100000000003E-2</c:v>
                </c:pt>
                <c:pt idx="1278">
                  <c:v>5.1300100000000001E-2</c:v>
                </c:pt>
                <c:pt idx="1279">
                  <c:v>5.13401E-2</c:v>
                </c:pt>
                <c:pt idx="1280">
                  <c:v>5.1380099999999998E-2</c:v>
                </c:pt>
                <c:pt idx="1281">
                  <c:v>5.1420100000000003E-2</c:v>
                </c:pt>
                <c:pt idx="1282">
                  <c:v>5.1460100000000002E-2</c:v>
                </c:pt>
                <c:pt idx="1283">
                  <c:v>5.15001E-2</c:v>
                </c:pt>
                <c:pt idx="1284">
                  <c:v>5.1540099999999998E-2</c:v>
                </c:pt>
                <c:pt idx="1285">
                  <c:v>5.1580099999999997E-2</c:v>
                </c:pt>
                <c:pt idx="1286">
                  <c:v>5.1620100000000002E-2</c:v>
                </c:pt>
                <c:pt idx="1287">
                  <c:v>5.16601E-2</c:v>
                </c:pt>
                <c:pt idx="1288">
                  <c:v>5.1700099999999999E-2</c:v>
                </c:pt>
                <c:pt idx="1289">
                  <c:v>5.1740099999999997E-2</c:v>
                </c:pt>
                <c:pt idx="1290">
                  <c:v>5.1780100000000003E-2</c:v>
                </c:pt>
                <c:pt idx="1291">
                  <c:v>5.1820100000000001E-2</c:v>
                </c:pt>
                <c:pt idx="1292">
                  <c:v>5.1860099999999999E-2</c:v>
                </c:pt>
                <c:pt idx="1293">
                  <c:v>5.1900099999999998E-2</c:v>
                </c:pt>
                <c:pt idx="1294">
                  <c:v>5.1940100000000003E-2</c:v>
                </c:pt>
                <c:pt idx="1295">
                  <c:v>5.1980100000000001E-2</c:v>
                </c:pt>
                <c:pt idx="1296">
                  <c:v>5.20201E-2</c:v>
                </c:pt>
                <c:pt idx="1297">
                  <c:v>5.2060099999999998E-2</c:v>
                </c:pt>
                <c:pt idx="1298">
                  <c:v>5.2100100000000003E-2</c:v>
                </c:pt>
                <c:pt idx="1299">
                  <c:v>5.2140100000000002E-2</c:v>
                </c:pt>
                <c:pt idx="1300">
                  <c:v>5.21801E-2</c:v>
                </c:pt>
                <c:pt idx="1301">
                  <c:v>5.2220099999999998E-2</c:v>
                </c:pt>
                <c:pt idx="1302">
                  <c:v>5.2260099999999997E-2</c:v>
                </c:pt>
                <c:pt idx="1303">
                  <c:v>5.2300100000000002E-2</c:v>
                </c:pt>
                <c:pt idx="1304">
                  <c:v>5.2340100000000001E-2</c:v>
                </c:pt>
                <c:pt idx="1305">
                  <c:v>5.2380099999999999E-2</c:v>
                </c:pt>
                <c:pt idx="1306">
                  <c:v>5.2420099999999997E-2</c:v>
                </c:pt>
                <c:pt idx="1307">
                  <c:v>5.2460100000000003E-2</c:v>
                </c:pt>
                <c:pt idx="1308">
                  <c:v>5.2500100000000001E-2</c:v>
                </c:pt>
                <c:pt idx="1309">
                  <c:v>5.2540099999999999E-2</c:v>
                </c:pt>
                <c:pt idx="1310">
                  <c:v>5.2580099999999998E-2</c:v>
                </c:pt>
                <c:pt idx="1311">
                  <c:v>5.2620100000000003E-2</c:v>
                </c:pt>
                <c:pt idx="1312">
                  <c:v>5.2660100000000001E-2</c:v>
                </c:pt>
                <c:pt idx="1313">
                  <c:v>5.27001E-2</c:v>
                </c:pt>
                <c:pt idx="1314">
                  <c:v>5.2740099999999998E-2</c:v>
                </c:pt>
                <c:pt idx="1315">
                  <c:v>5.2780100000000003E-2</c:v>
                </c:pt>
                <c:pt idx="1316">
                  <c:v>5.2820100000000002E-2</c:v>
                </c:pt>
                <c:pt idx="1317">
                  <c:v>5.28601E-2</c:v>
                </c:pt>
                <c:pt idx="1318">
                  <c:v>5.2900099999999999E-2</c:v>
                </c:pt>
                <c:pt idx="1319">
                  <c:v>5.2940099999999997E-2</c:v>
                </c:pt>
                <c:pt idx="1320">
                  <c:v>5.2980100000000002E-2</c:v>
                </c:pt>
                <c:pt idx="1321">
                  <c:v>5.3020100000000001E-2</c:v>
                </c:pt>
                <c:pt idx="1322">
                  <c:v>5.3060099999999999E-2</c:v>
                </c:pt>
                <c:pt idx="1323">
                  <c:v>5.3100099999999997E-2</c:v>
                </c:pt>
                <c:pt idx="1324">
                  <c:v>5.3140100000000003E-2</c:v>
                </c:pt>
                <c:pt idx="1325">
                  <c:v>5.3180100000000001E-2</c:v>
                </c:pt>
                <c:pt idx="1326">
                  <c:v>5.3220099999999999E-2</c:v>
                </c:pt>
                <c:pt idx="1327">
                  <c:v>5.3260099999999998E-2</c:v>
                </c:pt>
                <c:pt idx="1328">
                  <c:v>5.3300100000000003E-2</c:v>
                </c:pt>
                <c:pt idx="1329">
                  <c:v>5.3340100000000001E-2</c:v>
                </c:pt>
                <c:pt idx="1330">
                  <c:v>5.33801E-2</c:v>
                </c:pt>
                <c:pt idx="1331">
                  <c:v>5.3420099999999998E-2</c:v>
                </c:pt>
                <c:pt idx="1332">
                  <c:v>5.3460100000000003E-2</c:v>
                </c:pt>
                <c:pt idx="1333">
                  <c:v>5.3500100000000002E-2</c:v>
                </c:pt>
                <c:pt idx="1334">
                  <c:v>5.35401E-2</c:v>
                </c:pt>
                <c:pt idx="1335">
                  <c:v>5.3580099999999999E-2</c:v>
                </c:pt>
                <c:pt idx="1336">
                  <c:v>5.3620099999999997E-2</c:v>
                </c:pt>
                <c:pt idx="1337">
                  <c:v>5.3660100000000002E-2</c:v>
                </c:pt>
                <c:pt idx="1338">
                  <c:v>5.3700100000000001E-2</c:v>
                </c:pt>
                <c:pt idx="1339">
                  <c:v>5.3740099999999999E-2</c:v>
                </c:pt>
                <c:pt idx="1340">
                  <c:v>5.3780099999999997E-2</c:v>
                </c:pt>
                <c:pt idx="1341">
                  <c:v>5.3820100000000003E-2</c:v>
                </c:pt>
                <c:pt idx="1342">
                  <c:v>5.3860100000000001E-2</c:v>
                </c:pt>
                <c:pt idx="1343">
                  <c:v>5.3900099999999999E-2</c:v>
                </c:pt>
                <c:pt idx="1344">
                  <c:v>5.3940099999999998E-2</c:v>
                </c:pt>
                <c:pt idx="1345">
                  <c:v>5.3980100000000003E-2</c:v>
                </c:pt>
                <c:pt idx="1346">
                  <c:v>5.4020100000000001E-2</c:v>
                </c:pt>
                <c:pt idx="1347">
                  <c:v>5.40601E-2</c:v>
                </c:pt>
                <c:pt idx="1348">
                  <c:v>5.4100099999999998E-2</c:v>
                </c:pt>
                <c:pt idx="1349">
                  <c:v>5.4140099999999997E-2</c:v>
                </c:pt>
                <c:pt idx="1350">
                  <c:v>5.4180100000000002E-2</c:v>
                </c:pt>
                <c:pt idx="1351">
                  <c:v>5.42201E-2</c:v>
                </c:pt>
                <c:pt idx="1352">
                  <c:v>5.4260099999999999E-2</c:v>
                </c:pt>
                <c:pt idx="1353">
                  <c:v>5.4300099999999997E-2</c:v>
                </c:pt>
                <c:pt idx="1354">
                  <c:v>5.4340100000000002E-2</c:v>
                </c:pt>
                <c:pt idx="1355">
                  <c:v>5.4380100000000001E-2</c:v>
                </c:pt>
                <c:pt idx="1356">
                  <c:v>5.4420099999999999E-2</c:v>
                </c:pt>
                <c:pt idx="1357">
                  <c:v>5.4460099999999997E-2</c:v>
                </c:pt>
                <c:pt idx="1358">
                  <c:v>5.4500100000000003E-2</c:v>
                </c:pt>
                <c:pt idx="1359">
                  <c:v>5.4540100000000001E-2</c:v>
                </c:pt>
                <c:pt idx="1360">
                  <c:v>5.4580099999999999E-2</c:v>
                </c:pt>
                <c:pt idx="1361">
                  <c:v>5.4620099999999998E-2</c:v>
                </c:pt>
                <c:pt idx="1362">
                  <c:v>5.4660100000000003E-2</c:v>
                </c:pt>
                <c:pt idx="1363">
                  <c:v>5.4700100000000001E-2</c:v>
                </c:pt>
                <c:pt idx="1364">
                  <c:v>5.47401E-2</c:v>
                </c:pt>
                <c:pt idx="1365">
                  <c:v>5.4780099999999998E-2</c:v>
                </c:pt>
                <c:pt idx="1366">
                  <c:v>5.4820099999999997E-2</c:v>
                </c:pt>
                <c:pt idx="1367">
                  <c:v>5.4860100000000002E-2</c:v>
                </c:pt>
                <c:pt idx="1368">
                  <c:v>5.49001E-2</c:v>
                </c:pt>
                <c:pt idx="1369">
                  <c:v>5.4940099999999999E-2</c:v>
                </c:pt>
                <c:pt idx="1370">
                  <c:v>5.4980099999999997E-2</c:v>
                </c:pt>
                <c:pt idx="1371">
                  <c:v>5.5020100000000002E-2</c:v>
                </c:pt>
                <c:pt idx="1372">
                  <c:v>5.5060100000000001E-2</c:v>
                </c:pt>
                <c:pt idx="1373">
                  <c:v>5.5100099999999999E-2</c:v>
                </c:pt>
                <c:pt idx="1374">
                  <c:v>5.5140099999999997E-2</c:v>
                </c:pt>
                <c:pt idx="1375">
                  <c:v>5.5180100000000003E-2</c:v>
                </c:pt>
                <c:pt idx="1376">
                  <c:v>5.5220100000000001E-2</c:v>
                </c:pt>
                <c:pt idx="1377">
                  <c:v>5.5260099999999999E-2</c:v>
                </c:pt>
                <c:pt idx="1378">
                  <c:v>5.5300099999999998E-2</c:v>
                </c:pt>
                <c:pt idx="1379">
                  <c:v>5.5340100000000003E-2</c:v>
                </c:pt>
                <c:pt idx="1380">
                  <c:v>5.5380100000000002E-2</c:v>
                </c:pt>
                <c:pt idx="1381">
                  <c:v>5.54201E-2</c:v>
                </c:pt>
                <c:pt idx="1382">
                  <c:v>5.5460099999999998E-2</c:v>
                </c:pt>
                <c:pt idx="1383">
                  <c:v>5.5500099999999997E-2</c:v>
                </c:pt>
                <c:pt idx="1384">
                  <c:v>5.5540100000000002E-2</c:v>
                </c:pt>
                <c:pt idx="1385">
                  <c:v>5.55801E-2</c:v>
                </c:pt>
                <c:pt idx="1386">
                  <c:v>5.5620099999999999E-2</c:v>
                </c:pt>
                <c:pt idx="1387">
                  <c:v>5.5660099999999997E-2</c:v>
                </c:pt>
                <c:pt idx="1388">
                  <c:v>5.5700100000000002E-2</c:v>
                </c:pt>
                <c:pt idx="1389">
                  <c:v>5.5740100000000001E-2</c:v>
                </c:pt>
                <c:pt idx="1390">
                  <c:v>5.5780099999999999E-2</c:v>
                </c:pt>
                <c:pt idx="1391">
                  <c:v>5.5820099999999997E-2</c:v>
                </c:pt>
                <c:pt idx="1392">
                  <c:v>5.5860100000000003E-2</c:v>
                </c:pt>
                <c:pt idx="1393">
                  <c:v>5.5900100000000001E-2</c:v>
                </c:pt>
                <c:pt idx="1394">
                  <c:v>5.59401E-2</c:v>
                </c:pt>
                <c:pt idx="1395">
                  <c:v>5.5980099999999998E-2</c:v>
                </c:pt>
                <c:pt idx="1396">
                  <c:v>5.6020100000000003E-2</c:v>
                </c:pt>
                <c:pt idx="1397">
                  <c:v>5.6060100000000002E-2</c:v>
                </c:pt>
                <c:pt idx="1398">
                  <c:v>5.61001E-2</c:v>
                </c:pt>
                <c:pt idx="1399">
                  <c:v>5.6140099999999998E-2</c:v>
                </c:pt>
                <c:pt idx="1400">
                  <c:v>5.6180099999999997E-2</c:v>
                </c:pt>
                <c:pt idx="1401">
                  <c:v>5.6220100000000002E-2</c:v>
                </c:pt>
                <c:pt idx="1402">
                  <c:v>5.62601E-2</c:v>
                </c:pt>
                <c:pt idx="1403">
                  <c:v>5.6300099999999999E-2</c:v>
                </c:pt>
                <c:pt idx="1404">
                  <c:v>5.6340099999999997E-2</c:v>
                </c:pt>
                <c:pt idx="1405">
                  <c:v>5.6380100000000002E-2</c:v>
                </c:pt>
                <c:pt idx="1406">
                  <c:v>5.6420100000000001E-2</c:v>
                </c:pt>
                <c:pt idx="1407">
                  <c:v>5.6460099999999999E-2</c:v>
                </c:pt>
                <c:pt idx="1408">
                  <c:v>5.6500099999999998E-2</c:v>
                </c:pt>
                <c:pt idx="1409">
                  <c:v>5.6540100000000003E-2</c:v>
                </c:pt>
                <c:pt idx="1410">
                  <c:v>5.6580100000000001E-2</c:v>
                </c:pt>
                <c:pt idx="1411">
                  <c:v>5.66201E-2</c:v>
                </c:pt>
                <c:pt idx="1412">
                  <c:v>5.6660099999999998E-2</c:v>
                </c:pt>
                <c:pt idx="1413">
                  <c:v>5.6700100000000003E-2</c:v>
                </c:pt>
                <c:pt idx="1414">
                  <c:v>5.6740100000000002E-2</c:v>
                </c:pt>
                <c:pt idx="1415">
                  <c:v>5.67801E-2</c:v>
                </c:pt>
                <c:pt idx="1416">
                  <c:v>5.6820099999999998E-2</c:v>
                </c:pt>
                <c:pt idx="1417">
                  <c:v>5.6860099999999997E-2</c:v>
                </c:pt>
                <c:pt idx="1418">
                  <c:v>5.6900100000000002E-2</c:v>
                </c:pt>
                <c:pt idx="1419">
                  <c:v>5.69401E-2</c:v>
                </c:pt>
                <c:pt idx="1420">
                  <c:v>5.6980099999999999E-2</c:v>
                </c:pt>
                <c:pt idx="1421">
                  <c:v>5.7020099999999997E-2</c:v>
                </c:pt>
                <c:pt idx="1422">
                  <c:v>5.7060100000000002E-2</c:v>
                </c:pt>
                <c:pt idx="1423">
                  <c:v>5.7100100000000001E-2</c:v>
                </c:pt>
                <c:pt idx="1424">
                  <c:v>5.7140099999999999E-2</c:v>
                </c:pt>
                <c:pt idx="1425">
                  <c:v>5.7180099999999998E-2</c:v>
                </c:pt>
                <c:pt idx="1426">
                  <c:v>5.7220100000000003E-2</c:v>
                </c:pt>
                <c:pt idx="1427">
                  <c:v>5.7260100000000001E-2</c:v>
                </c:pt>
                <c:pt idx="1428">
                  <c:v>5.73001E-2</c:v>
                </c:pt>
                <c:pt idx="1429">
                  <c:v>5.7340099999999998E-2</c:v>
                </c:pt>
                <c:pt idx="1430">
                  <c:v>5.7380100000000003E-2</c:v>
                </c:pt>
                <c:pt idx="1431">
                  <c:v>5.7420100000000002E-2</c:v>
                </c:pt>
                <c:pt idx="1432">
                  <c:v>5.74601E-2</c:v>
                </c:pt>
                <c:pt idx="1433">
                  <c:v>5.7500099999999998E-2</c:v>
                </c:pt>
                <c:pt idx="1434">
                  <c:v>5.7540099999999997E-2</c:v>
                </c:pt>
                <c:pt idx="1435">
                  <c:v>5.7580100000000002E-2</c:v>
                </c:pt>
                <c:pt idx="1436">
                  <c:v>5.76201E-2</c:v>
                </c:pt>
                <c:pt idx="1437">
                  <c:v>5.7660099999999999E-2</c:v>
                </c:pt>
                <c:pt idx="1438">
                  <c:v>5.7700099999999997E-2</c:v>
                </c:pt>
                <c:pt idx="1439">
                  <c:v>5.7740100000000003E-2</c:v>
                </c:pt>
                <c:pt idx="1440">
                  <c:v>5.7780100000000001E-2</c:v>
                </c:pt>
                <c:pt idx="1441">
                  <c:v>5.7820099999999999E-2</c:v>
                </c:pt>
                <c:pt idx="1442">
                  <c:v>5.7860099999999998E-2</c:v>
                </c:pt>
                <c:pt idx="1443">
                  <c:v>5.7900100000000003E-2</c:v>
                </c:pt>
                <c:pt idx="1444">
                  <c:v>5.7940100000000001E-2</c:v>
                </c:pt>
                <c:pt idx="1445">
                  <c:v>5.79801E-2</c:v>
                </c:pt>
                <c:pt idx="1446">
                  <c:v>5.8020099999999998E-2</c:v>
                </c:pt>
                <c:pt idx="1447">
                  <c:v>5.8060100000000003E-2</c:v>
                </c:pt>
                <c:pt idx="1448">
                  <c:v>5.8100100000000002E-2</c:v>
                </c:pt>
                <c:pt idx="1449">
                  <c:v>5.81401E-2</c:v>
                </c:pt>
                <c:pt idx="1450">
                  <c:v>5.8180099999999998E-2</c:v>
                </c:pt>
                <c:pt idx="1451">
                  <c:v>5.8220099999999997E-2</c:v>
                </c:pt>
                <c:pt idx="1452">
                  <c:v>5.8260100000000002E-2</c:v>
                </c:pt>
                <c:pt idx="1453">
                  <c:v>5.8300100000000001E-2</c:v>
                </c:pt>
                <c:pt idx="1454">
                  <c:v>5.8340099999999999E-2</c:v>
                </c:pt>
                <c:pt idx="1455">
                  <c:v>5.8380099999999997E-2</c:v>
                </c:pt>
                <c:pt idx="1456">
                  <c:v>5.8420100000000003E-2</c:v>
                </c:pt>
                <c:pt idx="1457">
                  <c:v>5.8460100000000001E-2</c:v>
                </c:pt>
                <c:pt idx="1458">
                  <c:v>5.8500099999999999E-2</c:v>
                </c:pt>
                <c:pt idx="1459">
                  <c:v>5.8540099999999998E-2</c:v>
                </c:pt>
                <c:pt idx="1460">
                  <c:v>5.8580100000000003E-2</c:v>
                </c:pt>
                <c:pt idx="1461">
                  <c:v>5.8620100000000001E-2</c:v>
                </c:pt>
                <c:pt idx="1462">
                  <c:v>5.86601E-2</c:v>
                </c:pt>
                <c:pt idx="1463">
                  <c:v>5.8700099999999998E-2</c:v>
                </c:pt>
                <c:pt idx="1464">
                  <c:v>5.8740100000000003E-2</c:v>
                </c:pt>
                <c:pt idx="1465">
                  <c:v>5.8780100000000002E-2</c:v>
                </c:pt>
                <c:pt idx="1466">
                  <c:v>5.88201E-2</c:v>
                </c:pt>
                <c:pt idx="1467">
                  <c:v>5.8860099999999999E-2</c:v>
                </c:pt>
                <c:pt idx="1468">
                  <c:v>5.8900099999999997E-2</c:v>
                </c:pt>
                <c:pt idx="1469">
                  <c:v>5.8940100000000002E-2</c:v>
                </c:pt>
                <c:pt idx="1470">
                  <c:v>5.8980100000000001E-2</c:v>
                </c:pt>
                <c:pt idx="1471">
                  <c:v>5.9020099999999999E-2</c:v>
                </c:pt>
                <c:pt idx="1472">
                  <c:v>5.9060099999999997E-2</c:v>
                </c:pt>
                <c:pt idx="1473">
                  <c:v>5.9100100000000003E-2</c:v>
                </c:pt>
                <c:pt idx="1474">
                  <c:v>5.9140100000000001E-2</c:v>
                </c:pt>
                <c:pt idx="1475">
                  <c:v>5.9180099999999999E-2</c:v>
                </c:pt>
                <c:pt idx="1476">
                  <c:v>5.9220099999999998E-2</c:v>
                </c:pt>
                <c:pt idx="1477">
                  <c:v>5.9260100000000003E-2</c:v>
                </c:pt>
                <c:pt idx="1478">
                  <c:v>5.9300100000000001E-2</c:v>
                </c:pt>
                <c:pt idx="1479">
                  <c:v>5.93401E-2</c:v>
                </c:pt>
                <c:pt idx="1480">
                  <c:v>5.9380099999999998E-2</c:v>
                </c:pt>
                <c:pt idx="1481">
                  <c:v>5.9420099999999997E-2</c:v>
                </c:pt>
                <c:pt idx="1482">
                  <c:v>5.9460100000000002E-2</c:v>
                </c:pt>
                <c:pt idx="1483">
                  <c:v>5.95001E-2</c:v>
                </c:pt>
                <c:pt idx="1484">
                  <c:v>5.9540099999999999E-2</c:v>
                </c:pt>
                <c:pt idx="1485">
                  <c:v>5.9580099999999997E-2</c:v>
                </c:pt>
                <c:pt idx="1486">
                  <c:v>5.9620100000000002E-2</c:v>
                </c:pt>
                <c:pt idx="1487">
                  <c:v>5.9660100000000001E-2</c:v>
                </c:pt>
                <c:pt idx="1488">
                  <c:v>5.9700099999999999E-2</c:v>
                </c:pt>
                <c:pt idx="1489">
                  <c:v>5.9740099999999997E-2</c:v>
                </c:pt>
                <c:pt idx="1490">
                  <c:v>5.9780100000000003E-2</c:v>
                </c:pt>
                <c:pt idx="1491">
                  <c:v>5.9820100000000001E-2</c:v>
                </c:pt>
                <c:pt idx="1492">
                  <c:v>5.9860099999999999E-2</c:v>
                </c:pt>
                <c:pt idx="1493">
                  <c:v>5.9900099999999998E-2</c:v>
                </c:pt>
                <c:pt idx="1494">
                  <c:v>5.9940100000000003E-2</c:v>
                </c:pt>
                <c:pt idx="1495">
                  <c:v>5.9980100000000001E-2</c:v>
                </c:pt>
                <c:pt idx="1496">
                  <c:v>6.00201E-2</c:v>
                </c:pt>
                <c:pt idx="1497">
                  <c:v>6.0060099999999998E-2</c:v>
                </c:pt>
                <c:pt idx="1498">
                  <c:v>6.0100099999999997E-2</c:v>
                </c:pt>
                <c:pt idx="1499">
                  <c:v>6.0140100000000002E-2</c:v>
                </c:pt>
                <c:pt idx="1500">
                  <c:v>6.01801E-2</c:v>
                </c:pt>
                <c:pt idx="1501">
                  <c:v>6.0220099999999999E-2</c:v>
                </c:pt>
                <c:pt idx="1502">
                  <c:v>6.0260099999999997E-2</c:v>
                </c:pt>
                <c:pt idx="1503">
                  <c:v>6.0300100000000002E-2</c:v>
                </c:pt>
                <c:pt idx="1504">
                  <c:v>6.0340100000000001E-2</c:v>
                </c:pt>
                <c:pt idx="1505">
                  <c:v>6.0380099999999999E-2</c:v>
                </c:pt>
                <c:pt idx="1506">
                  <c:v>6.0420099999999997E-2</c:v>
                </c:pt>
                <c:pt idx="1507">
                  <c:v>6.0460100000000003E-2</c:v>
                </c:pt>
                <c:pt idx="1508">
                  <c:v>6.0500100000000001E-2</c:v>
                </c:pt>
                <c:pt idx="1509">
                  <c:v>6.0540099999999999E-2</c:v>
                </c:pt>
                <c:pt idx="1510">
                  <c:v>6.0580099999999998E-2</c:v>
                </c:pt>
                <c:pt idx="1511">
                  <c:v>6.0620100000000003E-2</c:v>
                </c:pt>
                <c:pt idx="1512">
                  <c:v>6.0660100000000002E-2</c:v>
                </c:pt>
                <c:pt idx="1513">
                  <c:v>6.07001E-2</c:v>
                </c:pt>
                <c:pt idx="1514">
                  <c:v>6.0740099999999998E-2</c:v>
                </c:pt>
                <c:pt idx="1515">
                  <c:v>6.0780099999999997E-2</c:v>
                </c:pt>
                <c:pt idx="1516">
                  <c:v>6.0820100000000002E-2</c:v>
                </c:pt>
                <c:pt idx="1517">
                  <c:v>6.08601E-2</c:v>
                </c:pt>
                <c:pt idx="1518">
                  <c:v>6.0900099999999999E-2</c:v>
                </c:pt>
                <c:pt idx="1519">
                  <c:v>6.0940099999999997E-2</c:v>
                </c:pt>
                <c:pt idx="1520">
                  <c:v>6.0980100000000002E-2</c:v>
                </c:pt>
                <c:pt idx="1521">
                  <c:v>6.1020100000000001E-2</c:v>
                </c:pt>
                <c:pt idx="1522">
                  <c:v>6.1060099999999999E-2</c:v>
                </c:pt>
                <c:pt idx="1523">
                  <c:v>6.1100099999999997E-2</c:v>
                </c:pt>
                <c:pt idx="1524">
                  <c:v>6.1140100000000003E-2</c:v>
                </c:pt>
                <c:pt idx="1525">
                  <c:v>6.1180100000000001E-2</c:v>
                </c:pt>
                <c:pt idx="1526">
                  <c:v>6.12201E-2</c:v>
                </c:pt>
                <c:pt idx="1527">
                  <c:v>6.1260099999999998E-2</c:v>
                </c:pt>
                <c:pt idx="1528">
                  <c:v>6.1300100000000003E-2</c:v>
                </c:pt>
                <c:pt idx="1529">
                  <c:v>6.1340100000000002E-2</c:v>
                </c:pt>
                <c:pt idx="1530">
                  <c:v>6.13801E-2</c:v>
                </c:pt>
                <c:pt idx="1531">
                  <c:v>6.1420099999999998E-2</c:v>
                </c:pt>
                <c:pt idx="1532">
                  <c:v>6.1460099999999997E-2</c:v>
                </c:pt>
                <c:pt idx="1533">
                  <c:v>6.1500100000000002E-2</c:v>
                </c:pt>
                <c:pt idx="1534">
                  <c:v>6.15401E-2</c:v>
                </c:pt>
                <c:pt idx="1535">
                  <c:v>6.1580099999999999E-2</c:v>
                </c:pt>
                <c:pt idx="1536">
                  <c:v>6.1620099999999997E-2</c:v>
                </c:pt>
                <c:pt idx="1537">
                  <c:v>6.1660100000000002E-2</c:v>
                </c:pt>
                <c:pt idx="1538">
                  <c:v>6.1700100000000001E-2</c:v>
                </c:pt>
                <c:pt idx="1539">
                  <c:v>6.1740099999999999E-2</c:v>
                </c:pt>
                <c:pt idx="1540">
                  <c:v>6.1780099999999998E-2</c:v>
                </c:pt>
                <c:pt idx="1541">
                  <c:v>6.1820100000000003E-2</c:v>
                </c:pt>
                <c:pt idx="1542">
                  <c:v>6.1860100000000001E-2</c:v>
                </c:pt>
                <c:pt idx="1543">
                  <c:v>6.19001E-2</c:v>
                </c:pt>
                <c:pt idx="1544">
                  <c:v>6.1940099999999998E-2</c:v>
                </c:pt>
                <c:pt idx="1545">
                  <c:v>6.1980100000000003E-2</c:v>
                </c:pt>
                <c:pt idx="1546">
                  <c:v>6.2020100000000002E-2</c:v>
                </c:pt>
                <c:pt idx="1547">
                  <c:v>6.20601E-2</c:v>
                </c:pt>
                <c:pt idx="1548">
                  <c:v>6.2100099999999998E-2</c:v>
                </c:pt>
                <c:pt idx="1549">
                  <c:v>6.2140099999999997E-2</c:v>
                </c:pt>
                <c:pt idx="1550">
                  <c:v>6.2180100000000002E-2</c:v>
                </c:pt>
                <c:pt idx="1551">
                  <c:v>6.22201E-2</c:v>
                </c:pt>
                <c:pt idx="1552">
                  <c:v>6.2260099999999999E-2</c:v>
                </c:pt>
                <c:pt idx="1553">
                  <c:v>6.2300099999999997E-2</c:v>
                </c:pt>
                <c:pt idx="1554">
                  <c:v>6.2340100000000002E-2</c:v>
                </c:pt>
                <c:pt idx="1555">
                  <c:v>6.2380100000000001E-2</c:v>
                </c:pt>
                <c:pt idx="1556">
                  <c:v>6.2420099999999999E-2</c:v>
                </c:pt>
                <c:pt idx="1557">
                  <c:v>6.2460099999999998E-2</c:v>
                </c:pt>
                <c:pt idx="1558">
                  <c:v>6.2500100000000003E-2</c:v>
                </c:pt>
                <c:pt idx="1559">
                  <c:v>6.2540100000000001E-2</c:v>
                </c:pt>
                <c:pt idx="1560">
                  <c:v>6.25801E-2</c:v>
                </c:pt>
                <c:pt idx="1561">
                  <c:v>6.2620099999999998E-2</c:v>
                </c:pt>
                <c:pt idx="1562">
                  <c:v>6.2660099999999996E-2</c:v>
                </c:pt>
                <c:pt idx="1563">
                  <c:v>6.2700099999999995E-2</c:v>
                </c:pt>
                <c:pt idx="1564">
                  <c:v>6.2740099999999993E-2</c:v>
                </c:pt>
                <c:pt idx="1565">
                  <c:v>6.2780100000000005E-2</c:v>
                </c:pt>
                <c:pt idx="1566">
                  <c:v>6.2820100000000004E-2</c:v>
                </c:pt>
                <c:pt idx="1567">
                  <c:v>6.2860100000000002E-2</c:v>
                </c:pt>
                <c:pt idx="1568">
                  <c:v>6.29001E-2</c:v>
                </c:pt>
                <c:pt idx="1569">
                  <c:v>6.2940099999999999E-2</c:v>
                </c:pt>
                <c:pt idx="1570">
                  <c:v>6.2980099999999997E-2</c:v>
                </c:pt>
                <c:pt idx="1571">
                  <c:v>6.3020099999999996E-2</c:v>
                </c:pt>
                <c:pt idx="1572">
                  <c:v>6.3060099999999994E-2</c:v>
                </c:pt>
                <c:pt idx="1573">
                  <c:v>6.3100100000000006E-2</c:v>
                </c:pt>
                <c:pt idx="1574">
                  <c:v>6.3140100000000005E-2</c:v>
                </c:pt>
                <c:pt idx="1575">
                  <c:v>6.3180100000000003E-2</c:v>
                </c:pt>
                <c:pt idx="1576">
                  <c:v>6.3220100000000001E-2</c:v>
                </c:pt>
                <c:pt idx="1577">
                  <c:v>6.32601E-2</c:v>
                </c:pt>
                <c:pt idx="1578">
                  <c:v>6.3300099999999998E-2</c:v>
                </c:pt>
                <c:pt idx="1579">
                  <c:v>6.3340099999999996E-2</c:v>
                </c:pt>
                <c:pt idx="1580">
                  <c:v>6.3380099999999995E-2</c:v>
                </c:pt>
                <c:pt idx="1581">
                  <c:v>6.3420099999999993E-2</c:v>
                </c:pt>
                <c:pt idx="1582">
                  <c:v>6.3460100000000005E-2</c:v>
                </c:pt>
                <c:pt idx="1583">
                  <c:v>6.3500100000000004E-2</c:v>
                </c:pt>
                <c:pt idx="1584">
                  <c:v>6.3540100000000002E-2</c:v>
                </c:pt>
                <c:pt idx="1585">
                  <c:v>6.3580100000000001E-2</c:v>
                </c:pt>
                <c:pt idx="1586">
                  <c:v>6.3620099999999999E-2</c:v>
                </c:pt>
                <c:pt idx="1587">
                  <c:v>6.3660099999999997E-2</c:v>
                </c:pt>
                <c:pt idx="1588">
                  <c:v>6.3700099999999996E-2</c:v>
                </c:pt>
                <c:pt idx="1589">
                  <c:v>6.3740099999999994E-2</c:v>
                </c:pt>
                <c:pt idx="1590">
                  <c:v>6.3780100000000006E-2</c:v>
                </c:pt>
                <c:pt idx="1591">
                  <c:v>6.3820100000000005E-2</c:v>
                </c:pt>
                <c:pt idx="1592">
                  <c:v>6.3860100000000003E-2</c:v>
                </c:pt>
                <c:pt idx="1593">
                  <c:v>6.3900100000000001E-2</c:v>
                </c:pt>
                <c:pt idx="1594">
                  <c:v>6.39401E-2</c:v>
                </c:pt>
                <c:pt idx="1595">
                  <c:v>6.3980099999999998E-2</c:v>
                </c:pt>
                <c:pt idx="1596">
                  <c:v>6.4020099999999996E-2</c:v>
                </c:pt>
                <c:pt idx="1597">
                  <c:v>6.4060099999999995E-2</c:v>
                </c:pt>
                <c:pt idx="1598">
                  <c:v>6.4100099999999993E-2</c:v>
                </c:pt>
                <c:pt idx="1599">
                  <c:v>6.4140100000000005E-2</c:v>
                </c:pt>
                <c:pt idx="1600">
                  <c:v>6.4180100000000004E-2</c:v>
                </c:pt>
                <c:pt idx="1601">
                  <c:v>6.4220100000000002E-2</c:v>
                </c:pt>
                <c:pt idx="1602">
                  <c:v>6.4260100000000001E-2</c:v>
                </c:pt>
                <c:pt idx="1603">
                  <c:v>6.4300099999999999E-2</c:v>
                </c:pt>
                <c:pt idx="1604">
                  <c:v>6.4340099999999997E-2</c:v>
                </c:pt>
                <c:pt idx="1605">
                  <c:v>6.4380099999999996E-2</c:v>
                </c:pt>
                <c:pt idx="1606">
                  <c:v>6.4420099999999994E-2</c:v>
                </c:pt>
                <c:pt idx="1607">
                  <c:v>6.4460100000000006E-2</c:v>
                </c:pt>
                <c:pt idx="1608">
                  <c:v>6.4500100000000005E-2</c:v>
                </c:pt>
                <c:pt idx="1609">
                  <c:v>6.4540100000000003E-2</c:v>
                </c:pt>
                <c:pt idx="1610">
                  <c:v>6.4580100000000001E-2</c:v>
                </c:pt>
                <c:pt idx="1611">
                  <c:v>6.46201E-2</c:v>
                </c:pt>
                <c:pt idx="1612">
                  <c:v>6.4660099999999998E-2</c:v>
                </c:pt>
                <c:pt idx="1613">
                  <c:v>6.4700099999999997E-2</c:v>
                </c:pt>
                <c:pt idx="1614">
                  <c:v>6.4740099999999995E-2</c:v>
                </c:pt>
                <c:pt idx="1615">
                  <c:v>6.4780099999999993E-2</c:v>
                </c:pt>
                <c:pt idx="1616">
                  <c:v>6.4820100000000005E-2</c:v>
                </c:pt>
                <c:pt idx="1617">
                  <c:v>6.4860100000000004E-2</c:v>
                </c:pt>
                <c:pt idx="1618">
                  <c:v>6.4900100000000002E-2</c:v>
                </c:pt>
                <c:pt idx="1619">
                  <c:v>6.4940100000000001E-2</c:v>
                </c:pt>
                <c:pt idx="1620">
                  <c:v>6.4980099999999999E-2</c:v>
                </c:pt>
                <c:pt idx="1621">
                  <c:v>6.5020099999999997E-2</c:v>
                </c:pt>
                <c:pt idx="1622">
                  <c:v>6.5060099999999996E-2</c:v>
                </c:pt>
                <c:pt idx="1623">
                  <c:v>6.5100099999999994E-2</c:v>
                </c:pt>
                <c:pt idx="1624">
                  <c:v>6.5140100000000006E-2</c:v>
                </c:pt>
                <c:pt idx="1625">
                  <c:v>6.5180100000000005E-2</c:v>
                </c:pt>
                <c:pt idx="1626">
                  <c:v>6.5220100000000003E-2</c:v>
                </c:pt>
                <c:pt idx="1627">
                  <c:v>6.5260100000000001E-2</c:v>
                </c:pt>
                <c:pt idx="1628">
                  <c:v>6.53001E-2</c:v>
                </c:pt>
                <c:pt idx="1629">
                  <c:v>6.5340099999999998E-2</c:v>
                </c:pt>
                <c:pt idx="1630">
                  <c:v>6.5380099999999997E-2</c:v>
                </c:pt>
                <c:pt idx="1631">
                  <c:v>6.5420099999999995E-2</c:v>
                </c:pt>
                <c:pt idx="1632">
                  <c:v>6.5460099999999993E-2</c:v>
                </c:pt>
                <c:pt idx="1633">
                  <c:v>6.5500100000000006E-2</c:v>
                </c:pt>
                <c:pt idx="1634">
                  <c:v>6.5540100000000004E-2</c:v>
                </c:pt>
                <c:pt idx="1635">
                  <c:v>6.5580100000000002E-2</c:v>
                </c:pt>
                <c:pt idx="1636">
                  <c:v>6.5620100000000001E-2</c:v>
                </c:pt>
                <c:pt idx="1637">
                  <c:v>6.5660099999999999E-2</c:v>
                </c:pt>
                <c:pt idx="1638">
                  <c:v>6.5700099999999997E-2</c:v>
                </c:pt>
                <c:pt idx="1639">
                  <c:v>6.5740099999999996E-2</c:v>
                </c:pt>
                <c:pt idx="1640">
                  <c:v>6.5780099999999994E-2</c:v>
                </c:pt>
                <c:pt idx="1641">
                  <c:v>6.5820100000000006E-2</c:v>
                </c:pt>
                <c:pt idx="1642">
                  <c:v>6.5860100000000005E-2</c:v>
                </c:pt>
                <c:pt idx="1643">
                  <c:v>6.5900100000000003E-2</c:v>
                </c:pt>
                <c:pt idx="1644">
                  <c:v>6.5940100000000001E-2</c:v>
                </c:pt>
                <c:pt idx="1645">
                  <c:v>6.59801E-2</c:v>
                </c:pt>
                <c:pt idx="1646">
                  <c:v>6.6020099999999998E-2</c:v>
                </c:pt>
                <c:pt idx="1647">
                  <c:v>6.6060099999999997E-2</c:v>
                </c:pt>
                <c:pt idx="1648">
                  <c:v>6.6100099999999995E-2</c:v>
                </c:pt>
                <c:pt idx="1649">
                  <c:v>6.6140099999999993E-2</c:v>
                </c:pt>
                <c:pt idx="1650">
                  <c:v>6.6180100000000006E-2</c:v>
                </c:pt>
                <c:pt idx="1651">
                  <c:v>6.6220100000000004E-2</c:v>
                </c:pt>
                <c:pt idx="1652">
                  <c:v>6.6260100000000002E-2</c:v>
                </c:pt>
                <c:pt idx="1653">
                  <c:v>6.6300100000000001E-2</c:v>
                </c:pt>
                <c:pt idx="1654">
                  <c:v>6.6340099999999999E-2</c:v>
                </c:pt>
                <c:pt idx="1655">
                  <c:v>6.6380099999999997E-2</c:v>
                </c:pt>
                <c:pt idx="1656">
                  <c:v>6.6420099999999996E-2</c:v>
                </c:pt>
                <c:pt idx="1657">
                  <c:v>6.6460099999999994E-2</c:v>
                </c:pt>
                <c:pt idx="1658">
                  <c:v>6.6500100000000006E-2</c:v>
                </c:pt>
                <c:pt idx="1659">
                  <c:v>6.6540100000000005E-2</c:v>
                </c:pt>
                <c:pt idx="1660">
                  <c:v>6.6580100000000003E-2</c:v>
                </c:pt>
                <c:pt idx="1661">
                  <c:v>6.6620100000000002E-2</c:v>
                </c:pt>
                <c:pt idx="1662">
                  <c:v>6.66601E-2</c:v>
                </c:pt>
                <c:pt idx="1663">
                  <c:v>6.6700099999999998E-2</c:v>
                </c:pt>
                <c:pt idx="1664">
                  <c:v>6.6740099999999997E-2</c:v>
                </c:pt>
                <c:pt idx="1665">
                  <c:v>6.6780099999999995E-2</c:v>
                </c:pt>
                <c:pt idx="1666">
                  <c:v>6.6820099999999993E-2</c:v>
                </c:pt>
                <c:pt idx="1667">
                  <c:v>6.6860100000000006E-2</c:v>
                </c:pt>
                <c:pt idx="1668">
                  <c:v>6.6900100000000004E-2</c:v>
                </c:pt>
                <c:pt idx="1669">
                  <c:v>6.6940100000000002E-2</c:v>
                </c:pt>
                <c:pt idx="1670">
                  <c:v>6.6980100000000001E-2</c:v>
                </c:pt>
                <c:pt idx="1671">
                  <c:v>6.7020099999999999E-2</c:v>
                </c:pt>
                <c:pt idx="1672">
                  <c:v>6.7060099999999997E-2</c:v>
                </c:pt>
                <c:pt idx="1673">
                  <c:v>6.7100099999999996E-2</c:v>
                </c:pt>
                <c:pt idx="1674">
                  <c:v>6.7140099999999994E-2</c:v>
                </c:pt>
                <c:pt idx="1675">
                  <c:v>6.7180100000000006E-2</c:v>
                </c:pt>
                <c:pt idx="1676">
                  <c:v>6.7220100000000005E-2</c:v>
                </c:pt>
                <c:pt idx="1677">
                  <c:v>6.7260100000000003E-2</c:v>
                </c:pt>
                <c:pt idx="1678">
                  <c:v>6.7300100000000002E-2</c:v>
                </c:pt>
                <c:pt idx="1679">
                  <c:v>6.73401E-2</c:v>
                </c:pt>
                <c:pt idx="1680">
                  <c:v>6.7380099999999998E-2</c:v>
                </c:pt>
                <c:pt idx="1681">
                  <c:v>6.7420099999999997E-2</c:v>
                </c:pt>
                <c:pt idx="1682">
                  <c:v>6.7460099999999995E-2</c:v>
                </c:pt>
                <c:pt idx="1683">
                  <c:v>6.7500099999999993E-2</c:v>
                </c:pt>
                <c:pt idx="1684">
                  <c:v>6.7540100000000006E-2</c:v>
                </c:pt>
                <c:pt idx="1685">
                  <c:v>6.7580100000000004E-2</c:v>
                </c:pt>
                <c:pt idx="1686">
                  <c:v>6.7620100000000002E-2</c:v>
                </c:pt>
                <c:pt idx="1687">
                  <c:v>6.7660100000000001E-2</c:v>
                </c:pt>
                <c:pt idx="1688">
                  <c:v>6.7700099999999999E-2</c:v>
                </c:pt>
                <c:pt idx="1689">
                  <c:v>6.7740099999999998E-2</c:v>
                </c:pt>
                <c:pt idx="1690">
                  <c:v>6.7780099999999996E-2</c:v>
                </c:pt>
                <c:pt idx="1691">
                  <c:v>6.7820099999999994E-2</c:v>
                </c:pt>
                <c:pt idx="1692">
                  <c:v>6.7860100000000007E-2</c:v>
                </c:pt>
                <c:pt idx="1693">
                  <c:v>6.7900100000000005E-2</c:v>
                </c:pt>
                <c:pt idx="1694">
                  <c:v>6.7940100000000003E-2</c:v>
                </c:pt>
                <c:pt idx="1695">
                  <c:v>6.7980100000000002E-2</c:v>
                </c:pt>
                <c:pt idx="1696">
                  <c:v>6.80201E-2</c:v>
                </c:pt>
                <c:pt idx="1697">
                  <c:v>6.8060099999999998E-2</c:v>
                </c:pt>
                <c:pt idx="1698">
                  <c:v>6.8100099999999997E-2</c:v>
                </c:pt>
                <c:pt idx="1699">
                  <c:v>6.8140099999999995E-2</c:v>
                </c:pt>
                <c:pt idx="1700">
                  <c:v>6.8180099999999993E-2</c:v>
                </c:pt>
                <c:pt idx="1701">
                  <c:v>6.8220100000000006E-2</c:v>
                </c:pt>
                <c:pt idx="1702">
                  <c:v>6.8260100000000004E-2</c:v>
                </c:pt>
                <c:pt idx="1703">
                  <c:v>6.8300100000000002E-2</c:v>
                </c:pt>
                <c:pt idx="1704">
                  <c:v>6.8340100000000001E-2</c:v>
                </c:pt>
                <c:pt idx="1705">
                  <c:v>6.8380099999999999E-2</c:v>
                </c:pt>
                <c:pt idx="1706">
                  <c:v>6.8420099999999998E-2</c:v>
                </c:pt>
                <c:pt idx="1707">
                  <c:v>6.8460099999999996E-2</c:v>
                </c:pt>
                <c:pt idx="1708">
                  <c:v>6.8500099999999994E-2</c:v>
                </c:pt>
                <c:pt idx="1709">
                  <c:v>6.8540100000000007E-2</c:v>
                </c:pt>
                <c:pt idx="1710">
                  <c:v>6.8580100000000005E-2</c:v>
                </c:pt>
                <c:pt idx="1711">
                  <c:v>6.8620100000000003E-2</c:v>
                </c:pt>
                <c:pt idx="1712">
                  <c:v>6.8660100000000002E-2</c:v>
                </c:pt>
                <c:pt idx="1713">
                  <c:v>6.87001E-2</c:v>
                </c:pt>
                <c:pt idx="1714">
                  <c:v>6.8740099999999998E-2</c:v>
                </c:pt>
                <c:pt idx="1715">
                  <c:v>6.8780099999999997E-2</c:v>
                </c:pt>
                <c:pt idx="1716">
                  <c:v>6.8820099999999995E-2</c:v>
                </c:pt>
                <c:pt idx="1717">
                  <c:v>6.8860099999999994E-2</c:v>
                </c:pt>
                <c:pt idx="1718">
                  <c:v>6.8900100000000006E-2</c:v>
                </c:pt>
                <c:pt idx="1719">
                  <c:v>6.8940100000000004E-2</c:v>
                </c:pt>
                <c:pt idx="1720">
                  <c:v>6.8980100000000003E-2</c:v>
                </c:pt>
                <c:pt idx="1721">
                  <c:v>6.9020100000000001E-2</c:v>
                </c:pt>
                <c:pt idx="1722">
                  <c:v>6.9060099999999999E-2</c:v>
                </c:pt>
                <c:pt idx="1723">
                  <c:v>6.9100099999999998E-2</c:v>
                </c:pt>
                <c:pt idx="1724">
                  <c:v>6.9140099999999996E-2</c:v>
                </c:pt>
                <c:pt idx="1725">
                  <c:v>6.9180099999999994E-2</c:v>
                </c:pt>
                <c:pt idx="1726">
                  <c:v>6.9220100000000007E-2</c:v>
                </c:pt>
                <c:pt idx="1727">
                  <c:v>6.9260100000000005E-2</c:v>
                </c:pt>
                <c:pt idx="1728">
                  <c:v>6.9300100000000003E-2</c:v>
                </c:pt>
                <c:pt idx="1729">
                  <c:v>6.9340100000000002E-2</c:v>
                </c:pt>
                <c:pt idx="1730">
                  <c:v>6.93801E-2</c:v>
                </c:pt>
                <c:pt idx="1731">
                  <c:v>6.9420099999999998E-2</c:v>
                </c:pt>
                <c:pt idx="1732">
                  <c:v>6.9460099999999997E-2</c:v>
                </c:pt>
                <c:pt idx="1733">
                  <c:v>6.9500099999999995E-2</c:v>
                </c:pt>
                <c:pt idx="1734">
                  <c:v>6.9540099999999994E-2</c:v>
                </c:pt>
                <c:pt idx="1735">
                  <c:v>6.9580100000000006E-2</c:v>
                </c:pt>
                <c:pt idx="1736">
                  <c:v>6.9620100000000004E-2</c:v>
                </c:pt>
                <c:pt idx="1737">
                  <c:v>6.9660100000000003E-2</c:v>
                </c:pt>
                <c:pt idx="1738">
                  <c:v>6.9700100000000001E-2</c:v>
                </c:pt>
                <c:pt idx="1739">
                  <c:v>6.9740099999999999E-2</c:v>
                </c:pt>
                <c:pt idx="1740">
                  <c:v>6.9780099999999998E-2</c:v>
                </c:pt>
                <c:pt idx="1741">
                  <c:v>6.9820099999999996E-2</c:v>
                </c:pt>
                <c:pt idx="1742">
                  <c:v>6.9860099999999994E-2</c:v>
                </c:pt>
                <c:pt idx="1743">
                  <c:v>6.9900100000000007E-2</c:v>
                </c:pt>
                <c:pt idx="1744">
                  <c:v>6.9940100000000005E-2</c:v>
                </c:pt>
                <c:pt idx="1745">
                  <c:v>6.9980100000000003E-2</c:v>
                </c:pt>
                <c:pt idx="1746">
                  <c:v>7.0020100000000002E-2</c:v>
                </c:pt>
                <c:pt idx="1747">
                  <c:v>7.00601E-2</c:v>
                </c:pt>
                <c:pt idx="1748">
                  <c:v>7.0100099999999999E-2</c:v>
                </c:pt>
                <c:pt idx="1749">
                  <c:v>7.0140099999999997E-2</c:v>
                </c:pt>
                <c:pt idx="1750">
                  <c:v>7.0180099999999995E-2</c:v>
                </c:pt>
                <c:pt idx="1751">
                  <c:v>7.0220099999999994E-2</c:v>
                </c:pt>
                <c:pt idx="1752">
                  <c:v>7.0260100000000006E-2</c:v>
                </c:pt>
                <c:pt idx="1753">
                  <c:v>7.0300100000000004E-2</c:v>
                </c:pt>
                <c:pt idx="1754">
                  <c:v>7.0340100000000003E-2</c:v>
                </c:pt>
                <c:pt idx="1755">
                  <c:v>7.0380100000000001E-2</c:v>
                </c:pt>
                <c:pt idx="1756">
                  <c:v>7.0420099999999999E-2</c:v>
                </c:pt>
                <c:pt idx="1757">
                  <c:v>7.0460099999999998E-2</c:v>
                </c:pt>
                <c:pt idx="1758">
                  <c:v>7.0500099999999996E-2</c:v>
                </c:pt>
                <c:pt idx="1759">
                  <c:v>7.0540099999999994E-2</c:v>
                </c:pt>
                <c:pt idx="1760">
                  <c:v>7.0580100000000007E-2</c:v>
                </c:pt>
                <c:pt idx="1761">
                  <c:v>7.0620100000000005E-2</c:v>
                </c:pt>
                <c:pt idx="1762">
                  <c:v>7.0660100000000003E-2</c:v>
                </c:pt>
                <c:pt idx="1763">
                  <c:v>7.0700100000000002E-2</c:v>
                </c:pt>
                <c:pt idx="1764">
                  <c:v>7.07401E-2</c:v>
                </c:pt>
                <c:pt idx="1765">
                  <c:v>7.0780099999999999E-2</c:v>
                </c:pt>
                <c:pt idx="1766">
                  <c:v>7.0820099999999997E-2</c:v>
                </c:pt>
                <c:pt idx="1767">
                  <c:v>7.0860099999999995E-2</c:v>
                </c:pt>
                <c:pt idx="1768">
                  <c:v>7.0900099999999994E-2</c:v>
                </c:pt>
                <c:pt idx="1769">
                  <c:v>7.0940100000000006E-2</c:v>
                </c:pt>
                <c:pt idx="1770">
                  <c:v>7.0980100000000004E-2</c:v>
                </c:pt>
                <c:pt idx="1771">
                  <c:v>7.1020100000000003E-2</c:v>
                </c:pt>
                <c:pt idx="1772">
                  <c:v>7.1060100000000001E-2</c:v>
                </c:pt>
                <c:pt idx="1773">
                  <c:v>7.1100099999999999E-2</c:v>
                </c:pt>
                <c:pt idx="1774">
                  <c:v>7.1140099999999998E-2</c:v>
                </c:pt>
                <c:pt idx="1775">
                  <c:v>7.1180099999999996E-2</c:v>
                </c:pt>
                <c:pt idx="1776">
                  <c:v>7.1220099999999995E-2</c:v>
                </c:pt>
                <c:pt idx="1777">
                  <c:v>7.1260100000000007E-2</c:v>
                </c:pt>
                <c:pt idx="1778">
                  <c:v>7.1300100000000005E-2</c:v>
                </c:pt>
                <c:pt idx="1779">
                  <c:v>7.1340100000000004E-2</c:v>
                </c:pt>
                <c:pt idx="1780">
                  <c:v>7.1380100000000002E-2</c:v>
                </c:pt>
                <c:pt idx="1781">
                  <c:v>7.14201E-2</c:v>
                </c:pt>
                <c:pt idx="1782">
                  <c:v>7.1460099999999999E-2</c:v>
                </c:pt>
                <c:pt idx="1783">
                  <c:v>7.1500099999999997E-2</c:v>
                </c:pt>
                <c:pt idx="1784">
                  <c:v>7.1540099999999995E-2</c:v>
                </c:pt>
                <c:pt idx="1785">
                  <c:v>7.1580099999999994E-2</c:v>
                </c:pt>
                <c:pt idx="1786">
                  <c:v>7.1620100000000006E-2</c:v>
                </c:pt>
                <c:pt idx="1787">
                  <c:v>7.1660100000000004E-2</c:v>
                </c:pt>
                <c:pt idx="1788">
                  <c:v>7.1700100000000003E-2</c:v>
                </c:pt>
                <c:pt idx="1789">
                  <c:v>7.1740100000000001E-2</c:v>
                </c:pt>
                <c:pt idx="1790">
                  <c:v>7.1780099999999999E-2</c:v>
                </c:pt>
                <c:pt idx="1791">
                  <c:v>7.1820099999999998E-2</c:v>
                </c:pt>
                <c:pt idx="1792">
                  <c:v>7.1860099999999996E-2</c:v>
                </c:pt>
                <c:pt idx="1793">
                  <c:v>7.1900099999999995E-2</c:v>
                </c:pt>
                <c:pt idx="1794">
                  <c:v>7.1940100000000007E-2</c:v>
                </c:pt>
                <c:pt idx="1795">
                  <c:v>7.1980100000000005E-2</c:v>
                </c:pt>
                <c:pt idx="1796">
                  <c:v>7.2020100000000004E-2</c:v>
                </c:pt>
                <c:pt idx="1797">
                  <c:v>7.2060100000000002E-2</c:v>
                </c:pt>
                <c:pt idx="1798">
                  <c:v>7.21001E-2</c:v>
                </c:pt>
                <c:pt idx="1799">
                  <c:v>7.2140099999999999E-2</c:v>
                </c:pt>
                <c:pt idx="1800">
                  <c:v>7.2180099999999997E-2</c:v>
                </c:pt>
                <c:pt idx="1801">
                  <c:v>7.2220099999999995E-2</c:v>
                </c:pt>
                <c:pt idx="1802">
                  <c:v>7.2260099999999994E-2</c:v>
                </c:pt>
                <c:pt idx="1803">
                  <c:v>7.2300100000000006E-2</c:v>
                </c:pt>
                <c:pt idx="1804">
                  <c:v>7.2340100000000004E-2</c:v>
                </c:pt>
                <c:pt idx="1805">
                  <c:v>7.2380100000000003E-2</c:v>
                </c:pt>
                <c:pt idx="1806">
                  <c:v>7.2420100000000001E-2</c:v>
                </c:pt>
                <c:pt idx="1807">
                  <c:v>7.24601E-2</c:v>
                </c:pt>
                <c:pt idx="1808">
                  <c:v>7.2500099999999998E-2</c:v>
                </c:pt>
                <c:pt idx="1809">
                  <c:v>7.2540099999999996E-2</c:v>
                </c:pt>
                <c:pt idx="1810">
                  <c:v>7.2580099999999995E-2</c:v>
                </c:pt>
                <c:pt idx="1811">
                  <c:v>7.2620100000000007E-2</c:v>
                </c:pt>
                <c:pt idx="1812">
                  <c:v>7.2660100000000005E-2</c:v>
                </c:pt>
                <c:pt idx="1813">
                  <c:v>7.2700100000000004E-2</c:v>
                </c:pt>
                <c:pt idx="1814">
                  <c:v>7.2740100000000002E-2</c:v>
                </c:pt>
                <c:pt idx="1815">
                  <c:v>7.27801E-2</c:v>
                </c:pt>
                <c:pt idx="1816">
                  <c:v>7.2820099999999999E-2</c:v>
                </c:pt>
                <c:pt idx="1817">
                  <c:v>7.2860099999999997E-2</c:v>
                </c:pt>
                <c:pt idx="1818">
                  <c:v>7.2900099999999995E-2</c:v>
                </c:pt>
                <c:pt idx="1819">
                  <c:v>7.2940099999999994E-2</c:v>
                </c:pt>
                <c:pt idx="1820">
                  <c:v>7.2980100000000006E-2</c:v>
                </c:pt>
                <c:pt idx="1821">
                  <c:v>7.3020100000000004E-2</c:v>
                </c:pt>
                <c:pt idx="1822">
                  <c:v>7.3060100000000003E-2</c:v>
                </c:pt>
                <c:pt idx="1823">
                  <c:v>7.3100100000000001E-2</c:v>
                </c:pt>
                <c:pt idx="1824">
                  <c:v>7.31401E-2</c:v>
                </c:pt>
                <c:pt idx="1825">
                  <c:v>7.3180099999999998E-2</c:v>
                </c:pt>
                <c:pt idx="1826">
                  <c:v>7.3220099999999996E-2</c:v>
                </c:pt>
                <c:pt idx="1827">
                  <c:v>7.3260099999999995E-2</c:v>
                </c:pt>
                <c:pt idx="1828">
                  <c:v>7.3300100000000007E-2</c:v>
                </c:pt>
                <c:pt idx="1829">
                  <c:v>7.3340100000000005E-2</c:v>
                </c:pt>
                <c:pt idx="1830">
                  <c:v>7.3380100000000004E-2</c:v>
                </c:pt>
                <c:pt idx="1831">
                  <c:v>7.3420100000000002E-2</c:v>
                </c:pt>
                <c:pt idx="1832">
                  <c:v>7.34601E-2</c:v>
                </c:pt>
                <c:pt idx="1833">
                  <c:v>7.3500099999999999E-2</c:v>
                </c:pt>
                <c:pt idx="1834">
                  <c:v>7.3540099999999997E-2</c:v>
                </c:pt>
                <c:pt idx="1835">
                  <c:v>7.3580099999999996E-2</c:v>
                </c:pt>
                <c:pt idx="1836">
                  <c:v>7.3620099999999994E-2</c:v>
                </c:pt>
                <c:pt idx="1837">
                  <c:v>7.3660100000000006E-2</c:v>
                </c:pt>
                <c:pt idx="1838">
                  <c:v>7.3700100000000004E-2</c:v>
                </c:pt>
                <c:pt idx="1839">
                  <c:v>7.3740100000000003E-2</c:v>
                </c:pt>
                <c:pt idx="1840">
                  <c:v>7.3780100000000001E-2</c:v>
                </c:pt>
                <c:pt idx="1841">
                  <c:v>7.38201E-2</c:v>
                </c:pt>
                <c:pt idx="1842">
                  <c:v>7.3860099999999998E-2</c:v>
                </c:pt>
                <c:pt idx="1843">
                  <c:v>7.3900099999999996E-2</c:v>
                </c:pt>
                <c:pt idx="1844">
                  <c:v>7.3940099999999995E-2</c:v>
                </c:pt>
                <c:pt idx="1845">
                  <c:v>7.3980099999999993E-2</c:v>
                </c:pt>
                <c:pt idx="1846">
                  <c:v>7.4020100000000005E-2</c:v>
                </c:pt>
                <c:pt idx="1847">
                  <c:v>7.4060100000000004E-2</c:v>
                </c:pt>
                <c:pt idx="1848">
                  <c:v>7.4100100000000002E-2</c:v>
                </c:pt>
                <c:pt idx="1849">
                  <c:v>7.41401E-2</c:v>
                </c:pt>
                <c:pt idx="1850">
                  <c:v>7.4180099999999999E-2</c:v>
                </c:pt>
                <c:pt idx="1851">
                  <c:v>7.4220099999999997E-2</c:v>
                </c:pt>
                <c:pt idx="1852">
                  <c:v>7.4260099999999996E-2</c:v>
                </c:pt>
                <c:pt idx="1853">
                  <c:v>7.4300099999999994E-2</c:v>
                </c:pt>
                <c:pt idx="1854">
                  <c:v>7.4340100000000006E-2</c:v>
                </c:pt>
                <c:pt idx="1855">
                  <c:v>7.4380100000000005E-2</c:v>
                </c:pt>
                <c:pt idx="1856">
                  <c:v>7.4420100000000003E-2</c:v>
                </c:pt>
                <c:pt idx="1857">
                  <c:v>7.4460100000000001E-2</c:v>
                </c:pt>
                <c:pt idx="1858">
                  <c:v>7.45001E-2</c:v>
                </c:pt>
                <c:pt idx="1859">
                  <c:v>7.4540099999999998E-2</c:v>
                </c:pt>
                <c:pt idx="1860">
                  <c:v>7.4580099999999996E-2</c:v>
                </c:pt>
                <c:pt idx="1861">
                  <c:v>7.4620099999999995E-2</c:v>
                </c:pt>
                <c:pt idx="1862">
                  <c:v>7.4660099999999993E-2</c:v>
                </c:pt>
                <c:pt idx="1863">
                  <c:v>7.4700100000000005E-2</c:v>
                </c:pt>
                <c:pt idx="1864">
                  <c:v>7.4740100000000004E-2</c:v>
                </c:pt>
                <c:pt idx="1865">
                  <c:v>7.4780100000000002E-2</c:v>
                </c:pt>
                <c:pt idx="1866">
                  <c:v>7.48201E-2</c:v>
                </c:pt>
                <c:pt idx="1867">
                  <c:v>7.4860099999999999E-2</c:v>
                </c:pt>
                <c:pt idx="1868">
                  <c:v>7.4900099999999997E-2</c:v>
                </c:pt>
                <c:pt idx="1869">
                  <c:v>7.4940099999999996E-2</c:v>
                </c:pt>
                <c:pt idx="1870">
                  <c:v>7.4980099999999994E-2</c:v>
                </c:pt>
                <c:pt idx="1871">
                  <c:v>7.5020100000000006E-2</c:v>
                </c:pt>
                <c:pt idx="1872">
                  <c:v>7.5060100000000005E-2</c:v>
                </c:pt>
                <c:pt idx="1873">
                  <c:v>7.5100100000000003E-2</c:v>
                </c:pt>
                <c:pt idx="1874">
                  <c:v>7.5140100000000001E-2</c:v>
                </c:pt>
                <c:pt idx="1875">
                  <c:v>7.51801E-2</c:v>
                </c:pt>
                <c:pt idx="1876">
                  <c:v>7.5220099999999998E-2</c:v>
                </c:pt>
                <c:pt idx="1877">
                  <c:v>7.5260099999999996E-2</c:v>
                </c:pt>
                <c:pt idx="1878">
                  <c:v>7.5300099999999995E-2</c:v>
                </c:pt>
                <c:pt idx="1879">
                  <c:v>7.5340099999999993E-2</c:v>
                </c:pt>
                <c:pt idx="1880">
                  <c:v>7.5380100000000005E-2</c:v>
                </c:pt>
                <c:pt idx="1881">
                  <c:v>7.5420100000000004E-2</c:v>
                </c:pt>
                <c:pt idx="1882">
                  <c:v>7.5460100000000002E-2</c:v>
                </c:pt>
                <c:pt idx="1883">
                  <c:v>7.5500100000000001E-2</c:v>
                </c:pt>
                <c:pt idx="1884">
                  <c:v>7.5540099999999999E-2</c:v>
                </c:pt>
                <c:pt idx="1885">
                  <c:v>7.5580099999999997E-2</c:v>
                </c:pt>
                <c:pt idx="1886">
                  <c:v>7.5620099999999996E-2</c:v>
                </c:pt>
                <c:pt idx="1887">
                  <c:v>7.5660099999999994E-2</c:v>
                </c:pt>
                <c:pt idx="1888">
                  <c:v>7.5700100000000006E-2</c:v>
                </c:pt>
                <c:pt idx="1889">
                  <c:v>7.5740100000000005E-2</c:v>
                </c:pt>
                <c:pt idx="1890">
                  <c:v>7.5780100000000003E-2</c:v>
                </c:pt>
                <c:pt idx="1891">
                  <c:v>7.5820100000000001E-2</c:v>
                </c:pt>
                <c:pt idx="1892">
                  <c:v>7.58601E-2</c:v>
                </c:pt>
                <c:pt idx="1893">
                  <c:v>7.5900099999999998E-2</c:v>
                </c:pt>
                <c:pt idx="1894">
                  <c:v>7.5940099999999996E-2</c:v>
                </c:pt>
                <c:pt idx="1895">
                  <c:v>7.5980099999999995E-2</c:v>
                </c:pt>
                <c:pt idx="1896">
                  <c:v>7.6020099999999993E-2</c:v>
                </c:pt>
                <c:pt idx="1897">
                  <c:v>7.6060100000000005E-2</c:v>
                </c:pt>
                <c:pt idx="1898">
                  <c:v>7.6100100000000004E-2</c:v>
                </c:pt>
                <c:pt idx="1899">
                  <c:v>7.6140100000000002E-2</c:v>
                </c:pt>
                <c:pt idx="1900">
                  <c:v>7.6180100000000001E-2</c:v>
                </c:pt>
                <c:pt idx="1901">
                  <c:v>7.6220099999999999E-2</c:v>
                </c:pt>
                <c:pt idx="1902">
                  <c:v>7.6260099999999997E-2</c:v>
                </c:pt>
                <c:pt idx="1903">
                  <c:v>7.6300099999999996E-2</c:v>
                </c:pt>
                <c:pt idx="1904">
                  <c:v>7.6340099999999994E-2</c:v>
                </c:pt>
                <c:pt idx="1905">
                  <c:v>7.6380100000000006E-2</c:v>
                </c:pt>
                <c:pt idx="1906">
                  <c:v>7.6420100000000005E-2</c:v>
                </c:pt>
                <c:pt idx="1907">
                  <c:v>7.6460100000000003E-2</c:v>
                </c:pt>
                <c:pt idx="1908">
                  <c:v>7.6500100000000001E-2</c:v>
                </c:pt>
                <c:pt idx="1909">
                  <c:v>7.65401E-2</c:v>
                </c:pt>
                <c:pt idx="1910">
                  <c:v>7.6580099999999998E-2</c:v>
                </c:pt>
                <c:pt idx="1911">
                  <c:v>7.6620099999999997E-2</c:v>
                </c:pt>
                <c:pt idx="1912">
                  <c:v>7.6660099999999995E-2</c:v>
                </c:pt>
                <c:pt idx="1913">
                  <c:v>7.6700099999999993E-2</c:v>
                </c:pt>
                <c:pt idx="1914">
                  <c:v>7.6740100000000006E-2</c:v>
                </c:pt>
                <c:pt idx="1915">
                  <c:v>7.6780100000000004E-2</c:v>
                </c:pt>
                <c:pt idx="1916">
                  <c:v>7.6820100000000002E-2</c:v>
                </c:pt>
                <c:pt idx="1917">
                  <c:v>7.6860100000000001E-2</c:v>
                </c:pt>
                <c:pt idx="1918">
                  <c:v>7.6900099999999999E-2</c:v>
                </c:pt>
                <c:pt idx="1919">
                  <c:v>7.6940099999999997E-2</c:v>
                </c:pt>
                <c:pt idx="1920">
                  <c:v>7.6980099999999996E-2</c:v>
                </c:pt>
                <c:pt idx="1921">
                  <c:v>7.7020099999999994E-2</c:v>
                </c:pt>
                <c:pt idx="1922">
                  <c:v>7.7060100000000006E-2</c:v>
                </c:pt>
                <c:pt idx="1923">
                  <c:v>7.7100100000000005E-2</c:v>
                </c:pt>
                <c:pt idx="1924">
                  <c:v>7.7140100000000003E-2</c:v>
                </c:pt>
                <c:pt idx="1925">
                  <c:v>7.7180100000000001E-2</c:v>
                </c:pt>
                <c:pt idx="1926">
                  <c:v>7.72201E-2</c:v>
                </c:pt>
                <c:pt idx="1927">
                  <c:v>7.7260099999999998E-2</c:v>
                </c:pt>
                <c:pt idx="1928">
                  <c:v>7.7300099999999997E-2</c:v>
                </c:pt>
                <c:pt idx="1929">
                  <c:v>7.7340099999999995E-2</c:v>
                </c:pt>
                <c:pt idx="1930">
                  <c:v>7.7380099999999993E-2</c:v>
                </c:pt>
                <c:pt idx="1931">
                  <c:v>7.7420100000000006E-2</c:v>
                </c:pt>
                <c:pt idx="1932">
                  <c:v>7.7460100000000004E-2</c:v>
                </c:pt>
                <c:pt idx="1933">
                  <c:v>7.7500100000000002E-2</c:v>
                </c:pt>
                <c:pt idx="1934">
                  <c:v>7.7540100000000001E-2</c:v>
                </c:pt>
                <c:pt idx="1935">
                  <c:v>7.7580099999999999E-2</c:v>
                </c:pt>
                <c:pt idx="1936">
                  <c:v>7.7620099999999997E-2</c:v>
                </c:pt>
                <c:pt idx="1937">
                  <c:v>7.7660099999999996E-2</c:v>
                </c:pt>
                <c:pt idx="1938">
                  <c:v>7.7700099999999994E-2</c:v>
                </c:pt>
                <c:pt idx="1939">
                  <c:v>7.7740100000000006E-2</c:v>
                </c:pt>
                <c:pt idx="1940">
                  <c:v>7.7780100000000005E-2</c:v>
                </c:pt>
                <c:pt idx="1941">
                  <c:v>7.7820100000000003E-2</c:v>
                </c:pt>
                <c:pt idx="1942">
                  <c:v>7.7860100000000002E-2</c:v>
                </c:pt>
                <c:pt idx="1943">
                  <c:v>7.79001E-2</c:v>
                </c:pt>
                <c:pt idx="1944">
                  <c:v>7.7940099999999998E-2</c:v>
                </c:pt>
                <c:pt idx="1945">
                  <c:v>7.7980099999999997E-2</c:v>
                </c:pt>
                <c:pt idx="1946">
                  <c:v>7.8020099999999995E-2</c:v>
                </c:pt>
                <c:pt idx="1947">
                  <c:v>7.8060099999999993E-2</c:v>
                </c:pt>
                <c:pt idx="1948">
                  <c:v>7.8100100000000006E-2</c:v>
                </c:pt>
                <c:pt idx="1949">
                  <c:v>7.8140100000000004E-2</c:v>
                </c:pt>
                <c:pt idx="1950">
                  <c:v>7.8180100000000002E-2</c:v>
                </c:pt>
                <c:pt idx="1951">
                  <c:v>7.8220100000000001E-2</c:v>
                </c:pt>
                <c:pt idx="1952">
                  <c:v>7.8260099999999999E-2</c:v>
                </c:pt>
                <c:pt idx="1953">
                  <c:v>7.8300099999999997E-2</c:v>
                </c:pt>
                <c:pt idx="1954">
                  <c:v>7.8340099999999996E-2</c:v>
                </c:pt>
                <c:pt idx="1955">
                  <c:v>7.8380099999999994E-2</c:v>
                </c:pt>
                <c:pt idx="1956">
                  <c:v>7.8420100000000006E-2</c:v>
                </c:pt>
                <c:pt idx="1957">
                  <c:v>7.8460100000000005E-2</c:v>
                </c:pt>
                <c:pt idx="1958">
                  <c:v>7.8500100000000003E-2</c:v>
                </c:pt>
                <c:pt idx="1959">
                  <c:v>7.8540100000000002E-2</c:v>
                </c:pt>
                <c:pt idx="1960">
                  <c:v>7.85801E-2</c:v>
                </c:pt>
                <c:pt idx="1961">
                  <c:v>7.8620099999999998E-2</c:v>
                </c:pt>
                <c:pt idx="1962">
                  <c:v>7.8660099999999997E-2</c:v>
                </c:pt>
                <c:pt idx="1963">
                  <c:v>7.8700099999999995E-2</c:v>
                </c:pt>
                <c:pt idx="1964">
                  <c:v>7.8740099999999993E-2</c:v>
                </c:pt>
                <c:pt idx="1965">
                  <c:v>7.8780100000000006E-2</c:v>
                </c:pt>
                <c:pt idx="1966">
                  <c:v>7.8820100000000004E-2</c:v>
                </c:pt>
                <c:pt idx="1967">
                  <c:v>7.8860100000000002E-2</c:v>
                </c:pt>
                <c:pt idx="1968">
                  <c:v>7.8900100000000001E-2</c:v>
                </c:pt>
                <c:pt idx="1969">
                  <c:v>7.8940099999999999E-2</c:v>
                </c:pt>
                <c:pt idx="1970">
                  <c:v>7.8980099999999998E-2</c:v>
                </c:pt>
                <c:pt idx="1971">
                  <c:v>7.9020099999999996E-2</c:v>
                </c:pt>
                <c:pt idx="1972">
                  <c:v>7.9060099999999994E-2</c:v>
                </c:pt>
                <c:pt idx="1973">
                  <c:v>7.9100100000000007E-2</c:v>
                </c:pt>
                <c:pt idx="1974">
                  <c:v>7.9140100000000005E-2</c:v>
                </c:pt>
                <c:pt idx="1975">
                  <c:v>7.9180100000000003E-2</c:v>
                </c:pt>
                <c:pt idx="1976">
                  <c:v>7.9220100000000002E-2</c:v>
                </c:pt>
                <c:pt idx="1977">
                  <c:v>7.92601E-2</c:v>
                </c:pt>
                <c:pt idx="1978">
                  <c:v>7.9300099999999998E-2</c:v>
                </c:pt>
                <c:pt idx="1979">
                  <c:v>7.9340099999999997E-2</c:v>
                </c:pt>
                <c:pt idx="1980">
                  <c:v>7.9380099999999995E-2</c:v>
                </c:pt>
                <c:pt idx="1981">
                  <c:v>7.9420099999999993E-2</c:v>
                </c:pt>
                <c:pt idx="1982">
                  <c:v>7.9460100000000006E-2</c:v>
                </c:pt>
                <c:pt idx="1983">
                  <c:v>7.9500100000000004E-2</c:v>
                </c:pt>
                <c:pt idx="1984">
                  <c:v>7.9540100000000002E-2</c:v>
                </c:pt>
                <c:pt idx="1985">
                  <c:v>7.9580100000000001E-2</c:v>
                </c:pt>
                <c:pt idx="1986">
                  <c:v>7.9620099999999999E-2</c:v>
                </c:pt>
                <c:pt idx="1987">
                  <c:v>7.9660099999999998E-2</c:v>
                </c:pt>
                <c:pt idx="1988">
                  <c:v>7.9700099999999996E-2</c:v>
                </c:pt>
                <c:pt idx="1989">
                  <c:v>7.9740099999999994E-2</c:v>
                </c:pt>
                <c:pt idx="1990">
                  <c:v>7.9780100000000007E-2</c:v>
                </c:pt>
                <c:pt idx="1991">
                  <c:v>7.9820100000000005E-2</c:v>
                </c:pt>
                <c:pt idx="1992">
                  <c:v>7.9860100000000003E-2</c:v>
                </c:pt>
                <c:pt idx="1993">
                  <c:v>7.9900100000000002E-2</c:v>
                </c:pt>
                <c:pt idx="1994">
                  <c:v>7.99401E-2</c:v>
                </c:pt>
                <c:pt idx="1995">
                  <c:v>7.9980099999999998E-2</c:v>
                </c:pt>
                <c:pt idx="1996">
                  <c:v>8.0020099999999997E-2</c:v>
                </c:pt>
                <c:pt idx="1997">
                  <c:v>8.0060099999999995E-2</c:v>
                </c:pt>
                <c:pt idx="1998">
                  <c:v>8.0100099999999994E-2</c:v>
                </c:pt>
                <c:pt idx="1999">
                  <c:v>8.0140100000000006E-2</c:v>
                </c:pt>
                <c:pt idx="2000">
                  <c:v>8.0180100000000004E-2</c:v>
                </c:pt>
                <c:pt idx="2001">
                  <c:v>8.0220100000000003E-2</c:v>
                </c:pt>
                <c:pt idx="2002">
                  <c:v>8.0260100000000001E-2</c:v>
                </c:pt>
                <c:pt idx="2003">
                  <c:v>8.0300099999999999E-2</c:v>
                </c:pt>
                <c:pt idx="2004">
                  <c:v>8.0340099999999998E-2</c:v>
                </c:pt>
                <c:pt idx="2005">
                  <c:v>8.0380099999999996E-2</c:v>
                </c:pt>
                <c:pt idx="2006">
                  <c:v>8.0420099999999994E-2</c:v>
                </c:pt>
                <c:pt idx="2007">
                  <c:v>8.0460100000000007E-2</c:v>
                </c:pt>
                <c:pt idx="2008">
                  <c:v>8.0500100000000005E-2</c:v>
                </c:pt>
                <c:pt idx="2009">
                  <c:v>8.0540100000000003E-2</c:v>
                </c:pt>
                <c:pt idx="2010">
                  <c:v>8.0580100000000002E-2</c:v>
                </c:pt>
                <c:pt idx="2011">
                  <c:v>8.06201E-2</c:v>
                </c:pt>
                <c:pt idx="2012">
                  <c:v>8.0660099999999998E-2</c:v>
                </c:pt>
                <c:pt idx="2013">
                  <c:v>8.0700099999999997E-2</c:v>
                </c:pt>
                <c:pt idx="2014">
                  <c:v>8.0740099999999995E-2</c:v>
                </c:pt>
                <c:pt idx="2015">
                  <c:v>8.0780099999999994E-2</c:v>
                </c:pt>
                <c:pt idx="2016">
                  <c:v>8.0820100000000006E-2</c:v>
                </c:pt>
                <c:pt idx="2017">
                  <c:v>8.0860100000000004E-2</c:v>
                </c:pt>
                <c:pt idx="2018">
                  <c:v>8.0900100000000003E-2</c:v>
                </c:pt>
                <c:pt idx="2019">
                  <c:v>8.0940100000000001E-2</c:v>
                </c:pt>
                <c:pt idx="2020">
                  <c:v>8.0980099999999999E-2</c:v>
                </c:pt>
                <c:pt idx="2021">
                  <c:v>8.1020099999999998E-2</c:v>
                </c:pt>
                <c:pt idx="2022">
                  <c:v>8.1060099999999996E-2</c:v>
                </c:pt>
                <c:pt idx="2023">
                  <c:v>8.1100099999999994E-2</c:v>
                </c:pt>
                <c:pt idx="2024">
                  <c:v>8.1140100000000007E-2</c:v>
                </c:pt>
                <c:pt idx="2025">
                  <c:v>8.1180100000000005E-2</c:v>
                </c:pt>
                <c:pt idx="2026">
                  <c:v>8.1220100000000003E-2</c:v>
                </c:pt>
                <c:pt idx="2027">
                  <c:v>8.1260100000000002E-2</c:v>
                </c:pt>
                <c:pt idx="2028">
                  <c:v>8.13001E-2</c:v>
                </c:pt>
                <c:pt idx="2029">
                  <c:v>8.1340099999999999E-2</c:v>
                </c:pt>
                <c:pt idx="2030">
                  <c:v>8.1380099999999997E-2</c:v>
                </c:pt>
                <c:pt idx="2031">
                  <c:v>8.1420099999999995E-2</c:v>
                </c:pt>
                <c:pt idx="2032">
                  <c:v>8.1460099999999994E-2</c:v>
                </c:pt>
                <c:pt idx="2033">
                  <c:v>8.1500100000000006E-2</c:v>
                </c:pt>
                <c:pt idx="2034">
                  <c:v>8.1540100000000004E-2</c:v>
                </c:pt>
                <c:pt idx="2035">
                  <c:v>8.1580100000000003E-2</c:v>
                </c:pt>
                <c:pt idx="2036">
                  <c:v>8.1620100000000001E-2</c:v>
                </c:pt>
                <c:pt idx="2037">
                  <c:v>8.1660099999999999E-2</c:v>
                </c:pt>
                <c:pt idx="2038">
                  <c:v>8.1700099999999998E-2</c:v>
                </c:pt>
                <c:pt idx="2039">
                  <c:v>8.1740099999999996E-2</c:v>
                </c:pt>
                <c:pt idx="2040">
                  <c:v>8.1780099999999994E-2</c:v>
                </c:pt>
                <c:pt idx="2041">
                  <c:v>8.1820100000000007E-2</c:v>
                </c:pt>
                <c:pt idx="2042">
                  <c:v>8.1860100000000005E-2</c:v>
                </c:pt>
                <c:pt idx="2043">
                  <c:v>8.1900100000000003E-2</c:v>
                </c:pt>
                <c:pt idx="2044">
                  <c:v>8.1940100000000002E-2</c:v>
                </c:pt>
                <c:pt idx="2045">
                  <c:v>8.19801E-2</c:v>
                </c:pt>
                <c:pt idx="2046">
                  <c:v>8.2020099999999999E-2</c:v>
                </c:pt>
                <c:pt idx="2047">
                  <c:v>8.2060099999999997E-2</c:v>
                </c:pt>
                <c:pt idx="2048">
                  <c:v>8.2100099999999995E-2</c:v>
                </c:pt>
                <c:pt idx="2049">
                  <c:v>8.2140099999999994E-2</c:v>
                </c:pt>
                <c:pt idx="2050">
                  <c:v>8.2180100000000006E-2</c:v>
                </c:pt>
                <c:pt idx="2051">
                  <c:v>8.2220100000000004E-2</c:v>
                </c:pt>
                <c:pt idx="2052">
                  <c:v>8.2260100000000003E-2</c:v>
                </c:pt>
                <c:pt idx="2053">
                  <c:v>8.2300100000000001E-2</c:v>
                </c:pt>
                <c:pt idx="2054">
                  <c:v>8.2340099999999999E-2</c:v>
                </c:pt>
                <c:pt idx="2055">
                  <c:v>8.2380099999999998E-2</c:v>
                </c:pt>
                <c:pt idx="2056">
                  <c:v>8.2420099999999996E-2</c:v>
                </c:pt>
                <c:pt idx="2057">
                  <c:v>8.2460099999999995E-2</c:v>
                </c:pt>
                <c:pt idx="2058">
                  <c:v>8.2500100000000007E-2</c:v>
                </c:pt>
                <c:pt idx="2059">
                  <c:v>8.2540100000000005E-2</c:v>
                </c:pt>
                <c:pt idx="2060">
                  <c:v>8.2580100000000004E-2</c:v>
                </c:pt>
                <c:pt idx="2061">
                  <c:v>8.2620100000000002E-2</c:v>
                </c:pt>
                <c:pt idx="2062">
                  <c:v>8.26601E-2</c:v>
                </c:pt>
                <c:pt idx="2063">
                  <c:v>8.2700099999999999E-2</c:v>
                </c:pt>
                <c:pt idx="2064">
                  <c:v>8.2740099999999997E-2</c:v>
                </c:pt>
                <c:pt idx="2065">
                  <c:v>8.2780099999999995E-2</c:v>
                </c:pt>
                <c:pt idx="2066">
                  <c:v>8.2820099999999994E-2</c:v>
                </c:pt>
                <c:pt idx="2067">
                  <c:v>8.2860100000000006E-2</c:v>
                </c:pt>
                <c:pt idx="2068">
                  <c:v>8.2900100000000004E-2</c:v>
                </c:pt>
                <c:pt idx="2069">
                  <c:v>8.2940100000000003E-2</c:v>
                </c:pt>
                <c:pt idx="2070">
                  <c:v>8.2980100000000001E-2</c:v>
                </c:pt>
                <c:pt idx="2071">
                  <c:v>8.3020099999999999E-2</c:v>
                </c:pt>
                <c:pt idx="2072">
                  <c:v>8.3060099999999998E-2</c:v>
                </c:pt>
                <c:pt idx="2073">
                  <c:v>8.3100099999999996E-2</c:v>
                </c:pt>
                <c:pt idx="2074">
                  <c:v>8.3140099999999995E-2</c:v>
                </c:pt>
                <c:pt idx="2075">
                  <c:v>8.3180100000000007E-2</c:v>
                </c:pt>
                <c:pt idx="2076">
                  <c:v>8.3220100000000005E-2</c:v>
                </c:pt>
                <c:pt idx="2077">
                  <c:v>8.3260100000000004E-2</c:v>
                </c:pt>
                <c:pt idx="2078">
                  <c:v>8.3300100000000002E-2</c:v>
                </c:pt>
                <c:pt idx="2079">
                  <c:v>8.33401E-2</c:v>
                </c:pt>
                <c:pt idx="2080">
                  <c:v>8.3380099999999999E-2</c:v>
                </c:pt>
                <c:pt idx="2081">
                  <c:v>8.3420099999999997E-2</c:v>
                </c:pt>
                <c:pt idx="2082">
                  <c:v>8.3460099999999995E-2</c:v>
                </c:pt>
                <c:pt idx="2083">
                  <c:v>8.3500099999999994E-2</c:v>
                </c:pt>
                <c:pt idx="2084">
                  <c:v>8.3540100000000006E-2</c:v>
                </c:pt>
                <c:pt idx="2085">
                  <c:v>8.3580100000000004E-2</c:v>
                </c:pt>
                <c:pt idx="2086">
                  <c:v>8.3620100000000003E-2</c:v>
                </c:pt>
                <c:pt idx="2087">
                  <c:v>8.3660100000000001E-2</c:v>
                </c:pt>
                <c:pt idx="2088">
                  <c:v>8.37001E-2</c:v>
                </c:pt>
                <c:pt idx="2089">
                  <c:v>8.3740099999999998E-2</c:v>
                </c:pt>
                <c:pt idx="2090">
                  <c:v>8.3780099999999996E-2</c:v>
                </c:pt>
                <c:pt idx="2091">
                  <c:v>8.3820099999999995E-2</c:v>
                </c:pt>
                <c:pt idx="2092">
                  <c:v>8.3860100000000007E-2</c:v>
                </c:pt>
                <c:pt idx="2093">
                  <c:v>8.3900100000000005E-2</c:v>
                </c:pt>
                <c:pt idx="2094">
                  <c:v>8.3940100000000004E-2</c:v>
                </c:pt>
                <c:pt idx="2095">
                  <c:v>8.3980100000000002E-2</c:v>
                </c:pt>
                <c:pt idx="2096">
                  <c:v>8.40201E-2</c:v>
                </c:pt>
                <c:pt idx="2097">
                  <c:v>8.4060099999999999E-2</c:v>
                </c:pt>
                <c:pt idx="2098">
                  <c:v>8.4100099999999997E-2</c:v>
                </c:pt>
                <c:pt idx="2099">
                  <c:v>8.4140099999999995E-2</c:v>
                </c:pt>
                <c:pt idx="2100">
                  <c:v>8.4180099999999994E-2</c:v>
                </c:pt>
                <c:pt idx="2101">
                  <c:v>8.4220100000000006E-2</c:v>
                </c:pt>
                <c:pt idx="2102">
                  <c:v>8.4260100000000004E-2</c:v>
                </c:pt>
                <c:pt idx="2103">
                  <c:v>8.4300100000000003E-2</c:v>
                </c:pt>
                <c:pt idx="2104">
                  <c:v>8.4340100000000001E-2</c:v>
                </c:pt>
                <c:pt idx="2105">
                  <c:v>8.43801E-2</c:v>
                </c:pt>
                <c:pt idx="2106">
                  <c:v>8.4420099999999998E-2</c:v>
                </c:pt>
                <c:pt idx="2107">
                  <c:v>8.4460099999999996E-2</c:v>
                </c:pt>
                <c:pt idx="2108">
                  <c:v>8.4500099999999995E-2</c:v>
                </c:pt>
                <c:pt idx="2109">
                  <c:v>8.4540100000000007E-2</c:v>
                </c:pt>
                <c:pt idx="2110">
                  <c:v>8.4580100000000005E-2</c:v>
                </c:pt>
                <c:pt idx="2111">
                  <c:v>8.4620100000000004E-2</c:v>
                </c:pt>
                <c:pt idx="2112">
                  <c:v>8.4660100000000002E-2</c:v>
                </c:pt>
                <c:pt idx="2113">
                  <c:v>8.47001E-2</c:v>
                </c:pt>
                <c:pt idx="2114">
                  <c:v>8.4740099999999999E-2</c:v>
                </c:pt>
                <c:pt idx="2115">
                  <c:v>8.4780099999999997E-2</c:v>
                </c:pt>
                <c:pt idx="2116">
                  <c:v>8.4820099999999995E-2</c:v>
                </c:pt>
                <c:pt idx="2117">
                  <c:v>8.4860099999999994E-2</c:v>
                </c:pt>
                <c:pt idx="2118">
                  <c:v>8.4900100000000006E-2</c:v>
                </c:pt>
                <c:pt idx="2119">
                  <c:v>8.4940100000000004E-2</c:v>
                </c:pt>
                <c:pt idx="2120">
                  <c:v>8.4980100000000003E-2</c:v>
                </c:pt>
                <c:pt idx="2121">
                  <c:v>8.5020100000000001E-2</c:v>
                </c:pt>
                <c:pt idx="2122">
                  <c:v>8.50601E-2</c:v>
                </c:pt>
                <c:pt idx="2123">
                  <c:v>8.5100099999999998E-2</c:v>
                </c:pt>
                <c:pt idx="2124">
                  <c:v>8.5140099999999996E-2</c:v>
                </c:pt>
                <c:pt idx="2125">
                  <c:v>8.5180099999999995E-2</c:v>
                </c:pt>
                <c:pt idx="2126">
                  <c:v>8.5220099999999993E-2</c:v>
                </c:pt>
                <c:pt idx="2127">
                  <c:v>8.5260100000000005E-2</c:v>
                </c:pt>
                <c:pt idx="2128">
                  <c:v>8.5300100000000004E-2</c:v>
                </c:pt>
                <c:pt idx="2129">
                  <c:v>8.5340100000000002E-2</c:v>
                </c:pt>
                <c:pt idx="2130">
                  <c:v>8.53801E-2</c:v>
                </c:pt>
                <c:pt idx="2131">
                  <c:v>8.5420099999999999E-2</c:v>
                </c:pt>
                <c:pt idx="2132">
                  <c:v>8.5460099999999997E-2</c:v>
                </c:pt>
                <c:pt idx="2133">
                  <c:v>8.5500099999999996E-2</c:v>
                </c:pt>
                <c:pt idx="2134">
                  <c:v>8.5540099999999994E-2</c:v>
                </c:pt>
                <c:pt idx="2135">
                  <c:v>8.5580100000000006E-2</c:v>
                </c:pt>
                <c:pt idx="2136">
                  <c:v>8.5620100000000005E-2</c:v>
                </c:pt>
                <c:pt idx="2137">
                  <c:v>8.5660100000000003E-2</c:v>
                </c:pt>
                <c:pt idx="2138">
                  <c:v>8.5700100000000001E-2</c:v>
                </c:pt>
                <c:pt idx="2139">
                  <c:v>8.57401E-2</c:v>
                </c:pt>
                <c:pt idx="2140">
                  <c:v>8.5780099999999998E-2</c:v>
                </c:pt>
                <c:pt idx="2141">
                  <c:v>8.5820099999999996E-2</c:v>
                </c:pt>
                <c:pt idx="2142">
                  <c:v>8.5860099999999995E-2</c:v>
                </c:pt>
                <c:pt idx="2143">
                  <c:v>8.5900099999999993E-2</c:v>
                </c:pt>
                <c:pt idx="2144">
                  <c:v>8.5940100000000005E-2</c:v>
                </c:pt>
                <c:pt idx="2145">
                  <c:v>8.5980100000000004E-2</c:v>
                </c:pt>
                <c:pt idx="2146">
                  <c:v>8.6020100000000002E-2</c:v>
                </c:pt>
                <c:pt idx="2147">
                  <c:v>8.60601E-2</c:v>
                </c:pt>
                <c:pt idx="2148">
                  <c:v>8.6100099999999999E-2</c:v>
                </c:pt>
                <c:pt idx="2149">
                  <c:v>8.6140099999999997E-2</c:v>
                </c:pt>
                <c:pt idx="2150">
                  <c:v>8.6180099999999996E-2</c:v>
                </c:pt>
                <c:pt idx="2151">
                  <c:v>8.6220099999999994E-2</c:v>
                </c:pt>
                <c:pt idx="2152">
                  <c:v>8.6260100000000006E-2</c:v>
                </c:pt>
                <c:pt idx="2153">
                  <c:v>8.6300100000000005E-2</c:v>
                </c:pt>
                <c:pt idx="2154">
                  <c:v>8.6340100000000003E-2</c:v>
                </c:pt>
                <c:pt idx="2155">
                  <c:v>8.6380100000000001E-2</c:v>
                </c:pt>
                <c:pt idx="2156">
                  <c:v>8.64201E-2</c:v>
                </c:pt>
                <c:pt idx="2157">
                  <c:v>8.6460099999999998E-2</c:v>
                </c:pt>
                <c:pt idx="2158">
                  <c:v>8.6500099999999996E-2</c:v>
                </c:pt>
                <c:pt idx="2159">
                  <c:v>8.6540099999999995E-2</c:v>
                </c:pt>
                <c:pt idx="2160">
                  <c:v>8.6580099999999993E-2</c:v>
                </c:pt>
                <c:pt idx="2161">
                  <c:v>8.6620100000000005E-2</c:v>
                </c:pt>
                <c:pt idx="2162">
                  <c:v>8.6660100000000004E-2</c:v>
                </c:pt>
                <c:pt idx="2163">
                  <c:v>8.6700100000000002E-2</c:v>
                </c:pt>
                <c:pt idx="2164">
                  <c:v>8.6740100000000001E-2</c:v>
                </c:pt>
                <c:pt idx="2165">
                  <c:v>8.6780099999999999E-2</c:v>
                </c:pt>
                <c:pt idx="2166">
                  <c:v>8.6820099999999997E-2</c:v>
                </c:pt>
                <c:pt idx="2167">
                  <c:v>8.6860099999999996E-2</c:v>
                </c:pt>
                <c:pt idx="2168">
                  <c:v>8.6900099999999994E-2</c:v>
                </c:pt>
                <c:pt idx="2169">
                  <c:v>8.6940100000000006E-2</c:v>
                </c:pt>
                <c:pt idx="2170">
                  <c:v>8.6980100000000005E-2</c:v>
                </c:pt>
                <c:pt idx="2171">
                  <c:v>8.7020100000000003E-2</c:v>
                </c:pt>
                <c:pt idx="2172">
                  <c:v>8.7060100000000001E-2</c:v>
                </c:pt>
                <c:pt idx="2173">
                  <c:v>8.71001E-2</c:v>
                </c:pt>
                <c:pt idx="2174">
                  <c:v>8.7140099999999998E-2</c:v>
                </c:pt>
                <c:pt idx="2175">
                  <c:v>8.7180099999999996E-2</c:v>
                </c:pt>
                <c:pt idx="2176">
                  <c:v>8.7220099999999995E-2</c:v>
                </c:pt>
                <c:pt idx="2177">
                  <c:v>8.7260099999999993E-2</c:v>
                </c:pt>
                <c:pt idx="2178">
                  <c:v>8.7300100000000005E-2</c:v>
                </c:pt>
                <c:pt idx="2179">
                  <c:v>8.7340100000000004E-2</c:v>
                </c:pt>
                <c:pt idx="2180">
                  <c:v>8.7380100000000002E-2</c:v>
                </c:pt>
                <c:pt idx="2181">
                  <c:v>8.7420100000000001E-2</c:v>
                </c:pt>
                <c:pt idx="2182">
                  <c:v>8.7460099999999999E-2</c:v>
                </c:pt>
                <c:pt idx="2183">
                  <c:v>8.7500099999999997E-2</c:v>
                </c:pt>
                <c:pt idx="2184">
                  <c:v>8.7540099999999996E-2</c:v>
                </c:pt>
                <c:pt idx="2185">
                  <c:v>8.7580099999999994E-2</c:v>
                </c:pt>
                <c:pt idx="2186">
                  <c:v>8.7620100000000006E-2</c:v>
                </c:pt>
                <c:pt idx="2187">
                  <c:v>8.7660100000000005E-2</c:v>
                </c:pt>
                <c:pt idx="2188">
                  <c:v>8.7700100000000003E-2</c:v>
                </c:pt>
                <c:pt idx="2189">
                  <c:v>8.7740100000000001E-2</c:v>
                </c:pt>
                <c:pt idx="2190">
                  <c:v>8.77801E-2</c:v>
                </c:pt>
                <c:pt idx="2191">
                  <c:v>8.7820099999999998E-2</c:v>
                </c:pt>
                <c:pt idx="2192">
                  <c:v>8.7860099999999997E-2</c:v>
                </c:pt>
                <c:pt idx="2193">
                  <c:v>8.7900099999999995E-2</c:v>
                </c:pt>
                <c:pt idx="2194">
                  <c:v>8.7940099999999993E-2</c:v>
                </c:pt>
                <c:pt idx="2195">
                  <c:v>8.7980100000000006E-2</c:v>
                </c:pt>
                <c:pt idx="2196">
                  <c:v>8.8020100000000004E-2</c:v>
                </c:pt>
                <c:pt idx="2197">
                  <c:v>8.8060100000000002E-2</c:v>
                </c:pt>
                <c:pt idx="2198">
                  <c:v>8.8100100000000001E-2</c:v>
                </c:pt>
                <c:pt idx="2199">
                  <c:v>8.8140099999999999E-2</c:v>
                </c:pt>
                <c:pt idx="2200">
                  <c:v>8.8180099999999997E-2</c:v>
                </c:pt>
                <c:pt idx="2201">
                  <c:v>8.8220099999999996E-2</c:v>
                </c:pt>
                <c:pt idx="2202">
                  <c:v>8.8260099999999994E-2</c:v>
                </c:pt>
                <c:pt idx="2203">
                  <c:v>8.8300100000000006E-2</c:v>
                </c:pt>
                <c:pt idx="2204">
                  <c:v>8.8340100000000005E-2</c:v>
                </c:pt>
                <c:pt idx="2205">
                  <c:v>8.8380100000000003E-2</c:v>
                </c:pt>
                <c:pt idx="2206">
                  <c:v>8.8420100000000001E-2</c:v>
                </c:pt>
                <c:pt idx="2207">
                  <c:v>8.84601E-2</c:v>
                </c:pt>
                <c:pt idx="2208">
                  <c:v>8.8500099999999998E-2</c:v>
                </c:pt>
                <c:pt idx="2209">
                  <c:v>8.8540099999999997E-2</c:v>
                </c:pt>
                <c:pt idx="2210">
                  <c:v>8.8580099999999995E-2</c:v>
                </c:pt>
                <c:pt idx="2211">
                  <c:v>8.8620099999999993E-2</c:v>
                </c:pt>
                <c:pt idx="2212">
                  <c:v>8.8660100000000006E-2</c:v>
                </c:pt>
                <c:pt idx="2213">
                  <c:v>8.8700100000000004E-2</c:v>
                </c:pt>
                <c:pt idx="2214">
                  <c:v>8.8740100000000002E-2</c:v>
                </c:pt>
                <c:pt idx="2215">
                  <c:v>8.8780100000000001E-2</c:v>
                </c:pt>
                <c:pt idx="2216">
                  <c:v>8.8820099999999999E-2</c:v>
                </c:pt>
                <c:pt idx="2217">
                  <c:v>8.8860099999999997E-2</c:v>
                </c:pt>
                <c:pt idx="2218">
                  <c:v>8.8900099999999996E-2</c:v>
                </c:pt>
                <c:pt idx="2219">
                  <c:v>8.8940099999999994E-2</c:v>
                </c:pt>
                <c:pt idx="2220">
                  <c:v>8.8980100000000006E-2</c:v>
                </c:pt>
                <c:pt idx="2221">
                  <c:v>8.9020100000000005E-2</c:v>
                </c:pt>
                <c:pt idx="2222">
                  <c:v>8.9060100000000003E-2</c:v>
                </c:pt>
                <c:pt idx="2223">
                  <c:v>8.9100100000000002E-2</c:v>
                </c:pt>
                <c:pt idx="2224">
                  <c:v>8.91401E-2</c:v>
                </c:pt>
                <c:pt idx="2225">
                  <c:v>8.9180099999999998E-2</c:v>
                </c:pt>
                <c:pt idx="2226">
                  <c:v>8.9220099999999997E-2</c:v>
                </c:pt>
                <c:pt idx="2227">
                  <c:v>8.9260099999999995E-2</c:v>
                </c:pt>
                <c:pt idx="2228">
                  <c:v>8.9300099999999993E-2</c:v>
                </c:pt>
                <c:pt idx="2229">
                  <c:v>8.9340100000000006E-2</c:v>
                </c:pt>
                <c:pt idx="2230">
                  <c:v>8.9380100000000004E-2</c:v>
                </c:pt>
                <c:pt idx="2231">
                  <c:v>8.9420100000000002E-2</c:v>
                </c:pt>
                <c:pt idx="2232">
                  <c:v>8.9460100000000001E-2</c:v>
                </c:pt>
                <c:pt idx="2233">
                  <c:v>8.9500099999999999E-2</c:v>
                </c:pt>
                <c:pt idx="2234">
                  <c:v>8.9540099999999997E-2</c:v>
                </c:pt>
                <c:pt idx="2235">
                  <c:v>8.9580099999999996E-2</c:v>
                </c:pt>
                <c:pt idx="2236">
                  <c:v>8.9620099999999994E-2</c:v>
                </c:pt>
                <c:pt idx="2237">
                  <c:v>8.9660100000000006E-2</c:v>
                </c:pt>
                <c:pt idx="2238">
                  <c:v>8.9700100000000005E-2</c:v>
                </c:pt>
                <c:pt idx="2239">
                  <c:v>8.9740100000000003E-2</c:v>
                </c:pt>
                <c:pt idx="2240">
                  <c:v>8.9780100000000002E-2</c:v>
                </c:pt>
                <c:pt idx="2241">
                  <c:v>8.98201E-2</c:v>
                </c:pt>
                <c:pt idx="2242">
                  <c:v>8.9860099999999998E-2</c:v>
                </c:pt>
                <c:pt idx="2243">
                  <c:v>8.9900099999999997E-2</c:v>
                </c:pt>
                <c:pt idx="2244">
                  <c:v>8.9940099999999995E-2</c:v>
                </c:pt>
                <c:pt idx="2245">
                  <c:v>8.9980099999999993E-2</c:v>
                </c:pt>
                <c:pt idx="2246">
                  <c:v>9.0020100000000006E-2</c:v>
                </c:pt>
                <c:pt idx="2247">
                  <c:v>9.0060100000000004E-2</c:v>
                </c:pt>
                <c:pt idx="2248">
                  <c:v>9.0100100000000002E-2</c:v>
                </c:pt>
                <c:pt idx="2249">
                  <c:v>9.0140100000000001E-2</c:v>
                </c:pt>
                <c:pt idx="2250">
                  <c:v>9.0180099999999999E-2</c:v>
                </c:pt>
                <c:pt idx="2251">
                  <c:v>9.0220099999999998E-2</c:v>
                </c:pt>
                <c:pt idx="2252">
                  <c:v>9.0260099999999996E-2</c:v>
                </c:pt>
                <c:pt idx="2253">
                  <c:v>9.0300099999999994E-2</c:v>
                </c:pt>
                <c:pt idx="2254">
                  <c:v>9.0340100000000007E-2</c:v>
                </c:pt>
                <c:pt idx="2255">
                  <c:v>9.0380100000000005E-2</c:v>
                </c:pt>
                <c:pt idx="2256">
                  <c:v>9.0420100000000003E-2</c:v>
                </c:pt>
                <c:pt idx="2257">
                  <c:v>9.0460100000000002E-2</c:v>
                </c:pt>
                <c:pt idx="2258">
                  <c:v>9.05001E-2</c:v>
                </c:pt>
                <c:pt idx="2259">
                  <c:v>9.0540099999999998E-2</c:v>
                </c:pt>
                <c:pt idx="2260">
                  <c:v>9.0580099999999997E-2</c:v>
                </c:pt>
                <c:pt idx="2261">
                  <c:v>9.0620099999999995E-2</c:v>
                </c:pt>
                <c:pt idx="2262">
                  <c:v>9.0660099999999993E-2</c:v>
                </c:pt>
                <c:pt idx="2263">
                  <c:v>9.0700100000000006E-2</c:v>
                </c:pt>
                <c:pt idx="2264">
                  <c:v>9.0740100000000004E-2</c:v>
                </c:pt>
                <c:pt idx="2265">
                  <c:v>9.0780100000000002E-2</c:v>
                </c:pt>
                <c:pt idx="2266">
                  <c:v>9.0820100000000001E-2</c:v>
                </c:pt>
                <c:pt idx="2267">
                  <c:v>9.0860099999999999E-2</c:v>
                </c:pt>
                <c:pt idx="2268">
                  <c:v>9.0900099999999998E-2</c:v>
                </c:pt>
                <c:pt idx="2269">
                  <c:v>9.0940099999999996E-2</c:v>
                </c:pt>
                <c:pt idx="2270">
                  <c:v>9.0980099999999994E-2</c:v>
                </c:pt>
                <c:pt idx="2271">
                  <c:v>9.1020100000000007E-2</c:v>
                </c:pt>
                <c:pt idx="2272">
                  <c:v>9.1060100000000005E-2</c:v>
                </c:pt>
                <c:pt idx="2273">
                  <c:v>9.1100100000000003E-2</c:v>
                </c:pt>
                <c:pt idx="2274">
                  <c:v>9.1140100000000002E-2</c:v>
                </c:pt>
                <c:pt idx="2275">
                  <c:v>9.11801E-2</c:v>
                </c:pt>
                <c:pt idx="2276">
                  <c:v>9.1220099999999998E-2</c:v>
                </c:pt>
                <c:pt idx="2277">
                  <c:v>9.1260099999999997E-2</c:v>
                </c:pt>
                <c:pt idx="2278">
                  <c:v>9.1300099999999995E-2</c:v>
                </c:pt>
                <c:pt idx="2279">
                  <c:v>9.1340099999999994E-2</c:v>
                </c:pt>
                <c:pt idx="2280">
                  <c:v>9.1380100000000006E-2</c:v>
                </c:pt>
                <c:pt idx="2281">
                  <c:v>9.1420100000000004E-2</c:v>
                </c:pt>
                <c:pt idx="2282">
                  <c:v>9.1460100000000003E-2</c:v>
                </c:pt>
                <c:pt idx="2283">
                  <c:v>9.1500100000000001E-2</c:v>
                </c:pt>
                <c:pt idx="2284">
                  <c:v>9.1540099999999999E-2</c:v>
                </c:pt>
                <c:pt idx="2285">
                  <c:v>9.1580099999999998E-2</c:v>
                </c:pt>
                <c:pt idx="2286">
                  <c:v>9.1620099999999996E-2</c:v>
                </c:pt>
                <c:pt idx="2287">
                  <c:v>9.1660099999999994E-2</c:v>
                </c:pt>
                <c:pt idx="2288">
                  <c:v>9.1700100000000007E-2</c:v>
                </c:pt>
                <c:pt idx="2289">
                  <c:v>9.1740100000000005E-2</c:v>
                </c:pt>
                <c:pt idx="2290">
                  <c:v>9.1780100000000003E-2</c:v>
                </c:pt>
                <c:pt idx="2291">
                  <c:v>9.1820100000000002E-2</c:v>
                </c:pt>
                <c:pt idx="2292">
                  <c:v>9.18601E-2</c:v>
                </c:pt>
                <c:pt idx="2293">
                  <c:v>9.1900099999999998E-2</c:v>
                </c:pt>
                <c:pt idx="2294">
                  <c:v>9.1940099999999997E-2</c:v>
                </c:pt>
                <c:pt idx="2295">
                  <c:v>9.1980099999999995E-2</c:v>
                </c:pt>
                <c:pt idx="2296">
                  <c:v>9.2020099999999994E-2</c:v>
                </c:pt>
                <c:pt idx="2297">
                  <c:v>9.2060100000000006E-2</c:v>
                </c:pt>
                <c:pt idx="2298">
                  <c:v>9.2100100000000004E-2</c:v>
                </c:pt>
                <c:pt idx="2299">
                  <c:v>9.2140100000000003E-2</c:v>
                </c:pt>
                <c:pt idx="2300">
                  <c:v>9.2180100000000001E-2</c:v>
                </c:pt>
                <c:pt idx="2301">
                  <c:v>9.2220099999999999E-2</c:v>
                </c:pt>
                <c:pt idx="2302">
                  <c:v>9.2260099999999998E-2</c:v>
                </c:pt>
                <c:pt idx="2303">
                  <c:v>9.2300099999999996E-2</c:v>
                </c:pt>
                <c:pt idx="2304">
                  <c:v>9.2340099999999994E-2</c:v>
                </c:pt>
                <c:pt idx="2305">
                  <c:v>9.2380100000000007E-2</c:v>
                </c:pt>
                <c:pt idx="2306">
                  <c:v>9.2420100000000005E-2</c:v>
                </c:pt>
                <c:pt idx="2307">
                  <c:v>9.2460100000000003E-2</c:v>
                </c:pt>
                <c:pt idx="2308">
                  <c:v>9.2500100000000002E-2</c:v>
                </c:pt>
                <c:pt idx="2309">
                  <c:v>9.25401E-2</c:v>
                </c:pt>
                <c:pt idx="2310">
                  <c:v>9.2580099999999999E-2</c:v>
                </c:pt>
                <c:pt idx="2311">
                  <c:v>9.2620099999999997E-2</c:v>
                </c:pt>
                <c:pt idx="2312">
                  <c:v>9.2660099999999995E-2</c:v>
                </c:pt>
                <c:pt idx="2313">
                  <c:v>9.2700099999999994E-2</c:v>
                </c:pt>
                <c:pt idx="2314">
                  <c:v>9.2740100000000006E-2</c:v>
                </c:pt>
                <c:pt idx="2315">
                  <c:v>9.2780100000000004E-2</c:v>
                </c:pt>
                <c:pt idx="2316">
                  <c:v>9.2820100000000003E-2</c:v>
                </c:pt>
                <c:pt idx="2317">
                  <c:v>9.2860100000000001E-2</c:v>
                </c:pt>
                <c:pt idx="2318">
                  <c:v>9.2900099999999999E-2</c:v>
                </c:pt>
                <c:pt idx="2319">
                  <c:v>9.2940099999999998E-2</c:v>
                </c:pt>
                <c:pt idx="2320">
                  <c:v>9.2980099999999996E-2</c:v>
                </c:pt>
                <c:pt idx="2321">
                  <c:v>9.3020099999999994E-2</c:v>
                </c:pt>
                <c:pt idx="2322">
                  <c:v>9.3060100000000007E-2</c:v>
                </c:pt>
                <c:pt idx="2323">
                  <c:v>9.3100100000000005E-2</c:v>
                </c:pt>
                <c:pt idx="2324">
                  <c:v>9.3140100000000003E-2</c:v>
                </c:pt>
                <c:pt idx="2325">
                  <c:v>9.3180100000000002E-2</c:v>
                </c:pt>
                <c:pt idx="2326">
                  <c:v>9.32201E-2</c:v>
                </c:pt>
                <c:pt idx="2327">
                  <c:v>9.3260099999999999E-2</c:v>
                </c:pt>
                <c:pt idx="2328">
                  <c:v>9.3300099999999997E-2</c:v>
                </c:pt>
                <c:pt idx="2329">
                  <c:v>9.3340099999999995E-2</c:v>
                </c:pt>
                <c:pt idx="2330">
                  <c:v>9.3380099999999994E-2</c:v>
                </c:pt>
                <c:pt idx="2331">
                  <c:v>9.3420100000000006E-2</c:v>
                </c:pt>
                <c:pt idx="2332">
                  <c:v>9.3460100000000004E-2</c:v>
                </c:pt>
                <c:pt idx="2333">
                  <c:v>9.3500100000000003E-2</c:v>
                </c:pt>
                <c:pt idx="2334">
                  <c:v>9.3540100000000001E-2</c:v>
                </c:pt>
                <c:pt idx="2335">
                  <c:v>9.3580099999999999E-2</c:v>
                </c:pt>
                <c:pt idx="2336">
                  <c:v>9.3620099999999998E-2</c:v>
                </c:pt>
                <c:pt idx="2337">
                  <c:v>9.3660099999999996E-2</c:v>
                </c:pt>
                <c:pt idx="2338">
                  <c:v>9.3700099999999995E-2</c:v>
                </c:pt>
                <c:pt idx="2339">
                  <c:v>9.3740100000000007E-2</c:v>
                </c:pt>
                <c:pt idx="2340">
                  <c:v>9.3780100000000005E-2</c:v>
                </c:pt>
                <c:pt idx="2341">
                  <c:v>9.3820100000000003E-2</c:v>
                </c:pt>
                <c:pt idx="2342">
                  <c:v>9.3860100000000002E-2</c:v>
                </c:pt>
                <c:pt idx="2343">
                  <c:v>9.39001E-2</c:v>
                </c:pt>
                <c:pt idx="2344">
                  <c:v>9.3940099999999999E-2</c:v>
                </c:pt>
                <c:pt idx="2345">
                  <c:v>9.3980099999999997E-2</c:v>
                </c:pt>
                <c:pt idx="2346">
                  <c:v>9.4020099999999995E-2</c:v>
                </c:pt>
                <c:pt idx="2347">
                  <c:v>9.4060099999999994E-2</c:v>
                </c:pt>
                <c:pt idx="2348">
                  <c:v>9.4100100000000006E-2</c:v>
                </c:pt>
                <c:pt idx="2349">
                  <c:v>9.4140100000000004E-2</c:v>
                </c:pt>
                <c:pt idx="2350">
                  <c:v>9.4180100000000003E-2</c:v>
                </c:pt>
                <c:pt idx="2351">
                  <c:v>9.4220100000000001E-2</c:v>
                </c:pt>
                <c:pt idx="2352">
                  <c:v>9.4260099999999999E-2</c:v>
                </c:pt>
                <c:pt idx="2353">
                  <c:v>9.4300099999999998E-2</c:v>
                </c:pt>
                <c:pt idx="2354">
                  <c:v>9.4340099999999996E-2</c:v>
                </c:pt>
                <c:pt idx="2355">
                  <c:v>9.4380099999999995E-2</c:v>
                </c:pt>
                <c:pt idx="2356">
                  <c:v>9.4420100000000007E-2</c:v>
                </c:pt>
                <c:pt idx="2357">
                  <c:v>9.4460100000000005E-2</c:v>
                </c:pt>
                <c:pt idx="2358">
                  <c:v>9.4500100000000004E-2</c:v>
                </c:pt>
                <c:pt idx="2359">
                  <c:v>9.4540100000000002E-2</c:v>
                </c:pt>
                <c:pt idx="2360">
                  <c:v>9.45801E-2</c:v>
                </c:pt>
                <c:pt idx="2361">
                  <c:v>9.4620099999999999E-2</c:v>
                </c:pt>
                <c:pt idx="2362">
                  <c:v>9.4660099999999997E-2</c:v>
                </c:pt>
                <c:pt idx="2363">
                  <c:v>9.4700099999999995E-2</c:v>
                </c:pt>
                <c:pt idx="2364">
                  <c:v>9.4740099999999994E-2</c:v>
                </c:pt>
                <c:pt idx="2365">
                  <c:v>9.4780100000000006E-2</c:v>
                </c:pt>
                <c:pt idx="2366">
                  <c:v>9.4820100000000004E-2</c:v>
                </c:pt>
                <c:pt idx="2367">
                  <c:v>9.4860100000000003E-2</c:v>
                </c:pt>
                <c:pt idx="2368">
                  <c:v>9.4900100000000001E-2</c:v>
                </c:pt>
                <c:pt idx="2369">
                  <c:v>9.4940099999999999E-2</c:v>
                </c:pt>
                <c:pt idx="2370">
                  <c:v>9.4980099999999998E-2</c:v>
                </c:pt>
                <c:pt idx="2371">
                  <c:v>9.5020099999999996E-2</c:v>
                </c:pt>
                <c:pt idx="2372">
                  <c:v>9.5060099999999995E-2</c:v>
                </c:pt>
                <c:pt idx="2373">
                  <c:v>9.5100100000000007E-2</c:v>
                </c:pt>
                <c:pt idx="2374">
                  <c:v>9.5140100000000005E-2</c:v>
                </c:pt>
                <c:pt idx="2375">
                  <c:v>9.5180100000000004E-2</c:v>
                </c:pt>
                <c:pt idx="2376">
                  <c:v>9.5220100000000002E-2</c:v>
                </c:pt>
                <c:pt idx="2377">
                  <c:v>9.52601E-2</c:v>
                </c:pt>
                <c:pt idx="2378">
                  <c:v>9.5300099999999999E-2</c:v>
                </c:pt>
                <c:pt idx="2379">
                  <c:v>9.5340099999999997E-2</c:v>
                </c:pt>
                <c:pt idx="2380">
                  <c:v>9.5380099999999995E-2</c:v>
                </c:pt>
                <c:pt idx="2381">
                  <c:v>9.5420099999999994E-2</c:v>
                </c:pt>
                <c:pt idx="2382">
                  <c:v>9.5460100000000006E-2</c:v>
                </c:pt>
                <c:pt idx="2383">
                  <c:v>9.5500100000000004E-2</c:v>
                </c:pt>
                <c:pt idx="2384">
                  <c:v>9.5540100000000003E-2</c:v>
                </c:pt>
                <c:pt idx="2385">
                  <c:v>9.5580100000000001E-2</c:v>
                </c:pt>
                <c:pt idx="2386">
                  <c:v>9.56201E-2</c:v>
                </c:pt>
                <c:pt idx="2387">
                  <c:v>9.5660099999999998E-2</c:v>
                </c:pt>
                <c:pt idx="2388">
                  <c:v>9.5700099999999996E-2</c:v>
                </c:pt>
                <c:pt idx="2389">
                  <c:v>9.5740099999999995E-2</c:v>
                </c:pt>
                <c:pt idx="2390">
                  <c:v>9.5780100000000007E-2</c:v>
                </c:pt>
                <c:pt idx="2391">
                  <c:v>9.5820100000000005E-2</c:v>
                </c:pt>
                <c:pt idx="2392">
                  <c:v>9.5860100000000004E-2</c:v>
                </c:pt>
                <c:pt idx="2393">
                  <c:v>9.5900100000000002E-2</c:v>
                </c:pt>
                <c:pt idx="2394">
                  <c:v>9.59401E-2</c:v>
                </c:pt>
                <c:pt idx="2395">
                  <c:v>9.5980099999999999E-2</c:v>
                </c:pt>
                <c:pt idx="2396">
                  <c:v>9.6020099999999997E-2</c:v>
                </c:pt>
                <c:pt idx="2397">
                  <c:v>9.6060099999999995E-2</c:v>
                </c:pt>
                <c:pt idx="2398">
                  <c:v>9.6100099999999994E-2</c:v>
                </c:pt>
                <c:pt idx="2399">
                  <c:v>9.6140100000000006E-2</c:v>
                </c:pt>
                <c:pt idx="2400">
                  <c:v>9.6180100000000004E-2</c:v>
                </c:pt>
                <c:pt idx="2401">
                  <c:v>9.6220100000000003E-2</c:v>
                </c:pt>
                <c:pt idx="2402">
                  <c:v>9.6260100000000001E-2</c:v>
                </c:pt>
                <c:pt idx="2403">
                  <c:v>9.63001E-2</c:v>
                </c:pt>
                <c:pt idx="2404">
                  <c:v>9.6340099999999998E-2</c:v>
                </c:pt>
                <c:pt idx="2405">
                  <c:v>9.6380099999999996E-2</c:v>
                </c:pt>
                <c:pt idx="2406">
                  <c:v>9.6420099999999995E-2</c:v>
                </c:pt>
                <c:pt idx="2407">
                  <c:v>9.6460099999999993E-2</c:v>
                </c:pt>
                <c:pt idx="2408">
                  <c:v>9.6500100000000005E-2</c:v>
                </c:pt>
                <c:pt idx="2409">
                  <c:v>9.6540100000000004E-2</c:v>
                </c:pt>
                <c:pt idx="2410">
                  <c:v>9.6580100000000002E-2</c:v>
                </c:pt>
                <c:pt idx="2411">
                  <c:v>9.66201E-2</c:v>
                </c:pt>
                <c:pt idx="2412">
                  <c:v>9.6660099999999999E-2</c:v>
                </c:pt>
                <c:pt idx="2413">
                  <c:v>9.6700099999999997E-2</c:v>
                </c:pt>
                <c:pt idx="2414">
                  <c:v>9.6740099999999996E-2</c:v>
                </c:pt>
                <c:pt idx="2415">
                  <c:v>9.6780099999999994E-2</c:v>
                </c:pt>
                <c:pt idx="2416">
                  <c:v>9.6820100000000006E-2</c:v>
                </c:pt>
                <c:pt idx="2417">
                  <c:v>9.6860100000000005E-2</c:v>
                </c:pt>
                <c:pt idx="2418">
                  <c:v>9.6900100000000003E-2</c:v>
                </c:pt>
                <c:pt idx="2419">
                  <c:v>9.6940100000000001E-2</c:v>
                </c:pt>
                <c:pt idx="2420">
                  <c:v>9.69801E-2</c:v>
                </c:pt>
                <c:pt idx="2421">
                  <c:v>9.7020099999999998E-2</c:v>
                </c:pt>
                <c:pt idx="2422">
                  <c:v>9.7060099999999996E-2</c:v>
                </c:pt>
                <c:pt idx="2423">
                  <c:v>9.7100099999999995E-2</c:v>
                </c:pt>
                <c:pt idx="2424">
                  <c:v>9.7140099999999993E-2</c:v>
                </c:pt>
                <c:pt idx="2425">
                  <c:v>9.7180100000000005E-2</c:v>
                </c:pt>
                <c:pt idx="2426">
                  <c:v>9.7220100000000004E-2</c:v>
                </c:pt>
                <c:pt idx="2427">
                  <c:v>9.7260100000000002E-2</c:v>
                </c:pt>
                <c:pt idx="2428">
                  <c:v>9.73001E-2</c:v>
                </c:pt>
                <c:pt idx="2429">
                  <c:v>9.7340099999999999E-2</c:v>
                </c:pt>
                <c:pt idx="2430">
                  <c:v>9.7380099999999997E-2</c:v>
                </c:pt>
                <c:pt idx="2431">
                  <c:v>9.7420099999999996E-2</c:v>
                </c:pt>
                <c:pt idx="2432">
                  <c:v>9.7460099999999994E-2</c:v>
                </c:pt>
                <c:pt idx="2433">
                  <c:v>9.7500100000000006E-2</c:v>
                </c:pt>
                <c:pt idx="2434">
                  <c:v>9.7540100000000005E-2</c:v>
                </c:pt>
                <c:pt idx="2435">
                  <c:v>9.7580100000000003E-2</c:v>
                </c:pt>
                <c:pt idx="2436">
                  <c:v>9.7620100000000001E-2</c:v>
                </c:pt>
                <c:pt idx="2437">
                  <c:v>9.76601E-2</c:v>
                </c:pt>
                <c:pt idx="2438">
                  <c:v>9.7700099999999998E-2</c:v>
                </c:pt>
                <c:pt idx="2439">
                  <c:v>9.7740099999999996E-2</c:v>
                </c:pt>
                <c:pt idx="2440">
                  <c:v>9.7780099999999995E-2</c:v>
                </c:pt>
                <c:pt idx="2441">
                  <c:v>9.7820099999999993E-2</c:v>
                </c:pt>
                <c:pt idx="2442">
                  <c:v>9.7860100000000005E-2</c:v>
                </c:pt>
                <c:pt idx="2443">
                  <c:v>9.7900100000000004E-2</c:v>
                </c:pt>
                <c:pt idx="2444">
                  <c:v>9.7940100000000002E-2</c:v>
                </c:pt>
                <c:pt idx="2445">
                  <c:v>9.7980100000000001E-2</c:v>
                </c:pt>
                <c:pt idx="2446">
                  <c:v>9.8020099999999999E-2</c:v>
                </c:pt>
                <c:pt idx="2447">
                  <c:v>9.8060099999999997E-2</c:v>
                </c:pt>
                <c:pt idx="2448">
                  <c:v>9.8100099999999996E-2</c:v>
                </c:pt>
                <c:pt idx="2449">
                  <c:v>9.8140099999999994E-2</c:v>
                </c:pt>
                <c:pt idx="2450">
                  <c:v>9.8180100000000006E-2</c:v>
                </c:pt>
                <c:pt idx="2451">
                  <c:v>9.8220100000000005E-2</c:v>
                </c:pt>
                <c:pt idx="2452">
                  <c:v>9.8260100000000003E-2</c:v>
                </c:pt>
                <c:pt idx="2453">
                  <c:v>9.8300100000000001E-2</c:v>
                </c:pt>
                <c:pt idx="2454">
                  <c:v>9.83401E-2</c:v>
                </c:pt>
                <c:pt idx="2455">
                  <c:v>9.8380099999999998E-2</c:v>
                </c:pt>
                <c:pt idx="2456">
                  <c:v>9.8420099999999996E-2</c:v>
                </c:pt>
                <c:pt idx="2457">
                  <c:v>9.8460099999999995E-2</c:v>
                </c:pt>
                <c:pt idx="2458">
                  <c:v>9.8500099999999993E-2</c:v>
                </c:pt>
                <c:pt idx="2459">
                  <c:v>9.8540100000000005E-2</c:v>
                </c:pt>
                <c:pt idx="2460">
                  <c:v>9.8580100000000004E-2</c:v>
                </c:pt>
                <c:pt idx="2461">
                  <c:v>9.8620100000000002E-2</c:v>
                </c:pt>
                <c:pt idx="2462">
                  <c:v>9.8660100000000001E-2</c:v>
                </c:pt>
                <c:pt idx="2463">
                  <c:v>9.8700099999999999E-2</c:v>
                </c:pt>
                <c:pt idx="2464">
                  <c:v>9.8740099999999997E-2</c:v>
                </c:pt>
                <c:pt idx="2465">
                  <c:v>9.8780099999999996E-2</c:v>
                </c:pt>
                <c:pt idx="2466">
                  <c:v>9.8820099999999994E-2</c:v>
                </c:pt>
                <c:pt idx="2467">
                  <c:v>9.8860100000000006E-2</c:v>
                </c:pt>
                <c:pt idx="2468">
                  <c:v>9.8900100000000005E-2</c:v>
                </c:pt>
                <c:pt idx="2469">
                  <c:v>9.8940100000000003E-2</c:v>
                </c:pt>
                <c:pt idx="2470">
                  <c:v>9.8980100000000001E-2</c:v>
                </c:pt>
                <c:pt idx="2471">
                  <c:v>9.90201E-2</c:v>
                </c:pt>
                <c:pt idx="2472">
                  <c:v>9.9060099999999998E-2</c:v>
                </c:pt>
                <c:pt idx="2473">
                  <c:v>9.9100099999999997E-2</c:v>
                </c:pt>
                <c:pt idx="2474">
                  <c:v>9.9140099999999995E-2</c:v>
                </c:pt>
                <c:pt idx="2475">
                  <c:v>9.9180099999999993E-2</c:v>
                </c:pt>
                <c:pt idx="2476">
                  <c:v>9.9220100000000006E-2</c:v>
                </c:pt>
                <c:pt idx="2477">
                  <c:v>9.9260100000000004E-2</c:v>
                </c:pt>
                <c:pt idx="2478">
                  <c:v>9.9300100000000002E-2</c:v>
                </c:pt>
                <c:pt idx="2479">
                  <c:v>9.9340100000000001E-2</c:v>
                </c:pt>
                <c:pt idx="2480">
                  <c:v>9.9380099999999999E-2</c:v>
                </c:pt>
                <c:pt idx="2481">
                  <c:v>9.9420099999999997E-2</c:v>
                </c:pt>
                <c:pt idx="2482">
                  <c:v>9.9460099999999996E-2</c:v>
                </c:pt>
                <c:pt idx="2483">
                  <c:v>9.9500099999999994E-2</c:v>
                </c:pt>
                <c:pt idx="2484">
                  <c:v>9.9540100000000006E-2</c:v>
                </c:pt>
                <c:pt idx="2485">
                  <c:v>9.9580100000000005E-2</c:v>
                </c:pt>
                <c:pt idx="2486">
                  <c:v>9.9620100000000003E-2</c:v>
                </c:pt>
                <c:pt idx="2487">
                  <c:v>9.9660100000000001E-2</c:v>
                </c:pt>
                <c:pt idx="2488">
                  <c:v>9.97001E-2</c:v>
                </c:pt>
                <c:pt idx="2489">
                  <c:v>9.9740099999999998E-2</c:v>
                </c:pt>
                <c:pt idx="2490">
                  <c:v>9.9780099999999997E-2</c:v>
                </c:pt>
                <c:pt idx="2491">
                  <c:v>9.9820099999999995E-2</c:v>
                </c:pt>
                <c:pt idx="2492">
                  <c:v>9.9860099999999993E-2</c:v>
                </c:pt>
                <c:pt idx="2493">
                  <c:v>9.9900100000000006E-2</c:v>
                </c:pt>
                <c:pt idx="2494">
                  <c:v>9.9940100000000004E-2</c:v>
                </c:pt>
                <c:pt idx="2495">
                  <c:v>9.9980100000000002E-2</c:v>
                </c:pt>
                <c:pt idx="2496">
                  <c:v>0.10002</c:v>
                </c:pt>
                <c:pt idx="2497">
                  <c:v>0.10006</c:v>
                </c:pt>
                <c:pt idx="2498">
                  <c:v>0.10009999999999999</c:v>
                </c:pt>
                <c:pt idx="2499">
                  <c:v>0.10014000000000001</c:v>
                </c:pt>
                <c:pt idx="2500">
                  <c:v>0.10018000000000001</c:v>
                </c:pt>
                <c:pt idx="2501">
                  <c:v>0.10022</c:v>
                </c:pt>
                <c:pt idx="2502">
                  <c:v>0.10026</c:v>
                </c:pt>
                <c:pt idx="2503">
                  <c:v>0.1003</c:v>
                </c:pt>
                <c:pt idx="2504">
                  <c:v>0.10034</c:v>
                </c:pt>
                <c:pt idx="2505">
                  <c:v>0.10038</c:v>
                </c:pt>
                <c:pt idx="2506">
                  <c:v>0.10042</c:v>
                </c:pt>
                <c:pt idx="2507">
                  <c:v>0.10045999999999999</c:v>
                </c:pt>
                <c:pt idx="2508">
                  <c:v>0.10050000000000001</c:v>
                </c:pt>
                <c:pt idx="2509">
                  <c:v>0.10054</c:v>
                </c:pt>
                <c:pt idx="2510">
                  <c:v>0.10058</c:v>
                </c:pt>
                <c:pt idx="2511">
                  <c:v>0.10062</c:v>
                </c:pt>
                <c:pt idx="2512">
                  <c:v>0.10066</c:v>
                </c:pt>
                <c:pt idx="2513">
                  <c:v>0.1007</c:v>
                </c:pt>
                <c:pt idx="2514">
                  <c:v>0.10074</c:v>
                </c:pt>
                <c:pt idx="2515">
                  <c:v>0.10077999999999999</c:v>
                </c:pt>
                <c:pt idx="2516">
                  <c:v>0.10082000000000001</c:v>
                </c:pt>
                <c:pt idx="2517">
                  <c:v>0.10086000000000001</c:v>
                </c:pt>
                <c:pt idx="2518">
                  <c:v>0.1009</c:v>
                </c:pt>
                <c:pt idx="2519">
                  <c:v>0.10094</c:v>
                </c:pt>
                <c:pt idx="2520">
                  <c:v>0.10098</c:v>
                </c:pt>
                <c:pt idx="2521">
                  <c:v>0.10102</c:v>
                </c:pt>
                <c:pt idx="2522">
                  <c:v>0.10106</c:v>
                </c:pt>
                <c:pt idx="2523">
                  <c:v>0.1011</c:v>
                </c:pt>
                <c:pt idx="2524">
                  <c:v>0.10113999999999999</c:v>
                </c:pt>
                <c:pt idx="2525">
                  <c:v>0.10118000000000001</c:v>
                </c:pt>
                <c:pt idx="2526">
                  <c:v>0.10122</c:v>
                </c:pt>
                <c:pt idx="2527">
                  <c:v>0.10126</c:v>
                </c:pt>
                <c:pt idx="2528">
                  <c:v>0.1013</c:v>
                </c:pt>
                <c:pt idx="2529">
                  <c:v>0.10134</c:v>
                </c:pt>
                <c:pt idx="2530">
                  <c:v>0.10138</c:v>
                </c:pt>
                <c:pt idx="2531">
                  <c:v>0.10142</c:v>
                </c:pt>
                <c:pt idx="2532">
                  <c:v>0.10145999999999999</c:v>
                </c:pt>
                <c:pt idx="2533">
                  <c:v>0.10150000000000001</c:v>
                </c:pt>
                <c:pt idx="2534">
                  <c:v>0.10154000000000001</c:v>
                </c:pt>
                <c:pt idx="2535">
                  <c:v>0.10158</c:v>
                </c:pt>
                <c:pt idx="2536">
                  <c:v>0.10162</c:v>
                </c:pt>
                <c:pt idx="2537">
                  <c:v>0.10166</c:v>
                </c:pt>
                <c:pt idx="2538">
                  <c:v>0.1017</c:v>
                </c:pt>
                <c:pt idx="2539">
                  <c:v>0.10174</c:v>
                </c:pt>
                <c:pt idx="2540">
                  <c:v>0.10178</c:v>
                </c:pt>
                <c:pt idx="2541">
                  <c:v>0.10181999999999999</c:v>
                </c:pt>
                <c:pt idx="2542">
                  <c:v>0.10186000000000001</c:v>
                </c:pt>
                <c:pt idx="2543">
                  <c:v>0.1019</c:v>
                </c:pt>
                <c:pt idx="2544">
                  <c:v>0.10194</c:v>
                </c:pt>
                <c:pt idx="2545">
                  <c:v>0.10198</c:v>
                </c:pt>
                <c:pt idx="2546">
                  <c:v>0.10202</c:v>
                </c:pt>
                <c:pt idx="2547">
                  <c:v>0.10206</c:v>
                </c:pt>
                <c:pt idx="2548">
                  <c:v>0.1021</c:v>
                </c:pt>
                <c:pt idx="2549">
                  <c:v>0.10213999999999999</c:v>
                </c:pt>
                <c:pt idx="2550">
                  <c:v>0.10218000000000001</c:v>
                </c:pt>
                <c:pt idx="2551">
                  <c:v>0.10222000000000001</c:v>
                </c:pt>
                <c:pt idx="2552">
                  <c:v>0.10226</c:v>
                </c:pt>
                <c:pt idx="2553">
                  <c:v>0.1023</c:v>
                </c:pt>
                <c:pt idx="2554">
                  <c:v>0.10234</c:v>
                </c:pt>
                <c:pt idx="2555">
                  <c:v>0.10238</c:v>
                </c:pt>
                <c:pt idx="2556">
                  <c:v>0.10242</c:v>
                </c:pt>
                <c:pt idx="2557">
                  <c:v>0.10246</c:v>
                </c:pt>
                <c:pt idx="2558">
                  <c:v>0.10249999999999999</c:v>
                </c:pt>
                <c:pt idx="2559">
                  <c:v>0.10254000000000001</c:v>
                </c:pt>
                <c:pt idx="2560">
                  <c:v>0.10258</c:v>
                </c:pt>
                <c:pt idx="2561">
                  <c:v>0.10262</c:v>
                </c:pt>
                <c:pt idx="2562">
                  <c:v>0.10266</c:v>
                </c:pt>
                <c:pt idx="2563">
                  <c:v>0.1027</c:v>
                </c:pt>
                <c:pt idx="2564">
                  <c:v>0.10274</c:v>
                </c:pt>
                <c:pt idx="2565">
                  <c:v>0.10278</c:v>
                </c:pt>
                <c:pt idx="2566">
                  <c:v>0.10281999999999999</c:v>
                </c:pt>
                <c:pt idx="2567">
                  <c:v>0.10285999999999999</c:v>
                </c:pt>
                <c:pt idx="2568">
                  <c:v>0.10290000000000001</c:v>
                </c:pt>
                <c:pt idx="2569">
                  <c:v>0.10294</c:v>
                </c:pt>
                <c:pt idx="2570">
                  <c:v>0.10298</c:v>
                </c:pt>
                <c:pt idx="2571">
                  <c:v>0.10302</c:v>
                </c:pt>
                <c:pt idx="2572">
                  <c:v>0.10306</c:v>
                </c:pt>
                <c:pt idx="2573">
                  <c:v>0.1031</c:v>
                </c:pt>
                <c:pt idx="2574">
                  <c:v>0.10314</c:v>
                </c:pt>
                <c:pt idx="2575">
                  <c:v>0.10317999999999999</c:v>
                </c:pt>
                <c:pt idx="2576">
                  <c:v>0.10322000000000001</c:v>
                </c:pt>
                <c:pt idx="2577">
                  <c:v>0.10326</c:v>
                </c:pt>
                <c:pt idx="2578">
                  <c:v>0.1033</c:v>
                </c:pt>
                <c:pt idx="2579">
                  <c:v>0.10334</c:v>
                </c:pt>
                <c:pt idx="2580">
                  <c:v>0.10338</c:v>
                </c:pt>
                <c:pt idx="2581">
                  <c:v>0.10342</c:v>
                </c:pt>
                <c:pt idx="2582">
                  <c:v>0.10346</c:v>
                </c:pt>
                <c:pt idx="2583">
                  <c:v>0.10349999999999999</c:v>
                </c:pt>
                <c:pt idx="2584">
                  <c:v>0.10353999999999999</c:v>
                </c:pt>
                <c:pt idx="2585">
                  <c:v>0.10358000000000001</c:v>
                </c:pt>
                <c:pt idx="2586">
                  <c:v>0.10362</c:v>
                </c:pt>
                <c:pt idx="2587">
                  <c:v>0.10366</c:v>
                </c:pt>
                <c:pt idx="2588">
                  <c:v>0.1037</c:v>
                </c:pt>
                <c:pt idx="2589">
                  <c:v>0.10374</c:v>
                </c:pt>
                <c:pt idx="2590">
                  <c:v>0.10378</c:v>
                </c:pt>
                <c:pt idx="2591">
                  <c:v>0.10382</c:v>
                </c:pt>
                <c:pt idx="2592">
                  <c:v>0.10385999999999999</c:v>
                </c:pt>
                <c:pt idx="2593">
                  <c:v>0.10390000000000001</c:v>
                </c:pt>
                <c:pt idx="2594">
                  <c:v>0.10394</c:v>
                </c:pt>
                <c:pt idx="2595">
                  <c:v>0.10398</c:v>
                </c:pt>
                <c:pt idx="2596">
                  <c:v>0.10402</c:v>
                </c:pt>
                <c:pt idx="2597">
                  <c:v>0.10406</c:v>
                </c:pt>
                <c:pt idx="2598">
                  <c:v>0.1041</c:v>
                </c:pt>
                <c:pt idx="2599">
                  <c:v>0.10414</c:v>
                </c:pt>
                <c:pt idx="2600">
                  <c:v>0.10417999999999999</c:v>
                </c:pt>
                <c:pt idx="2601">
                  <c:v>0.10421999999999999</c:v>
                </c:pt>
                <c:pt idx="2602">
                  <c:v>0.10426000000000001</c:v>
                </c:pt>
                <c:pt idx="2603">
                  <c:v>0.1043</c:v>
                </c:pt>
                <c:pt idx="2604">
                  <c:v>0.10434</c:v>
                </c:pt>
                <c:pt idx="2605">
                  <c:v>0.10438</c:v>
                </c:pt>
                <c:pt idx="2606">
                  <c:v>0.10442</c:v>
                </c:pt>
                <c:pt idx="2607">
                  <c:v>0.10446</c:v>
                </c:pt>
                <c:pt idx="2608">
                  <c:v>0.1045</c:v>
                </c:pt>
                <c:pt idx="2609">
                  <c:v>0.10453999999999999</c:v>
                </c:pt>
                <c:pt idx="2610">
                  <c:v>0.10458000000000001</c:v>
                </c:pt>
                <c:pt idx="2611">
                  <c:v>0.10462</c:v>
                </c:pt>
                <c:pt idx="2612">
                  <c:v>0.10466</c:v>
                </c:pt>
                <c:pt idx="2613">
                  <c:v>0.1047</c:v>
                </c:pt>
                <c:pt idx="2614">
                  <c:v>0.10474</c:v>
                </c:pt>
                <c:pt idx="2615">
                  <c:v>0.10478</c:v>
                </c:pt>
                <c:pt idx="2616">
                  <c:v>0.10482</c:v>
                </c:pt>
                <c:pt idx="2617">
                  <c:v>0.10485999999999999</c:v>
                </c:pt>
                <c:pt idx="2618">
                  <c:v>0.10489999999999999</c:v>
                </c:pt>
                <c:pt idx="2619">
                  <c:v>0.10494000000000001</c:v>
                </c:pt>
                <c:pt idx="2620">
                  <c:v>0.10498</c:v>
                </c:pt>
                <c:pt idx="2621">
                  <c:v>0.10502</c:v>
                </c:pt>
                <c:pt idx="2622">
                  <c:v>0.10506</c:v>
                </c:pt>
                <c:pt idx="2623">
                  <c:v>0.1051</c:v>
                </c:pt>
                <c:pt idx="2624">
                  <c:v>0.10514</c:v>
                </c:pt>
                <c:pt idx="2625">
                  <c:v>0.10518</c:v>
                </c:pt>
                <c:pt idx="2626">
                  <c:v>0.10521999999999999</c:v>
                </c:pt>
                <c:pt idx="2627">
                  <c:v>0.10526000000000001</c:v>
                </c:pt>
                <c:pt idx="2628">
                  <c:v>0.1053</c:v>
                </c:pt>
                <c:pt idx="2629">
                  <c:v>0.10534</c:v>
                </c:pt>
                <c:pt idx="2630">
                  <c:v>0.10538</c:v>
                </c:pt>
                <c:pt idx="2631">
                  <c:v>0.10542</c:v>
                </c:pt>
                <c:pt idx="2632">
                  <c:v>0.10546</c:v>
                </c:pt>
                <c:pt idx="2633">
                  <c:v>0.1055</c:v>
                </c:pt>
                <c:pt idx="2634">
                  <c:v>0.10553999999999999</c:v>
                </c:pt>
                <c:pt idx="2635">
                  <c:v>0.10557999999999999</c:v>
                </c:pt>
                <c:pt idx="2636">
                  <c:v>0.10562000000000001</c:v>
                </c:pt>
                <c:pt idx="2637">
                  <c:v>0.10566</c:v>
                </c:pt>
                <c:pt idx="2638">
                  <c:v>0.1057</c:v>
                </c:pt>
                <c:pt idx="2639">
                  <c:v>0.10574</c:v>
                </c:pt>
                <c:pt idx="2640">
                  <c:v>0.10578</c:v>
                </c:pt>
                <c:pt idx="2641">
                  <c:v>0.10582</c:v>
                </c:pt>
                <c:pt idx="2642">
                  <c:v>0.10586</c:v>
                </c:pt>
                <c:pt idx="2643">
                  <c:v>0.10589999999999999</c:v>
                </c:pt>
                <c:pt idx="2644">
                  <c:v>0.10594000000000001</c:v>
                </c:pt>
                <c:pt idx="2645">
                  <c:v>0.10598</c:v>
                </c:pt>
                <c:pt idx="2646">
                  <c:v>0.10602</c:v>
                </c:pt>
                <c:pt idx="2647">
                  <c:v>0.10606</c:v>
                </c:pt>
                <c:pt idx="2648">
                  <c:v>0.1061</c:v>
                </c:pt>
                <c:pt idx="2649">
                  <c:v>0.10614</c:v>
                </c:pt>
                <c:pt idx="2650">
                  <c:v>0.10618</c:v>
                </c:pt>
                <c:pt idx="2651">
                  <c:v>0.10621999999999999</c:v>
                </c:pt>
                <c:pt idx="2652">
                  <c:v>0.10625999999999999</c:v>
                </c:pt>
                <c:pt idx="2653">
                  <c:v>0.10630000000000001</c:v>
                </c:pt>
                <c:pt idx="2654">
                  <c:v>0.10634</c:v>
                </c:pt>
                <c:pt idx="2655">
                  <c:v>0.10638</c:v>
                </c:pt>
                <c:pt idx="2656">
                  <c:v>0.10642</c:v>
                </c:pt>
                <c:pt idx="2657">
                  <c:v>0.10646</c:v>
                </c:pt>
                <c:pt idx="2658">
                  <c:v>0.1065</c:v>
                </c:pt>
                <c:pt idx="2659">
                  <c:v>0.10654</c:v>
                </c:pt>
                <c:pt idx="2660">
                  <c:v>0.10657999999999999</c:v>
                </c:pt>
                <c:pt idx="2661">
                  <c:v>0.10662000000000001</c:v>
                </c:pt>
                <c:pt idx="2662">
                  <c:v>0.10666</c:v>
                </c:pt>
                <c:pt idx="2663">
                  <c:v>0.1067</c:v>
                </c:pt>
                <c:pt idx="2664">
                  <c:v>0.10674</c:v>
                </c:pt>
                <c:pt idx="2665">
                  <c:v>0.10678</c:v>
                </c:pt>
                <c:pt idx="2666">
                  <c:v>0.10682</c:v>
                </c:pt>
                <c:pt idx="2667">
                  <c:v>0.10686</c:v>
                </c:pt>
                <c:pt idx="2668">
                  <c:v>0.1069</c:v>
                </c:pt>
                <c:pt idx="2669">
                  <c:v>0.10693999999999999</c:v>
                </c:pt>
                <c:pt idx="2670">
                  <c:v>0.10698000000000001</c:v>
                </c:pt>
                <c:pt idx="2671">
                  <c:v>0.10702</c:v>
                </c:pt>
                <c:pt idx="2672">
                  <c:v>0.10706</c:v>
                </c:pt>
                <c:pt idx="2673">
                  <c:v>0.1071</c:v>
                </c:pt>
                <c:pt idx="2674">
                  <c:v>0.10714</c:v>
                </c:pt>
                <c:pt idx="2675">
                  <c:v>0.10718</c:v>
                </c:pt>
                <c:pt idx="2676">
                  <c:v>0.10722</c:v>
                </c:pt>
                <c:pt idx="2677">
                  <c:v>0.10725999999999999</c:v>
                </c:pt>
                <c:pt idx="2678">
                  <c:v>0.10730000000000001</c:v>
                </c:pt>
                <c:pt idx="2679">
                  <c:v>0.10734</c:v>
                </c:pt>
                <c:pt idx="2680">
                  <c:v>0.10738</c:v>
                </c:pt>
                <c:pt idx="2681">
                  <c:v>0.10742</c:v>
                </c:pt>
                <c:pt idx="2682">
                  <c:v>0.10746</c:v>
                </c:pt>
                <c:pt idx="2683">
                  <c:v>0.1075</c:v>
                </c:pt>
                <c:pt idx="2684">
                  <c:v>0.10754</c:v>
                </c:pt>
                <c:pt idx="2685">
                  <c:v>0.10758</c:v>
                </c:pt>
                <c:pt idx="2686">
                  <c:v>0.10761999999999999</c:v>
                </c:pt>
                <c:pt idx="2687">
                  <c:v>0.10766000000000001</c:v>
                </c:pt>
                <c:pt idx="2688">
                  <c:v>0.1077</c:v>
                </c:pt>
                <c:pt idx="2689">
                  <c:v>0.10774</c:v>
                </c:pt>
                <c:pt idx="2690">
                  <c:v>0.10778</c:v>
                </c:pt>
                <c:pt idx="2691">
                  <c:v>0.10782</c:v>
                </c:pt>
                <c:pt idx="2692">
                  <c:v>0.10786</c:v>
                </c:pt>
                <c:pt idx="2693">
                  <c:v>0.1079</c:v>
                </c:pt>
                <c:pt idx="2694">
                  <c:v>0.10793999999999999</c:v>
                </c:pt>
                <c:pt idx="2695">
                  <c:v>0.10798000000000001</c:v>
                </c:pt>
                <c:pt idx="2696">
                  <c:v>0.10802</c:v>
                </c:pt>
                <c:pt idx="2697">
                  <c:v>0.10806</c:v>
                </c:pt>
                <c:pt idx="2698">
                  <c:v>0.1081</c:v>
                </c:pt>
                <c:pt idx="2699">
                  <c:v>0.10814</c:v>
                </c:pt>
                <c:pt idx="2700">
                  <c:v>0.10818</c:v>
                </c:pt>
                <c:pt idx="2701">
                  <c:v>0.10822</c:v>
                </c:pt>
                <c:pt idx="2702">
                  <c:v>0.10826</c:v>
                </c:pt>
                <c:pt idx="2703">
                  <c:v>0.10829999999999999</c:v>
                </c:pt>
                <c:pt idx="2704">
                  <c:v>0.10834000000000001</c:v>
                </c:pt>
                <c:pt idx="2705">
                  <c:v>0.10838</c:v>
                </c:pt>
                <c:pt idx="2706">
                  <c:v>0.10842</c:v>
                </c:pt>
                <c:pt idx="2707">
                  <c:v>0.10846</c:v>
                </c:pt>
                <c:pt idx="2708">
                  <c:v>0.1085</c:v>
                </c:pt>
                <c:pt idx="2709">
                  <c:v>0.10854</c:v>
                </c:pt>
                <c:pt idx="2710">
                  <c:v>0.10858</c:v>
                </c:pt>
                <c:pt idx="2711">
                  <c:v>0.10861999999999999</c:v>
                </c:pt>
                <c:pt idx="2712">
                  <c:v>0.10866000000000001</c:v>
                </c:pt>
                <c:pt idx="2713">
                  <c:v>0.1087</c:v>
                </c:pt>
                <c:pt idx="2714">
                  <c:v>0.10874</c:v>
                </c:pt>
                <c:pt idx="2715">
                  <c:v>0.10878</c:v>
                </c:pt>
                <c:pt idx="2716">
                  <c:v>0.10882</c:v>
                </c:pt>
                <c:pt idx="2717">
                  <c:v>0.10886</c:v>
                </c:pt>
                <c:pt idx="2718">
                  <c:v>0.1089</c:v>
                </c:pt>
                <c:pt idx="2719">
                  <c:v>0.10894</c:v>
                </c:pt>
                <c:pt idx="2720">
                  <c:v>0.10897999999999999</c:v>
                </c:pt>
                <c:pt idx="2721">
                  <c:v>0.10902000000000001</c:v>
                </c:pt>
                <c:pt idx="2722">
                  <c:v>0.10906</c:v>
                </c:pt>
                <c:pt idx="2723">
                  <c:v>0.1091</c:v>
                </c:pt>
                <c:pt idx="2724">
                  <c:v>0.10914</c:v>
                </c:pt>
                <c:pt idx="2725">
                  <c:v>0.10918</c:v>
                </c:pt>
                <c:pt idx="2726">
                  <c:v>0.10922</c:v>
                </c:pt>
                <c:pt idx="2727">
                  <c:v>0.10926</c:v>
                </c:pt>
                <c:pt idx="2728">
                  <c:v>0.10929999999999999</c:v>
                </c:pt>
                <c:pt idx="2729">
                  <c:v>0.10934000000000001</c:v>
                </c:pt>
                <c:pt idx="2730">
                  <c:v>0.10938000000000001</c:v>
                </c:pt>
                <c:pt idx="2731">
                  <c:v>0.10942</c:v>
                </c:pt>
                <c:pt idx="2732">
                  <c:v>0.10946</c:v>
                </c:pt>
                <c:pt idx="2733">
                  <c:v>0.1095</c:v>
                </c:pt>
                <c:pt idx="2734">
                  <c:v>0.10954</c:v>
                </c:pt>
                <c:pt idx="2735">
                  <c:v>0.10958</c:v>
                </c:pt>
                <c:pt idx="2736">
                  <c:v>0.10962</c:v>
                </c:pt>
                <c:pt idx="2737">
                  <c:v>0.10965999999999999</c:v>
                </c:pt>
                <c:pt idx="2738">
                  <c:v>0.10970000000000001</c:v>
                </c:pt>
                <c:pt idx="2739">
                  <c:v>0.10974</c:v>
                </c:pt>
                <c:pt idx="2740">
                  <c:v>0.10978</c:v>
                </c:pt>
                <c:pt idx="2741">
                  <c:v>0.10982</c:v>
                </c:pt>
                <c:pt idx="2742">
                  <c:v>0.10986</c:v>
                </c:pt>
                <c:pt idx="2743">
                  <c:v>0.1099</c:v>
                </c:pt>
                <c:pt idx="2744">
                  <c:v>0.10994</c:v>
                </c:pt>
                <c:pt idx="2745">
                  <c:v>0.10997999999999999</c:v>
                </c:pt>
                <c:pt idx="2746">
                  <c:v>0.11002000000000001</c:v>
                </c:pt>
                <c:pt idx="2747">
                  <c:v>0.11006000000000001</c:v>
                </c:pt>
                <c:pt idx="2748">
                  <c:v>0.1101</c:v>
                </c:pt>
                <c:pt idx="2749">
                  <c:v>0.11014</c:v>
                </c:pt>
                <c:pt idx="2750">
                  <c:v>0.11018</c:v>
                </c:pt>
                <c:pt idx="2751">
                  <c:v>0.11022</c:v>
                </c:pt>
                <c:pt idx="2752">
                  <c:v>0.11026</c:v>
                </c:pt>
                <c:pt idx="2753">
                  <c:v>0.1103</c:v>
                </c:pt>
                <c:pt idx="2754">
                  <c:v>0.11033999999999999</c:v>
                </c:pt>
                <c:pt idx="2755">
                  <c:v>0.11038000000000001</c:v>
                </c:pt>
                <c:pt idx="2756">
                  <c:v>0.11042</c:v>
                </c:pt>
                <c:pt idx="2757">
                  <c:v>0.11046</c:v>
                </c:pt>
                <c:pt idx="2758">
                  <c:v>0.1105</c:v>
                </c:pt>
                <c:pt idx="2759">
                  <c:v>0.11054</c:v>
                </c:pt>
                <c:pt idx="2760">
                  <c:v>0.11058</c:v>
                </c:pt>
                <c:pt idx="2761">
                  <c:v>0.11062</c:v>
                </c:pt>
                <c:pt idx="2762">
                  <c:v>0.11065999999999999</c:v>
                </c:pt>
                <c:pt idx="2763">
                  <c:v>0.11070000000000001</c:v>
                </c:pt>
                <c:pt idx="2764">
                  <c:v>0.11074000000000001</c:v>
                </c:pt>
                <c:pt idx="2765">
                  <c:v>0.11078</c:v>
                </c:pt>
                <c:pt idx="2766">
                  <c:v>0.11082</c:v>
                </c:pt>
                <c:pt idx="2767">
                  <c:v>0.11086</c:v>
                </c:pt>
                <c:pt idx="2768">
                  <c:v>0.1109</c:v>
                </c:pt>
                <c:pt idx="2769">
                  <c:v>0.11094</c:v>
                </c:pt>
                <c:pt idx="2770">
                  <c:v>0.11098</c:v>
                </c:pt>
                <c:pt idx="2771">
                  <c:v>0.11101999999999999</c:v>
                </c:pt>
                <c:pt idx="2772">
                  <c:v>0.11106000000000001</c:v>
                </c:pt>
                <c:pt idx="2773">
                  <c:v>0.1111</c:v>
                </c:pt>
                <c:pt idx="2774">
                  <c:v>0.11114</c:v>
                </c:pt>
                <c:pt idx="2775">
                  <c:v>0.11118</c:v>
                </c:pt>
                <c:pt idx="2776">
                  <c:v>0.11122</c:v>
                </c:pt>
                <c:pt idx="2777">
                  <c:v>0.11126</c:v>
                </c:pt>
                <c:pt idx="2778">
                  <c:v>0.1113</c:v>
                </c:pt>
                <c:pt idx="2779">
                  <c:v>0.11133999999999999</c:v>
                </c:pt>
                <c:pt idx="2780">
                  <c:v>0.11138000000000001</c:v>
                </c:pt>
                <c:pt idx="2781">
                  <c:v>0.11142000000000001</c:v>
                </c:pt>
                <c:pt idx="2782">
                  <c:v>0.11146</c:v>
                </c:pt>
                <c:pt idx="2783">
                  <c:v>0.1115</c:v>
                </c:pt>
                <c:pt idx="2784">
                  <c:v>0.11154</c:v>
                </c:pt>
                <c:pt idx="2785">
                  <c:v>0.11158</c:v>
                </c:pt>
                <c:pt idx="2786">
                  <c:v>0.11162</c:v>
                </c:pt>
                <c:pt idx="2787">
                  <c:v>0.11166</c:v>
                </c:pt>
                <c:pt idx="2788">
                  <c:v>0.11169999999999999</c:v>
                </c:pt>
                <c:pt idx="2789">
                  <c:v>0.11174000000000001</c:v>
                </c:pt>
                <c:pt idx="2790">
                  <c:v>0.11178</c:v>
                </c:pt>
                <c:pt idx="2791">
                  <c:v>0.11182</c:v>
                </c:pt>
                <c:pt idx="2792">
                  <c:v>0.11186</c:v>
                </c:pt>
                <c:pt idx="2793">
                  <c:v>0.1119</c:v>
                </c:pt>
                <c:pt idx="2794">
                  <c:v>0.11194</c:v>
                </c:pt>
                <c:pt idx="2795">
                  <c:v>0.11198</c:v>
                </c:pt>
                <c:pt idx="2796">
                  <c:v>0.11201999999999999</c:v>
                </c:pt>
                <c:pt idx="2797">
                  <c:v>0.11206000000000001</c:v>
                </c:pt>
                <c:pt idx="2798">
                  <c:v>0.11210000000000001</c:v>
                </c:pt>
                <c:pt idx="2799">
                  <c:v>0.11214</c:v>
                </c:pt>
                <c:pt idx="2800">
                  <c:v>0.11218</c:v>
                </c:pt>
                <c:pt idx="2801">
                  <c:v>0.11222</c:v>
                </c:pt>
                <c:pt idx="2802">
                  <c:v>0.11226</c:v>
                </c:pt>
                <c:pt idx="2803">
                  <c:v>0.1123</c:v>
                </c:pt>
                <c:pt idx="2804">
                  <c:v>0.11234</c:v>
                </c:pt>
                <c:pt idx="2805">
                  <c:v>0.11237999999999999</c:v>
                </c:pt>
                <c:pt idx="2806">
                  <c:v>0.11242000000000001</c:v>
                </c:pt>
                <c:pt idx="2807">
                  <c:v>0.11246</c:v>
                </c:pt>
                <c:pt idx="2808">
                  <c:v>0.1125</c:v>
                </c:pt>
                <c:pt idx="2809">
                  <c:v>0.11254</c:v>
                </c:pt>
                <c:pt idx="2810">
                  <c:v>0.11258</c:v>
                </c:pt>
                <c:pt idx="2811">
                  <c:v>0.11262</c:v>
                </c:pt>
                <c:pt idx="2812">
                  <c:v>0.11266</c:v>
                </c:pt>
                <c:pt idx="2813">
                  <c:v>0.11269999999999999</c:v>
                </c:pt>
                <c:pt idx="2814">
                  <c:v>0.11274000000000001</c:v>
                </c:pt>
                <c:pt idx="2815">
                  <c:v>0.11278000000000001</c:v>
                </c:pt>
                <c:pt idx="2816">
                  <c:v>0.11282</c:v>
                </c:pt>
                <c:pt idx="2817">
                  <c:v>0.11286</c:v>
                </c:pt>
                <c:pt idx="2818">
                  <c:v>0.1129</c:v>
                </c:pt>
                <c:pt idx="2819">
                  <c:v>0.11294</c:v>
                </c:pt>
                <c:pt idx="2820">
                  <c:v>0.11298</c:v>
                </c:pt>
                <c:pt idx="2821">
                  <c:v>0.11302</c:v>
                </c:pt>
                <c:pt idx="2822">
                  <c:v>0.11305999999999999</c:v>
                </c:pt>
                <c:pt idx="2823">
                  <c:v>0.11310000000000001</c:v>
                </c:pt>
                <c:pt idx="2824">
                  <c:v>0.11314</c:v>
                </c:pt>
                <c:pt idx="2825">
                  <c:v>0.11318</c:v>
                </c:pt>
                <c:pt idx="2826">
                  <c:v>0.11322</c:v>
                </c:pt>
                <c:pt idx="2827">
                  <c:v>0.11326</c:v>
                </c:pt>
                <c:pt idx="2828">
                  <c:v>0.1133</c:v>
                </c:pt>
                <c:pt idx="2829">
                  <c:v>0.11334</c:v>
                </c:pt>
                <c:pt idx="2830">
                  <c:v>0.11337999999999999</c:v>
                </c:pt>
                <c:pt idx="2831">
                  <c:v>0.11342000000000001</c:v>
                </c:pt>
                <c:pt idx="2832">
                  <c:v>0.11346000000000001</c:v>
                </c:pt>
                <c:pt idx="2833">
                  <c:v>0.1135</c:v>
                </c:pt>
                <c:pt idx="2834">
                  <c:v>0.11354</c:v>
                </c:pt>
                <c:pt idx="2835">
                  <c:v>0.11358</c:v>
                </c:pt>
                <c:pt idx="2836">
                  <c:v>0.11362</c:v>
                </c:pt>
                <c:pt idx="2837">
                  <c:v>0.11366</c:v>
                </c:pt>
                <c:pt idx="2838">
                  <c:v>0.1137</c:v>
                </c:pt>
                <c:pt idx="2839">
                  <c:v>0.11373999999999999</c:v>
                </c:pt>
                <c:pt idx="2840">
                  <c:v>0.11378000000000001</c:v>
                </c:pt>
                <c:pt idx="2841">
                  <c:v>0.11382</c:v>
                </c:pt>
                <c:pt idx="2842">
                  <c:v>0.11386</c:v>
                </c:pt>
                <c:pt idx="2843">
                  <c:v>0.1139</c:v>
                </c:pt>
                <c:pt idx="2844">
                  <c:v>0.11394</c:v>
                </c:pt>
                <c:pt idx="2845">
                  <c:v>0.11398</c:v>
                </c:pt>
                <c:pt idx="2846">
                  <c:v>0.11402</c:v>
                </c:pt>
                <c:pt idx="2847">
                  <c:v>0.11405999999999999</c:v>
                </c:pt>
                <c:pt idx="2848">
                  <c:v>0.11409999999999999</c:v>
                </c:pt>
                <c:pt idx="2849">
                  <c:v>0.11414000000000001</c:v>
                </c:pt>
                <c:pt idx="2850">
                  <c:v>0.11418</c:v>
                </c:pt>
                <c:pt idx="2851">
                  <c:v>0.11422</c:v>
                </c:pt>
                <c:pt idx="2852">
                  <c:v>0.11426</c:v>
                </c:pt>
                <c:pt idx="2853">
                  <c:v>0.1143</c:v>
                </c:pt>
                <c:pt idx="2854">
                  <c:v>0.11434</c:v>
                </c:pt>
                <c:pt idx="2855">
                  <c:v>0.11438</c:v>
                </c:pt>
                <c:pt idx="2856">
                  <c:v>0.11441999999999999</c:v>
                </c:pt>
                <c:pt idx="2857">
                  <c:v>0.11446000000000001</c:v>
                </c:pt>
                <c:pt idx="2858">
                  <c:v>0.1145</c:v>
                </c:pt>
                <c:pt idx="2859">
                  <c:v>0.11454</c:v>
                </c:pt>
                <c:pt idx="2860">
                  <c:v>0.11458</c:v>
                </c:pt>
                <c:pt idx="2861">
                  <c:v>0.11462</c:v>
                </c:pt>
                <c:pt idx="2862">
                  <c:v>0.11466</c:v>
                </c:pt>
                <c:pt idx="2863">
                  <c:v>0.1147</c:v>
                </c:pt>
                <c:pt idx="2864">
                  <c:v>0.11473999999999999</c:v>
                </c:pt>
                <c:pt idx="2865">
                  <c:v>0.11477999999999999</c:v>
                </c:pt>
                <c:pt idx="2866">
                  <c:v>0.11482000000000001</c:v>
                </c:pt>
                <c:pt idx="2867">
                  <c:v>0.11486</c:v>
                </c:pt>
                <c:pt idx="2868">
                  <c:v>0.1149</c:v>
                </c:pt>
                <c:pt idx="2869">
                  <c:v>0.11494</c:v>
                </c:pt>
                <c:pt idx="2870">
                  <c:v>0.11498</c:v>
                </c:pt>
                <c:pt idx="2871">
                  <c:v>0.11502</c:v>
                </c:pt>
                <c:pt idx="2872">
                  <c:v>0.11506</c:v>
                </c:pt>
                <c:pt idx="2873">
                  <c:v>0.11509999999999999</c:v>
                </c:pt>
                <c:pt idx="2874">
                  <c:v>0.11514000000000001</c:v>
                </c:pt>
                <c:pt idx="2875">
                  <c:v>0.11518</c:v>
                </c:pt>
                <c:pt idx="2876">
                  <c:v>0.11522</c:v>
                </c:pt>
                <c:pt idx="2877">
                  <c:v>0.11526</c:v>
                </c:pt>
                <c:pt idx="2878">
                  <c:v>0.1153</c:v>
                </c:pt>
                <c:pt idx="2879">
                  <c:v>0.11534</c:v>
                </c:pt>
                <c:pt idx="2880">
                  <c:v>0.11538</c:v>
                </c:pt>
                <c:pt idx="2881">
                  <c:v>0.11541999999999999</c:v>
                </c:pt>
                <c:pt idx="2882">
                  <c:v>0.11545999999999999</c:v>
                </c:pt>
                <c:pt idx="2883">
                  <c:v>0.11550000000000001</c:v>
                </c:pt>
                <c:pt idx="2884">
                  <c:v>0.11554</c:v>
                </c:pt>
                <c:pt idx="2885">
                  <c:v>0.11558</c:v>
                </c:pt>
                <c:pt idx="2886">
                  <c:v>0.11562</c:v>
                </c:pt>
                <c:pt idx="2887">
                  <c:v>0.11566</c:v>
                </c:pt>
                <c:pt idx="2888">
                  <c:v>0.1157</c:v>
                </c:pt>
                <c:pt idx="2889">
                  <c:v>0.11574</c:v>
                </c:pt>
                <c:pt idx="2890">
                  <c:v>0.11577999999999999</c:v>
                </c:pt>
                <c:pt idx="2891">
                  <c:v>0.11582000000000001</c:v>
                </c:pt>
                <c:pt idx="2892">
                  <c:v>0.11586</c:v>
                </c:pt>
                <c:pt idx="2893">
                  <c:v>0.1159</c:v>
                </c:pt>
                <c:pt idx="2894">
                  <c:v>0.11594</c:v>
                </c:pt>
                <c:pt idx="2895">
                  <c:v>0.11598</c:v>
                </c:pt>
                <c:pt idx="2896">
                  <c:v>0.11602</c:v>
                </c:pt>
                <c:pt idx="2897">
                  <c:v>0.11606</c:v>
                </c:pt>
                <c:pt idx="2898">
                  <c:v>0.11609999999999999</c:v>
                </c:pt>
                <c:pt idx="2899">
                  <c:v>0.11613999999999999</c:v>
                </c:pt>
                <c:pt idx="2900">
                  <c:v>0.11618000000000001</c:v>
                </c:pt>
                <c:pt idx="2901">
                  <c:v>0.11622</c:v>
                </c:pt>
                <c:pt idx="2902">
                  <c:v>0.11626</c:v>
                </c:pt>
                <c:pt idx="2903">
                  <c:v>0.1163</c:v>
                </c:pt>
                <c:pt idx="2904">
                  <c:v>0.11634</c:v>
                </c:pt>
                <c:pt idx="2905">
                  <c:v>0.11638</c:v>
                </c:pt>
                <c:pt idx="2906">
                  <c:v>0.11642</c:v>
                </c:pt>
                <c:pt idx="2907">
                  <c:v>0.11645999999999999</c:v>
                </c:pt>
                <c:pt idx="2908">
                  <c:v>0.11650000000000001</c:v>
                </c:pt>
                <c:pt idx="2909">
                  <c:v>0.11654</c:v>
                </c:pt>
                <c:pt idx="2910">
                  <c:v>0.11658</c:v>
                </c:pt>
                <c:pt idx="2911">
                  <c:v>0.11662</c:v>
                </c:pt>
                <c:pt idx="2912">
                  <c:v>0.11666</c:v>
                </c:pt>
                <c:pt idx="2913">
                  <c:v>0.1167</c:v>
                </c:pt>
                <c:pt idx="2914">
                  <c:v>0.11674</c:v>
                </c:pt>
                <c:pt idx="2915">
                  <c:v>0.11677999999999999</c:v>
                </c:pt>
                <c:pt idx="2916">
                  <c:v>0.11681999999999999</c:v>
                </c:pt>
                <c:pt idx="2917">
                  <c:v>0.11686000000000001</c:v>
                </c:pt>
                <c:pt idx="2918">
                  <c:v>0.1169</c:v>
                </c:pt>
                <c:pt idx="2919">
                  <c:v>0.11694</c:v>
                </c:pt>
                <c:pt idx="2920">
                  <c:v>0.11698</c:v>
                </c:pt>
                <c:pt idx="2921">
                  <c:v>0.11702</c:v>
                </c:pt>
                <c:pt idx="2922">
                  <c:v>0.11706</c:v>
                </c:pt>
                <c:pt idx="2923">
                  <c:v>0.1171</c:v>
                </c:pt>
                <c:pt idx="2924">
                  <c:v>0.11713999999999999</c:v>
                </c:pt>
                <c:pt idx="2925">
                  <c:v>0.11718000000000001</c:v>
                </c:pt>
                <c:pt idx="2926">
                  <c:v>0.11722</c:v>
                </c:pt>
                <c:pt idx="2927">
                  <c:v>0.11726</c:v>
                </c:pt>
                <c:pt idx="2928">
                  <c:v>0.1173</c:v>
                </c:pt>
                <c:pt idx="2929">
                  <c:v>0.11734</c:v>
                </c:pt>
                <c:pt idx="2930">
                  <c:v>0.11738</c:v>
                </c:pt>
                <c:pt idx="2931">
                  <c:v>0.11742</c:v>
                </c:pt>
                <c:pt idx="2932">
                  <c:v>0.11745999999999999</c:v>
                </c:pt>
                <c:pt idx="2933">
                  <c:v>0.11749999999999999</c:v>
                </c:pt>
                <c:pt idx="2934">
                  <c:v>0.11754000000000001</c:v>
                </c:pt>
                <c:pt idx="2935">
                  <c:v>0.11758</c:v>
                </c:pt>
                <c:pt idx="2936">
                  <c:v>0.11762</c:v>
                </c:pt>
                <c:pt idx="2937">
                  <c:v>0.11766</c:v>
                </c:pt>
                <c:pt idx="2938">
                  <c:v>0.1177</c:v>
                </c:pt>
                <c:pt idx="2939">
                  <c:v>0.11774</c:v>
                </c:pt>
                <c:pt idx="2940">
                  <c:v>0.11778</c:v>
                </c:pt>
                <c:pt idx="2941">
                  <c:v>0.11781999999999999</c:v>
                </c:pt>
                <c:pt idx="2942">
                  <c:v>0.11786000000000001</c:v>
                </c:pt>
                <c:pt idx="2943">
                  <c:v>0.1179</c:v>
                </c:pt>
                <c:pt idx="2944">
                  <c:v>0.11794</c:v>
                </c:pt>
                <c:pt idx="2945">
                  <c:v>0.11798</c:v>
                </c:pt>
                <c:pt idx="2946">
                  <c:v>0.11802</c:v>
                </c:pt>
                <c:pt idx="2947">
                  <c:v>0.11806</c:v>
                </c:pt>
                <c:pt idx="2948">
                  <c:v>0.1181</c:v>
                </c:pt>
                <c:pt idx="2949">
                  <c:v>0.11814</c:v>
                </c:pt>
                <c:pt idx="2950">
                  <c:v>0.11817999999999999</c:v>
                </c:pt>
                <c:pt idx="2951">
                  <c:v>0.11822000000000001</c:v>
                </c:pt>
                <c:pt idx="2952">
                  <c:v>0.11826</c:v>
                </c:pt>
                <c:pt idx="2953">
                  <c:v>0.1183</c:v>
                </c:pt>
                <c:pt idx="2954">
                  <c:v>0.11834</c:v>
                </c:pt>
                <c:pt idx="2955">
                  <c:v>0.11838</c:v>
                </c:pt>
                <c:pt idx="2956">
                  <c:v>0.11842</c:v>
                </c:pt>
                <c:pt idx="2957">
                  <c:v>0.11846</c:v>
                </c:pt>
                <c:pt idx="2958">
                  <c:v>0.11849999999999999</c:v>
                </c:pt>
                <c:pt idx="2959">
                  <c:v>0.11854000000000001</c:v>
                </c:pt>
                <c:pt idx="2960">
                  <c:v>0.11858</c:v>
                </c:pt>
                <c:pt idx="2961">
                  <c:v>0.11862</c:v>
                </c:pt>
                <c:pt idx="2962">
                  <c:v>0.11866</c:v>
                </c:pt>
                <c:pt idx="2963">
                  <c:v>0.1187</c:v>
                </c:pt>
                <c:pt idx="2964">
                  <c:v>0.11874</c:v>
                </c:pt>
                <c:pt idx="2965">
                  <c:v>0.11878</c:v>
                </c:pt>
                <c:pt idx="2966">
                  <c:v>0.11882</c:v>
                </c:pt>
                <c:pt idx="2967">
                  <c:v>0.11885999999999999</c:v>
                </c:pt>
                <c:pt idx="2968">
                  <c:v>0.11890000000000001</c:v>
                </c:pt>
                <c:pt idx="2969">
                  <c:v>0.11894</c:v>
                </c:pt>
                <c:pt idx="2970">
                  <c:v>0.11898</c:v>
                </c:pt>
                <c:pt idx="2971">
                  <c:v>0.11902</c:v>
                </c:pt>
                <c:pt idx="2972">
                  <c:v>0.11906</c:v>
                </c:pt>
                <c:pt idx="2973">
                  <c:v>0.1191</c:v>
                </c:pt>
                <c:pt idx="2974">
                  <c:v>0.11914</c:v>
                </c:pt>
                <c:pt idx="2975">
                  <c:v>0.11917999999999999</c:v>
                </c:pt>
                <c:pt idx="2976">
                  <c:v>0.11922000000000001</c:v>
                </c:pt>
                <c:pt idx="2977">
                  <c:v>0.11926</c:v>
                </c:pt>
                <c:pt idx="2978">
                  <c:v>0.1193</c:v>
                </c:pt>
                <c:pt idx="2979">
                  <c:v>0.11934</c:v>
                </c:pt>
                <c:pt idx="2980">
                  <c:v>0.11938</c:v>
                </c:pt>
                <c:pt idx="2981">
                  <c:v>0.11942</c:v>
                </c:pt>
                <c:pt idx="2982">
                  <c:v>0.11946</c:v>
                </c:pt>
                <c:pt idx="2983">
                  <c:v>0.1195</c:v>
                </c:pt>
                <c:pt idx="2984">
                  <c:v>0.11953999999999999</c:v>
                </c:pt>
                <c:pt idx="2985">
                  <c:v>0.11958000000000001</c:v>
                </c:pt>
                <c:pt idx="2986">
                  <c:v>0.11962</c:v>
                </c:pt>
                <c:pt idx="2987">
                  <c:v>0.11966</c:v>
                </c:pt>
                <c:pt idx="2988">
                  <c:v>0.1197</c:v>
                </c:pt>
                <c:pt idx="2989">
                  <c:v>0.11974</c:v>
                </c:pt>
                <c:pt idx="2990">
                  <c:v>0.11978</c:v>
                </c:pt>
                <c:pt idx="2991">
                  <c:v>0.11982</c:v>
                </c:pt>
                <c:pt idx="2992">
                  <c:v>0.11985999999999999</c:v>
                </c:pt>
                <c:pt idx="2993">
                  <c:v>0.11990000000000001</c:v>
                </c:pt>
                <c:pt idx="2994">
                  <c:v>0.11994</c:v>
                </c:pt>
                <c:pt idx="2995">
                  <c:v>0.11998</c:v>
                </c:pt>
                <c:pt idx="2996">
                  <c:v>0.12002</c:v>
                </c:pt>
                <c:pt idx="2997">
                  <c:v>0.12006</c:v>
                </c:pt>
                <c:pt idx="2998">
                  <c:v>0.1201</c:v>
                </c:pt>
                <c:pt idx="2999">
                  <c:v>0.12014</c:v>
                </c:pt>
                <c:pt idx="3000">
                  <c:v>0.12018</c:v>
                </c:pt>
                <c:pt idx="3001">
                  <c:v>0.12021999999999999</c:v>
                </c:pt>
                <c:pt idx="3002">
                  <c:v>0.12026000000000001</c:v>
                </c:pt>
                <c:pt idx="3003">
                  <c:v>0.1203</c:v>
                </c:pt>
                <c:pt idx="3004">
                  <c:v>0.12034</c:v>
                </c:pt>
                <c:pt idx="3005">
                  <c:v>0.12038</c:v>
                </c:pt>
                <c:pt idx="3006">
                  <c:v>0.12042</c:v>
                </c:pt>
                <c:pt idx="3007">
                  <c:v>0.12046</c:v>
                </c:pt>
                <c:pt idx="3008">
                  <c:v>0.1205</c:v>
                </c:pt>
                <c:pt idx="3009">
                  <c:v>0.12053999999999999</c:v>
                </c:pt>
                <c:pt idx="3010">
                  <c:v>0.12058000000000001</c:v>
                </c:pt>
                <c:pt idx="3011">
                  <c:v>0.12062</c:v>
                </c:pt>
                <c:pt idx="3012">
                  <c:v>0.12066</c:v>
                </c:pt>
                <c:pt idx="3013">
                  <c:v>0.1207</c:v>
                </c:pt>
                <c:pt idx="3014">
                  <c:v>0.12074</c:v>
                </c:pt>
                <c:pt idx="3015">
                  <c:v>0.12078</c:v>
                </c:pt>
                <c:pt idx="3016">
                  <c:v>0.12082</c:v>
                </c:pt>
                <c:pt idx="3017">
                  <c:v>0.12086</c:v>
                </c:pt>
                <c:pt idx="3018">
                  <c:v>0.12089999999999999</c:v>
                </c:pt>
                <c:pt idx="3019">
                  <c:v>0.12094000000000001</c:v>
                </c:pt>
                <c:pt idx="3020">
                  <c:v>0.12098</c:v>
                </c:pt>
                <c:pt idx="3021">
                  <c:v>0.12102</c:v>
                </c:pt>
                <c:pt idx="3022">
                  <c:v>0.12106</c:v>
                </c:pt>
                <c:pt idx="3023">
                  <c:v>0.1211</c:v>
                </c:pt>
                <c:pt idx="3024">
                  <c:v>0.12114</c:v>
                </c:pt>
                <c:pt idx="3025">
                  <c:v>0.12118</c:v>
                </c:pt>
                <c:pt idx="3026">
                  <c:v>0.12121999999999999</c:v>
                </c:pt>
                <c:pt idx="3027">
                  <c:v>0.12126000000000001</c:v>
                </c:pt>
                <c:pt idx="3028">
                  <c:v>0.12130000000000001</c:v>
                </c:pt>
                <c:pt idx="3029">
                  <c:v>0.12134</c:v>
                </c:pt>
                <c:pt idx="3030">
                  <c:v>0.12138</c:v>
                </c:pt>
                <c:pt idx="3031">
                  <c:v>0.12142</c:v>
                </c:pt>
                <c:pt idx="3032">
                  <c:v>0.12146</c:v>
                </c:pt>
                <c:pt idx="3033">
                  <c:v>0.1215</c:v>
                </c:pt>
                <c:pt idx="3034">
                  <c:v>0.12154</c:v>
                </c:pt>
                <c:pt idx="3035">
                  <c:v>0.12157999999999999</c:v>
                </c:pt>
                <c:pt idx="3036">
                  <c:v>0.12162000000000001</c:v>
                </c:pt>
                <c:pt idx="3037">
                  <c:v>0.12166</c:v>
                </c:pt>
                <c:pt idx="3038">
                  <c:v>0.1217</c:v>
                </c:pt>
                <c:pt idx="3039">
                  <c:v>0.12174</c:v>
                </c:pt>
                <c:pt idx="3040">
                  <c:v>0.12178</c:v>
                </c:pt>
                <c:pt idx="3041">
                  <c:v>0.12182</c:v>
                </c:pt>
                <c:pt idx="3042">
                  <c:v>0.12186</c:v>
                </c:pt>
                <c:pt idx="3043">
                  <c:v>0.12189999999999999</c:v>
                </c:pt>
                <c:pt idx="3044">
                  <c:v>0.12194000000000001</c:v>
                </c:pt>
                <c:pt idx="3045">
                  <c:v>0.12198000000000001</c:v>
                </c:pt>
                <c:pt idx="3046">
                  <c:v>0.12202</c:v>
                </c:pt>
                <c:pt idx="3047">
                  <c:v>0.12206</c:v>
                </c:pt>
                <c:pt idx="3048">
                  <c:v>0.1221</c:v>
                </c:pt>
                <c:pt idx="3049">
                  <c:v>0.12214</c:v>
                </c:pt>
                <c:pt idx="3050">
                  <c:v>0.12218</c:v>
                </c:pt>
                <c:pt idx="3051">
                  <c:v>0.12222</c:v>
                </c:pt>
                <c:pt idx="3052">
                  <c:v>0.12225999999999999</c:v>
                </c:pt>
                <c:pt idx="3053">
                  <c:v>0.12230000000000001</c:v>
                </c:pt>
                <c:pt idx="3054">
                  <c:v>0.12234</c:v>
                </c:pt>
                <c:pt idx="3055">
                  <c:v>0.12238</c:v>
                </c:pt>
                <c:pt idx="3056">
                  <c:v>0.12242</c:v>
                </c:pt>
                <c:pt idx="3057">
                  <c:v>0.12246</c:v>
                </c:pt>
                <c:pt idx="3058">
                  <c:v>0.1225</c:v>
                </c:pt>
                <c:pt idx="3059">
                  <c:v>0.12254</c:v>
                </c:pt>
                <c:pt idx="3060">
                  <c:v>0.12257999999999999</c:v>
                </c:pt>
                <c:pt idx="3061">
                  <c:v>0.12262000000000001</c:v>
                </c:pt>
                <c:pt idx="3062">
                  <c:v>0.12266000000000001</c:v>
                </c:pt>
                <c:pt idx="3063">
                  <c:v>0.1227</c:v>
                </c:pt>
                <c:pt idx="3064">
                  <c:v>0.12274</c:v>
                </c:pt>
                <c:pt idx="3065">
                  <c:v>0.12278</c:v>
                </c:pt>
                <c:pt idx="3066">
                  <c:v>0.12282</c:v>
                </c:pt>
                <c:pt idx="3067">
                  <c:v>0.12286</c:v>
                </c:pt>
                <c:pt idx="3068">
                  <c:v>0.1229</c:v>
                </c:pt>
                <c:pt idx="3069">
                  <c:v>0.12293999999999999</c:v>
                </c:pt>
                <c:pt idx="3070">
                  <c:v>0.12298000000000001</c:v>
                </c:pt>
                <c:pt idx="3071">
                  <c:v>0.12302</c:v>
                </c:pt>
                <c:pt idx="3072">
                  <c:v>0.12306</c:v>
                </c:pt>
                <c:pt idx="3073">
                  <c:v>0.1231</c:v>
                </c:pt>
                <c:pt idx="3074">
                  <c:v>0.12314</c:v>
                </c:pt>
                <c:pt idx="3075">
                  <c:v>0.12318</c:v>
                </c:pt>
                <c:pt idx="3076">
                  <c:v>0.12322</c:v>
                </c:pt>
                <c:pt idx="3077">
                  <c:v>0.12325999999999999</c:v>
                </c:pt>
                <c:pt idx="3078">
                  <c:v>0.12330000000000001</c:v>
                </c:pt>
                <c:pt idx="3079">
                  <c:v>0.12334000000000001</c:v>
                </c:pt>
                <c:pt idx="3080">
                  <c:v>0.12338</c:v>
                </c:pt>
                <c:pt idx="3081">
                  <c:v>0.12342</c:v>
                </c:pt>
                <c:pt idx="3082">
                  <c:v>0.12346</c:v>
                </c:pt>
                <c:pt idx="3083">
                  <c:v>0.1235</c:v>
                </c:pt>
                <c:pt idx="3084">
                  <c:v>0.12354</c:v>
                </c:pt>
                <c:pt idx="3085">
                  <c:v>0.12358</c:v>
                </c:pt>
                <c:pt idx="3086">
                  <c:v>0.12361999999999999</c:v>
                </c:pt>
                <c:pt idx="3087">
                  <c:v>0.12366000000000001</c:v>
                </c:pt>
                <c:pt idx="3088">
                  <c:v>0.1237</c:v>
                </c:pt>
                <c:pt idx="3089">
                  <c:v>0.12374</c:v>
                </c:pt>
                <c:pt idx="3090">
                  <c:v>0.12378</c:v>
                </c:pt>
                <c:pt idx="3091">
                  <c:v>0.12382</c:v>
                </c:pt>
                <c:pt idx="3092">
                  <c:v>0.12386</c:v>
                </c:pt>
                <c:pt idx="3093">
                  <c:v>0.1239</c:v>
                </c:pt>
                <c:pt idx="3094">
                  <c:v>0.12393999999999999</c:v>
                </c:pt>
                <c:pt idx="3095">
                  <c:v>0.12398000000000001</c:v>
                </c:pt>
                <c:pt idx="3096">
                  <c:v>0.12402000000000001</c:v>
                </c:pt>
                <c:pt idx="3097">
                  <c:v>0.12406</c:v>
                </c:pt>
                <c:pt idx="3098">
                  <c:v>0.1241</c:v>
                </c:pt>
                <c:pt idx="3099">
                  <c:v>0.12414</c:v>
                </c:pt>
                <c:pt idx="3100">
                  <c:v>0.12418</c:v>
                </c:pt>
                <c:pt idx="3101">
                  <c:v>0.12422</c:v>
                </c:pt>
                <c:pt idx="3102">
                  <c:v>0.12426</c:v>
                </c:pt>
                <c:pt idx="3103">
                  <c:v>0.12429999999999999</c:v>
                </c:pt>
                <c:pt idx="3104">
                  <c:v>0.12434000000000001</c:v>
                </c:pt>
                <c:pt idx="3105">
                  <c:v>0.12438</c:v>
                </c:pt>
                <c:pt idx="3106">
                  <c:v>0.12442</c:v>
                </c:pt>
                <c:pt idx="3107">
                  <c:v>0.12446</c:v>
                </c:pt>
                <c:pt idx="3108">
                  <c:v>0.1245</c:v>
                </c:pt>
                <c:pt idx="3109">
                  <c:v>0.12454</c:v>
                </c:pt>
                <c:pt idx="3110">
                  <c:v>0.12458</c:v>
                </c:pt>
                <c:pt idx="3111">
                  <c:v>0.12461999999999999</c:v>
                </c:pt>
                <c:pt idx="3112">
                  <c:v>0.12466000000000001</c:v>
                </c:pt>
                <c:pt idx="3113">
                  <c:v>0.12470000000000001</c:v>
                </c:pt>
                <c:pt idx="3114">
                  <c:v>0.12474</c:v>
                </c:pt>
                <c:pt idx="3115">
                  <c:v>0.12478</c:v>
                </c:pt>
                <c:pt idx="3116">
                  <c:v>0.12482</c:v>
                </c:pt>
                <c:pt idx="3117">
                  <c:v>0.12486</c:v>
                </c:pt>
                <c:pt idx="3118">
                  <c:v>0.1249</c:v>
                </c:pt>
                <c:pt idx="3119">
                  <c:v>0.12494</c:v>
                </c:pt>
                <c:pt idx="3120">
                  <c:v>0.12497999999999999</c:v>
                </c:pt>
                <c:pt idx="3121">
                  <c:v>0.12501999999999999</c:v>
                </c:pt>
                <c:pt idx="3122">
                  <c:v>0.12506</c:v>
                </c:pt>
                <c:pt idx="3123">
                  <c:v>0.12509999999999999</c:v>
                </c:pt>
                <c:pt idx="3124">
                  <c:v>0.12514</c:v>
                </c:pt>
                <c:pt idx="3125">
                  <c:v>0.12518000000000001</c:v>
                </c:pt>
                <c:pt idx="3126">
                  <c:v>0.12522</c:v>
                </c:pt>
                <c:pt idx="3127">
                  <c:v>0.12526000000000001</c:v>
                </c:pt>
                <c:pt idx="3128">
                  <c:v>0.12529999999999999</c:v>
                </c:pt>
                <c:pt idx="3129">
                  <c:v>0.12534000000000001</c:v>
                </c:pt>
                <c:pt idx="3130">
                  <c:v>0.12537999999999999</c:v>
                </c:pt>
                <c:pt idx="3131">
                  <c:v>0.12542</c:v>
                </c:pt>
                <c:pt idx="3132">
                  <c:v>0.12545999999999999</c:v>
                </c:pt>
                <c:pt idx="3133">
                  <c:v>0.1255</c:v>
                </c:pt>
                <c:pt idx="3134">
                  <c:v>0.12554000000000001</c:v>
                </c:pt>
                <c:pt idx="3135">
                  <c:v>0.12558</c:v>
                </c:pt>
                <c:pt idx="3136">
                  <c:v>0.12562000000000001</c:v>
                </c:pt>
                <c:pt idx="3137">
                  <c:v>0.12565999999999999</c:v>
                </c:pt>
                <c:pt idx="3138">
                  <c:v>0.12570000000000001</c:v>
                </c:pt>
                <c:pt idx="3139">
                  <c:v>0.12573999999999999</c:v>
                </c:pt>
                <c:pt idx="3140">
                  <c:v>0.12578</c:v>
                </c:pt>
                <c:pt idx="3141">
                  <c:v>0.12581999999999999</c:v>
                </c:pt>
                <c:pt idx="3142">
                  <c:v>0.12586</c:v>
                </c:pt>
                <c:pt idx="3143">
                  <c:v>0.12590000000000001</c:v>
                </c:pt>
                <c:pt idx="3144">
                  <c:v>0.12594</c:v>
                </c:pt>
                <c:pt idx="3145">
                  <c:v>0.12598000000000001</c:v>
                </c:pt>
                <c:pt idx="3146">
                  <c:v>0.12601999999999999</c:v>
                </c:pt>
                <c:pt idx="3147">
                  <c:v>0.12606000000000001</c:v>
                </c:pt>
                <c:pt idx="3148">
                  <c:v>0.12609999999999999</c:v>
                </c:pt>
                <c:pt idx="3149">
                  <c:v>0.12614</c:v>
                </c:pt>
                <c:pt idx="3150">
                  <c:v>0.12617999999999999</c:v>
                </c:pt>
                <c:pt idx="3151">
                  <c:v>0.12622</c:v>
                </c:pt>
                <c:pt idx="3152">
                  <c:v>0.12626000000000001</c:v>
                </c:pt>
                <c:pt idx="3153">
                  <c:v>0.1263</c:v>
                </c:pt>
                <c:pt idx="3154">
                  <c:v>0.12634000000000001</c:v>
                </c:pt>
                <c:pt idx="3155">
                  <c:v>0.12637999999999999</c:v>
                </c:pt>
                <c:pt idx="3156">
                  <c:v>0.12642</c:v>
                </c:pt>
                <c:pt idx="3157">
                  <c:v>0.12645999999999999</c:v>
                </c:pt>
                <c:pt idx="3158">
                  <c:v>0.1265</c:v>
                </c:pt>
                <c:pt idx="3159">
                  <c:v>0.12654000000000001</c:v>
                </c:pt>
                <c:pt idx="3160">
                  <c:v>0.12658</c:v>
                </c:pt>
                <c:pt idx="3161">
                  <c:v>0.12662000000000001</c:v>
                </c:pt>
                <c:pt idx="3162">
                  <c:v>0.12665999999999999</c:v>
                </c:pt>
                <c:pt idx="3163">
                  <c:v>0.12670000000000001</c:v>
                </c:pt>
                <c:pt idx="3164">
                  <c:v>0.12673999999999999</c:v>
                </c:pt>
                <c:pt idx="3165">
                  <c:v>0.12678</c:v>
                </c:pt>
                <c:pt idx="3166">
                  <c:v>0.12681999999999999</c:v>
                </c:pt>
                <c:pt idx="3167">
                  <c:v>0.12686</c:v>
                </c:pt>
                <c:pt idx="3168">
                  <c:v>0.12690000000000001</c:v>
                </c:pt>
                <c:pt idx="3169">
                  <c:v>0.12694</c:v>
                </c:pt>
                <c:pt idx="3170">
                  <c:v>0.12698000000000001</c:v>
                </c:pt>
                <c:pt idx="3171">
                  <c:v>0.12701999999999999</c:v>
                </c:pt>
                <c:pt idx="3172">
                  <c:v>0.12706000000000001</c:v>
                </c:pt>
                <c:pt idx="3173">
                  <c:v>0.12709999999999999</c:v>
                </c:pt>
                <c:pt idx="3174">
                  <c:v>0.12714</c:v>
                </c:pt>
                <c:pt idx="3175">
                  <c:v>0.12717999999999999</c:v>
                </c:pt>
                <c:pt idx="3176">
                  <c:v>0.12722</c:v>
                </c:pt>
                <c:pt idx="3177">
                  <c:v>0.12726000000000001</c:v>
                </c:pt>
                <c:pt idx="3178">
                  <c:v>0.1273</c:v>
                </c:pt>
                <c:pt idx="3179">
                  <c:v>0.12734000000000001</c:v>
                </c:pt>
                <c:pt idx="3180">
                  <c:v>0.12737999999999999</c:v>
                </c:pt>
                <c:pt idx="3181">
                  <c:v>0.12742000000000001</c:v>
                </c:pt>
                <c:pt idx="3182">
                  <c:v>0.12745999999999999</c:v>
                </c:pt>
                <c:pt idx="3183">
                  <c:v>0.1275</c:v>
                </c:pt>
                <c:pt idx="3184">
                  <c:v>0.12753999999999999</c:v>
                </c:pt>
                <c:pt idx="3185">
                  <c:v>0.12758</c:v>
                </c:pt>
                <c:pt idx="3186">
                  <c:v>0.12762000000000001</c:v>
                </c:pt>
                <c:pt idx="3187">
                  <c:v>0.12766</c:v>
                </c:pt>
                <c:pt idx="3188">
                  <c:v>0.12770000000000001</c:v>
                </c:pt>
                <c:pt idx="3189">
                  <c:v>0.12773999999999999</c:v>
                </c:pt>
                <c:pt idx="3190">
                  <c:v>0.12778</c:v>
                </c:pt>
                <c:pt idx="3191">
                  <c:v>0.12781999999999999</c:v>
                </c:pt>
                <c:pt idx="3192">
                  <c:v>0.12786</c:v>
                </c:pt>
                <c:pt idx="3193">
                  <c:v>0.12790000000000001</c:v>
                </c:pt>
                <c:pt idx="3194">
                  <c:v>0.12794</c:v>
                </c:pt>
                <c:pt idx="3195">
                  <c:v>0.12798000000000001</c:v>
                </c:pt>
                <c:pt idx="3196">
                  <c:v>0.12801999999999999</c:v>
                </c:pt>
                <c:pt idx="3197">
                  <c:v>0.12806000000000001</c:v>
                </c:pt>
                <c:pt idx="3198">
                  <c:v>0.12809999999999999</c:v>
                </c:pt>
                <c:pt idx="3199">
                  <c:v>0.12814</c:v>
                </c:pt>
                <c:pt idx="3200">
                  <c:v>0.12817999999999999</c:v>
                </c:pt>
                <c:pt idx="3201">
                  <c:v>0.12822</c:v>
                </c:pt>
                <c:pt idx="3202">
                  <c:v>0.12826000000000001</c:v>
                </c:pt>
                <c:pt idx="3203">
                  <c:v>0.1283</c:v>
                </c:pt>
                <c:pt idx="3204">
                  <c:v>0.12834000000000001</c:v>
                </c:pt>
                <c:pt idx="3205">
                  <c:v>0.12837999999999999</c:v>
                </c:pt>
                <c:pt idx="3206">
                  <c:v>0.12842000000000001</c:v>
                </c:pt>
                <c:pt idx="3207">
                  <c:v>0.12845999999999999</c:v>
                </c:pt>
                <c:pt idx="3208">
                  <c:v>0.1285</c:v>
                </c:pt>
                <c:pt idx="3209">
                  <c:v>0.12853999999999999</c:v>
                </c:pt>
                <c:pt idx="3210">
                  <c:v>0.12858</c:v>
                </c:pt>
                <c:pt idx="3211">
                  <c:v>0.12862000000000001</c:v>
                </c:pt>
                <c:pt idx="3212">
                  <c:v>0.12866</c:v>
                </c:pt>
                <c:pt idx="3213">
                  <c:v>0.12870000000000001</c:v>
                </c:pt>
                <c:pt idx="3214">
                  <c:v>0.12873999999999999</c:v>
                </c:pt>
                <c:pt idx="3215">
                  <c:v>0.12878000000000001</c:v>
                </c:pt>
                <c:pt idx="3216">
                  <c:v>0.12881999999999999</c:v>
                </c:pt>
                <c:pt idx="3217">
                  <c:v>0.12886</c:v>
                </c:pt>
                <c:pt idx="3218">
                  <c:v>0.12889999999999999</c:v>
                </c:pt>
                <c:pt idx="3219">
                  <c:v>0.12894</c:v>
                </c:pt>
                <c:pt idx="3220">
                  <c:v>0.12898000000000001</c:v>
                </c:pt>
                <c:pt idx="3221">
                  <c:v>0.12902</c:v>
                </c:pt>
                <c:pt idx="3222">
                  <c:v>0.12906000000000001</c:v>
                </c:pt>
                <c:pt idx="3223">
                  <c:v>0.12909999999999999</c:v>
                </c:pt>
                <c:pt idx="3224">
                  <c:v>0.12914</c:v>
                </c:pt>
                <c:pt idx="3225">
                  <c:v>0.12917999999999999</c:v>
                </c:pt>
                <c:pt idx="3226">
                  <c:v>0.12922</c:v>
                </c:pt>
                <c:pt idx="3227">
                  <c:v>0.12926000000000001</c:v>
                </c:pt>
                <c:pt idx="3228">
                  <c:v>0.1293</c:v>
                </c:pt>
                <c:pt idx="3229">
                  <c:v>0.12934000000000001</c:v>
                </c:pt>
                <c:pt idx="3230">
                  <c:v>0.12938</c:v>
                </c:pt>
                <c:pt idx="3231">
                  <c:v>0.12942000000000001</c:v>
                </c:pt>
                <c:pt idx="3232">
                  <c:v>0.12945999999999999</c:v>
                </c:pt>
                <c:pt idx="3233">
                  <c:v>0.1295</c:v>
                </c:pt>
                <c:pt idx="3234">
                  <c:v>0.12953999999999999</c:v>
                </c:pt>
                <c:pt idx="3235">
                  <c:v>0.12958</c:v>
                </c:pt>
                <c:pt idx="3236">
                  <c:v>0.12962000000000001</c:v>
                </c:pt>
                <c:pt idx="3237">
                  <c:v>0.12966</c:v>
                </c:pt>
                <c:pt idx="3238">
                  <c:v>0.12970000000000001</c:v>
                </c:pt>
                <c:pt idx="3239">
                  <c:v>0.12973999999999999</c:v>
                </c:pt>
                <c:pt idx="3240">
                  <c:v>0.12978000000000001</c:v>
                </c:pt>
                <c:pt idx="3241">
                  <c:v>0.12981999999999999</c:v>
                </c:pt>
                <c:pt idx="3242">
                  <c:v>0.12986</c:v>
                </c:pt>
                <c:pt idx="3243">
                  <c:v>0.12989999999999999</c:v>
                </c:pt>
                <c:pt idx="3244">
                  <c:v>0.12994</c:v>
                </c:pt>
                <c:pt idx="3245">
                  <c:v>0.12998000000000001</c:v>
                </c:pt>
                <c:pt idx="3246">
                  <c:v>0.13002</c:v>
                </c:pt>
                <c:pt idx="3247">
                  <c:v>0.13006000000000001</c:v>
                </c:pt>
                <c:pt idx="3248">
                  <c:v>0.13009999999999999</c:v>
                </c:pt>
                <c:pt idx="3249">
                  <c:v>0.13014000000000001</c:v>
                </c:pt>
                <c:pt idx="3250">
                  <c:v>0.13017999999999999</c:v>
                </c:pt>
                <c:pt idx="3251">
                  <c:v>0.13022</c:v>
                </c:pt>
                <c:pt idx="3252">
                  <c:v>0.13025999999999999</c:v>
                </c:pt>
                <c:pt idx="3253">
                  <c:v>0.1303</c:v>
                </c:pt>
                <c:pt idx="3254">
                  <c:v>0.13034000000000001</c:v>
                </c:pt>
                <c:pt idx="3255">
                  <c:v>0.13038</c:v>
                </c:pt>
                <c:pt idx="3256">
                  <c:v>0.13042000000000001</c:v>
                </c:pt>
                <c:pt idx="3257">
                  <c:v>0.13045999999999999</c:v>
                </c:pt>
                <c:pt idx="3258">
                  <c:v>0.1305</c:v>
                </c:pt>
                <c:pt idx="3259">
                  <c:v>0.13053999999999999</c:v>
                </c:pt>
                <c:pt idx="3260">
                  <c:v>0.13058</c:v>
                </c:pt>
                <c:pt idx="3261">
                  <c:v>0.13062000000000001</c:v>
                </c:pt>
                <c:pt idx="3262">
                  <c:v>0.13066</c:v>
                </c:pt>
                <c:pt idx="3263">
                  <c:v>0.13070000000000001</c:v>
                </c:pt>
                <c:pt idx="3264">
                  <c:v>0.13074</c:v>
                </c:pt>
                <c:pt idx="3265">
                  <c:v>0.13078000000000001</c:v>
                </c:pt>
                <c:pt idx="3266">
                  <c:v>0.13081999999999999</c:v>
                </c:pt>
                <c:pt idx="3267">
                  <c:v>0.13086</c:v>
                </c:pt>
                <c:pt idx="3268">
                  <c:v>0.13089999999999999</c:v>
                </c:pt>
                <c:pt idx="3269">
                  <c:v>0.13094</c:v>
                </c:pt>
                <c:pt idx="3270">
                  <c:v>0.13098000000000001</c:v>
                </c:pt>
                <c:pt idx="3271">
                  <c:v>0.13102</c:v>
                </c:pt>
                <c:pt idx="3272">
                  <c:v>0.13106000000000001</c:v>
                </c:pt>
                <c:pt idx="3273">
                  <c:v>0.13109999999999999</c:v>
                </c:pt>
                <c:pt idx="3274">
                  <c:v>0.13114000000000001</c:v>
                </c:pt>
                <c:pt idx="3275">
                  <c:v>0.13117999999999999</c:v>
                </c:pt>
                <c:pt idx="3276">
                  <c:v>0.13122</c:v>
                </c:pt>
                <c:pt idx="3277">
                  <c:v>0.13125999999999999</c:v>
                </c:pt>
                <c:pt idx="3278">
                  <c:v>0.1313</c:v>
                </c:pt>
                <c:pt idx="3279">
                  <c:v>0.13134000000000001</c:v>
                </c:pt>
                <c:pt idx="3280">
                  <c:v>0.13138</c:v>
                </c:pt>
                <c:pt idx="3281">
                  <c:v>0.13142000000000001</c:v>
                </c:pt>
                <c:pt idx="3282">
                  <c:v>0.13145999999999999</c:v>
                </c:pt>
                <c:pt idx="3283">
                  <c:v>0.13150000000000001</c:v>
                </c:pt>
                <c:pt idx="3284">
                  <c:v>0.13153999999999999</c:v>
                </c:pt>
                <c:pt idx="3285">
                  <c:v>0.13158</c:v>
                </c:pt>
                <c:pt idx="3286">
                  <c:v>0.13161999999999999</c:v>
                </c:pt>
                <c:pt idx="3287">
                  <c:v>0.13166</c:v>
                </c:pt>
                <c:pt idx="3288">
                  <c:v>0.13170000000000001</c:v>
                </c:pt>
                <c:pt idx="3289">
                  <c:v>0.13174</c:v>
                </c:pt>
                <c:pt idx="3290">
                  <c:v>0.13178000000000001</c:v>
                </c:pt>
                <c:pt idx="3291">
                  <c:v>0.13181999999999999</c:v>
                </c:pt>
                <c:pt idx="3292">
                  <c:v>0.13186</c:v>
                </c:pt>
                <c:pt idx="3293">
                  <c:v>0.13189999999999999</c:v>
                </c:pt>
                <c:pt idx="3294">
                  <c:v>0.13194</c:v>
                </c:pt>
                <c:pt idx="3295">
                  <c:v>0.13197999999999999</c:v>
                </c:pt>
                <c:pt idx="3296">
                  <c:v>0.13202</c:v>
                </c:pt>
                <c:pt idx="3297">
                  <c:v>0.13206000000000001</c:v>
                </c:pt>
                <c:pt idx="3298">
                  <c:v>0.1321</c:v>
                </c:pt>
                <c:pt idx="3299">
                  <c:v>0.13214000000000001</c:v>
                </c:pt>
                <c:pt idx="3300">
                  <c:v>0.13217999999999999</c:v>
                </c:pt>
                <c:pt idx="3301">
                  <c:v>0.13222</c:v>
                </c:pt>
                <c:pt idx="3302">
                  <c:v>0.13225999999999999</c:v>
                </c:pt>
                <c:pt idx="3303">
                  <c:v>0.1323</c:v>
                </c:pt>
                <c:pt idx="3304">
                  <c:v>0.13234000000000001</c:v>
                </c:pt>
                <c:pt idx="3305">
                  <c:v>0.13238</c:v>
                </c:pt>
                <c:pt idx="3306">
                  <c:v>0.13242000000000001</c:v>
                </c:pt>
                <c:pt idx="3307">
                  <c:v>0.13245999999999999</c:v>
                </c:pt>
                <c:pt idx="3308">
                  <c:v>0.13250000000000001</c:v>
                </c:pt>
                <c:pt idx="3309">
                  <c:v>0.13253999999999999</c:v>
                </c:pt>
                <c:pt idx="3310">
                  <c:v>0.13258</c:v>
                </c:pt>
                <c:pt idx="3311">
                  <c:v>0.13261999999999999</c:v>
                </c:pt>
                <c:pt idx="3312">
                  <c:v>0.13266</c:v>
                </c:pt>
                <c:pt idx="3313">
                  <c:v>0.13270000000000001</c:v>
                </c:pt>
                <c:pt idx="3314">
                  <c:v>0.13274</c:v>
                </c:pt>
                <c:pt idx="3315">
                  <c:v>0.13278000000000001</c:v>
                </c:pt>
                <c:pt idx="3316">
                  <c:v>0.13281999999999999</c:v>
                </c:pt>
                <c:pt idx="3317">
                  <c:v>0.13286000000000001</c:v>
                </c:pt>
                <c:pt idx="3318">
                  <c:v>0.13289999999999999</c:v>
                </c:pt>
                <c:pt idx="3319">
                  <c:v>0.13294</c:v>
                </c:pt>
                <c:pt idx="3320">
                  <c:v>0.13297999999999999</c:v>
                </c:pt>
                <c:pt idx="3321">
                  <c:v>0.13302</c:v>
                </c:pt>
                <c:pt idx="3322">
                  <c:v>0.13306000000000001</c:v>
                </c:pt>
                <c:pt idx="3323">
                  <c:v>0.1331</c:v>
                </c:pt>
                <c:pt idx="3324">
                  <c:v>0.13314000000000001</c:v>
                </c:pt>
                <c:pt idx="3325">
                  <c:v>0.13317999999999999</c:v>
                </c:pt>
                <c:pt idx="3326">
                  <c:v>0.13322000000000001</c:v>
                </c:pt>
                <c:pt idx="3327">
                  <c:v>0.13325999999999999</c:v>
                </c:pt>
                <c:pt idx="3328">
                  <c:v>0.1333</c:v>
                </c:pt>
                <c:pt idx="3329">
                  <c:v>0.13333999999999999</c:v>
                </c:pt>
                <c:pt idx="3330">
                  <c:v>0.13338</c:v>
                </c:pt>
                <c:pt idx="3331">
                  <c:v>0.13342000000000001</c:v>
                </c:pt>
                <c:pt idx="3332">
                  <c:v>0.13346</c:v>
                </c:pt>
                <c:pt idx="3333">
                  <c:v>0.13350000000000001</c:v>
                </c:pt>
                <c:pt idx="3334">
                  <c:v>0.13353999999999999</c:v>
                </c:pt>
                <c:pt idx="3335">
                  <c:v>0.13358</c:v>
                </c:pt>
                <c:pt idx="3336">
                  <c:v>0.13361999999999999</c:v>
                </c:pt>
                <c:pt idx="3337">
                  <c:v>0.13366</c:v>
                </c:pt>
                <c:pt idx="3338">
                  <c:v>0.13370000000000001</c:v>
                </c:pt>
                <c:pt idx="3339">
                  <c:v>0.13374</c:v>
                </c:pt>
                <c:pt idx="3340">
                  <c:v>0.13378000000000001</c:v>
                </c:pt>
                <c:pt idx="3341">
                  <c:v>0.13381999999999999</c:v>
                </c:pt>
                <c:pt idx="3342">
                  <c:v>0.13386000000000001</c:v>
                </c:pt>
                <c:pt idx="3343">
                  <c:v>0.13389999999999999</c:v>
                </c:pt>
                <c:pt idx="3344">
                  <c:v>0.13394</c:v>
                </c:pt>
                <c:pt idx="3345">
                  <c:v>0.13397999999999999</c:v>
                </c:pt>
                <c:pt idx="3346">
                  <c:v>0.13402</c:v>
                </c:pt>
                <c:pt idx="3347">
                  <c:v>0.13406000000000001</c:v>
                </c:pt>
                <c:pt idx="3348">
                  <c:v>0.1341</c:v>
                </c:pt>
                <c:pt idx="3349">
                  <c:v>0.13414000000000001</c:v>
                </c:pt>
                <c:pt idx="3350">
                  <c:v>0.13417999999999999</c:v>
                </c:pt>
                <c:pt idx="3351">
                  <c:v>0.13422000000000001</c:v>
                </c:pt>
                <c:pt idx="3352">
                  <c:v>0.13425999999999999</c:v>
                </c:pt>
                <c:pt idx="3353">
                  <c:v>0.1343</c:v>
                </c:pt>
                <c:pt idx="3354">
                  <c:v>0.13433999999999999</c:v>
                </c:pt>
                <c:pt idx="3355">
                  <c:v>0.13438</c:v>
                </c:pt>
                <c:pt idx="3356">
                  <c:v>0.13442000000000001</c:v>
                </c:pt>
                <c:pt idx="3357">
                  <c:v>0.13446</c:v>
                </c:pt>
                <c:pt idx="3358">
                  <c:v>0.13450000000000001</c:v>
                </c:pt>
                <c:pt idx="3359">
                  <c:v>0.13453999999999999</c:v>
                </c:pt>
                <c:pt idx="3360">
                  <c:v>0.13458000000000001</c:v>
                </c:pt>
                <c:pt idx="3361">
                  <c:v>0.13461999999999999</c:v>
                </c:pt>
                <c:pt idx="3362">
                  <c:v>0.13466</c:v>
                </c:pt>
                <c:pt idx="3363">
                  <c:v>0.13469999999999999</c:v>
                </c:pt>
                <c:pt idx="3364">
                  <c:v>0.13474</c:v>
                </c:pt>
                <c:pt idx="3365">
                  <c:v>0.13478000000000001</c:v>
                </c:pt>
                <c:pt idx="3366">
                  <c:v>0.13482</c:v>
                </c:pt>
                <c:pt idx="3367">
                  <c:v>0.13486000000000001</c:v>
                </c:pt>
                <c:pt idx="3368">
                  <c:v>0.13489999999999999</c:v>
                </c:pt>
                <c:pt idx="3369">
                  <c:v>0.13494</c:v>
                </c:pt>
                <c:pt idx="3370">
                  <c:v>0.13497999999999999</c:v>
                </c:pt>
                <c:pt idx="3371">
                  <c:v>0.13502</c:v>
                </c:pt>
                <c:pt idx="3372">
                  <c:v>0.13506000000000001</c:v>
                </c:pt>
                <c:pt idx="3373">
                  <c:v>0.1351</c:v>
                </c:pt>
                <c:pt idx="3374">
                  <c:v>0.13514000000000001</c:v>
                </c:pt>
                <c:pt idx="3375">
                  <c:v>0.13517999999999999</c:v>
                </c:pt>
                <c:pt idx="3376">
                  <c:v>0.13522000000000001</c:v>
                </c:pt>
                <c:pt idx="3377">
                  <c:v>0.13525999999999999</c:v>
                </c:pt>
                <c:pt idx="3378">
                  <c:v>0.1353</c:v>
                </c:pt>
                <c:pt idx="3379">
                  <c:v>0.13533999999999999</c:v>
                </c:pt>
                <c:pt idx="3380">
                  <c:v>0.13538</c:v>
                </c:pt>
                <c:pt idx="3381">
                  <c:v>0.13542000000000001</c:v>
                </c:pt>
                <c:pt idx="3382">
                  <c:v>0.13546</c:v>
                </c:pt>
                <c:pt idx="3383">
                  <c:v>0.13550000000000001</c:v>
                </c:pt>
                <c:pt idx="3384">
                  <c:v>0.13553999999999999</c:v>
                </c:pt>
                <c:pt idx="3385">
                  <c:v>0.13558000000000001</c:v>
                </c:pt>
                <c:pt idx="3386">
                  <c:v>0.13561999999999999</c:v>
                </c:pt>
                <c:pt idx="3387">
                  <c:v>0.13566</c:v>
                </c:pt>
                <c:pt idx="3388">
                  <c:v>0.13569999999999999</c:v>
                </c:pt>
                <c:pt idx="3389">
                  <c:v>0.13574</c:v>
                </c:pt>
                <c:pt idx="3390">
                  <c:v>0.13578000000000001</c:v>
                </c:pt>
                <c:pt idx="3391">
                  <c:v>0.13582</c:v>
                </c:pt>
                <c:pt idx="3392">
                  <c:v>0.13586000000000001</c:v>
                </c:pt>
                <c:pt idx="3393">
                  <c:v>0.13589999999999999</c:v>
                </c:pt>
                <c:pt idx="3394">
                  <c:v>0.13594000000000001</c:v>
                </c:pt>
                <c:pt idx="3395">
                  <c:v>0.13597999999999999</c:v>
                </c:pt>
                <c:pt idx="3396">
                  <c:v>0.13602</c:v>
                </c:pt>
                <c:pt idx="3397">
                  <c:v>0.13605999999999999</c:v>
                </c:pt>
                <c:pt idx="3398">
                  <c:v>0.1361</c:v>
                </c:pt>
                <c:pt idx="3399">
                  <c:v>0.13614000000000001</c:v>
                </c:pt>
                <c:pt idx="3400">
                  <c:v>0.13618</c:v>
                </c:pt>
                <c:pt idx="3401">
                  <c:v>0.13622000000000001</c:v>
                </c:pt>
                <c:pt idx="3402">
                  <c:v>0.13625999999999999</c:v>
                </c:pt>
                <c:pt idx="3403">
                  <c:v>0.1363</c:v>
                </c:pt>
                <c:pt idx="3404">
                  <c:v>0.13633999999999999</c:v>
                </c:pt>
                <c:pt idx="3405">
                  <c:v>0.13638</c:v>
                </c:pt>
                <c:pt idx="3406">
                  <c:v>0.13642000000000001</c:v>
                </c:pt>
                <c:pt idx="3407">
                  <c:v>0.13646</c:v>
                </c:pt>
                <c:pt idx="3408">
                  <c:v>0.13650000000000001</c:v>
                </c:pt>
                <c:pt idx="3409">
                  <c:v>0.13653999999999999</c:v>
                </c:pt>
                <c:pt idx="3410">
                  <c:v>0.13658000000000001</c:v>
                </c:pt>
                <c:pt idx="3411">
                  <c:v>0.13661999999999999</c:v>
                </c:pt>
                <c:pt idx="3412">
                  <c:v>0.13666</c:v>
                </c:pt>
                <c:pt idx="3413">
                  <c:v>0.13669999999999999</c:v>
                </c:pt>
                <c:pt idx="3414">
                  <c:v>0.13674</c:v>
                </c:pt>
                <c:pt idx="3415">
                  <c:v>0.13678000000000001</c:v>
                </c:pt>
                <c:pt idx="3416">
                  <c:v>0.13682</c:v>
                </c:pt>
                <c:pt idx="3417">
                  <c:v>0.13686000000000001</c:v>
                </c:pt>
                <c:pt idx="3418">
                  <c:v>0.13689999999999999</c:v>
                </c:pt>
                <c:pt idx="3419">
                  <c:v>0.13694000000000001</c:v>
                </c:pt>
                <c:pt idx="3420">
                  <c:v>0.13697999999999999</c:v>
                </c:pt>
                <c:pt idx="3421">
                  <c:v>0.13702</c:v>
                </c:pt>
                <c:pt idx="3422">
                  <c:v>0.13705999999999999</c:v>
                </c:pt>
                <c:pt idx="3423">
                  <c:v>0.1371</c:v>
                </c:pt>
                <c:pt idx="3424">
                  <c:v>0.13714000000000001</c:v>
                </c:pt>
                <c:pt idx="3425">
                  <c:v>0.13718</c:v>
                </c:pt>
                <c:pt idx="3426">
                  <c:v>0.13722000000000001</c:v>
                </c:pt>
                <c:pt idx="3427">
                  <c:v>0.13725999999999999</c:v>
                </c:pt>
                <c:pt idx="3428">
                  <c:v>0.13730000000000001</c:v>
                </c:pt>
                <c:pt idx="3429">
                  <c:v>0.13733999999999999</c:v>
                </c:pt>
                <c:pt idx="3430">
                  <c:v>0.13738</c:v>
                </c:pt>
                <c:pt idx="3431">
                  <c:v>0.13741999999999999</c:v>
                </c:pt>
                <c:pt idx="3432">
                  <c:v>0.13746</c:v>
                </c:pt>
                <c:pt idx="3433">
                  <c:v>0.13750000000000001</c:v>
                </c:pt>
                <c:pt idx="3434">
                  <c:v>0.13754</c:v>
                </c:pt>
                <c:pt idx="3435">
                  <c:v>0.13758000000000001</c:v>
                </c:pt>
                <c:pt idx="3436">
                  <c:v>0.13761999999999999</c:v>
                </c:pt>
                <c:pt idx="3437">
                  <c:v>0.13766</c:v>
                </c:pt>
                <c:pt idx="3438">
                  <c:v>0.13769999999999999</c:v>
                </c:pt>
                <c:pt idx="3439">
                  <c:v>0.13774</c:v>
                </c:pt>
                <c:pt idx="3440">
                  <c:v>0.13778000000000001</c:v>
                </c:pt>
                <c:pt idx="3441">
                  <c:v>0.13782</c:v>
                </c:pt>
                <c:pt idx="3442">
                  <c:v>0.13786000000000001</c:v>
                </c:pt>
                <c:pt idx="3443">
                  <c:v>0.13789999999999999</c:v>
                </c:pt>
                <c:pt idx="3444">
                  <c:v>0.13794000000000001</c:v>
                </c:pt>
                <c:pt idx="3445">
                  <c:v>0.13797999999999999</c:v>
                </c:pt>
                <c:pt idx="3446">
                  <c:v>0.13802</c:v>
                </c:pt>
                <c:pt idx="3447">
                  <c:v>0.13805999999999999</c:v>
                </c:pt>
                <c:pt idx="3448">
                  <c:v>0.1381</c:v>
                </c:pt>
                <c:pt idx="3449">
                  <c:v>0.13814000000000001</c:v>
                </c:pt>
                <c:pt idx="3450">
                  <c:v>0.13818</c:v>
                </c:pt>
                <c:pt idx="3451">
                  <c:v>0.13822000000000001</c:v>
                </c:pt>
                <c:pt idx="3452">
                  <c:v>0.13825999999999999</c:v>
                </c:pt>
                <c:pt idx="3453">
                  <c:v>0.13830000000000001</c:v>
                </c:pt>
                <c:pt idx="3454">
                  <c:v>0.13833999999999999</c:v>
                </c:pt>
                <c:pt idx="3455">
                  <c:v>0.13838</c:v>
                </c:pt>
                <c:pt idx="3456">
                  <c:v>0.13841999999999999</c:v>
                </c:pt>
                <c:pt idx="3457">
                  <c:v>0.13846</c:v>
                </c:pt>
                <c:pt idx="3458">
                  <c:v>0.13850000000000001</c:v>
                </c:pt>
                <c:pt idx="3459">
                  <c:v>0.13854</c:v>
                </c:pt>
                <c:pt idx="3460">
                  <c:v>0.13858000000000001</c:v>
                </c:pt>
                <c:pt idx="3461">
                  <c:v>0.13861999999999999</c:v>
                </c:pt>
                <c:pt idx="3462">
                  <c:v>0.13866000000000001</c:v>
                </c:pt>
                <c:pt idx="3463">
                  <c:v>0.13869999999999999</c:v>
                </c:pt>
                <c:pt idx="3464">
                  <c:v>0.13874</c:v>
                </c:pt>
                <c:pt idx="3465">
                  <c:v>0.13877999999999999</c:v>
                </c:pt>
                <c:pt idx="3466">
                  <c:v>0.13882</c:v>
                </c:pt>
                <c:pt idx="3467">
                  <c:v>0.13886000000000001</c:v>
                </c:pt>
                <c:pt idx="3468">
                  <c:v>0.1389</c:v>
                </c:pt>
                <c:pt idx="3469">
                  <c:v>0.13894000000000001</c:v>
                </c:pt>
                <c:pt idx="3470">
                  <c:v>0.13897999999999999</c:v>
                </c:pt>
                <c:pt idx="3471">
                  <c:v>0.13902</c:v>
                </c:pt>
                <c:pt idx="3472">
                  <c:v>0.13905999999999999</c:v>
                </c:pt>
                <c:pt idx="3473">
                  <c:v>0.1391</c:v>
                </c:pt>
                <c:pt idx="3474">
                  <c:v>0.13914000000000001</c:v>
                </c:pt>
                <c:pt idx="3475">
                  <c:v>0.13918</c:v>
                </c:pt>
                <c:pt idx="3476">
                  <c:v>0.13922000000000001</c:v>
                </c:pt>
                <c:pt idx="3477">
                  <c:v>0.13925999999999999</c:v>
                </c:pt>
                <c:pt idx="3478">
                  <c:v>0.13930000000000001</c:v>
                </c:pt>
                <c:pt idx="3479">
                  <c:v>0.13933999999999999</c:v>
                </c:pt>
                <c:pt idx="3480">
                  <c:v>0.13938</c:v>
                </c:pt>
                <c:pt idx="3481">
                  <c:v>0.13941999999999999</c:v>
                </c:pt>
                <c:pt idx="3482">
                  <c:v>0.13946</c:v>
                </c:pt>
                <c:pt idx="3483">
                  <c:v>0.13950000000000001</c:v>
                </c:pt>
                <c:pt idx="3484">
                  <c:v>0.13954</c:v>
                </c:pt>
                <c:pt idx="3485">
                  <c:v>0.13958000000000001</c:v>
                </c:pt>
                <c:pt idx="3486">
                  <c:v>0.13961999999999999</c:v>
                </c:pt>
                <c:pt idx="3487">
                  <c:v>0.13966000000000001</c:v>
                </c:pt>
                <c:pt idx="3488">
                  <c:v>0.13969999999999999</c:v>
                </c:pt>
                <c:pt idx="3489">
                  <c:v>0.13974</c:v>
                </c:pt>
                <c:pt idx="3490">
                  <c:v>0.13977999999999999</c:v>
                </c:pt>
                <c:pt idx="3491">
                  <c:v>0.13982</c:v>
                </c:pt>
                <c:pt idx="3492">
                  <c:v>0.13986000000000001</c:v>
                </c:pt>
                <c:pt idx="3493">
                  <c:v>0.1399</c:v>
                </c:pt>
                <c:pt idx="3494">
                  <c:v>0.13994000000000001</c:v>
                </c:pt>
                <c:pt idx="3495">
                  <c:v>0.13997999999999999</c:v>
                </c:pt>
                <c:pt idx="3496">
                  <c:v>0.14002000000000001</c:v>
                </c:pt>
                <c:pt idx="3497">
                  <c:v>0.14005999999999999</c:v>
                </c:pt>
                <c:pt idx="3498">
                  <c:v>0.1401</c:v>
                </c:pt>
                <c:pt idx="3499">
                  <c:v>0.14013999999999999</c:v>
                </c:pt>
                <c:pt idx="3500">
                  <c:v>0.14018</c:v>
                </c:pt>
                <c:pt idx="3501">
                  <c:v>0.14022000000000001</c:v>
                </c:pt>
                <c:pt idx="3502">
                  <c:v>0.14026</c:v>
                </c:pt>
                <c:pt idx="3503">
                  <c:v>0.14030000000000001</c:v>
                </c:pt>
                <c:pt idx="3504">
                  <c:v>0.14033999999999999</c:v>
                </c:pt>
                <c:pt idx="3505">
                  <c:v>0.14038</c:v>
                </c:pt>
                <c:pt idx="3506">
                  <c:v>0.14041999999999999</c:v>
                </c:pt>
                <c:pt idx="3507">
                  <c:v>0.14046</c:v>
                </c:pt>
                <c:pt idx="3508">
                  <c:v>0.14050000000000001</c:v>
                </c:pt>
                <c:pt idx="3509">
                  <c:v>0.14054</c:v>
                </c:pt>
                <c:pt idx="3510">
                  <c:v>0.14058000000000001</c:v>
                </c:pt>
                <c:pt idx="3511">
                  <c:v>0.14061999999999999</c:v>
                </c:pt>
                <c:pt idx="3512">
                  <c:v>0.14066000000000001</c:v>
                </c:pt>
                <c:pt idx="3513">
                  <c:v>0.14069999999999999</c:v>
                </c:pt>
                <c:pt idx="3514">
                  <c:v>0.14074</c:v>
                </c:pt>
                <c:pt idx="3515">
                  <c:v>0.14077999999999999</c:v>
                </c:pt>
                <c:pt idx="3516">
                  <c:v>0.14082</c:v>
                </c:pt>
                <c:pt idx="3517">
                  <c:v>0.14086000000000001</c:v>
                </c:pt>
                <c:pt idx="3518">
                  <c:v>0.1409</c:v>
                </c:pt>
                <c:pt idx="3519">
                  <c:v>0.14094000000000001</c:v>
                </c:pt>
                <c:pt idx="3520">
                  <c:v>0.14097999999999999</c:v>
                </c:pt>
                <c:pt idx="3521">
                  <c:v>0.14102000000000001</c:v>
                </c:pt>
                <c:pt idx="3522">
                  <c:v>0.14105999999999999</c:v>
                </c:pt>
                <c:pt idx="3523">
                  <c:v>0.1411</c:v>
                </c:pt>
                <c:pt idx="3524">
                  <c:v>0.14113999999999999</c:v>
                </c:pt>
                <c:pt idx="3525">
                  <c:v>0.14118</c:v>
                </c:pt>
                <c:pt idx="3526">
                  <c:v>0.14122000000000001</c:v>
                </c:pt>
                <c:pt idx="3527">
                  <c:v>0.14126</c:v>
                </c:pt>
                <c:pt idx="3528">
                  <c:v>0.14130000000000001</c:v>
                </c:pt>
                <c:pt idx="3529">
                  <c:v>0.14133999999999999</c:v>
                </c:pt>
                <c:pt idx="3530">
                  <c:v>0.14138000000000001</c:v>
                </c:pt>
                <c:pt idx="3531">
                  <c:v>0.14141999999999999</c:v>
                </c:pt>
                <c:pt idx="3532">
                  <c:v>0.14146</c:v>
                </c:pt>
                <c:pt idx="3533">
                  <c:v>0.14149999999999999</c:v>
                </c:pt>
                <c:pt idx="3534">
                  <c:v>0.14154</c:v>
                </c:pt>
                <c:pt idx="3535">
                  <c:v>0.14158000000000001</c:v>
                </c:pt>
                <c:pt idx="3536">
                  <c:v>0.14162</c:v>
                </c:pt>
                <c:pt idx="3537">
                  <c:v>0.14166000000000001</c:v>
                </c:pt>
                <c:pt idx="3538">
                  <c:v>0.14169999999999999</c:v>
                </c:pt>
                <c:pt idx="3539">
                  <c:v>0.14174</c:v>
                </c:pt>
                <c:pt idx="3540">
                  <c:v>0.14177999999999999</c:v>
                </c:pt>
                <c:pt idx="3541">
                  <c:v>0.14182</c:v>
                </c:pt>
                <c:pt idx="3542">
                  <c:v>0.14186000000000001</c:v>
                </c:pt>
                <c:pt idx="3543">
                  <c:v>0.1419</c:v>
                </c:pt>
                <c:pt idx="3544">
                  <c:v>0.14194000000000001</c:v>
                </c:pt>
                <c:pt idx="3545">
                  <c:v>0.14198</c:v>
                </c:pt>
                <c:pt idx="3546">
                  <c:v>0.14202000000000001</c:v>
                </c:pt>
                <c:pt idx="3547">
                  <c:v>0.14205999999999999</c:v>
                </c:pt>
                <c:pt idx="3548">
                  <c:v>0.1421</c:v>
                </c:pt>
                <c:pt idx="3549">
                  <c:v>0.14213999999999999</c:v>
                </c:pt>
                <c:pt idx="3550">
                  <c:v>0.14218</c:v>
                </c:pt>
                <c:pt idx="3551">
                  <c:v>0.14222000000000001</c:v>
                </c:pt>
                <c:pt idx="3552">
                  <c:v>0.14226</c:v>
                </c:pt>
                <c:pt idx="3553">
                  <c:v>0.14230000000000001</c:v>
                </c:pt>
                <c:pt idx="3554">
                  <c:v>0.14233999999999999</c:v>
                </c:pt>
                <c:pt idx="3555">
                  <c:v>0.14238000000000001</c:v>
                </c:pt>
                <c:pt idx="3556">
                  <c:v>0.14241999999999999</c:v>
                </c:pt>
                <c:pt idx="3557">
                  <c:v>0.14246</c:v>
                </c:pt>
                <c:pt idx="3558">
                  <c:v>0.14249999999999999</c:v>
                </c:pt>
                <c:pt idx="3559">
                  <c:v>0.14254</c:v>
                </c:pt>
                <c:pt idx="3560">
                  <c:v>0.14258000000000001</c:v>
                </c:pt>
                <c:pt idx="3561">
                  <c:v>0.14262</c:v>
                </c:pt>
                <c:pt idx="3562">
                  <c:v>0.14266000000000001</c:v>
                </c:pt>
                <c:pt idx="3563">
                  <c:v>0.14269999999999999</c:v>
                </c:pt>
                <c:pt idx="3564">
                  <c:v>0.14274000000000001</c:v>
                </c:pt>
                <c:pt idx="3565">
                  <c:v>0.14277999999999999</c:v>
                </c:pt>
                <c:pt idx="3566">
                  <c:v>0.14282</c:v>
                </c:pt>
                <c:pt idx="3567">
                  <c:v>0.14285999999999999</c:v>
                </c:pt>
                <c:pt idx="3568">
                  <c:v>0.1429</c:v>
                </c:pt>
                <c:pt idx="3569">
                  <c:v>0.14294000000000001</c:v>
                </c:pt>
                <c:pt idx="3570">
                  <c:v>0.14298</c:v>
                </c:pt>
                <c:pt idx="3571">
                  <c:v>0.14302000000000001</c:v>
                </c:pt>
                <c:pt idx="3572">
                  <c:v>0.14305999999999999</c:v>
                </c:pt>
                <c:pt idx="3573">
                  <c:v>0.1431</c:v>
                </c:pt>
                <c:pt idx="3574">
                  <c:v>0.14313999999999999</c:v>
                </c:pt>
                <c:pt idx="3575">
                  <c:v>0.14318</c:v>
                </c:pt>
                <c:pt idx="3576">
                  <c:v>0.14321999999999999</c:v>
                </c:pt>
                <c:pt idx="3577">
                  <c:v>0.14326</c:v>
                </c:pt>
                <c:pt idx="3578">
                  <c:v>0.14330000000000001</c:v>
                </c:pt>
                <c:pt idx="3579">
                  <c:v>0.14334</c:v>
                </c:pt>
                <c:pt idx="3580">
                  <c:v>0.14338000000000001</c:v>
                </c:pt>
                <c:pt idx="3581">
                  <c:v>0.14341999999999999</c:v>
                </c:pt>
                <c:pt idx="3582">
                  <c:v>0.14346</c:v>
                </c:pt>
                <c:pt idx="3583">
                  <c:v>0.14349999999999999</c:v>
                </c:pt>
                <c:pt idx="3584">
                  <c:v>0.14354</c:v>
                </c:pt>
                <c:pt idx="3585">
                  <c:v>0.14358000000000001</c:v>
                </c:pt>
                <c:pt idx="3586">
                  <c:v>0.14362</c:v>
                </c:pt>
                <c:pt idx="3587">
                  <c:v>0.14366000000000001</c:v>
                </c:pt>
                <c:pt idx="3588">
                  <c:v>0.14369999999999999</c:v>
                </c:pt>
                <c:pt idx="3589">
                  <c:v>0.14374000000000001</c:v>
                </c:pt>
                <c:pt idx="3590">
                  <c:v>0.14377999999999999</c:v>
                </c:pt>
                <c:pt idx="3591">
                  <c:v>0.14382</c:v>
                </c:pt>
                <c:pt idx="3592">
                  <c:v>0.14385999999999999</c:v>
                </c:pt>
                <c:pt idx="3593">
                  <c:v>0.1439</c:v>
                </c:pt>
                <c:pt idx="3594">
                  <c:v>0.14394000000000001</c:v>
                </c:pt>
                <c:pt idx="3595">
                  <c:v>0.14398</c:v>
                </c:pt>
                <c:pt idx="3596">
                  <c:v>0.14402000000000001</c:v>
                </c:pt>
                <c:pt idx="3597">
                  <c:v>0.14405999999999999</c:v>
                </c:pt>
                <c:pt idx="3598">
                  <c:v>0.14410000000000001</c:v>
                </c:pt>
                <c:pt idx="3599">
                  <c:v>0.14413999999999999</c:v>
                </c:pt>
                <c:pt idx="3600">
                  <c:v>0.14418</c:v>
                </c:pt>
                <c:pt idx="3601">
                  <c:v>0.14421999999999999</c:v>
                </c:pt>
                <c:pt idx="3602">
                  <c:v>0.14426</c:v>
                </c:pt>
                <c:pt idx="3603">
                  <c:v>0.14430000000000001</c:v>
                </c:pt>
                <c:pt idx="3604">
                  <c:v>0.14434</c:v>
                </c:pt>
                <c:pt idx="3605">
                  <c:v>0.14438000000000001</c:v>
                </c:pt>
                <c:pt idx="3606">
                  <c:v>0.14441999999999999</c:v>
                </c:pt>
                <c:pt idx="3607">
                  <c:v>0.14446000000000001</c:v>
                </c:pt>
                <c:pt idx="3608">
                  <c:v>0.14449999999999999</c:v>
                </c:pt>
                <c:pt idx="3609">
                  <c:v>0.14454</c:v>
                </c:pt>
                <c:pt idx="3610">
                  <c:v>0.14457999999999999</c:v>
                </c:pt>
                <c:pt idx="3611">
                  <c:v>0.14462</c:v>
                </c:pt>
                <c:pt idx="3612">
                  <c:v>0.14466000000000001</c:v>
                </c:pt>
                <c:pt idx="3613">
                  <c:v>0.1447</c:v>
                </c:pt>
                <c:pt idx="3614">
                  <c:v>0.14474000000000001</c:v>
                </c:pt>
                <c:pt idx="3615">
                  <c:v>0.14477999999999999</c:v>
                </c:pt>
                <c:pt idx="3616">
                  <c:v>0.14482</c:v>
                </c:pt>
                <c:pt idx="3617">
                  <c:v>0.14485999999999999</c:v>
                </c:pt>
                <c:pt idx="3618">
                  <c:v>0.1449</c:v>
                </c:pt>
                <c:pt idx="3619">
                  <c:v>0.14494000000000001</c:v>
                </c:pt>
                <c:pt idx="3620">
                  <c:v>0.14498</c:v>
                </c:pt>
                <c:pt idx="3621">
                  <c:v>0.14502000000000001</c:v>
                </c:pt>
                <c:pt idx="3622">
                  <c:v>0.14505999999999999</c:v>
                </c:pt>
                <c:pt idx="3623">
                  <c:v>0.14510000000000001</c:v>
                </c:pt>
                <c:pt idx="3624">
                  <c:v>0.14513999999999999</c:v>
                </c:pt>
                <c:pt idx="3625">
                  <c:v>0.14518</c:v>
                </c:pt>
                <c:pt idx="3626">
                  <c:v>0.14521999999999999</c:v>
                </c:pt>
                <c:pt idx="3627">
                  <c:v>0.14526</c:v>
                </c:pt>
                <c:pt idx="3628">
                  <c:v>0.14530000000000001</c:v>
                </c:pt>
                <c:pt idx="3629">
                  <c:v>0.14534</c:v>
                </c:pt>
                <c:pt idx="3630">
                  <c:v>0.14538000000000001</c:v>
                </c:pt>
                <c:pt idx="3631">
                  <c:v>0.14541999999999999</c:v>
                </c:pt>
                <c:pt idx="3632">
                  <c:v>0.14546000000000001</c:v>
                </c:pt>
                <c:pt idx="3633">
                  <c:v>0.14549999999999999</c:v>
                </c:pt>
                <c:pt idx="3634">
                  <c:v>0.14554</c:v>
                </c:pt>
                <c:pt idx="3635">
                  <c:v>0.14557999999999999</c:v>
                </c:pt>
                <c:pt idx="3636">
                  <c:v>0.14562</c:v>
                </c:pt>
                <c:pt idx="3637">
                  <c:v>0.14566000000000001</c:v>
                </c:pt>
                <c:pt idx="3638">
                  <c:v>0.1457</c:v>
                </c:pt>
                <c:pt idx="3639">
                  <c:v>0.14574000000000001</c:v>
                </c:pt>
                <c:pt idx="3640">
                  <c:v>0.14577999999999999</c:v>
                </c:pt>
                <c:pt idx="3641">
                  <c:v>0.14582000000000001</c:v>
                </c:pt>
                <c:pt idx="3642">
                  <c:v>0.14585999999999999</c:v>
                </c:pt>
                <c:pt idx="3643">
                  <c:v>0.1459</c:v>
                </c:pt>
                <c:pt idx="3644">
                  <c:v>0.14593999999999999</c:v>
                </c:pt>
                <c:pt idx="3645">
                  <c:v>0.14598</c:v>
                </c:pt>
                <c:pt idx="3646">
                  <c:v>0.14602000000000001</c:v>
                </c:pt>
                <c:pt idx="3647">
                  <c:v>0.14606</c:v>
                </c:pt>
                <c:pt idx="3648">
                  <c:v>0.14610000000000001</c:v>
                </c:pt>
                <c:pt idx="3649">
                  <c:v>0.14613999999999999</c:v>
                </c:pt>
                <c:pt idx="3650">
                  <c:v>0.14618</c:v>
                </c:pt>
                <c:pt idx="3651">
                  <c:v>0.14621999999999999</c:v>
                </c:pt>
                <c:pt idx="3652">
                  <c:v>0.14626</c:v>
                </c:pt>
                <c:pt idx="3653">
                  <c:v>0.14630000000000001</c:v>
                </c:pt>
                <c:pt idx="3654">
                  <c:v>0.14634</c:v>
                </c:pt>
                <c:pt idx="3655">
                  <c:v>0.14638000000000001</c:v>
                </c:pt>
                <c:pt idx="3656">
                  <c:v>0.14641999999999999</c:v>
                </c:pt>
                <c:pt idx="3657">
                  <c:v>0.14646000000000001</c:v>
                </c:pt>
                <c:pt idx="3658">
                  <c:v>0.14649999999999999</c:v>
                </c:pt>
                <c:pt idx="3659">
                  <c:v>0.14654</c:v>
                </c:pt>
                <c:pt idx="3660">
                  <c:v>0.14657999999999999</c:v>
                </c:pt>
                <c:pt idx="3661">
                  <c:v>0.14662</c:v>
                </c:pt>
                <c:pt idx="3662">
                  <c:v>0.14666000000000001</c:v>
                </c:pt>
                <c:pt idx="3663">
                  <c:v>0.1467</c:v>
                </c:pt>
                <c:pt idx="3664">
                  <c:v>0.14674000000000001</c:v>
                </c:pt>
                <c:pt idx="3665">
                  <c:v>0.14677999999999999</c:v>
                </c:pt>
                <c:pt idx="3666">
                  <c:v>0.14682000000000001</c:v>
                </c:pt>
                <c:pt idx="3667">
                  <c:v>0.14685999999999999</c:v>
                </c:pt>
                <c:pt idx="3668">
                  <c:v>0.1469</c:v>
                </c:pt>
                <c:pt idx="3669">
                  <c:v>0.14693999999999999</c:v>
                </c:pt>
                <c:pt idx="3670">
                  <c:v>0.14698</c:v>
                </c:pt>
                <c:pt idx="3671">
                  <c:v>0.14702000000000001</c:v>
                </c:pt>
                <c:pt idx="3672">
                  <c:v>0.14706</c:v>
                </c:pt>
                <c:pt idx="3673">
                  <c:v>0.14710000000000001</c:v>
                </c:pt>
                <c:pt idx="3674">
                  <c:v>0.14713999999999999</c:v>
                </c:pt>
                <c:pt idx="3675">
                  <c:v>0.14718000000000001</c:v>
                </c:pt>
                <c:pt idx="3676">
                  <c:v>0.14721999999999999</c:v>
                </c:pt>
                <c:pt idx="3677">
                  <c:v>0.14726</c:v>
                </c:pt>
                <c:pt idx="3678">
                  <c:v>0.14729999999999999</c:v>
                </c:pt>
                <c:pt idx="3679">
                  <c:v>0.14734</c:v>
                </c:pt>
                <c:pt idx="3680">
                  <c:v>0.14738000000000001</c:v>
                </c:pt>
                <c:pt idx="3681">
                  <c:v>0.14742</c:v>
                </c:pt>
                <c:pt idx="3682">
                  <c:v>0.14746000000000001</c:v>
                </c:pt>
                <c:pt idx="3683">
                  <c:v>0.14749999999999999</c:v>
                </c:pt>
                <c:pt idx="3684">
                  <c:v>0.14754</c:v>
                </c:pt>
                <c:pt idx="3685">
                  <c:v>0.14757999999999999</c:v>
                </c:pt>
                <c:pt idx="3686">
                  <c:v>0.14762</c:v>
                </c:pt>
                <c:pt idx="3687">
                  <c:v>0.14766000000000001</c:v>
                </c:pt>
                <c:pt idx="3688">
                  <c:v>0.1477</c:v>
                </c:pt>
                <c:pt idx="3689">
                  <c:v>0.14774000000000001</c:v>
                </c:pt>
                <c:pt idx="3690">
                  <c:v>0.14777999999999999</c:v>
                </c:pt>
                <c:pt idx="3691">
                  <c:v>0.14782000000000001</c:v>
                </c:pt>
                <c:pt idx="3692">
                  <c:v>0.14785999999999999</c:v>
                </c:pt>
                <c:pt idx="3693">
                  <c:v>0.1479</c:v>
                </c:pt>
                <c:pt idx="3694">
                  <c:v>0.14793999999999999</c:v>
                </c:pt>
                <c:pt idx="3695">
                  <c:v>0.14798</c:v>
                </c:pt>
                <c:pt idx="3696">
                  <c:v>0.14802000000000001</c:v>
                </c:pt>
                <c:pt idx="3697">
                  <c:v>0.14806</c:v>
                </c:pt>
                <c:pt idx="3698">
                  <c:v>0.14810000000000001</c:v>
                </c:pt>
                <c:pt idx="3699">
                  <c:v>0.14813999999999999</c:v>
                </c:pt>
                <c:pt idx="3700">
                  <c:v>0.14818000000000001</c:v>
                </c:pt>
                <c:pt idx="3701">
                  <c:v>0.14821999999999999</c:v>
                </c:pt>
                <c:pt idx="3702">
                  <c:v>0.14826</c:v>
                </c:pt>
                <c:pt idx="3703">
                  <c:v>0.14829999999999999</c:v>
                </c:pt>
                <c:pt idx="3704">
                  <c:v>0.14834</c:v>
                </c:pt>
                <c:pt idx="3705">
                  <c:v>0.14838000000000001</c:v>
                </c:pt>
                <c:pt idx="3706">
                  <c:v>0.14842</c:v>
                </c:pt>
                <c:pt idx="3707">
                  <c:v>0.14846000000000001</c:v>
                </c:pt>
                <c:pt idx="3708">
                  <c:v>0.14849999999999999</c:v>
                </c:pt>
                <c:pt idx="3709">
                  <c:v>0.14854000000000001</c:v>
                </c:pt>
                <c:pt idx="3710">
                  <c:v>0.14857999999999999</c:v>
                </c:pt>
                <c:pt idx="3711">
                  <c:v>0.14862</c:v>
                </c:pt>
                <c:pt idx="3712">
                  <c:v>0.14865999999999999</c:v>
                </c:pt>
                <c:pt idx="3713">
                  <c:v>0.1487</c:v>
                </c:pt>
                <c:pt idx="3714">
                  <c:v>0.14874000000000001</c:v>
                </c:pt>
                <c:pt idx="3715">
                  <c:v>0.14878</c:v>
                </c:pt>
                <c:pt idx="3716">
                  <c:v>0.14882000000000001</c:v>
                </c:pt>
                <c:pt idx="3717">
                  <c:v>0.14885999999999999</c:v>
                </c:pt>
                <c:pt idx="3718">
                  <c:v>0.1489</c:v>
                </c:pt>
                <c:pt idx="3719">
                  <c:v>0.14893999999999999</c:v>
                </c:pt>
                <c:pt idx="3720">
                  <c:v>0.14898</c:v>
                </c:pt>
                <c:pt idx="3721">
                  <c:v>0.14902000000000001</c:v>
                </c:pt>
                <c:pt idx="3722">
                  <c:v>0.14906</c:v>
                </c:pt>
                <c:pt idx="3723">
                  <c:v>0.14910000000000001</c:v>
                </c:pt>
                <c:pt idx="3724">
                  <c:v>0.14913999999999999</c:v>
                </c:pt>
                <c:pt idx="3725">
                  <c:v>0.14918000000000001</c:v>
                </c:pt>
                <c:pt idx="3726">
                  <c:v>0.14921999999999999</c:v>
                </c:pt>
                <c:pt idx="3727">
                  <c:v>0.14926</c:v>
                </c:pt>
                <c:pt idx="3728">
                  <c:v>0.14929999999999999</c:v>
                </c:pt>
                <c:pt idx="3729">
                  <c:v>0.14934</c:v>
                </c:pt>
                <c:pt idx="3730">
                  <c:v>0.14938000000000001</c:v>
                </c:pt>
                <c:pt idx="3731">
                  <c:v>0.14942</c:v>
                </c:pt>
                <c:pt idx="3732">
                  <c:v>0.14946000000000001</c:v>
                </c:pt>
                <c:pt idx="3733">
                  <c:v>0.14949999999999999</c:v>
                </c:pt>
                <c:pt idx="3734">
                  <c:v>0.14954000000000001</c:v>
                </c:pt>
                <c:pt idx="3735">
                  <c:v>0.14957999999999999</c:v>
                </c:pt>
                <c:pt idx="3736">
                  <c:v>0.14962</c:v>
                </c:pt>
                <c:pt idx="3737">
                  <c:v>0.14965999999999999</c:v>
                </c:pt>
                <c:pt idx="3738">
                  <c:v>0.1497</c:v>
                </c:pt>
                <c:pt idx="3739">
                  <c:v>0.14974000000000001</c:v>
                </c:pt>
                <c:pt idx="3740">
                  <c:v>0.14978</c:v>
                </c:pt>
                <c:pt idx="3741">
                  <c:v>0.14982000000000001</c:v>
                </c:pt>
                <c:pt idx="3742">
                  <c:v>0.14985999999999999</c:v>
                </c:pt>
                <c:pt idx="3743">
                  <c:v>0.14990000000000001</c:v>
                </c:pt>
                <c:pt idx="3744">
                  <c:v>0.14993999999999999</c:v>
                </c:pt>
                <c:pt idx="3745">
                  <c:v>0.14998</c:v>
                </c:pt>
                <c:pt idx="3746">
                  <c:v>0.15001999999999999</c:v>
                </c:pt>
                <c:pt idx="3747">
                  <c:v>0.15006</c:v>
                </c:pt>
                <c:pt idx="3748">
                  <c:v>0.15010000000000001</c:v>
                </c:pt>
                <c:pt idx="3749">
                  <c:v>0.15014</c:v>
                </c:pt>
                <c:pt idx="3750">
                  <c:v>0.15018000000000001</c:v>
                </c:pt>
                <c:pt idx="3751">
                  <c:v>0.15021999999999999</c:v>
                </c:pt>
                <c:pt idx="3752">
                  <c:v>0.15026</c:v>
                </c:pt>
                <c:pt idx="3753">
                  <c:v>0.15029999999999999</c:v>
                </c:pt>
                <c:pt idx="3754">
                  <c:v>0.15034</c:v>
                </c:pt>
                <c:pt idx="3755">
                  <c:v>0.15038000000000001</c:v>
                </c:pt>
                <c:pt idx="3756">
                  <c:v>0.15042</c:v>
                </c:pt>
                <c:pt idx="3757">
                  <c:v>0.15046000000000001</c:v>
                </c:pt>
                <c:pt idx="3758">
                  <c:v>0.15049999999999999</c:v>
                </c:pt>
                <c:pt idx="3759">
                  <c:v>0.15054000000000001</c:v>
                </c:pt>
                <c:pt idx="3760">
                  <c:v>0.15057999999999999</c:v>
                </c:pt>
                <c:pt idx="3761">
                  <c:v>0.15062</c:v>
                </c:pt>
                <c:pt idx="3762">
                  <c:v>0.15065999999999999</c:v>
                </c:pt>
                <c:pt idx="3763">
                  <c:v>0.1507</c:v>
                </c:pt>
                <c:pt idx="3764">
                  <c:v>0.15074000000000001</c:v>
                </c:pt>
                <c:pt idx="3765">
                  <c:v>0.15078</c:v>
                </c:pt>
                <c:pt idx="3766">
                  <c:v>0.15082000000000001</c:v>
                </c:pt>
                <c:pt idx="3767">
                  <c:v>0.15085999999999999</c:v>
                </c:pt>
                <c:pt idx="3768">
                  <c:v>0.15090000000000001</c:v>
                </c:pt>
                <c:pt idx="3769">
                  <c:v>0.15093999999999999</c:v>
                </c:pt>
                <c:pt idx="3770">
                  <c:v>0.15098</c:v>
                </c:pt>
                <c:pt idx="3771">
                  <c:v>0.15101999999999999</c:v>
                </c:pt>
                <c:pt idx="3772">
                  <c:v>0.15106</c:v>
                </c:pt>
                <c:pt idx="3773">
                  <c:v>0.15110000000000001</c:v>
                </c:pt>
                <c:pt idx="3774">
                  <c:v>0.15114</c:v>
                </c:pt>
                <c:pt idx="3775">
                  <c:v>0.15118000000000001</c:v>
                </c:pt>
                <c:pt idx="3776">
                  <c:v>0.15121999999999999</c:v>
                </c:pt>
                <c:pt idx="3777">
                  <c:v>0.15126000000000001</c:v>
                </c:pt>
                <c:pt idx="3778">
                  <c:v>0.15129999999999999</c:v>
                </c:pt>
                <c:pt idx="3779">
                  <c:v>0.15134</c:v>
                </c:pt>
                <c:pt idx="3780">
                  <c:v>0.15137999999999999</c:v>
                </c:pt>
                <c:pt idx="3781">
                  <c:v>0.15142</c:v>
                </c:pt>
                <c:pt idx="3782">
                  <c:v>0.15146000000000001</c:v>
                </c:pt>
                <c:pt idx="3783">
                  <c:v>0.1515</c:v>
                </c:pt>
                <c:pt idx="3784">
                  <c:v>0.15154000000000001</c:v>
                </c:pt>
                <c:pt idx="3785">
                  <c:v>0.15157999999999999</c:v>
                </c:pt>
                <c:pt idx="3786">
                  <c:v>0.15162</c:v>
                </c:pt>
                <c:pt idx="3787">
                  <c:v>0.15165999999999999</c:v>
                </c:pt>
                <c:pt idx="3788">
                  <c:v>0.1517</c:v>
                </c:pt>
                <c:pt idx="3789">
                  <c:v>0.15174000000000001</c:v>
                </c:pt>
                <c:pt idx="3790">
                  <c:v>0.15178</c:v>
                </c:pt>
                <c:pt idx="3791">
                  <c:v>0.15182000000000001</c:v>
                </c:pt>
                <c:pt idx="3792">
                  <c:v>0.15185999999999999</c:v>
                </c:pt>
                <c:pt idx="3793">
                  <c:v>0.15190000000000001</c:v>
                </c:pt>
                <c:pt idx="3794">
                  <c:v>0.15193999999999999</c:v>
                </c:pt>
                <c:pt idx="3795">
                  <c:v>0.15198</c:v>
                </c:pt>
                <c:pt idx="3796">
                  <c:v>0.15201999999999999</c:v>
                </c:pt>
                <c:pt idx="3797">
                  <c:v>0.15206</c:v>
                </c:pt>
                <c:pt idx="3798">
                  <c:v>0.15210000000000001</c:v>
                </c:pt>
                <c:pt idx="3799">
                  <c:v>0.15214</c:v>
                </c:pt>
                <c:pt idx="3800">
                  <c:v>0.15218000000000001</c:v>
                </c:pt>
                <c:pt idx="3801">
                  <c:v>0.15221999999999999</c:v>
                </c:pt>
                <c:pt idx="3802">
                  <c:v>0.15226000000000001</c:v>
                </c:pt>
                <c:pt idx="3803">
                  <c:v>0.15229999999999999</c:v>
                </c:pt>
                <c:pt idx="3804">
                  <c:v>0.15234</c:v>
                </c:pt>
                <c:pt idx="3805">
                  <c:v>0.15237999999999999</c:v>
                </c:pt>
                <c:pt idx="3806">
                  <c:v>0.15242</c:v>
                </c:pt>
                <c:pt idx="3807">
                  <c:v>0.15246000000000001</c:v>
                </c:pt>
                <c:pt idx="3808">
                  <c:v>0.1525</c:v>
                </c:pt>
                <c:pt idx="3809">
                  <c:v>0.15254000000000001</c:v>
                </c:pt>
                <c:pt idx="3810">
                  <c:v>0.15257999999999999</c:v>
                </c:pt>
                <c:pt idx="3811">
                  <c:v>0.15262000000000001</c:v>
                </c:pt>
                <c:pt idx="3812">
                  <c:v>0.15265999999999999</c:v>
                </c:pt>
                <c:pt idx="3813">
                  <c:v>0.1527</c:v>
                </c:pt>
                <c:pt idx="3814">
                  <c:v>0.15273999999999999</c:v>
                </c:pt>
                <c:pt idx="3815">
                  <c:v>0.15278</c:v>
                </c:pt>
                <c:pt idx="3816">
                  <c:v>0.15282000000000001</c:v>
                </c:pt>
                <c:pt idx="3817">
                  <c:v>0.15286</c:v>
                </c:pt>
                <c:pt idx="3818">
                  <c:v>0.15290000000000001</c:v>
                </c:pt>
                <c:pt idx="3819">
                  <c:v>0.15293999999999999</c:v>
                </c:pt>
                <c:pt idx="3820">
                  <c:v>0.15298</c:v>
                </c:pt>
                <c:pt idx="3821">
                  <c:v>0.15301999999999999</c:v>
                </c:pt>
                <c:pt idx="3822">
                  <c:v>0.15306</c:v>
                </c:pt>
                <c:pt idx="3823">
                  <c:v>0.15310000000000001</c:v>
                </c:pt>
                <c:pt idx="3824">
                  <c:v>0.15314</c:v>
                </c:pt>
                <c:pt idx="3825">
                  <c:v>0.15318000000000001</c:v>
                </c:pt>
                <c:pt idx="3826">
                  <c:v>0.15322</c:v>
                </c:pt>
                <c:pt idx="3827">
                  <c:v>0.15326000000000001</c:v>
                </c:pt>
                <c:pt idx="3828">
                  <c:v>0.15329999999999999</c:v>
                </c:pt>
                <c:pt idx="3829">
                  <c:v>0.15334</c:v>
                </c:pt>
                <c:pt idx="3830">
                  <c:v>0.15337999999999999</c:v>
                </c:pt>
                <c:pt idx="3831">
                  <c:v>0.15342</c:v>
                </c:pt>
                <c:pt idx="3832">
                  <c:v>0.15346000000000001</c:v>
                </c:pt>
                <c:pt idx="3833">
                  <c:v>0.1535</c:v>
                </c:pt>
                <c:pt idx="3834">
                  <c:v>0.15354000000000001</c:v>
                </c:pt>
                <c:pt idx="3835">
                  <c:v>0.15357999999999999</c:v>
                </c:pt>
                <c:pt idx="3836">
                  <c:v>0.15362000000000001</c:v>
                </c:pt>
                <c:pt idx="3837">
                  <c:v>0.15365999999999999</c:v>
                </c:pt>
                <c:pt idx="3838">
                  <c:v>0.1537</c:v>
                </c:pt>
                <c:pt idx="3839">
                  <c:v>0.15373999999999999</c:v>
                </c:pt>
                <c:pt idx="3840">
                  <c:v>0.15378</c:v>
                </c:pt>
                <c:pt idx="3841">
                  <c:v>0.15382000000000001</c:v>
                </c:pt>
                <c:pt idx="3842">
                  <c:v>0.15386</c:v>
                </c:pt>
                <c:pt idx="3843">
                  <c:v>0.15390000000000001</c:v>
                </c:pt>
                <c:pt idx="3844">
                  <c:v>0.15393999999999999</c:v>
                </c:pt>
                <c:pt idx="3845">
                  <c:v>0.15398000000000001</c:v>
                </c:pt>
                <c:pt idx="3846">
                  <c:v>0.15401999999999999</c:v>
                </c:pt>
                <c:pt idx="3847">
                  <c:v>0.15406</c:v>
                </c:pt>
                <c:pt idx="3848">
                  <c:v>0.15409999999999999</c:v>
                </c:pt>
                <c:pt idx="3849">
                  <c:v>0.15414</c:v>
                </c:pt>
                <c:pt idx="3850">
                  <c:v>0.15418000000000001</c:v>
                </c:pt>
                <c:pt idx="3851">
                  <c:v>0.15422</c:v>
                </c:pt>
                <c:pt idx="3852">
                  <c:v>0.15426000000000001</c:v>
                </c:pt>
                <c:pt idx="3853">
                  <c:v>0.15429999999999999</c:v>
                </c:pt>
                <c:pt idx="3854">
                  <c:v>0.15434</c:v>
                </c:pt>
                <c:pt idx="3855">
                  <c:v>0.15437999999999999</c:v>
                </c:pt>
                <c:pt idx="3856">
                  <c:v>0.15442</c:v>
                </c:pt>
                <c:pt idx="3857">
                  <c:v>0.15445999999999999</c:v>
                </c:pt>
                <c:pt idx="3858">
                  <c:v>0.1545</c:v>
                </c:pt>
                <c:pt idx="3859">
                  <c:v>0.15454000000000001</c:v>
                </c:pt>
                <c:pt idx="3860">
                  <c:v>0.15458</c:v>
                </c:pt>
                <c:pt idx="3861">
                  <c:v>0.15462000000000001</c:v>
                </c:pt>
                <c:pt idx="3862">
                  <c:v>0.15465999999999999</c:v>
                </c:pt>
                <c:pt idx="3863">
                  <c:v>0.1547</c:v>
                </c:pt>
                <c:pt idx="3864">
                  <c:v>0.15473999999999999</c:v>
                </c:pt>
                <c:pt idx="3865">
                  <c:v>0.15478</c:v>
                </c:pt>
                <c:pt idx="3866">
                  <c:v>0.15482000000000001</c:v>
                </c:pt>
                <c:pt idx="3867">
                  <c:v>0.15486</c:v>
                </c:pt>
                <c:pt idx="3868">
                  <c:v>0.15490000000000001</c:v>
                </c:pt>
                <c:pt idx="3869">
                  <c:v>0.15493999999999999</c:v>
                </c:pt>
                <c:pt idx="3870">
                  <c:v>0.15498000000000001</c:v>
                </c:pt>
                <c:pt idx="3871">
                  <c:v>0.15501999999999999</c:v>
                </c:pt>
                <c:pt idx="3872">
                  <c:v>0.15506</c:v>
                </c:pt>
                <c:pt idx="3873">
                  <c:v>0.15509999999999999</c:v>
                </c:pt>
                <c:pt idx="3874">
                  <c:v>0.15514</c:v>
                </c:pt>
                <c:pt idx="3875">
                  <c:v>0.15518000000000001</c:v>
                </c:pt>
                <c:pt idx="3876">
                  <c:v>0.15522</c:v>
                </c:pt>
                <c:pt idx="3877">
                  <c:v>0.15526000000000001</c:v>
                </c:pt>
                <c:pt idx="3878">
                  <c:v>0.15529999999999999</c:v>
                </c:pt>
                <c:pt idx="3879">
                  <c:v>0.15534000000000001</c:v>
                </c:pt>
                <c:pt idx="3880">
                  <c:v>0.15537999999999999</c:v>
                </c:pt>
                <c:pt idx="3881">
                  <c:v>0.15542</c:v>
                </c:pt>
                <c:pt idx="3882">
                  <c:v>0.15545999999999999</c:v>
                </c:pt>
                <c:pt idx="3883">
                  <c:v>0.1555</c:v>
                </c:pt>
                <c:pt idx="3884">
                  <c:v>0.15554000000000001</c:v>
                </c:pt>
                <c:pt idx="3885">
                  <c:v>0.15558</c:v>
                </c:pt>
                <c:pt idx="3886">
                  <c:v>0.15562000000000001</c:v>
                </c:pt>
                <c:pt idx="3887">
                  <c:v>0.15565999999999999</c:v>
                </c:pt>
                <c:pt idx="3888">
                  <c:v>0.15570000000000001</c:v>
                </c:pt>
                <c:pt idx="3889">
                  <c:v>0.15573999999999999</c:v>
                </c:pt>
                <c:pt idx="3890">
                  <c:v>0.15578</c:v>
                </c:pt>
                <c:pt idx="3891">
                  <c:v>0.15581999999999999</c:v>
                </c:pt>
                <c:pt idx="3892">
                  <c:v>0.15586</c:v>
                </c:pt>
                <c:pt idx="3893">
                  <c:v>0.15590000000000001</c:v>
                </c:pt>
                <c:pt idx="3894">
                  <c:v>0.15594</c:v>
                </c:pt>
                <c:pt idx="3895">
                  <c:v>0.15598000000000001</c:v>
                </c:pt>
                <c:pt idx="3896">
                  <c:v>0.15601999999999999</c:v>
                </c:pt>
                <c:pt idx="3897">
                  <c:v>0.15606</c:v>
                </c:pt>
                <c:pt idx="3898">
                  <c:v>0.15609999999999999</c:v>
                </c:pt>
                <c:pt idx="3899">
                  <c:v>0.15614</c:v>
                </c:pt>
                <c:pt idx="3900">
                  <c:v>0.15618000000000001</c:v>
                </c:pt>
                <c:pt idx="3901">
                  <c:v>0.15622</c:v>
                </c:pt>
                <c:pt idx="3902">
                  <c:v>0.15626000000000001</c:v>
                </c:pt>
                <c:pt idx="3903">
                  <c:v>0.15629999999999999</c:v>
                </c:pt>
                <c:pt idx="3904">
                  <c:v>0.15634000000000001</c:v>
                </c:pt>
                <c:pt idx="3905">
                  <c:v>0.15637999999999999</c:v>
                </c:pt>
                <c:pt idx="3906">
                  <c:v>0.15642</c:v>
                </c:pt>
                <c:pt idx="3907">
                  <c:v>0.15645999999999999</c:v>
                </c:pt>
                <c:pt idx="3908">
                  <c:v>0.1565</c:v>
                </c:pt>
                <c:pt idx="3909">
                  <c:v>0.15654000000000001</c:v>
                </c:pt>
                <c:pt idx="3910">
                  <c:v>0.15658</c:v>
                </c:pt>
                <c:pt idx="3911">
                  <c:v>0.15662000000000001</c:v>
                </c:pt>
                <c:pt idx="3912">
                  <c:v>0.15665999999999999</c:v>
                </c:pt>
                <c:pt idx="3913">
                  <c:v>0.15670000000000001</c:v>
                </c:pt>
                <c:pt idx="3914">
                  <c:v>0.15673999999999999</c:v>
                </c:pt>
                <c:pt idx="3915">
                  <c:v>0.15678</c:v>
                </c:pt>
                <c:pt idx="3916">
                  <c:v>0.15681999999999999</c:v>
                </c:pt>
                <c:pt idx="3917">
                  <c:v>0.15686</c:v>
                </c:pt>
                <c:pt idx="3918">
                  <c:v>0.15690000000000001</c:v>
                </c:pt>
                <c:pt idx="3919">
                  <c:v>0.15694</c:v>
                </c:pt>
                <c:pt idx="3920">
                  <c:v>0.15698000000000001</c:v>
                </c:pt>
                <c:pt idx="3921">
                  <c:v>0.15701999999999999</c:v>
                </c:pt>
                <c:pt idx="3922">
                  <c:v>0.15706000000000001</c:v>
                </c:pt>
                <c:pt idx="3923">
                  <c:v>0.15709999999999999</c:v>
                </c:pt>
                <c:pt idx="3924">
                  <c:v>0.15714</c:v>
                </c:pt>
                <c:pt idx="3925">
                  <c:v>0.15717999999999999</c:v>
                </c:pt>
                <c:pt idx="3926">
                  <c:v>0.15722</c:v>
                </c:pt>
                <c:pt idx="3927">
                  <c:v>0.15726000000000001</c:v>
                </c:pt>
                <c:pt idx="3928">
                  <c:v>0.1573</c:v>
                </c:pt>
                <c:pt idx="3929">
                  <c:v>0.15734000000000001</c:v>
                </c:pt>
                <c:pt idx="3930">
                  <c:v>0.15737999999999999</c:v>
                </c:pt>
                <c:pt idx="3931">
                  <c:v>0.15742</c:v>
                </c:pt>
                <c:pt idx="3932">
                  <c:v>0.15745999999999999</c:v>
                </c:pt>
                <c:pt idx="3933">
                  <c:v>0.1575</c:v>
                </c:pt>
                <c:pt idx="3934">
                  <c:v>0.15754000000000001</c:v>
                </c:pt>
                <c:pt idx="3935">
                  <c:v>0.15758</c:v>
                </c:pt>
                <c:pt idx="3936">
                  <c:v>0.15762000000000001</c:v>
                </c:pt>
                <c:pt idx="3937">
                  <c:v>0.15765999999999999</c:v>
                </c:pt>
                <c:pt idx="3938">
                  <c:v>0.15770000000000001</c:v>
                </c:pt>
                <c:pt idx="3939">
                  <c:v>0.15773999999999999</c:v>
                </c:pt>
                <c:pt idx="3940">
                  <c:v>0.15778</c:v>
                </c:pt>
                <c:pt idx="3941">
                  <c:v>0.15781999999999999</c:v>
                </c:pt>
                <c:pt idx="3942">
                  <c:v>0.15786</c:v>
                </c:pt>
                <c:pt idx="3943">
                  <c:v>0.15790000000000001</c:v>
                </c:pt>
                <c:pt idx="3944">
                  <c:v>0.15794</c:v>
                </c:pt>
                <c:pt idx="3945">
                  <c:v>0.15798000000000001</c:v>
                </c:pt>
                <c:pt idx="3946">
                  <c:v>0.15801999999999999</c:v>
                </c:pt>
                <c:pt idx="3947">
                  <c:v>0.15806000000000001</c:v>
                </c:pt>
                <c:pt idx="3948">
                  <c:v>0.15809999999999999</c:v>
                </c:pt>
                <c:pt idx="3949">
                  <c:v>0.15814</c:v>
                </c:pt>
                <c:pt idx="3950">
                  <c:v>0.15817999999999999</c:v>
                </c:pt>
                <c:pt idx="3951">
                  <c:v>0.15822</c:v>
                </c:pt>
                <c:pt idx="3952">
                  <c:v>0.15826000000000001</c:v>
                </c:pt>
                <c:pt idx="3953">
                  <c:v>0.1583</c:v>
                </c:pt>
                <c:pt idx="3954">
                  <c:v>0.15834000000000001</c:v>
                </c:pt>
                <c:pt idx="3955">
                  <c:v>0.15837999999999999</c:v>
                </c:pt>
                <c:pt idx="3956">
                  <c:v>0.15842000000000001</c:v>
                </c:pt>
                <c:pt idx="3957">
                  <c:v>0.15845999999999999</c:v>
                </c:pt>
                <c:pt idx="3958">
                  <c:v>0.1585</c:v>
                </c:pt>
                <c:pt idx="3959">
                  <c:v>0.15853999999999999</c:v>
                </c:pt>
                <c:pt idx="3960">
                  <c:v>0.15858</c:v>
                </c:pt>
                <c:pt idx="3961">
                  <c:v>0.15862000000000001</c:v>
                </c:pt>
                <c:pt idx="3962">
                  <c:v>0.15866</c:v>
                </c:pt>
                <c:pt idx="3963">
                  <c:v>0.15870000000000001</c:v>
                </c:pt>
                <c:pt idx="3964">
                  <c:v>0.15873999999999999</c:v>
                </c:pt>
                <c:pt idx="3965">
                  <c:v>0.15878</c:v>
                </c:pt>
                <c:pt idx="3966">
                  <c:v>0.15881999999999999</c:v>
                </c:pt>
                <c:pt idx="3967">
                  <c:v>0.15886</c:v>
                </c:pt>
                <c:pt idx="3968">
                  <c:v>0.15890000000000001</c:v>
                </c:pt>
                <c:pt idx="3969">
                  <c:v>0.15894</c:v>
                </c:pt>
                <c:pt idx="3970">
                  <c:v>0.15898000000000001</c:v>
                </c:pt>
                <c:pt idx="3971">
                  <c:v>0.15901999999999999</c:v>
                </c:pt>
                <c:pt idx="3972">
                  <c:v>0.15906000000000001</c:v>
                </c:pt>
                <c:pt idx="3973">
                  <c:v>0.15909999999999999</c:v>
                </c:pt>
                <c:pt idx="3974">
                  <c:v>0.15914</c:v>
                </c:pt>
                <c:pt idx="3975">
                  <c:v>0.15917999999999999</c:v>
                </c:pt>
                <c:pt idx="3976">
                  <c:v>0.15922</c:v>
                </c:pt>
                <c:pt idx="3977">
                  <c:v>0.15926000000000001</c:v>
                </c:pt>
                <c:pt idx="3978">
                  <c:v>0.1593</c:v>
                </c:pt>
                <c:pt idx="3979">
                  <c:v>0.15934000000000001</c:v>
                </c:pt>
                <c:pt idx="3980">
                  <c:v>0.15937999999999999</c:v>
                </c:pt>
                <c:pt idx="3981">
                  <c:v>0.15942000000000001</c:v>
                </c:pt>
                <c:pt idx="3982">
                  <c:v>0.15945999999999999</c:v>
                </c:pt>
                <c:pt idx="3983">
                  <c:v>0.1595</c:v>
                </c:pt>
                <c:pt idx="3984">
                  <c:v>0.15953999999999999</c:v>
                </c:pt>
                <c:pt idx="3985">
                  <c:v>0.15958</c:v>
                </c:pt>
                <c:pt idx="3986">
                  <c:v>0.15962000000000001</c:v>
                </c:pt>
                <c:pt idx="3987">
                  <c:v>0.15966</c:v>
                </c:pt>
                <c:pt idx="3988">
                  <c:v>0.15970000000000001</c:v>
                </c:pt>
                <c:pt idx="3989">
                  <c:v>0.15973999999999999</c:v>
                </c:pt>
                <c:pt idx="3990">
                  <c:v>0.15978000000000001</c:v>
                </c:pt>
                <c:pt idx="3991">
                  <c:v>0.15981999999999999</c:v>
                </c:pt>
                <c:pt idx="3992">
                  <c:v>0.15986</c:v>
                </c:pt>
                <c:pt idx="3993">
                  <c:v>0.15989999999999999</c:v>
                </c:pt>
                <c:pt idx="3994">
                  <c:v>0.15994</c:v>
                </c:pt>
                <c:pt idx="3995">
                  <c:v>0.15998000000000001</c:v>
                </c:pt>
                <c:pt idx="3996">
                  <c:v>0.16002</c:v>
                </c:pt>
                <c:pt idx="3997">
                  <c:v>0.16006000000000001</c:v>
                </c:pt>
                <c:pt idx="3998">
                  <c:v>0.16009999999999999</c:v>
                </c:pt>
                <c:pt idx="3999">
                  <c:v>0.16014</c:v>
                </c:pt>
                <c:pt idx="4000">
                  <c:v>0.16017999999999999</c:v>
                </c:pt>
                <c:pt idx="4001">
                  <c:v>0.16022</c:v>
                </c:pt>
                <c:pt idx="4002">
                  <c:v>0.16026000000000001</c:v>
                </c:pt>
                <c:pt idx="4003">
                  <c:v>0.1603</c:v>
                </c:pt>
                <c:pt idx="4004">
                  <c:v>0.16034000000000001</c:v>
                </c:pt>
                <c:pt idx="4005">
                  <c:v>0.16037999999999999</c:v>
                </c:pt>
                <c:pt idx="4006">
                  <c:v>0.16042000000000001</c:v>
                </c:pt>
                <c:pt idx="4007">
                  <c:v>0.16045999999999999</c:v>
                </c:pt>
                <c:pt idx="4008">
                  <c:v>0.1605</c:v>
                </c:pt>
                <c:pt idx="4009">
                  <c:v>0.16053999999999999</c:v>
                </c:pt>
                <c:pt idx="4010">
                  <c:v>0.16058</c:v>
                </c:pt>
                <c:pt idx="4011">
                  <c:v>0.16062000000000001</c:v>
                </c:pt>
                <c:pt idx="4012">
                  <c:v>0.16066</c:v>
                </c:pt>
                <c:pt idx="4013">
                  <c:v>0.16070000000000001</c:v>
                </c:pt>
                <c:pt idx="4014">
                  <c:v>0.16073999999999999</c:v>
                </c:pt>
                <c:pt idx="4015">
                  <c:v>0.16078000000000001</c:v>
                </c:pt>
                <c:pt idx="4016">
                  <c:v>0.16081999999999999</c:v>
                </c:pt>
                <c:pt idx="4017">
                  <c:v>0.16086</c:v>
                </c:pt>
                <c:pt idx="4018">
                  <c:v>0.16089999999999999</c:v>
                </c:pt>
                <c:pt idx="4019">
                  <c:v>0.16094</c:v>
                </c:pt>
                <c:pt idx="4020">
                  <c:v>0.16098000000000001</c:v>
                </c:pt>
                <c:pt idx="4021">
                  <c:v>0.16102</c:v>
                </c:pt>
                <c:pt idx="4022">
                  <c:v>0.16106000000000001</c:v>
                </c:pt>
                <c:pt idx="4023">
                  <c:v>0.16109999999999999</c:v>
                </c:pt>
                <c:pt idx="4024">
                  <c:v>0.16114000000000001</c:v>
                </c:pt>
                <c:pt idx="4025">
                  <c:v>0.16117999999999999</c:v>
                </c:pt>
                <c:pt idx="4026">
                  <c:v>0.16122</c:v>
                </c:pt>
                <c:pt idx="4027">
                  <c:v>0.16125999999999999</c:v>
                </c:pt>
                <c:pt idx="4028">
                  <c:v>0.1613</c:v>
                </c:pt>
                <c:pt idx="4029">
                  <c:v>0.16134000000000001</c:v>
                </c:pt>
                <c:pt idx="4030">
                  <c:v>0.16138</c:v>
                </c:pt>
                <c:pt idx="4031">
                  <c:v>0.16142000000000001</c:v>
                </c:pt>
                <c:pt idx="4032">
                  <c:v>0.16145999999999999</c:v>
                </c:pt>
                <c:pt idx="4033">
                  <c:v>0.1615</c:v>
                </c:pt>
                <c:pt idx="4034">
                  <c:v>0.16153999999999999</c:v>
                </c:pt>
                <c:pt idx="4035">
                  <c:v>0.16158</c:v>
                </c:pt>
                <c:pt idx="4036">
                  <c:v>0.16162000000000001</c:v>
                </c:pt>
                <c:pt idx="4037">
                  <c:v>0.16166</c:v>
                </c:pt>
                <c:pt idx="4038">
                  <c:v>0.16170000000000001</c:v>
                </c:pt>
                <c:pt idx="4039">
                  <c:v>0.16173999999999999</c:v>
                </c:pt>
                <c:pt idx="4040">
                  <c:v>0.16178000000000001</c:v>
                </c:pt>
                <c:pt idx="4041">
                  <c:v>0.16181999999999999</c:v>
                </c:pt>
                <c:pt idx="4042">
                  <c:v>0.16186</c:v>
                </c:pt>
                <c:pt idx="4043">
                  <c:v>0.16189999999999999</c:v>
                </c:pt>
                <c:pt idx="4044">
                  <c:v>0.16194</c:v>
                </c:pt>
                <c:pt idx="4045">
                  <c:v>0.16198000000000001</c:v>
                </c:pt>
                <c:pt idx="4046">
                  <c:v>0.16202</c:v>
                </c:pt>
                <c:pt idx="4047">
                  <c:v>0.16206000000000001</c:v>
                </c:pt>
                <c:pt idx="4048">
                  <c:v>0.16209999999999999</c:v>
                </c:pt>
                <c:pt idx="4049">
                  <c:v>0.16214000000000001</c:v>
                </c:pt>
                <c:pt idx="4050">
                  <c:v>0.16217999999999999</c:v>
                </c:pt>
                <c:pt idx="4051">
                  <c:v>0.16222</c:v>
                </c:pt>
                <c:pt idx="4052">
                  <c:v>0.16225999999999999</c:v>
                </c:pt>
                <c:pt idx="4053">
                  <c:v>0.1623</c:v>
                </c:pt>
                <c:pt idx="4054">
                  <c:v>0.16234000000000001</c:v>
                </c:pt>
                <c:pt idx="4055">
                  <c:v>0.16238</c:v>
                </c:pt>
                <c:pt idx="4056">
                  <c:v>0.16242000000000001</c:v>
                </c:pt>
                <c:pt idx="4057">
                  <c:v>0.16245999999999999</c:v>
                </c:pt>
                <c:pt idx="4058">
                  <c:v>0.16250000000000001</c:v>
                </c:pt>
                <c:pt idx="4059">
                  <c:v>0.16253999999999999</c:v>
                </c:pt>
                <c:pt idx="4060">
                  <c:v>0.16258</c:v>
                </c:pt>
                <c:pt idx="4061">
                  <c:v>0.16261999999999999</c:v>
                </c:pt>
                <c:pt idx="4062">
                  <c:v>0.16266</c:v>
                </c:pt>
                <c:pt idx="4063">
                  <c:v>0.16270000000000001</c:v>
                </c:pt>
                <c:pt idx="4064">
                  <c:v>0.16274</c:v>
                </c:pt>
                <c:pt idx="4065">
                  <c:v>0.16278000000000001</c:v>
                </c:pt>
                <c:pt idx="4066">
                  <c:v>0.16281999999999999</c:v>
                </c:pt>
                <c:pt idx="4067">
                  <c:v>0.16286</c:v>
                </c:pt>
                <c:pt idx="4068">
                  <c:v>0.16289999999999999</c:v>
                </c:pt>
                <c:pt idx="4069">
                  <c:v>0.16294</c:v>
                </c:pt>
                <c:pt idx="4070">
                  <c:v>0.16298000000000001</c:v>
                </c:pt>
                <c:pt idx="4071">
                  <c:v>0.16302</c:v>
                </c:pt>
                <c:pt idx="4072">
                  <c:v>0.16306000000000001</c:v>
                </c:pt>
                <c:pt idx="4073">
                  <c:v>0.16309999999999999</c:v>
                </c:pt>
                <c:pt idx="4074">
                  <c:v>0.16314000000000001</c:v>
                </c:pt>
                <c:pt idx="4075">
                  <c:v>0.16317999999999999</c:v>
                </c:pt>
                <c:pt idx="4076">
                  <c:v>0.16322</c:v>
                </c:pt>
                <c:pt idx="4077">
                  <c:v>0.16325999999999999</c:v>
                </c:pt>
                <c:pt idx="4078">
                  <c:v>0.1633</c:v>
                </c:pt>
                <c:pt idx="4079">
                  <c:v>0.16334000000000001</c:v>
                </c:pt>
                <c:pt idx="4080">
                  <c:v>0.16338</c:v>
                </c:pt>
                <c:pt idx="4081">
                  <c:v>0.16342000000000001</c:v>
                </c:pt>
                <c:pt idx="4082">
                  <c:v>0.16345999999999999</c:v>
                </c:pt>
                <c:pt idx="4083">
                  <c:v>0.16350000000000001</c:v>
                </c:pt>
                <c:pt idx="4084">
                  <c:v>0.16353999999999999</c:v>
                </c:pt>
                <c:pt idx="4085">
                  <c:v>0.16358</c:v>
                </c:pt>
                <c:pt idx="4086">
                  <c:v>0.16361999999999999</c:v>
                </c:pt>
                <c:pt idx="4087">
                  <c:v>0.16366</c:v>
                </c:pt>
                <c:pt idx="4088">
                  <c:v>0.16370000000000001</c:v>
                </c:pt>
                <c:pt idx="4089">
                  <c:v>0.16374</c:v>
                </c:pt>
                <c:pt idx="4090">
                  <c:v>0.16378000000000001</c:v>
                </c:pt>
                <c:pt idx="4091">
                  <c:v>0.16381999999999999</c:v>
                </c:pt>
                <c:pt idx="4092">
                  <c:v>0.16386000000000001</c:v>
                </c:pt>
                <c:pt idx="4093">
                  <c:v>0.16389999999999999</c:v>
                </c:pt>
                <c:pt idx="4094">
                  <c:v>0.16394</c:v>
                </c:pt>
                <c:pt idx="4095">
                  <c:v>0.16397999999999999</c:v>
                </c:pt>
                <c:pt idx="4096">
                  <c:v>0.16402</c:v>
                </c:pt>
                <c:pt idx="4097">
                  <c:v>0.16406000000000001</c:v>
                </c:pt>
                <c:pt idx="4098">
                  <c:v>0.1641</c:v>
                </c:pt>
                <c:pt idx="4099">
                  <c:v>0.16414000000000001</c:v>
                </c:pt>
                <c:pt idx="4100">
                  <c:v>0.16417999999999999</c:v>
                </c:pt>
                <c:pt idx="4101">
                  <c:v>0.16422</c:v>
                </c:pt>
                <c:pt idx="4102">
                  <c:v>0.16425999999999999</c:v>
                </c:pt>
                <c:pt idx="4103">
                  <c:v>0.1643</c:v>
                </c:pt>
                <c:pt idx="4104">
                  <c:v>0.16434000000000001</c:v>
                </c:pt>
                <c:pt idx="4105">
                  <c:v>0.16438</c:v>
                </c:pt>
                <c:pt idx="4106">
                  <c:v>0.16442000000000001</c:v>
                </c:pt>
                <c:pt idx="4107">
                  <c:v>0.16446</c:v>
                </c:pt>
                <c:pt idx="4108">
                  <c:v>0.16450000000000001</c:v>
                </c:pt>
                <c:pt idx="4109">
                  <c:v>0.16453999999999999</c:v>
                </c:pt>
                <c:pt idx="4110">
                  <c:v>0.16458</c:v>
                </c:pt>
                <c:pt idx="4111">
                  <c:v>0.16461999999999999</c:v>
                </c:pt>
                <c:pt idx="4112">
                  <c:v>0.16466</c:v>
                </c:pt>
                <c:pt idx="4113">
                  <c:v>0.16470000000000001</c:v>
                </c:pt>
                <c:pt idx="4114">
                  <c:v>0.16474</c:v>
                </c:pt>
                <c:pt idx="4115">
                  <c:v>0.16478000000000001</c:v>
                </c:pt>
                <c:pt idx="4116">
                  <c:v>0.16481999999999999</c:v>
                </c:pt>
                <c:pt idx="4117">
                  <c:v>0.16486000000000001</c:v>
                </c:pt>
                <c:pt idx="4118">
                  <c:v>0.16489999999999999</c:v>
                </c:pt>
                <c:pt idx="4119">
                  <c:v>0.16494</c:v>
                </c:pt>
                <c:pt idx="4120">
                  <c:v>0.16497999999999999</c:v>
                </c:pt>
                <c:pt idx="4121">
                  <c:v>0.16502</c:v>
                </c:pt>
                <c:pt idx="4122">
                  <c:v>0.16506000000000001</c:v>
                </c:pt>
                <c:pt idx="4123">
                  <c:v>0.1651</c:v>
                </c:pt>
                <c:pt idx="4124">
                  <c:v>0.16514000000000001</c:v>
                </c:pt>
                <c:pt idx="4125">
                  <c:v>0.16517999999999999</c:v>
                </c:pt>
                <c:pt idx="4126">
                  <c:v>0.16522000000000001</c:v>
                </c:pt>
                <c:pt idx="4127">
                  <c:v>0.16525999999999999</c:v>
                </c:pt>
                <c:pt idx="4128">
                  <c:v>0.1653</c:v>
                </c:pt>
                <c:pt idx="4129">
                  <c:v>0.16533999999999999</c:v>
                </c:pt>
                <c:pt idx="4130">
                  <c:v>0.16538</c:v>
                </c:pt>
                <c:pt idx="4131">
                  <c:v>0.16542000000000001</c:v>
                </c:pt>
                <c:pt idx="4132">
                  <c:v>0.16546</c:v>
                </c:pt>
                <c:pt idx="4133">
                  <c:v>0.16550000000000001</c:v>
                </c:pt>
                <c:pt idx="4134">
                  <c:v>0.16553999999999999</c:v>
                </c:pt>
                <c:pt idx="4135">
                  <c:v>0.16558</c:v>
                </c:pt>
                <c:pt idx="4136">
                  <c:v>0.16561999999999999</c:v>
                </c:pt>
                <c:pt idx="4137">
                  <c:v>0.16566</c:v>
                </c:pt>
                <c:pt idx="4138">
                  <c:v>0.16569999999999999</c:v>
                </c:pt>
                <c:pt idx="4139">
                  <c:v>0.16574</c:v>
                </c:pt>
                <c:pt idx="4140">
                  <c:v>0.16578000000000001</c:v>
                </c:pt>
                <c:pt idx="4141">
                  <c:v>0.16582</c:v>
                </c:pt>
                <c:pt idx="4142">
                  <c:v>0.16586000000000001</c:v>
                </c:pt>
                <c:pt idx="4143">
                  <c:v>0.16589999999999999</c:v>
                </c:pt>
                <c:pt idx="4144">
                  <c:v>0.16594</c:v>
                </c:pt>
                <c:pt idx="4145">
                  <c:v>0.16597999999999999</c:v>
                </c:pt>
                <c:pt idx="4146">
                  <c:v>0.16602</c:v>
                </c:pt>
                <c:pt idx="4147">
                  <c:v>0.16606000000000001</c:v>
                </c:pt>
                <c:pt idx="4148">
                  <c:v>0.1661</c:v>
                </c:pt>
                <c:pt idx="4149">
                  <c:v>0.16614000000000001</c:v>
                </c:pt>
                <c:pt idx="4150">
                  <c:v>0.16617999999999999</c:v>
                </c:pt>
                <c:pt idx="4151">
                  <c:v>0.16622000000000001</c:v>
                </c:pt>
                <c:pt idx="4152">
                  <c:v>0.16625999999999999</c:v>
                </c:pt>
                <c:pt idx="4153">
                  <c:v>0.1663</c:v>
                </c:pt>
                <c:pt idx="4154">
                  <c:v>0.16633999999999999</c:v>
                </c:pt>
                <c:pt idx="4155">
                  <c:v>0.16638</c:v>
                </c:pt>
                <c:pt idx="4156">
                  <c:v>0.16642000000000001</c:v>
                </c:pt>
                <c:pt idx="4157">
                  <c:v>0.16646</c:v>
                </c:pt>
                <c:pt idx="4158">
                  <c:v>0.16650000000000001</c:v>
                </c:pt>
                <c:pt idx="4159">
                  <c:v>0.16653999999999999</c:v>
                </c:pt>
                <c:pt idx="4160">
                  <c:v>0.16658000000000001</c:v>
                </c:pt>
                <c:pt idx="4161">
                  <c:v>0.16661999999999999</c:v>
                </c:pt>
                <c:pt idx="4162">
                  <c:v>0.16666</c:v>
                </c:pt>
                <c:pt idx="4163">
                  <c:v>0.16669999999999999</c:v>
                </c:pt>
                <c:pt idx="4164">
                  <c:v>0.16674</c:v>
                </c:pt>
                <c:pt idx="4165">
                  <c:v>0.16678000000000001</c:v>
                </c:pt>
                <c:pt idx="4166">
                  <c:v>0.16682</c:v>
                </c:pt>
                <c:pt idx="4167">
                  <c:v>0.16686000000000001</c:v>
                </c:pt>
                <c:pt idx="4168">
                  <c:v>0.16689999999999999</c:v>
                </c:pt>
                <c:pt idx="4169">
                  <c:v>0.16694000000000001</c:v>
                </c:pt>
                <c:pt idx="4170">
                  <c:v>0.16697999999999999</c:v>
                </c:pt>
                <c:pt idx="4171">
                  <c:v>0.16702</c:v>
                </c:pt>
                <c:pt idx="4172">
                  <c:v>0.16705999999999999</c:v>
                </c:pt>
                <c:pt idx="4173">
                  <c:v>0.1671</c:v>
                </c:pt>
                <c:pt idx="4174">
                  <c:v>0.16714000000000001</c:v>
                </c:pt>
                <c:pt idx="4175">
                  <c:v>0.16718</c:v>
                </c:pt>
                <c:pt idx="4176">
                  <c:v>0.16722000000000001</c:v>
                </c:pt>
                <c:pt idx="4177">
                  <c:v>0.16725999999999999</c:v>
                </c:pt>
                <c:pt idx="4178">
                  <c:v>0.1673</c:v>
                </c:pt>
                <c:pt idx="4179">
                  <c:v>0.16733999999999999</c:v>
                </c:pt>
                <c:pt idx="4180">
                  <c:v>0.16738</c:v>
                </c:pt>
                <c:pt idx="4181">
                  <c:v>0.16742000000000001</c:v>
                </c:pt>
                <c:pt idx="4182">
                  <c:v>0.16746</c:v>
                </c:pt>
                <c:pt idx="4183">
                  <c:v>0.16750000000000001</c:v>
                </c:pt>
                <c:pt idx="4184">
                  <c:v>0.16753999999999999</c:v>
                </c:pt>
                <c:pt idx="4185">
                  <c:v>0.16758000000000001</c:v>
                </c:pt>
                <c:pt idx="4186">
                  <c:v>0.16761999999999999</c:v>
                </c:pt>
                <c:pt idx="4187">
                  <c:v>0.16766</c:v>
                </c:pt>
                <c:pt idx="4188">
                  <c:v>0.16769999999999999</c:v>
                </c:pt>
                <c:pt idx="4189">
                  <c:v>0.16774</c:v>
                </c:pt>
                <c:pt idx="4190">
                  <c:v>0.16778000000000001</c:v>
                </c:pt>
                <c:pt idx="4191">
                  <c:v>0.16782</c:v>
                </c:pt>
                <c:pt idx="4192">
                  <c:v>0.16786000000000001</c:v>
                </c:pt>
                <c:pt idx="4193">
                  <c:v>0.16789999999999999</c:v>
                </c:pt>
                <c:pt idx="4194">
                  <c:v>0.16794000000000001</c:v>
                </c:pt>
                <c:pt idx="4195">
                  <c:v>0.16797999999999999</c:v>
                </c:pt>
                <c:pt idx="4196">
                  <c:v>0.16802</c:v>
                </c:pt>
                <c:pt idx="4197">
                  <c:v>0.16805999999999999</c:v>
                </c:pt>
                <c:pt idx="4198">
                  <c:v>0.1681</c:v>
                </c:pt>
                <c:pt idx="4199">
                  <c:v>0.16814000000000001</c:v>
                </c:pt>
                <c:pt idx="4200">
                  <c:v>0.16818</c:v>
                </c:pt>
                <c:pt idx="4201">
                  <c:v>0.16822000000000001</c:v>
                </c:pt>
                <c:pt idx="4202">
                  <c:v>0.16825999999999999</c:v>
                </c:pt>
                <c:pt idx="4203">
                  <c:v>0.16830000000000001</c:v>
                </c:pt>
                <c:pt idx="4204">
                  <c:v>0.16833999999999999</c:v>
                </c:pt>
                <c:pt idx="4205">
                  <c:v>0.16838</c:v>
                </c:pt>
                <c:pt idx="4206">
                  <c:v>0.16841999999999999</c:v>
                </c:pt>
                <c:pt idx="4207">
                  <c:v>0.16846</c:v>
                </c:pt>
                <c:pt idx="4208">
                  <c:v>0.16850000000000001</c:v>
                </c:pt>
                <c:pt idx="4209">
                  <c:v>0.16854</c:v>
                </c:pt>
                <c:pt idx="4210">
                  <c:v>0.16858000000000001</c:v>
                </c:pt>
                <c:pt idx="4211">
                  <c:v>0.16861999999999999</c:v>
                </c:pt>
                <c:pt idx="4212">
                  <c:v>0.16866</c:v>
                </c:pt>
                <c:pt idx="4213">
                  <c:v>0.16869999999999999</c:v>
                </c:pt>
                <c:pt idx="4214">
                  <c:v>0.16874</c:v>
                </c:pt>
                <c:pt idx="4215">
                  <c:v>0.16878000000000001</c:v>
                </c:pt>
                <c:pt idx="4216">
                  <c:v>0.16882</c:v>
                </c:pt>
                <c:pt idx="4217">
                  <c:v>0.16886000000000001</c:v>
                </c:pt>
                <c:pt idx="4218">
                  <c:v>0.16889999999999999</c:v>
                </c:pt>
                <c:pt idx="4219">
                  <c:v>0.16894000000000001</c:v>
                </c:pt>
                <c:pt idx="4220">
                  <c:v>0.16897999999999999</c:v>
                </c:pt>
                <c:pt idx="4221">
                  <c:v>0.16902</c:v>
                </c:pt>
                <c:pt idx="4222">
                  <c:v>0.16905999999999999</c:v>
                </c:pt>
                <c:pt idx="4223">
                  <c:v>0.1691</c:v>
                </c:pt>
                <c:pt idx="4224">
                  <c:v>0.16914000000000001</c:v>
                </c:pt>
                <c:pt idx="4225">
                  <c:v>0.16918</c:v>
                </c:pt>
                <c:pt idx="4226">
                  <c:v>0.16922000000000001</c:v>
                </c:pt>
                <c:pt idx="4227">
                  <c:v>0.16925999999999999</c:v>
                </c:pt>
                <c:pt idx="4228">
                  <c:v>0.16930000000000001</c:v>
                </c:pt>
                <c:pt idx="4229">
                  <c:v>0.16933999999999999</c:v>
                </c:pt>
                <c:pt idx="4230">
                  <c:v>0.16938</c:v>
                </c:pt>
                <c:pt idx="4231">
                  <c:v>0.16941999999999999</c:v>
                </c:pt>
                <c:pt idx="4232">
                  <c:v>0.16946</c:v>
                </c:pt>
                <c:pt idx="4233">
                  <c:v>0.16950000000000001</c:v>
                </c:pt>
                <c:pt idx="4234">
                  <c:v>0.16954</c:v>
                </c:pt>
                <c:pt idx="4235">
                  <c:v>0.16958000000000001</c:v>
                </c:pt>
                <c:pt idx="4236">
                  <c:v>0.16961999999999999</c:v>
                </c:pt>
                <c:pt idx="4237">
                  <c:v>0.16966000000000001</c:v>
                </c:pt>
                <c:pt idx="4238">
                  <c:v>0.16969999999999999</c:v>
                </c:pt>
                <c:pt idx="4239">
                  <c:v>0.16974</c:v>
                </c:pt>
                <c:pt idx="4240">
                  <c:v>0.16977999999999999</c:v>
                </c:pt>
                <c:pt idx="4241">
                  <c:v>0.16982</c:v>
                </c:pt>
                <c:pt idx="4242">
                  <c:v>0.16986000000000001</c:v>
                </c:pt>
                <c:pt idx="4243">
                  <c:v>0.1699</c:v>
                </c:pt>
                <c:pt idx="4244">
                  <c:v>0.16994000000000001</c:v>
                </c:pt>
                <c:pt idx="4245">
                  <c:v>0.16997999999999999</c:v>
                </c:pt>
                <c:pt idx="4246">
                  <c:v>0.17002</c:v>
                </c:pt>
                <c:pt idx="4247">
                  <c:v>0.17005999999999999</c:v>
                </c:pt>
                <c:pt idx="4248">
                  <c:v>0.1701</c:v>
                </c:pt>
                <c:pt idx="4249">
                  <c:v>0.17014000000000001</c:v>
                </c:pt>
                <c:pt idx="4250">
                  <c:v>0.17018</c:v>
                </c:pt>
                <c:pt idx="4251">
                  <c:v>0.17022000000000001</c:v>
                </c:pt>
                <c:pt idx="4252">
                  <c:v>0.17025999999999999</c:v>
                </c:pt>
                <c:pt idx="4253">
                  <c:v>0.17030000000000001</c:v>
                </c:pt>
                <c:pt idx="4254">
                  <c:v>0.17033999999999999</c:v>
                </c:pt>
                <c:pt idx="4255">
                  <c:v>0.17038</c:v>
                </c:pt>
                <c:pt idx="4256">
                  <c:v>0.17041999999999999</c:v>
                </c:pt>
                <c:pt idx="4257">
                  <c:v>0.17046</c:v>
                </c:pt>
                <c:pt idx="4258">
                  <c:v>0.17050000000000001</c:v>
                </c:pt>
                <c:pt idx="4259">
                  <c:v>0.17054</c:v>
                </c:pt>
                <c:pt idx="4260">
                  <c:v>0.17058000000000001</c:v>
                </c:pt>
                <c:pt idx="4261">
                  <c:v>0.17061999999999999</c:v>
                </c:pt>
                <c:pt idx="4262">
                  <c:v>0.17066000000000001</c:v>
                </c:pt>
                <c:pt idx="4263">
                  <c:v>0.17069999999999999</c:v>
                </c:pt>
                <c:pt idx="4264">
                  <c:v>0.17074</c:v>
                </c:pt>
                <c:pt idx="4265">
                  <c:v>0.17077999999999999</c:v>
                </c:pt>
                <c:pt idx="4266">
                  <c:v>0.17082</c:v>
                </c:pt>
                <c:pt idx="4267">
                  <c:v>0.17086000000000001</c:v>
                </c:pt>
                <c:pt idx="4268">
                  <c:v>0.1709</c:v>
                </c:pt>
                <c:pt idx="4269">
                  <c:v>0.17094000000000001</c:v>
                </c:pt>
                <c:pt idx="4270">
                  <c:v>0.17097999999999999</c:v>
                </c:pt>
                <c:pt idx="4271">
                  <c:v>0.17102000000000001</c:v>
                </c:pt>
                <c:pt idx="4272">
                  <c:v>0.17105999999999999</c:v>
                </c:pt>
                <c:pt idx="4273">
                  <c:v>0.1711</c:v>
                </c:pt>
                <c:pt idx="4274">
                  <c:v>0.17113999999999999</c:v>
                </c:pt>
                <c:pt idx="4275">
                  <c:v>0.17118</c:v>
                </c:pt>
                <c:pt idx="4276">
                  <c:v>0.17122000000000001</c:v>
                </c:pt>
                <c:pt idx="4277">
                  <c:v>0.17126</c:v>
                </c:pt>
                <c:pt idx="4278">
                  <c:v>0.17130000000000001</c:v>
                </c:pt>
                <c:pt idx="4279">
                  <c:v>0.17133999999999999</c:v>
                </c:pt>
                <c:pt idx="4280">
                  <c:v>0.17138</c:v>
                </c:pt>
                <c:pt idx="4281">
                  <c:v>0.17141999999999999</c:v>
                </c:pt>
                <c:pt idx="4282">
                  <c:v>0.17146</c:v>
                </c:pt>
                <c:pt idx="4283">
                  <c:v>0.17150000000000001</c:v>
                </c:pt>
                <c:pt idx="4284">
                  <c:v>0.17154</c:v>
                </c:pt>
                <c:pt idx="4285">
                  <c:v>0.17158000000000001</c:v>
                </c:pt>
                <c:pt idx="4286">
                  <c:v>0.17161999999999999</c:v>
                </c:pt>
                <c:pt idx="4287">
                  <c:v>0.17166000000000001</c:v>
                </c:pt>
                <c:pt idx="4288">
                  <c:v>0.17169999999999999</c:v>
                </c:pt>
                <c:pt idx="4289">
                  <c:v>0.17174</c:v>
                </c:pt>
                <c:pt idx="4290">
                  <c:v>0.17177999999999999</c:v>
                </c:pt>
                <c:pt idx="4291">
                  <c:v>0.17182</c:v>
                </c:pt>
                <c:pt idx="4292">
                  <c:v>0.17186000000000001</c:v>
                </c:pt>
                <c:pt idx="4293">
                  <c:v>0.1719</c:v>
                </c:pt>
                <c:pt idx="4294">
                  <c:v>0.17194000000000001</c:v>
                </c:pt>
                <c:pt idx="4295">
                  <c:v>0.17197999999999999</c:v>
                </c:pt>
                <c:pt idx="4296">
                  <c:v>0.17202000000000001</c:v>
                </c:pt>
                <c:pt idx="4297">
                  <c:v>0.17205999999999999</c:v>
                </c:pt>
                <c:pt idx="4298">
                  <c:v>0.1721</c:v>
                </c:pt>
                <c:pt idx="4299">
                  <c:v>0.17213999999999999</c:v>
                </c:pt>
                <c:pt idx="4300">
                  <c:v>0.17218</c:v>
                </c:pt>
                <c:pt idx="4301">
                  <c:v>0.17222000000000001</c:v>
                </c:pt>
                <c:pt idx="4302">
                  <c:v>0.17226</c:v>
                </c:pt>
                <c:pt idx="4303">
                  <c:v>0.17230000000000001</c:v>
                </c:pt>
                <c:pt idx="4304">
                  <c:v>0.17233999999999999</c:v>
                </c:pt>
                <c:pt idx="4305">
                  <c:v>0.17238000000000001</c:v>
                </c:pt>
                <c:pt idx="4306">
                  <c:v>0.17241999999999999</c:v>
                </c:pt>
                <c:pt idx="4307">
                  <c:v>0.17246</c:v>
                </c:pt>
                <c:pt idx="4308">
                  <c:v>0.17249999999999999</c:v>
                </c:pt>
                <c:pt idx="4309">
                  <c:v>0.17254</c:v>
                </c:pt>
                <c:pt idx="4310">
                  <c:v>0.17258000000000001</c:v>
                </c:pt>
                <c:pt idx="4311">
                  <c:v>0.17262</c:v>
                </c:pt>
                <c:pt idx="4312">
                  <c:v>0.17266000000000001</c:v>
                </c:pt>
                <c:pt idx="4313">
                  <c:v>0.17269999999999999</c:v>
                </c:pt>
                <c:pt idx="4314">
                  <c:v>0.17274</c:v>
                </c:pt>
                <c:pt idx="4315">
                  <c:v>0.17277999999999999</c:v>
                </c:pt>
                <c:pt idx="4316">
                  <c:v>0.17282</c:v>
                </c:pt>
                <c:pt idx="4317">
                  <c:v>0.17286000000000001</c:v>
                </c:pt>
                <c:pt idx="4318">
                  <c:v>0.1729</c:v>
                </c:pt>
                <c:pt idx="4319">
                  <c:v>0.17294000000000001</c:v>
                </c:pt>
                <c:pt idx="4320">
                  <c:v>0.17297999999999999</c:v>
                </c:pt>
                <c:pt idx="4321">
                  <c:v>0.17302000000000001</c:v>
                </c:pt>
                <c:pt idx="4322">
                  <c:v>0.17305999999999999</c:v>
                </c:pt>
                <c:pt idx="4323">
                  <c:v>0.1731</c:v>
                </c:pt>
                <c:pt idx="4324">
                  <c:v>0.17313999999999999</c:v>
                </c:pt>
                <c:pt idx="4325">
                  <c:v>0.17318</c:v>
                </c:pt>
                <c:pt idx="4326">
                  <c:v>0.17322000000000001</c:v>
                </c:pt>
                <c:pt idx="4327">
                  <c:v>0.17326</c:v>
                </c:pt>
                <c:pt idx="4328">
                  <c:v>0.17330000000000001</c:v>
                </c:pt>
                <c:pt idx="4329">
                  <c:v>0.17333999999999999</c:v>
                </c:pt>
                <c:pt idx="4330">
                  <c:v>0.17338000000000001</c:v>
                </c:pt>
                <c:pt idx="4331">
                  <c:v>0.17341999999999999</c:v>
                </c:pt>
                <c:pt idx="4332">
                  <c:v>0.17346</c:v>
                </c:pt>
                <c:pt idx="4333">
                  <c:v>0.17349999999999999</c:v>
                </c:pt>
                <c:pt idx="4334">
                  <c:v>0.17354</c:v>
                </c:pt>
                <c:pt idx="4335">
                  <c:v>0.17358000000000001</c:v>
                </c:pt>
                <c:pt idx="4336">
                  <c:v>0.17362</c:v>
                </c:pt>
                <c:pt idx="4337">
                  <c:v>0.17366000000000001</c:v>
                </c:pt>
                <c:pt idx="4338">
                  <c:v>0.17369999999999999</c:v>
                </c:pt>
                <c:pt idx="4339">
                  <c:v>0.17374000000000001</c:v>
                </c:pt>
                <c:pt idx="4340">
                  <c:v>0.17377999999999999</c:v>
                </c:pt>
                <c:pt idx="4341">
                  <c:v>0.17382</c:v>
                </c:pt>
                <c:pt idx="4342">
                  <c:v>0.17385999999999999</c:v>
                </c:pt>
                <c:pt idx="4343">
                  <c:v>0.1739</c:v>
                </c:pt>
                <c:pt idx="4344">
                  <c:v>0.17394000000000001</c:v>
                </c:pt>
                <c:pt idx="4345">
                  <c:v>0.17398</c:v>
                </c:pt>
                <c:pt idx="4346">
                  <c:v>0.17402000000000001</c:v>
                </c:pt>
                <c:pt idx="4347">
                  <c:v>0.17405999999999999</c:v>
                </c:pt>
                <c:pt idx="4348">
                  <c:v>0.1741</c:v>
                </c:pt>
                <c:pt idx="4349">
                  <c:v>0.17413999999999999</c:v>
                </c:pt>
                <c:pt idx="4350">
                  <c:v>0.17418</c:v>
                </c:pt>
                <c:pt idx="4351">
                  <c:v>0.17422000000000001</c:v>
                </c:pt>
                <c:pt idx="4352">
                  <c:v>0.17426</c:v>
                </c:pt>
                <c:pt idx="4353">
                  <c:v>0.17430000000000001</c:v>
                </c:pt>
                <c:pt idx="4354">
                  <c:v>0.17433999999999999</c:v>
                </c:pt>
                <c:pt idx="4355">
                  <c:v>0.17438000000000001</c:v>
                </c:pt>
                <c:pt idx="4356">
                  <c:v>0.17441999999999999</c:v>
                </c:pt>
                <c:pt idx="4357">
                  <c:v>0.17446</c:v>
                </c:pt>
                <c:pt idx="4358">
                  <c:v>0.17449999999999999</c:v>
                </c:pt>
                <c:pt idx="4359">
                  <c:v>0.17454</c:v>
                </c:pt>
                <c:pt idx="4360">
                  <c:v>0.17458000000000001</c:v>
                </c:pt>
                <c:pt idx="4361">
                  <c:v>0.17462</c:v>
                </c:pt>
                <c:pt idx="4362">
                  <c:v>0.17466000000000001</c:v>
                </c:pt>
                <c:pt idx="4363">
                  <c:v>0.17469999999999999</c:v>
                </c:pt>
                <c:pt idx="4364">
                  <c:v>0.17474000000000001</c:v>
                </c:pt>
                <c:pt idx="4365">
                  <c:v>0.17477999999999999</c:v>
                </c:pt>
                <c:pt idx="4366">
                  <c:v>0.17482</c:v>
                </c:pt>
                <c:pt idx="4367">
                  <c:v>0.17485999999999999</c:v>
                </c:pt>
                <c:pt idx="4368">
                  <c:v>0.1749</c:v>
                </c:pt>
                <c:pt idx="4369">
                  <c:v>0.17494000000000001</c:v>
                </c:pt>
                <c:pt idx="4370">
                  <c:v>0.17498</c:v>
                </c:pt>
                <c:pt idx="4371">
                  <c:v>0.17502000000000001</c:v>
                </c:pt>
                <c:pt idx="4372">
                  <c:v>0.17505999999999999</c:v>
                </c:pt>
                <c:pt idx="4373">
                  <c:v>0.17510000000000001</c:v>
                </c:pt>
                <c:pt idx="4374">
                  <c:v>0.17513999999999999</c:v>
                </c:pt>
                <c:pt idx="4375">
                  <c:v>0.17518</c:v>
                </c:pt>
                <c:pt idx="4376">
                  <c:v>0.17521999999999999</c:v>
                </c:pt>
                <c:pt idx="4377">
                  <c:v>0.17526</c:v>
                </c:pt>
                <c:pt idx="4378">
                  <c:v>0.17530000000000001</c:v>
                </c:pt>
                <c:pt idx="4379">
                  <c:v>0.17534</c:v>
                </c:pt>
                <c:pt idx="4380">
                  <c:v>0.17538000000000001</c:v>
                </c:pt>
                <c:pt idx="4381">
                  <c:v>0.17541999999999999</c:v>
                </c:pt>
                <c:pt idx="4382">
                  <c:v>0.17546</c:v>
                </c:pt>
                <c:pt idx="4383">
                  <c:v>0.17549999999999999</c:v>
                </c:pt>
                <c:pt idx="4384">
                  <c:v>0.17554</c:v>
                </c:pt>
                <c:pt idx="4385">
                  <c:v>0.17558000000000001</c:v>
                </c:pt>
                <c:pt idx="4386">
                  <c:v>0.17562</c:v>
                </c:pt>
                <c:pt idx="4387">
                  <c:v>0.17566000000000001</c:v>
                </c:pt>
                <c:pt idx="4388">
                  <c:v>0.1757</c:v>
                </c:pt>
                <c:pt idx="4389">
                  <c:v>0.17574000000000001</c:v>
                </c:pt>
                <c:pt idx="4390">
                  <c:v>0.17577999999999999</c:v>
                </c:pt>
                <c:pt idx="4391">
                  <c:v>0.17582</c:v>
                </c:pt>
                <c:pt idx="4392">
                  <c:v>0.17585999999999999</c:v>
                </c:pt>
                <c:pt idx="4393">
                  <c:v>0.1759</c:v>
                </c:pt>
                <c:pt idx="4394">
                  <c:v>0.17594000000000001</c:v>
                </c:pt>
                <c:pt idx="4395">
                  <c:v>0.17598</c:v>
                </c:pt>
                <c:pt idx="4396">
                  <c:v>0.17602000000000001</c:v>
                </c:pt>
                <c:pt idx="4397">
                  <c:v>0.17605999999999999</c:v>
                </c:pt>
                <c:pt idx="4398">
                  <c:v>0.17610000000000001</c:v>
                </c:pt>
                <c:pt idx="4399">
                  <c:v>0.17613999999999999</c:v>
                </c:pt>
                <c:pt idx="4400">
                  <c:v>0.17618</c:v>
                </c:pt>
                <c:pt idx="4401">
                  <c:v>0.17621999999999999</c:v>
                </c:pt>
                <c:pt idx="4402">
                  <c:v>0.17626</c:v>
                </c:pt>
                <c:pt idx="4403">
                  <c:v>0.17630000000000001</c:v>
                </c:pt>
                <c:pt idx="4404">
                  <c:v>0.17634</c:v>
                </c:pt>
                <c:pt idx="4405">
                  <c:v>0.17638000000000001</c:v>
                </c:pt>
                <c:pt idx="4406">
                  <c:v>0.17641999999999999</c:v>
                </c:pt>
                <c:pt idx="4407">
                  <c:v>0.17646000000000001</c:v>
                </c:pt>
                <c:pt idx="4408">
                  <c:v>0.17649999999999999</c:v>
                </c:pt>
                <c:pt idx="4409">
                  <c:v>0.17654</c:v>
                </c:pt>
                <c:pt idx="4410">
                  <c:v>0.17657999999999999</c:v>
                </c:pt>
                <c:pt idx="4411">
                  <c:v>0.17662</c:v>
                </c:pt>
                <c:pt idx="4412">
                  <c:v>0.17666000000000001</c:v>
                </c:pt>
                <c:pt idx="4413">
                  <c:v>0.1767</c:v>
                </c:pt>
                <c:pt idx="4414">
                  <c:v>0.17674000000000001</c:v>
                </c:pt>
                <c:pt idx="4415">
                  <c:v>0.17677999999999999</c:v>
                </c:pt>
                <c:pt idx="4416">
                  <c:v>0.17682</c:v>
                </c:pt>
                <c:pt idx="4417">
                  <c:v>0.17685999999999999</c:v>
                </c:pt>
                <c:pt idx="4418">
                  <c:v>0.1769</c:v>
                </c:pt>
                <c:pt idx="4419">
                  <c:v>0.17693999999999999</c:v>
                </c:pt>
                <c:pt idx="4420">
                  <c:v>0.17698</c:v>
                </c:pt>
                <c:pt idx="4421">
                  <c:v>0.17702000000000001</c:v>
                </c:pt>
                <c:pt idx="4422">
                  <c:v>0.17706</c:v>
                </c:pt>
                <c:pt idx="4423">
                  <c:v>0.17710000000000001</c:v>
                </c:pt>
                <c:pt idx="4424">
                  <c:v>0.17713999999999999</c:v>
                </c:pt>
                <c:pt idx="4425">
                  <c:v>0.17718</c:v>
                </c:pt>
                <c:pt idx="4426">
                  <c:v>0.17721999999999999</c:v>
                </c:pt>
                <c:pt idx="4427">
                  <c:v>0.17726</c:v>
                </c:pt>
                <c:pt idx="4428">
                  <c:v>0.17730000000000001</c:v>
                </c:pt>
                <c:pt idx="4429">
                  <c:v>0.17734</c:v>
                </c:pt>
                <c:pt idx="4430">
                  <c:v>0.17738000000000001</c:v>
                </c:pt>
                <c:pt idx="4431">
                  <c:v>0.17741999999999999</c:v>
                </c:pt>
                <c:pt idx="4432">
                  <c:v>0.17746000000000001</c:v>
                </c:pt>
                <c:pt idx="4433">
                  <c:v>0.17749999999999999</c:v>
                </c:pt>
                <c:pt idx="4434">
                  <c:v>0.17754</c:v>
                </c:pt>
                <c:pt idx="4435">
                  <c:v>0.17757999999999999</c:v>
                </c:pt>
                <c:pt idx="4436">
                  <c:v>0.17762</c:v>
                </c:pt>
                <c:pt idx="4437">
                  <c:v>0.17766000000000001</c:v>
                </c:pt>
                <c:pt idx="4438">
                  <c:v>0.1777</c:v>
                </c:pt>
                <c:pt idx="4439">
                  <c:v>0.17774000000000001</c:v>
                </c:pt>
                <c:pt idx="4440">
                  <c:v>0.17777999999999999</c:v>
                </c:pt>
                <c:pt idx="4441">
                  <c:v>0.17782000000000001</c:v>
                </c:pt>
                <c:pt idx="4442">
                  <c:v>0.17785999999999999</c:v>
                </c:pt>
                <c:pt idx="4443">
                  <c:v>0.1779</c:v>
                </c:pt>
                <c:pt idx="4444">
                  <c:v>0.17793999999999999</c:v>
                </c:pt>
                <c:pt idx="4445">
                  <c:v>0.17798</c:v>
                </c:pt>
                <c:pt idx="4446">
                  <c:v>0.17802000000000001</c:v>
                </c:pt>
                <c:pt idx="4447">
                  <c:v>0.17806</c:v>
                </c:pt>
                <c:pt idx="4448">
                  <c:v>0.17810000000000001</c:v>
                </c:pt>
                <c:pt idx="4449">
                  <c:v>0.17813999999999999</c:v>
                </c:pt>
                <c:pt idx="4450">
                  <c:v>0.17818000000000001</c:v>
                </c:pt>
                <c:pt idx="4451">
                  <c:v>0.17821999999999999</c:v>
                </c:pt>
                <c:pt idx="4452">
                  <c:v>0.17826</c:v>
                </c:pt>
                <c:pt idx="4453">
                  <c:v>0.17829999999999999</c:v>
                </c:pt>
                <c:pt idx="4454">
                  <c:v>0.17834</c:v>
                </c:pt>
                <c:pt idx="4455">
                  <c:v>0.17838000000000001</c:v>
                </c:pt>
                <c:pt idx="4456">
                  <c:v>0.17842</c:v>
                </c:pt>
                <c:pt idx="4457">
                  <c:v>0.17846000000000001</c:v>
                </c:pt>
                <c:pt idx="4458">
                  <c:v>0.17849999999999999</c:v>
                </c:pt>
                <c:pt idx="4459">
                  <c:v>0.17854</c:v>
                </c:pt>
                <c:pt idx="4460">
                  <c:v>0.17857999999999999</c:v>
                </c:pt>
                <c:pt idx="4461">
                  <c:v>0.17862</c:v>
                </c:pt>
                <c:pt idx="4462">
                  <c:v>0.17866000000000001</c:v>
                </c:pt>
                <c:pt idx="4463">
                  <c:v>0.1787</c:v>
                </c:pt>
                <c:pt idx="4464">
                  <c:v>0.17874000000000001</c:v>
                </c:pt>
                <c:pt idx="4465">
                  <c:v>0.17877999999999999</c:v>
                </c:pt>
                <c:pt idx="4466">
                  <c:v>0.17882000000000001</c:v>
                </c:pt>
                <c:pt idx="4467">
                  <c:v>0.17885999999999999</c:v>
                </c:pt>
                <c:pt idx="4468">
                  <c:v>0.1789</c:v>
                </c:pt>
                <c:pt idx="4469">
                  <c:v>0.17893999999999999</c:v>
                </c:pt>
                <c:pt idx="4470">
                  <c:v>0.17898</c:v>
                </c:pt>
                <c:pt idx="4471">
                  <c:v>0.17902000000000001</c:v>
                </c:pt>
                <c:pt idx="4472">
                  <c:v>0.17906</c:v>
                </c:pt>
                <c:pt idx="4473">
                  <c:v>0.17910000000000001</c:v>
                </c:pt>
                <c:pt idx="4474">
                  <c:v>0.17913999999999999</c:v>
                </c:pt>
                <c:pt idx="4475">
                  <c:v>0.17918000000000001</c:v>
                </c:pt>
                <c:pt idx="4476">
                  <c:v>0.17921999999999999</c:v>
                </c:pt>
                <c:pt idx="4477">
                  <c:v>0.17926</c:v>
                </c:pt>
                <c:pt idx="4478">
                  <c:v>0.17929999999999999</c:v>
                </c:pt>
                <c:pt idx="4479">
                  <c:v>0.17934</c:v>
                </c:pt>
                <c:pt idx="4480">
                  <c:v>0.17938000000000001</c:v>
                </c:pt>
                <c:pt idx="4481">
                  <c:v>0.17942</c:v>
                </c:pt>
                <c:pt idx="4482">
                  <c:v>0.17946000000000001</c:v>
                </c:pt>
                <c:pt idx="4483">
                  <c:v>0.17949999999999999</c:v>
                </c:pt>
                <c:pt idx="4484">
                  <c:v>0.17954000000000001</c:v>
                </c:pt>
                <c:pt idx="4485">
                  <c:v>0.17957999999999999</c:v>
                </c:pt>
                <c:pt idx="4486">
                  <c:v>0.17962</c:v>
                </c:pt>
                <c:pt idx="4487">
                  <c:v>0.17965999999999999</c:v>
                </c:pt>
                <c:pt idx="4488">
                  <c:v>0.1797</c:v>
                </c:pt>
                <c:pt idx="4489">
                  <c:v>0.17974000000000001</c:v>
                </c:pt>
                <c:pt idx="4490">
                  <c:v>0.17978</c:v>
                </c:pt>
                <c:pt idx="4491">
                  <c:v>0.17982000000000001</c:v>
                </c:pt>
                <c:pt idx="4492">
                  <c:v>0.17985999999999999</c:v>
                </c:pt>
                <c:pt idx="4493">
                  <c:v>0.1799</c:v>
                </c:pt>
                <c:pt idx="4494">
                  <c:v>0.17993999999999999</c:v>
                </c:pt>
                <c:pt idx="4495">
                  <c:v>0.17998</c:v>
                </c:pt>
                <c:pt idx="4496">
                  <c:v>0.18002000000000001</c:v>
                </c:pt>
                <c:pt idx="4497">
                  <c:v>0.18006</c:v>
                </c:pt>
                <c:pt idx="4498">
                  <c:v>0.18010000000000001</c:v>
                </c:pt>
                <c:pt idx="4499">
                  <c:v>0.18013999999999999</c:v>
                </c:pt>
                <c:pt idx="4500">
                  <c:v>0.18018000000000001</c:v>
                </c:pt>
                <c:pt idx="4501">
                  <c:v>0.18021999999999999</c:v>
                </c:pt>
                <c:pt idx="4502">
                  <c:v>0.18026</c:v>
                </c:pt>
                <c:pt idx="4503">
                  <c:v>0.18029999999999999</c:v>
                </c:pt>
                <c:pt idx="4504">
                  <c:v>0.18034</c:v>
                </c:pt>
                <c:pt idx="4505">
                  <c:v>0.18038000000000001</c:v>
                </c:pt>
                <c:pt idx="4506">
                  <c:v>0.18042</c:v>
                </c:pt>
                <c:pt idx="4507">
                  <c:v>0.18046000000000001</c:v>
                </c:pt>
                <c:pt idx="4508">
                  <c:v>0.18049999999999999</c:v>
                </c:pt>
                <c:pt idx="4509">
                  <c:v>0.18054000000000001</c:v>
                </c:pt>
                <c:pt idx="4510">
                  <c:v>0.18057999999999999</c:v>
                </c:pt>
                <c:pt idx="4511">
                  <c:v>0.18062</c:v>
                </c:pt>
                <c:pt idx="4512">
                  <c:v>0.18065999999999999</c:v>
                </c:pt>
                <c:pt idx="4513">
                  <c:v>0.1807</c:v>
                </c:pt>
                <c:pt idx="4514">
                  <c:v>0.18074000000000001</c:v>
                </c:pt>
                <c:pt idx="4515">
                  <c:v>0.18078</c:v>
                </c:pt>
                <c:pt idx="4516">
                  <c:v>0.18082000000000001</c:v>
                </c:pt>
                <c:pt idx="4517">
                  <c:v>0.18085999999999999</c:v>
                </c:pt>
                <c:pt idx="4518">
                  <c:v>0.18090000000000001</c:v>
                </c:pt>
                <c:pt idx="4519">
                  <c:v>0.18093999999999999</c:v>
                </c:pt>
                <c:pt idx="4520">
                  <c:v>0.18098</c:v>
                </c:pt>
                <c:pt idx="4521">
                  <c:v>0.18101999999999999</c:v>
                </c:pt>
                <c:pt idx="4522">
                  <c:v>0.18106</c:v>
                </c:pt>
                <c:pt idx="4523">
                  <c:v>0.18110000000000001</c:v>
                </c:pt>
                <c:pt idx="4524">
                  <c:v>0.18114</c:v>
                </c:pt>
                <c:pt idx="4525">
                  <c:v>0.18118000000000001</c:v>
                </c:pt>
                <c:pt idx="4526">
                  <c:v>0.18121999999999999</c:v>
                </c:pt>
                <c:pt idx="4527">
                  <c:v>0.18126</c:v>
                </c:pt>
                <c:pt idx="4528">
                  <c:v>0.18129999999999999</c:v>
                </c:pt>
                <c:pt idx="4529">
                  <c:v>0.18134</c:v>
                </c:pt>
                <c:pt idx="4530">
                  <c:v>0.18138000000000001</c:v>
                </c:pt>
                <c:pt idx="4531">
                  <c:v>0.18142</c:v>
                </c:pt>
                <c:pt idx="4532">
                  <c:v>0.18146000000000001</c:v>
                </c:pt>
                <c:pt idx="4533">
                  <c:v>0.18149999999999999</c:v>
                </c:pt>
                <c:pt idx="4534">
                  <c:v>0.18154000000000001</c:v>
                </c:pt>
                <c:pt idx="4535">
                  <c:v>0.18157999999999999</c:v>
                </c:pt>
                <c:pt idx="4536">
                  <c:v>0.18162</c:v>
                </c:pt>
                <c:pt idx="4537">
                  <c:v>0.18165999999999999</c:v>
                </c:pt>
                <c:pt idx="4538">
                  <c:v>0.1817</c:v>
                </c:pt>
                <c:pt idx="4539">
                  <c:v>0.18174000000000001</c:v>
                </c:pt>
                <c:pt idx="4540">
                  <c:v>0.18178</c:v>
                </c:pt>
                <c:pt idx="4541">
                  <c:v>0.18182000000000001</c:v>
                </c:pt>
                <c:pt idx="4542">
                  <c:v>0.18185999999999999</c:v>
                </c:pt>
                <c:pt idx="4543">
                  <c:v>0.18190000000000001</c:v>
                </c:pt>
                <c:pt idx="4544">
                  <c:v>0.18193999999999999</c:v>
                </c:pt>
                <c:pt idx="4545">
                  <c:v>0.18198</c:v>
                </c:pt>
                <c:pt idx="4546">
                  <c:v>0.18201999999999999</c:v>
                </c:pt>
                <c:pt idx="4547">
                  <c:v>0.18206</c:v>
                </c:pt>
                <c:pt idx="4548">
                  <c:v>0.18210000000000001</c:v>
                </c:pt>
                <c:pt idx="4549">
                  <c:v>0.18214</c:v>
                </c:pt>
                <c:pt idx="4550">
                  <c:v>0.18218000000000001</c:v>
                </c:pt>
                <c:pt idx="4551">
                  <c:v>0.18221999999999999</c:v>
                </c:pt>
                <c:pt idx="4552">
                  <c:v>0.18226000000000001</c:v>
                </c:pt>
                <c:pt idx="4553">
                  <c:v>0.18229999999999999</c:v>
                </c:pt>
                <c:pt idx="4554">
                  <c:v>0.18234</c:v>
                </c:pt>
                <c:pt idx="4555">
                  <c:v>0.18237999999999999</c:v>
                </c:pt>
                <c:pt idx="4556">
                  <c:v>0.18242</c:v>
                </c:pt>
                <c:pt idx="4557">
                  <c:v>0.18246000000000001</c:v>
                </c:pt>
                <c:pt idx="4558">
                  <c:v>0.1825</c:v>
                </c:pt>
                <c:pt idx="4559">
                  <c:v>0.18254000000000001</c:v>
                </c:pt>
                <c:pt idx="4560">
                  <c:v>0.18257999999999999</c:v>
                </c:pt>
                <c:pt idx="4561">
                  <c:v>0.18262</c:v>
                </c:pt>
                <c:pt idx="4562">
                  <c:v>0.18265999999999999</c:v>
                </c:pt>
                <c:pt idx="4563">
                  <c:v>0.1827</c:v>
                </c:pt>
                <c:pt idx="4564">
                  <c:v>0.18274000000000001</c:v>
                </c:pt>
                <c:pt idx="4565">
                  <c:v>0.18278</c:v>
                </c:pt>
                <c:pt idx="4566">
                  <c:v>0.18282000000000001</c:v>
                </c:pt>
                <c:pt idx="4567">
                  <c:v>0.18285999999999999</c:v>
                </c:pt>
                <c:pt idx="4568">
                  <c:v>0.18290000000000001</c:v>
                </c:pt>
                <c:pt idx="4569">
                  <c:v>0.18293999999999999</c:v>
                </c:pt>
                <c:pt idx="4570">
                  <c:v>0.18298</c:v>
                </c:pt>
                <c:pt idx="4571">
                  <c:v>0.18301999999999999</c:v>
                </c:pt>
                <c:pt idx="4572">
                  <c:v>0.18306</c:v>
                </c:pt>
                <c:pt idx="4573">
                  <c:v>0.18310000000000001</c:v>
                </c:pt>
                <c:pt idx="4574">
                  <c:v>0.18314</c:v>
                </c:pt>
                <c:pt idx="4575">
                  <c:v>0.18318000000000001</c:v>
                </c:pt>
                <c:pt idx="4576">
                  <c:v>0.18321999999999999</c:v>
                </c:pt>
                <c:pt idx="4577">
                  <c:v>0.18326000000000001</c:v>
                </c:pt>
                <c:pt idx="4578">
                  <c:v>0.18329999999999999</c:v>
                </c:pt>
                <c:pt idx="4579">
                  <c:v>0.18334</c:v>
                </c:pt>
                <c:pt idx="4580">
                  <c:v>0.18337999999999999</c:v>
                </c:pt>
                <c:pt idx="4581">
                  <c:v>0.18342</c:v>
                </c:pt>
                <c:pt idx="4582">
                  <c:v>0.18346000000000001</c:v>
                </c:pt>
                <c:pt idx="4583">
                  <c:v>0.1835</c:v>
                </c:pt>
                <c:pt idx="4584">
                  <c:v>0.18354000000000001</c:v>
                </c:pt>
                <c:pt idx="4585">
                  <c:v>0.18357999999999999</c:v>
                </c:pt>
                <c:pt idx="4586">
                  <c:v>0.18362000000000001</c:v>
                </c:pt>
                <c:pt idx="4587">
                  <c:v>0.18365999999999999</c:v>
                </c:pt>
                <c:pt idx="4588">
                  <c:v>0.1837</c:v>
                </c:pt>
                <c:pt idx="4589">
                  <c:v>0.18373999999999999</c:v>
                </c:pt>
                <c:pt idx="4590">
                  <c:v>0.18378</c:v>
                </c:pt>
                <c:pt idx="4591">
                  <c:v>0.18382000000000001</c:v>
                </c:pt>
                <c:pt idx="4592">
                  <c:v>0.18386</c:v>
                </c:pt>
                <c:pt idx="4593">
                  <c:v>0.18390000000000001</c:v>
                </c:pt>
                <c:pt idx="4594">
                  <c:v>0.18393999999999999</c:v>
                </c:pt>
                <c:pt idx="4595">
                  <c:v>0.18398</c:v>
                </c:pt>
                <c:pt idx="4596">
                  <c:v>0.18401999999999999</c:v>
                </c:pt>
                <c:pt idx="4597">
                  <c:v>0.18406</c:v>
                </c:pt>
                <c:pt idx="4598">
                  <c:v>0.18410000000000001</c:v>
                </c:pt>
                <c:pt idx="4599">
                  <c:v>0.18414</c:v>
                </c:pt>
                <c:pt idx="4600">
                  <c:v>0.18418000000000001</c:v>
                </c:pt>
                <c:pt idx="4601">
                  <c:v>0.18421999999999999</c:v>
                </c:pt>
                <c:pt idx="4602">
                  <c:v>0.18426000000000001</c:v>
                </c:pt>
                <c:pt idx="4603">
                  <c:v>0.18429999999999999</c:v>
                </c:pt>
                <c:pt idx="4604">
                  <c:v>0.18434</c:v>
                </c:pt>
                <c:pt idx="4605">
                  <c:v>0.18437999999999999</c:v>
                </c:pt>
                <c:pt idx="4606">
                  <c:v>0.18442</c:v>
                </c:pt>
                <c:pt idx="4607">
                  <c:v>0.18446000000000001</c:v>
                </c:pt>
                <c:pt idx="4608">
                  <c:v>0.1845</c:v>
                </c:pt>
                <c:pt idx="4609">
                  <c:v>0.18454000000000001</c:v>
                </c:pt>
                <c:pt idx="4610">
                  <c:v>0.18457999999999999</c:v>
                </c:pt>
                <c:pt idx="4611">
                  <c:v>0.18462000000000001</c:v>
                </c:pt>
                <c:pt idx="4612">
                  <c:v>0.18465999999999999</c:v>
                </c:pt>
                <c:pt idx="4613">
                  <c:v>0.1847</c:v>
                </c:pt>
                <c:pt idx="4614">
                  <c:v>0.18473999999999999</c:v>
                </c:pt>
                <c:pt idx="4615">
                  <c:v>0.18478</c:v>
                </c:pt>
                <c:pt idx="4616">
                  <c:v>0.18482000000000001</c:v>
                </c:pt>
                <c:pt idx="4617">
                  <c:v>0.18486</c:v>
                </c:pt>
                <c:pt idx="4618">
                  <c:v>0.18490000000000001</c:v>
                </c:pt>
                <c:pt idx="4619">
                  <c:v>0.18493999999999999</c:v>
                </c:pt>
                <c:pt idx="4620">
                  <c:v>0.18498000000000001</c:v>
                </c:pt>
                <c:pt idx="4621">
                  <c:v>0.18501999999999999</c:v>
                </c:pt>
                <c:pt idx="4622">
                  <c:v>0.18506</c:v>
                </c:pt>
                <c:pt idx="4623">
                  <c:v>0.18509999999999999</c:v>
                </c:pt>
                <c:pt idx="4624">
                  <c:v>0.18514</c:v>
                </c:pt>
                <c:pt idx="4625">
                  <c:v>0.18518000000000001</c:v>
                </c:pt>
                <c:pt idx="4626">
                  <c:v>0.18522</c:v>
                </c:pt>
                <c:pt idx="4627">
                  <c:v>0.18526000000000001</c:v>
                </c:pt>
                <c:pt idx="4628">
                  <c:v>0.18529999999999999</c:v>
                </c:pt>
                <c:pt idx="4629">
                  <c:v>0.18534</c:v>
                </c:pt>
                <c:pt idx="4630">
                  <c:v>0.18537999999999999</c:v>
                </c:pt>
                <c:pt idx="4631">
                  <c:v>0.18542</c:v>
                </c:pt>
                <c:pt idx="4632">
                  <c:v>0.18546000000000001</c:v>
                </c:pt>
                <c:pt idx="4633">
                  <c:v>0.1855</c:v>
                </c:pt>
                <c:pt idx="4634">
                  <c:v>0.18554000000000001</c:v>
                </c:pt>
                <c:pt idx="4635">
                  <c:v>0.18557999999999999</c:v>
                </c:pt>
                <c:pt idx="4636">
                  <c:v>0.18562000000000001</c:v>
                </c:pt>
                <c:pt idx="4637">
                  <c:v>0.18565999999999999</c:v>
                </c:pt>
                <c:pt idx="4638">
                  <c:v>0.1857</c:v>
                </c:pt>
                <c:pt idx="4639">
                  <c:v>0.18573999999999999</c:v>
                </c:pt>
                <c:pt idx="4640">
                  <c:v>0.18578</c:v>
                </c:pt>
                <c:pt idx="4641">
                  <c:v>0.18582000000000001</c:v>
                </c:pt>
                <c:pt idx="4642">
                  <c:v>0.18586</c:v>
                </c:pt>
                <c:pt idx="4643">
                  <c:v>0.18590000000000001</c:v>
                </c:pt>
                <c:pt idx="4644">
                  <c:v>0.18593999999999999</c:v>
                </c:pt>
                <c:pt idx="4645">
                  <c:v>0.18598000000000001</c:v>
                </c:pt>
                <c:pt idx="4646">
                  <c:v>0.18601999999999999</c:v>
                </c:pt>
                <c:pt idx="4647">
                  <c:v>0.18606</c:v>
                </c:pt>
                <c:pt idx="4648">
                  <c:v>0.18609999999999999</c:v>
                </c:pt>
                <c:pt idx="4649">
                  <c:v>0.18614</c:v>
                </c:pt>
                <c:pt idx="4650">
                  <c:v>0.18618000000000001</c:v>
                </c:pt>
                <c:pt idx="4651">
                  <c:v>0.18622</c:v>
                </c:pt>
                <c:pt idx="4652">
                  <c:v>0.18626000000000001</c:v>
                </c:pt>
                <c:pt idx="4653">
                  <c:v>0.18629999999999999</c:v>
                </c:pt>
                <c:pt idx="4654">
                  <c:v>0.18634000000000001</c:v>
                </c:pt>
                <c:pt idx="4655">
                  <c:v>0.18637999999999999</c:v>
                </c:pt>
                <c:pt idx="4656">
                  <c:v>0.18642</c:v>
                </c:pt>
                <c:pt idx="4657">
                  <c:v>0.18645999999999999</c:v>
                </c:pt>
                <c:pt idx="4658">
                  <c:v>0.1865</c:v>
                </c:pt>
                <c:pt idx="4659">
                  <c:v>0.18654000000000001</c:v>
                </c:pt>
                <c:pt idx="4660">
                  <c:v>0.18658</c:v>
                </c:pt>
                <c:pt idx="4661">
                  <c:v>0.18662000000000001</c:v>
                </c:pt>
                <c:pt idx="4662">
                  <c:v>0.18665999999999999</c:v>
                </c:pt>
                <c:pt idx="4663">
                  <c:v>0.1867</c:v>
                </c:pt>
                <c:pt idx="4664">
                  <c:v>0.18673999999999999</c:v>
                </c:pt>
                <c:pt idx="4665">
                  <c:v>0.18678</c:v>
                </c:pt>
                <c:pt idx="4666">
                  <c:v>0.18682000000000001</c:v>
                </c:pt>
                <c:pt idx="4667">
                  <c:v>0.18686</c:v>
                </c:pt>
                <c:pt idx="4668">
                  <c:v>0.18690000000000001</c:v>
                </c:pt>
                <c:pt idx="4669">
                  <c:v>0.18694</c:v>
                </c:pt>
                <c:pt idx="4670">
                  <c:v>0.18698000000000001</c:v>
                </c:pt>
                <c:pt idx="4671">
                  <c:v>0.18701999999999999</c:v>
                </c:pt>
                <c:pt idx="4672">
                  <c:v>0.18706</c:v>
                </c:pt>
                <c:pt idx="4673">
                  <c:v>0.18709999999999999</c:v>
                </c:pt>
                <c:pt idx="4674">
                  <c:v>0.18714</c:v>
                </c:pt>
                <c:pt idx="4675">
                  <c:v>0.18718000000000001</c:v>
                </c:pt>
                <c:pt idx="4676">
                  <c:v>0.18722</c:v>
                </c:pt>
                <c:pt idx="4677">
                  <c:v>0.18726000000000001</c:v>
                </c:pt>
                <c:pt idx="4678">
                  <c:v>0.18729999999999999</c:v>
                </c:pt>
                <c:pt idx="4679">
                  <c:v>0.18734000000000001</c:v>
                </c:pt>
                <c:pt idx="4680">
                  <c:v>0.18737999999999999</c:v>
                </c:pt>
                <c:pt idx="4681">
                  <c:v>0.18742</c:v>
                </c:pt>
                <c:pt idx="4682">
                  <c:v>0.18745999999999999</c:v>
                </c:pt>
                <c:pt idx="4683">
                  <c:v>0.1875</c:v>
                </c:pt>
                <c:pt idx="4684">
                  <c:v>0.18754000000000001</c:v>
                </c:pt>
                <c:pt idx="4685">
                  <c:v>0.18758</c:v>
                </c:pt>
                <c:pt idx="4686">
                  <c:v>0.18762000000000001</c:v>
                </c:pt>
                <c:pt idx="4687">
                  <c:v>0.18765999999999999</c:v>
                </c:pt>
                <c:pt idx="4688">
                  <c:v>0.18770000000000001</c:v>
                </c:pt>
                <c:pt idx="4689">
                  <c:v>0.18773999999999999</c:v>
                </c:pt>
                <c:pt idx="4690">
                  <c:v>0.18778</c:v>
                </c:pt>
                <c:pt idx="4691">
                  <c:v>0.18781999999999999</c:v>
                </c:pt>
                <c:pt idx="4692">
                  <c:v>0.18786</c:v>
                </c:pt>
                <c:pt idx="4693">
                  <c:v>0.18790000000000001</c:v>
                </c:pt>
                <c:pt idx="4694">
                  <c:v>0.18794</c:v>
                </c:pt>
                <c:pt idx="4695">
                  <c:v>0.18798000000000001</c:v>
                </c:pt>
                <c:pt idx="4696">
                  <c:v>0.18801999999999999</c:v>
                </c:pt>
                <c:pt idx="4697">
                  <c:v>0.18806</c:v>
                </c:pt>
                <c:pt idx="4698">
                  <c:v>0.18809999999999999</c:v>
                </c:pt>
                <c:pt idx="4699">
                  <c:v>0.18814</c:v>
                </c:pt>
                <c:pt idx="4700">
                  <c:v>0.18817999999999999</c:v>
                </c:pt>
                <c:pt idx="4701">
                  <c:v>0.18822</c:v>
                </c:pt>
                <c:pt idx="4702">
                  <c:v>0.18826000000000001</c:v>
                </c:pt>
                <c:pt idx="4703">
                  <c:v>0.1883</c:v>
                </c:pt>
                <c:pt idx="4704">
                  <c:v>0.18834000000000001</c:v>
                </c:pt>
                <c:pt idx="4705">
                  <c:v>0.18837999999999999</c:v>
                </c:pt>
              </c:numCache>
            </c:numRef>
          </c:xVal>
          <c:yVal>
            <c:numRef>
              <c:f>'[1]Base Node Reaction'!$J$4:$J$5460</c:f>
              <c:numCache>
                <c:formatCode>General</c:formatCode>
                <c:ptCount val="5457"/>
                <c:pt idx="0">
                  <c:v>-2.2868750000000002</c:v>
                </c:pt>
                <c:pt idx="1">
                  <c:v>-4.5735680000000016</c:v>
                </c:pt>
                <c:pt idx="2">
                  <c:v>-6.8603575000000001</c:v>
                </c:pt>
                <c:pt idx="3">
                  <c:v>-9.147037000000001</c:v>
                </c:pt>
                <c:pt idx="4">
                  <c:v>-11.406984000000001</c:v>
                </c:pt>
                <c:pt idx="5">
                  <c:v>-13.651620000000001</c:v>
                </c:pt>
                <c:pt idx="6">
                  <c:v>-15.89617</c:v>
                </c:pt>
                <c:pt idx="7">
                  <c:v>-18.140819</c:v>
                </c:pt>
                <c:pt idx="8">
                  <c:v>-20.385548999999997</c:v>
                </c:pt>
                <c:pt idx="9">
                  <c:v>-22.6300907</c:v>
                </c:pt>
                <c:pt idx="10">
                  <c:v>-24.874774000000002</c:v>
                </c:pt>
                <c:pt idx="11">
                  <c:v>-27.119339</c:v>
                </c:pt>
                <c:pt idx="12">
                  <c:v>-29.364039999999999</c:v>
                </c:pt>
                <c:pt idx="13">
                  <c:v>-31.608629999999998</c:v>
                </c:pt>
                <c:pt idx="14">
                  <c:v>-33.853269999999995</c:v>
                </c:pt>
                <c:pt idx="15">
                  <c:v>-36.097920000000002</c:v>
                </c:pt>
                <c:pt idx="16">
                  <c:v>-38.342569999999995</c:v>
                </c:pt>
                <c:pt idx="17">
                  <c:v>-40.587130000000002</c:v>
                </c:pt>
                <c:pt idx="18">
                  <c:v>-42.831800000000001</c:v>
                </c:pt>
                <c:pt idx="19">
                  <c:v>-45.076390000000004</c:v>
                </c:pt>
                <c:pt idx="20">
                  <c:v>-47.321080000000002</c:v>
                </c:pt>
                <c:pt idx="21">
                  <c:v>-49.543689999999998</c:v>
                </c:pt>
                <c:pt idx="22">
                  <c:v>-51.739930000000001</c:v>
                </c:pt>
                <c:pt idx="23">
                  <c:v>-53.936059999999998</c:v>
                </c:pt>
                <c:pt idx="24">
                  <c:v>-56.132219999999997</c:v>
                </c:pt>
                <c:pt idx="25">
                  <c:v>-58.328270000000003</c:v>
                </c:pt>
                <c:pt idx="26">
                  <c:v>-60.524430000000002</c:v>
                </c:pt>
                <c:pt idx="27">
                  <c:v>-62.720649999999999</c:v>
                </c:pt>
                <c:pt idx="28">
                  <c:v>-64.916780000000003</c:v>
                </c:pt>
                <c:pt idx="29">
                  <c:v>-67.105670000000003</c:v>
                </c:pt>
                <c:pt idx="30">
                  <c:v>-69.261079999999993</c:v>
                </c:pt>
                <c:pt idx="31">
                  <c:v>-71.416409999999985</c:v>
                </c:pt>
                <c:pt idx="32">
                  <c:v>-73.571740000000005</c:v>
                </c:pt>
                <c:pt idx="33">
                  <c:v>-75.726990000000001</c:v>
                </c:pt>
                <c:pt idx="34">
                  <c:v>-77.882319999999993</c:v>
                </c:pt>
                <c:pt idx="35">
                  <c:v>-80.037630000000007</c:v>
                </c:pt>
                <c:pt idx="36">
                  <c:v>-82.192840000000004</c:v>
                </c:pt>
                <c:pt idx="37">
                  <c:v>-84.34826000000001</c:v>
                </c:pt>
                <c:pt idx="38">
                  <c:v>-86.466039999999992</c:v>
                </c:pt>
                <c:pt idx="39">
                  <c:v>-88.572890000000001</c:v>
                </c:pt>
                <c:pt idx="40">
                  <c:v>-90.679637</c:v>
                </c:pt>
                <c:pt idx="41">
                  <c:v>-92.760336999999993</c:v>
                </c:pt>
                <c:pt idx="42">
                  <c:v>-94.783670999999998</c:v>
                </c:pt>
                <c:pt idx="43">
                  <c:v>-96.766547000000003</c:v>
                </c:pt>
                <c:pt idx="44">
                  <c:v>-98.749431000000001</c:v>
                </c:pt>
                <c:pt idx="45">
                  <c:v>-100.723124</c:v>
                </c:pt>
                <c:pt idx="46">
                  <c:v>-102.589477</c:v>
                </c:pt>
                <c:pt idx="47">
                  <c:v>-104.43370300000001</c:v>
                </c:pt>
                <c:pt idx="48">
                  <c:v>-106.27803999999999</c:v>
                </c:pt>
                <c:pt idx="49">
                  <c:v>-108.12248</c:v>
                </c:pt>
                <c:pt idx="50">
                  <c:v>-109.91558000000001</c:v>
                </c:pt>
                <c:pt idx="51">
                  <c:v>-111.62975</c:v>
                </c:pt>
                <c:pt idx="52">
                  <c:v>-113.34392</c:v>
                </c:pt>
                <c:pt idx="53">
                  <c:v>-115.05808999999999</c:v>
                </c:pt>
                <c:pt idx="54">
                  <c:v>-116.77208</c:v>
                </c:pt>
                <c:pt idx="55">
                  <c:v>-118.48647</c:v>
                </c:pt>
                <c:pt idx="56">
                  <c:v>-120.20057</c:v>
                </c:pt>
                <c:pt idx="57">
                  <c:v>-121.91467</c:v>
                </c:pt>
                <c:pt idx="58">
                  <c:v>-123.62888999999998</c:v>
                </c:pt>
                <c:pt idx="59">
                  <c:v>-125.34291</c:v>
                </c:pt>
                <c:pt idx="60">
                  <c:v>-127.02319</c:v>
                </c:pt>
                <c:pt idx="61">
                  <c:v>-128.67166999999998</c:v>
                </c:pt>
                <c:pt idx="62">
                  <c:v>-130.32005000000001</c:v>
                </c:pt>
                <c:pt idx="63">
                  <c:v>-131.96843999999999</c:v>
                </c:pt>
                <c:pt idx="64">
                  <c:v>-133.56934000000001</c:v>
                </c:pt>
                <c:pt idx="65">
                  <c:v>-135.16884000000002</c:v>
                </c:pt>
                <c:pt idx="66">
                  <c:v>-136.76824999999999</c:v>
                </c:pt>
                <c:pt idx="67">
                  <c:v>-138.36757</c:v>
                </c:pt>
                <c:pt idx="68">
                  <c:v>-139.96708999999998</c:v>
                </c:pt>
                <c:pt idx="69">
                  <c:v>-141.56650999999999</c:v>
                </c:pt>
                <c:pt idx="70">
                  <c:v>-143.16594000000001</c:v>
                </c:pt>
                <c:pt idx="71">
                  <c:v>-144.76548</c:v>
                </c:pt>
                <c:pt idx="72">
                  <c:v>-146.36491999999998</c:v>
                </c:pt>
                <c:pt idx="73">
                  <c:v>-147.96436</c:v>
                </c:pt>
                <c:pt idx="74">
                  <c:v>-149.56380999999999</c:v>
                </c:pt>
                <c:pt idx="75">
                  <c:v>-151.16317000000001</c:v>
                </c:pt>
                <c:pt idx="76">
                  <c:v>-152.76272999999998</c:v>
                </c:pt>
                <c:pt idx="77">
                  <c:v>-154.36208999999999</c:v>
                </c:pt>
                <c:pt idx="78">
                  <c:v>-155.96176</c:v>
                </c:pt>
                <c:pt idx="79">
                  <c:v>-157.56113999999999</c:v>
                </c:pt>
                <c:pt idx="80">
                  <c:v>-159.16072</c:v>
                </c:pt>
                <c:pt idx="81">
                  <c:v>-160.76</c:v>
                </c:pt>
                <c:pt idx="82">
                  <c:v>-162.35959</c:v>
                </c:pt>
                <c:pt idx="83">
                  <c:v>-163.95898</c:v>
                </c:pt>
                <c:pt idx="84">
                  <c:v>-165.55848</c:v>
                </c:pt>
                <c:pt idx="85">
                  <c:v>-167.15798999999998</c:v>
                </c:pt>
                <c:pt idx="86">
                  <c:v>-168.75739999999999</c:v>
                </c:pt>
                <c:pt idx="87">
                  <c:v>-170.35691</c:v>
                </c:pt>
                <c:pt idx="88">
                  <c:v>-171.95643000000001</c:v>
                </c:pt>
                <c:pt idx="89">
                  <c:v>-173.55596</c:v>
                </c:pt>
                <c:pt idx="90">
                  <c:v>-175.15528</c:v>
                </c:pt>
                <c:pt idx="91">
                  <c:v>-176.75492000000003</c:v>
                </c:pt>
                <c:pt idx="92">
                  <c:v>-178.33101000000002</c:v>
                </c:pt>
                <c:pt idx="93">
                  <c:v>-179.87299000000002</c:v>
                </c:pt>
                <c:pt idx="94">
                  <c:v>-181.41498000000001</c:v>
                </c:pt>
                <c:pt idx="95">
                  <c:v>-182.95677000000001</c:v>
                </c:pt>
                <c:pt idx="96">
                  <c:v>-184.49885999999998</c:v>
                </c:pt>
                <c:pt idx="97">
                  <c:v>-186.04075999999998</c:v>
                </c:pt>
                <c:pt idx="98">
                  <c:v>-187.55826000000002</c:v>
                </c:pt>
                <c:pt idx="99">
                  <c:v>-189.05107999999998</c:v>
                </c:pt>
                <c:pt idx="100">
                  <c:v>-190.5318</c:v>
                </c:pt>
                <c:pt idx="101">
                  <c:v>-192.01233000000002</c:v>
                </c:pt>
                <c:pt idx="102">
                  <c:v>-193.48625999999999</c:v>
                </c:pt>
                <c:pt idx="103">
                  <c:v>-194.94709</c:v>
                </c:pt>
                <c:pt idx="104">
                  <c:v>-196.40803</c:v>
                </c:pt>
                <c:pt idx="105">
                  <c:v>-197.86887000000002</c:v>
                </c:pt>
                <c:pt idx="106">
                  <c:v>-199.32972000000001</c:v>
                </c:pt>
                <c:pt idx="107">
                  <c:v>-200.79047</c:v>
                </c:pt>
                <c:pt idx="108">
                  <c:v>-202.25020000000001</c:v>
                </c:pt>
                <c:pt idx="109">
                  <c:v>-203.70026000000001</c:v>
                </c:pt>
                <c:pt idx="110">
                  <c:v>-205.15042</c:v>
                </c:pt>
                <c:pt idx="111">
                  <c:v>-206.60039</c:v>
                </c:pt>
                <c:pt idx="112">
                  <c:v>-208.05066000000002</c:v>
                </c:pt>
                <c:pt idx="113">
                  <c:v>-209.50084000000001</c:v>
                </c:pt>
                <c:pt idx="114">
                  <c:v>-210.941</c:v>
                </c:pt>
                <c:pt idx="115">
                  <c:v>-212.3699</c:v>
                </c:pt>
                <c:pt idx="116">
                  <c:v>-213.79830999999999</c:v>
                </c:pt>
                <c:pt idx="117">
                  <c:v>-215.22692999999998</c:v>
                </c:pt>
                <c:pt idx="118">
                  <c:v>-216.65545000000003</c:v>
                </c:pt>
                <c:pt idx="119">
                  <c:v>-218.08418</c:v>
                </c:pt>
                <c:pt idx="120">
                  <c:v>-219.51271</c:v>
                </c:pt>
                <c:pt idx="121">
                  <c:v>-220.93978999999999</c:v>
                </c:pt>
                <c:pt idx="122">
                  <c:v>-222.34379999999999</c:v>
                </c:pt>
                <c:pt idx="123">
                  <c:v>-223.74791999999999</c:v>
                </c:pt>
                <c:pt idx="124">
                  <c:v>-225.15204</c:v>
                </c:pt>
                <c:pt idx="125">
                  <c:v>-226.54002999999997</c:v>
                </c:pt>
                <c:pt idx="126">
                  <c:v>-227.91684999999998</c:v>
                </c:pt>
                <c:pt idx="127">
                  <c:v>-229.29349000000002</c:v>
                </c:pt>
                <c:pt idx="128">
                  <c:v>-230.67022</c:v>
                </c:pt>
                <c:pt idx="129">
                  <c:v>-232.04696000000001</c:v>
                </c:pt>
                <c:pt idx="130">
                  <c:v>-233.41101</c:v>
                </c:pt>
                <c:pt idx="131">
                  <c:v>-234.75593000000001</c:v>
                </c:pt>
                <c:pt idx="132">
                  <c:v>-236.08557999999999</c:v>
                </c:pt>
                <c:pt idx="133">
                  <c:v>-237.41513</c:v>
                </c:pt>
                <c:pt idx="134">
                  <c:v>-238.74467999999996</c:v>
                </c:pt>
                <c:pt idx="135">
                  <c:v>-240.07434000000001</c:v>
                </c:pt>
                <c:pt idx="136">
                  <c:v>-241.404</c:v>
                </c:pt>
                <c:pt idx="137">
                  <c:v>-242.73356000000001</c:v>
                </c:pt>
                <c:pt idx="138">
                  <c:v>-244.06323000000003</c:v>
                </c:pt>
                <c:pt idx="139">
                  <c:v>-245.39279999999999</c:v>
                </c:pt>
                <c:pt idx="140">
                  <c:v>-246.72248000000002</c:v>
                </c:pt>
                <c:pt idx="141">
                  <c:v>-248.05206000000001</c:v>
                </c:pt>
                <c:pt idx="142">
                  <c:v>-249.38165000000001</c:v>
                </c:pt>
                <c:pt idx="143">
                  <c:v>-250.71133</c:v>
                </c:pt>
                <c:pt idx="144">
                  <c:v>-252.04103000000001</c:v>
                </c:pt>
                <c:pt idx="145">
                  <c:v>-253.37062</c:v>
                </c:pt>
                <c:pt idx="146">
                  <c:v>-254.70031999999998</c:v>
                </c:pt>
                <c:pt idx="147">
                  <c:v>-256.03003000000001</c:v>
                </c:pt>
                <c:pt idx="148">
                  <c:v>-257.35973000000001</c:v>
                </c:pt>
                <c:pt idx="149">
                  <c:v>-258.68934000000002</c:v>
                </c:pt>
                <c:pt idx="150">
                  <c:v>-260.01070000000004</c:v>
                </c:pt>
                <c:pt idx="151">
                  <c:v>-261.32686999999999</c:v>
                </c:pt>
                <c:pt idx="152">
                  <c:v>-262.64312999999999</c:v>
                </c:pt>
                <c:pt idx="153">
                  <c:v>-263.95931000000002</c:v>
                </c:pt>
                <c:pt idx="154">
                  <c:v>-265.27557999999999</c:v>
                </c:pt>
                <c:pt idx="155">
                  <c:v>-266.59176000000002</c:v>
                </c:pt>
                <c:pt idx="156">
                  <c:v>-267.89015999999998</c:v>
                </c:pt>
                <c:pt idx="157">
                  <c:v>-269.18651</c:v>
                </c:pt>
                <c:pt idx="158">
                  <c:v>-270.48276999999996</c:v>
                </c:pt>
                <c:pt idx="159">
                  <c:v>-271.77902999999998</c:v>
                </c:pt>
                <c:pt idx="160">
                  <c:v>-273.07529</c:v>
                </c:pt>
                <c:pt idx="161">
                  <c:v>-274.37165999999996</c:v>
                </c:pt>
                <c:pt idx="162">
                  <c:v>-275.66793000000001</c:v>
                </c:pt>
                <c:pt idx="163">
                  <c:v>-276.96420000000001</c:v>
                </c:pt>
                <c:pt idx="164">
                  <c:v>-278.26067999999998</c:v>
                </c:pt>
                <c:pt idx="165">
                  <c:v>-279.55696</c:v>
                </c:pt>
                <c:pt idx="166">
                  <c:v>-280.85315000000003</c:v>
                </c:pt>
                <c:pt idx="167">
                  <c:v>-282.14943999999997</c:v>
                </c:pt>
                <c:pt idx="168">
                  <c:v>-283.44572999999997</c:v>
                </c:pt>
                <c:pt idx="169">
                  <c:v>-284.74203</c:v>
                </c:pt>
                <c:pt idx="170">
                  <c:v>-286.03843000000001</c:v>
                </c:pt>
                <c:pt idx="171">
                  <c:v>-287.33483999999999</c:v>
                </c:pt>
                <c:pt idx="172">
                  <c:v>-288.63125000000002</c:v>
                </c:pt>
                <c:pt idx="173">
                  <c:v>-289.92755999999997</c:v>
                </c:pt>
                <c:pt idx="174">
                  <c:v>-291.22397999999998</c:v>
                </c:pt>
                <c:pt idx="175">
                  <c:v>-292.52019999999999</c:v>
                </c:pt>
                <c:pt idx="176">
                  <c:v>-293.81662</c:v>
                </c:pt>
                <c:pt idx="177">
                  <c:v>-295.11304999999999</c:v>
                </c:pt>
                <c:pt idx="178">
                  <c:v>-296.40938</c:v>
                </c:pt>
                <c:pt idx="179">
                  <c:v>-297.70571000000001</c:v>
                </c:pt>
                <c:pt idx="180">
                  <c:v>-299.00215000000003</c:v>
                </c:pt>
                <c:pt idx="181">
                  <c:v>-300.29850000000005</c:v>
                </c:pt>
                <c:pt idx="182">
                  <c:v>-301.59503999999998</c:v>
                </c:pt>
                <c:pt idx="183">
                  <c:v>-302.89129000000003</c:v>
                </c:pt>
                <c:pt idx="184">
                  <c:v>-304.18754999999999</c:v>
                </c:pt>
                <c:pt idx="185">
                  <c:v>-305.48410000000001</c:v>
                </c:pt>
                <c:pt idx="186">
                  <c:v>-306.78055999999998</c:v>
                </c:pt>
                <c:pt idx="187">
                  <c:v>-308.07693</c:v>
                </c:pt>
                <c:pt idx="188">
                  <c:v>-309.37329999999997</c:v>
                </c:pt>
                <c:pt idx="189">
                  <c:v>-310.66967</c:v>
                </c:pt>
                <c:pt idx="190">
                  <c:v>-311.96625</c:v>
                </c:pt>
                <c:pt idx="191">
                  <c:v>-313.26445999999999</c:v>
                </c:pt>
                <c:pt idx="192">
                  <c:v>-314.56653</c:v>
                </c:pt>
                <c:pt idx="193">
                  <c:v>-315.86840999999998</c:v>
                </c:pt>
                <c:pt idx="194">
                  <c:v>-317.17039</c:v>
                </c:pt>
                <c:pt idx="195">
                  <c:v>-318.47248000000002</c:v>
                </c:pt>
                <c:pt idx="196">
                  <c:v>-319.77447000000001</c:v>
                </c:pt>
                <c:pt idx="197">
                  <c:v>-321.07646</c:v>
                </c:pt>
                <c:pt idx="198">
                  <c:v>-322.37855999999999</c:v>
                </c:pt>
                <c:pt idx="199">
                  <c:v>-323.68065999999999</c:v>
                </c:pt>
                <c:pt idx="200">
                  <c:v>-324.98277000000002</c:v>
                </c:pt>
                <c:pt idx="201">
                  <c:v>-326.28487999999999</c:v>
                </c:pt>
                <c:pt idx="202">
                  <c:v>-327.58678999999995</c:v>
                </c:pt>
                <c:pt idx="203">
                  <c:v>-328.88880999999998</c:v>
                </c:pt>
                <c:pt idx="204">
                  <c:v>-330.19092999999998</c:v>
                </c:pt>
                <c:pt idx="205">
                  <c:v>-331.49304999999998</c:v>
                </c:pt>
                <c:pt idx="206">
                  <c:v>-332.79507999999998</c:v>
                </c:pt>
                <c:pt idx="207">
                  <c:v>-334.09721000000002</c:v>
                </c:pt>
                <c:pt idx="208">
                  <c:v>-335.40341999999998</c:v>
                </c:pt>
                <c:pt idx="209">
                  <c:v>-336.7133</c:v>
                </c:pt>
                <c:pt idx="210">
                  <c:v>-338.02306999999996</c:v>
                </c:pt>
                <c:pt idx="211">
                  <c:v>-339.33276000000001</c:v>
                </c:pt>
                <c:pt idx="212">
                  <c:v>-340.64254</c:v>
                </c:pt>
                <c:pt idx="213">
                  <c:v>-341.95232999999996</c:v>
                </c:pt>
                <c:pt idx="214">
                  <c:v>-343.26213000000001</c:v>
                </c:pt>
                <c:pt idx="215">
                  <c:v>-344.57193000000001</c:v>
                </c:pt>
                <c:pt idx="216">
                  <c:v>-345.88182999999998</c:v>
                </c:pt>
                <c:pt idx="217">
                  <c:v>-347.19174000000004</c:v>
                </c:pt>
                <c:pt idx="218">
                  <c:v>-348.50155000000001</c:v>
                </c:pt>
                <c:pt idx="219">
                  <c:v>-349.81146000000001</c:v>
                </c:pt>
                <c:pt idx="220">
                  <c:v>-351.12127999999996</c:v>
                </c:pt>
                <c:pt idx="221">
                  <c:v>-352.43110000000001</c:v>
                </c:pt>
                <c:pt idx="222">
                  <c:v>-353.74092999999999</c:v>
                </c:pt>
                <c:pt idx="223">
                  <c:v>-355.05074999999999</c:v>
                </c:pt>
                <c:pt idx="224">
                  <c:v>-356.36068999999998</c:v>
                </c:pt>
                <c:pt idx="225">
                  <c:v>-357.67052999999999</c:v>
                </c:pt>
                <c:pt idx="226">
                  <c:v>-358.98036999999999</c:v>
                </c:pt>
                <c:pt idx="227">
                  <c:v>-360.29021</c:v>
                </c:pt>
                <c:pt idx="228">
                  <c:v>-361.60025999999993</c:v>
                </c:pt>
                <c:pt idx="229">
                  <c:v>-362.91010999999997</c:v>
                </c:pt>
                <c:pt idx="230">
                  <c:v>-364.21987000000001</c:v>
                </c:pt>
                <c:pt idx="231">
                  <c:v>-365.52993000000004</c:v>
                </c:pt>
                <c:pt idx="232">
                  <c:v>-366.83970000000005</c:v>
                </c:pt>
                <c:pt idx="233">
                  <c:v>-368.14965999999998</c:v>
                </c:pt>
                <c:pt idx="234">
                  <c:v>-369.45954</c:v>
                </c:pt>
                <c:pt idx="235">
                  <c:v>-370.76950999999997</c:v>
                </c:pt>
                <c:pt idx="236">
                  <c:v>-372.07938999999999</c:v>
                </c:pt>
                <c:pt idx="237">
                  <c:v>-373.38918000000001</c:v>
                </c:pt>
                <c:pt idx="238">
                  <c:v>-374.69735000000003</c:v>
                </c:pt>
                <c:pt idx="239">
                  <c:v>-376.00423999999998</c:v>
                </c:pt>
                <c:pt idx="240">
                  <c:v>-377.31113000000005</c:v>
                </c:pt>
                <c:pt idx="241">
                  <c:v>-378.61813000000001</c:v>
                </c:pt>
                <c:pt idx="242">
                  <c:v>-379.92503999999997</c:v>
                </c:pt>
                <c:pt idx="243">
                  <c:v>-381.23203999999998</c:v>
                </c:pt>
                <c:pt idx="244">
                  <c:v>-382.53886</c:v>
                </c:pt>
                <c:pt idx="245">
                  <c:v>-383.84586999999999</c:v>
                </c:pt>
                <c:pt idx="246">
                  <c:v>-385.15289000000001</c:v>
                </c:pt>
                <c:pt idx="247">
                  <c:v>-386.45981000000006</c:v>
                </c:pt>
                <c:pt idx="248">
                  <c:v>-387.76683999999995</c:v>
                </c:pt>
                <c:pt idx="249">
                  <c:v>-389.07387</c:v>
                </c:pt>
                <c:pt idx="250">
                  <c:v>-390.38069999999993</c:v>
                </c:pt>
                <c:pt idx="251">
                  <c:v>-391.68763999999999</c:v>
                </c:pt>
                <c:pt idx="252">
                  <c:v>-392.99467999999996</c:v>
                </c:pt>
                <c:pt idx="253">
                  <c:v>-394.30162999999999</c:v>
                </c:pt>
                <c:pt idx="254">
                  <c:v>-395.60868000000005</c:v>
                </c:pt>
                <c:pt idx="255">
                  <c:v>-396.91582999999997</c:v>
                </c:pt>
                <c:pt idx="256">
                  <c:v>-398.22258999999997</c:v>
                </c:pt>
                <c:pt idx="257">
                  <c:v>-399.52965</c:v>
                </c:pt>
                <c:pt idx="258">
                  <c:v>-400.83662000000004</c:v>
                </c:pt>
                <c:pt idx="259">
                  <c:v>-402.14368999999999</c:v>
                </c:pt>
                <c:pt idx="260">
                  <c:v>-403.45065999999997</c:v>
                </c:pt>
                <c:pt idx="261">
                  <c:v>-404.75783999999999</c:v>
                </c:pt>
                <c:pt idx="262">
                  <c:v>-406.06481999999994</c:v>
                </c:pt>
                <c:pt idx="263">
                  <c:v>-407.37180999999998</c:v>
                </c:pt>
                <c:pt idx="264">
                  <c:v>-408.67879999999997</c:v>
                </c:pt>
                <c:pt idx="265">
                  <c:v>-409.98549000000003</c:v>
                </c:pt>
                <c:pt idx="266">
                  <c:v>-411.29328999999996</c:v>
                </c:pt>
                <c:pt idx="267">
                  <c:v>-412.60019</c:v>
                </c:pt>
                <c:pt idx="268">
                  <c:v>-413.90708999999998</c:v>
                </c:pt>
                <c:pt idx="269">
                  <c:v>-415.21390000000002</c:v>
                </c:pt>
                <c:pt idx="270">
                  <c:v>-416.52071999999998</c:v>
                </c:pt>
                <c:pt idx="271">
                  <c:v>-417.82822999999996</c:v>
                </c:pt>
                <c:pt idx="272">
                  <c:v>-419.13545000000005</c:v>
                </c:pt>
                <c:pt idx="273">
                  <c:v>-420.44187999999997</c:v>
                </c:pt>
                <c:pt idx="274">
                  <c:v>-421.74901</c:v>
                </c:pt>
                <c:pt idx="275">
                  <c:v>-423.05723999999998</c:v>
                </c:pt>
                <c:pt idx="276">
                  <c:v>-424.36347999999992</c:v>
                </c:pt>
                <c:pt idx="277">
                  <c:v>-425.67072000000002</c:v>
                </c:pt>
                <c:pt idx="278">
                  <c:v>-426.97796</c:v>
                </c:pt>
                <c:pt idx="279">
                  <c:v>-428.28531000000004</c:v>
                </c:pt>
                <c:pt idx="280">
                  <c:v>-429.59255999999999</c:v>
                </c:pt>
                <c:pt idx="281">
                  <c:v>-430.89882</c:v>
                </c:pt>
                <c:pt idx="282">
                  <c:v>-432.20608000000004</c:v>
                </c:pt>
                <c:pt idx="283">
                  <c:v>-433.51334000000008</c:v>
                </c:pt>
                <c:pt idx="284">
                  <c:v>-434.82080999999999</c:v>
                </c:pt>
                <c:pt idx="285">
                  <c:v>-436.12798000000004</c:v>
                </c:pt>
                <c:pt idx="286">
                  <c:v>-437.43436000000003</c:v>
                </c:pt>
                <c:pt idx="287">
                  <c:v>-438.74164000000002</c:v>
                </c:pt>
                <c:pt idx="288">
                  <c:v>-440.04982000000001</c:v>
                </c:pt>
                <c:pt idx="289">
                  <c:v>-441.35651000000007</c:v>
                </c:pt>
                <c:pt idx="290">
                  <c:v>-442.66319999999996</c:v>
                </c:pt>
                <c:pt idx="291">
                  <c:v>-443.96988999999996</c:v>
                </c:pt>
                <c:pt idx="292">
                  <c:v>-445.27848999999998</c:v>
                </c:pt>
                <c:pt idx="293">
                  <c:v>-446.58420000000001</c:v>
                </c:pt>
                <c:pt idx="294">
                  <c:v>-447.89189999999996</c:v>
                </c:pt>
                <c:pt idx="295">
                  <c:v>-449.19970999999998</c:v>
                </c:pt>
                <c:pt idx="296">
                  <c:v>-450.50733000000002</c:v>
                </c:pt>
                <c:pt idx="297">
                  <c:v>-451.81404999999995</c:v>
                </c:pt>
                <c:pt idx="298">
                  <c:v>-453.12076999999999</c:v>
                </c:pt>
                <c:pt idx="299">
                  <c:v>-454.42849999999999</c:v>
                </c:pt>
                <c:pt idx="300">
                  <c:v>-455.73523</c:v>
                </c:pt>
                <c:pt idx="301">
                  <c:v>-457.04295999999999</c:v>
                </c:pt>
                <c:pt idx="302">
                  <c:v>-458.34969999999998</c:v>
                </c:pt>
                <c:pt idx="303">
                  <c:v>-459.65644000000009</c:v>
                </c:pt>
                <c:pt idx="304">
                  <c:v>-460.96409</c:v>
                </c:pt>
                <c:pt idx="305">
                  <c:v>-462.27194000000003</c:v>
                </c:pt>
                <c:pt idx="306">
                  <c:v>-463.57868999999999</c:v>
                </c:pt>
                <c:pt idx="307">
                  <c:v>-464.88544999999999</c:v>
                </c:pt>
                <c:pt idx="308">
                  <c:v>-466.19421</c:v>
                </c:pt>
                <c:pt idx="309">
                  <c:v>-467.49997999999994</c:v>
                </c:pt>
                <c:pt idx="310">
                  <c:v>-468.80775000000006</c:v>
                </c:pt>
                <c:pt idx="311">
                  <c:v>-470.11451999999997</c:v>
                </c:pt>
                <c:pt idx="312">
                  <c:v>-471.42329999999998</c:v>
                </c:pt>
                <c:pt idx="313">
                  <c:v>-472.72908000000001</c:v>
                </c:pt>
                <c:pt idx="314">
                  <c:v>-474.03687000000002</c:v>
                </c:pt>
                <c:pt idx="315">
                  <c:v>-475.34375999999997</c:v>
                </c:pt>
                <c:pt idx="316">
                  <c:v>-476.65145000000007</c:v>
                </c:pt>
                <c:pt idx="317">
                  <c:v>-477.95825000000002</c:v>
                </c:pt>
                <c:pt idx="318">
                  <c:v>-479.26604999999995</c:v>
                </c:pt>
                <c:pt idx="319">
                  <c:v>-480.57395000000002</c:v>
                </c:pt>
                <c:pt idx="320">
                  <c:v>-481.88075999999995</c:v>
                </c:pt>
                <c:pt idx="321">
                  <c:v>-483.18757000000005</c:v>
                </c:pt>
                <c:pt idx="322">
                  <c:v>-484.49539000000004</c:v>
                </c:pt>
                <c:pt idx="323">
                  <c:v>-485.80221000000006</c:v>
                </c:pt>
                <c:pt idx="324">
                  <c:v>-487.10904000000005</c:v>
                </c:pt>
                <c:pt idx="325">
                  <c:v>-488.41687000000002</c:v>
                </c:pt>
                <c:pt idx="326">
                  <c:v>-489.72370000000001</c:v>
                </c:pt>
                <c:pt idx="327">
                  <c:v>-491.03152999999998</c:v>
                </c:pt>
                <c:pt idx="328">
                  <c:v>-492.33837</c:v>
                </c:pt>
                <c:pt idx="329">
                  <c:v>-493.64632</c:v>
                </c:pt>
                <c:pt idx="330">
                  <c:v>-494.95416999999998</c:v>
                </c:pt>
                <c:pt idx="331">
                  <c:v>-496.26102000000003</c:v>
                </c:pt>
                <c:pt idx="332">
                  <c:v>-497.56788000000006</c:v>
                </c:pt>
                <c:pt idx="333">
                  <c:v>-498.87584000000004</c:v>
                </c:pt>
                <c:pt idx="334">
                  <c:v>-500.18369999999999</c:v>
                </c:pt>
                <c:pt idx="335">
                  <c:v>-501.48957000000001</c:v>
                </c:pt>
                <c:pt idx="336">
                  <c:v>-502.79744000000005</c:v>
                </c:pt>
                <c:pt idx="337">
                  <c:v>-504.10541000000001</c:v>
                </c:pt>
                <c:pt idx="338">
                  <c:v>-505.41328999999996</c:v>
                </c:pt>
                <c:pt idx="339">
                  <c:v>-506.71917999999999</c:v>
                </c:pt>
                <c:pt idx="340">
                  <c:v>-508.02705999999995</c:v>
                </c:pt>
                <c:pt idx="341">
                  <c:v>-509.33496000000002</c:v>
                </c:pt>
                <c:pt idx="342">
                  <c:v>-510.64194999999995</c:v>
                </c:pt>
                <c:pt idx="343">
                  <c:v>-511.94984999999997</c:v>
                </c:pt>
                <c:pt idx="344">
                  <c:v>-513.25675000000001</c:v>
                </c:pt>
                <c:pt idx="345">
                  <c:v>-514.56466</c:v>
                </c:pt>
                <c:pt idx="346">
                  <c:v>-515.87166999999999</c:v>
                </c:pt>
                <c:pt idx="347">
                  <c:v>-517.17958999999996</c:v>
                </c:pt>
                <c:pt idx="348">
                  <c:v>-518.48650000000009</c:v>
                </c:pt>
                <c:pt idx="349">
                  <c:v>-519.79342999999994</c:v>
                </c:pt>
                <c:pt idx="350">
                  <c:v>-521.10145</c:v>
                </c:pt>
                <c:pt idx="351">
                  <c:v>-522.40938000000006</c:v>
                </c:pt>
                <c:pt idx="352">
                  <c:v>-523.71632</c:v>
                </c:pt>
                <c:pt idx="353">
                  <c:v>-525.02326000000005</c:v>
                </c:pt>
                <c:pt idx="354">
                  <c:v>-526.33129999999994</c:v>
                </c:pt>
                <c:pt idx="355">
                  <c:v>-527.63824999999997</c:v>
                </c:pt>
                <c:pt idx="356">
                  <c:v>-528.94619999999998</c:v>
                </c:pt>
                <c:pt idx="357">
                  <c:v>-530.2541500000001</c:v>
                </c:pt>
                <c:pt idx="358">
                  <c:v>-531.56131000000005</c:v>
                </c:pt>
                <c:pt idx="359">
                  <c:v>-532.86827000000005</c:v>
                </c:pt>
                <c:pt idx="360">
                  <c:v>-534.17624000000001</c:v>
                </c:pt>
                <c:pt idx="361">
                  <c:v>-535.48420999999996</c:v>
                </c:pt>
                <c:pt idx="362">
                  <c:v>-536.79128000000003</c:v>
                </c:pt>
                <c:pt idx="363">
                  <c:v>-538.09726000000001</c:v>
                </c:pt>
                <c:pt idx="364">
                  <c:v>-539.40624000000003</c:v>
                </c:pt>
                <c:pt idx="365">
                  <c:v>-540.71321999999998</c:v>
                </c:pt>
                <c:pt idx="366">
                  <c:v>-542.02030999999999</c:v>
                </c:pt>
                <c:pt idx="367">
                  <c:v>-543.32941000000005</c:v>
                </c:pt>
                <c:pt idx="368">
                  <c:v>-544.6354</c:v>
                </c:pt>
                <c:pt idx="369">
                  <c:v>-545.94240000000002</c:v>
                </c:pt>
                <c:pt idx="370">
                  <c:v>-547.25150999999994</c:v>
                </c:pt>
                <c:pt idx="371">
                  <c:v>-548.55852000000004</c:v>
                </c:pt>
                <c:pt idx="372">
                  <c:v>-549.86553000000004</c:v>
                </c:pt>
                <c:pt idx="373">
                  <c:v>-551.17464999999993</c:v>
                </c:pt>
                <c:pt idx="374">
                  <c:v>-552.48077000000001</c:v>
                </c:pt>
                <c:pt idx="375">
                  <c:v>-553.78778999999997</c:v>
                </c:pt>
                <c:pt idx="376">
                  <c:v>-555.09681999999998</c:v>
                </c:pt>
                <c:pt idx="377">
                  <c:v>-556.40385000000003</c:v>
                </c:pt>
                <c:pt idx="378">
                  <c:v>-557.71109000000001</c:v>
                </c:pt>
                <c:pt idx="379">
                  <c:v>-559.01913000000013</c:v>
                </c:pt>
                <c:pt idx="380">
                  <c:v>-560.32718</c:v>
                </c:pt>
                <c:pt idx="381">
                  <c:v>-561.63322000000005</c:v>
                </c:pt>
                <c:pt idx="382">
                  <c:v>-562.94147999999996</c:v>
                </c:pt>
                <c:pt idx="383">
                  <c:v>-564.24953000000005</c:v>
                </c:pt>
                <c:pt idx="384">
                  <c:v>-565.55595000000005</c:v>
                </c:pt>
                <c:pt idx="385">
                  <c:v>-566.86156000000005</c:v>
                </c:pt>
                <c:pt idx="386">
                  <c:v>-568.16706999999997</c:v>
                </c:pt>
                <c:pt idx="387">
                  <c:v>-569.47468000000003</c:v>
                </c:pt>
                <c:pt idx="388">
                  <c:v>-570.78019999999992</c:v>
                </c:pt>
                <c:pt idx="389">
                  <c:v>-572.08681999999999</c:v>
                </c:pt>
                <c:pt idx="390">
                  <c:v>-573.39244999999994</c:v>
                </c:pt>
                <c:pt idx="391">
                  <c:v>-574.69898000000001</c:v>
                </c:pt>
                <c:pt idx="392">
                  <c:v>-576.00560999999993</c:v>
                </c:pt>
                <c:pt idx="393">
                  <c:v>-577.31115</c:v>
                </c:pt>
                <c:pt idx="394">
                  <c:v>-578.61779000000001</c:v>
                </c:pt>
                <c:pt idx="395">
                  <c:v>-579.92434000000003</c:v>
                </c:pt>
                <c:pt idx="396">
                  <c:v>-581.23108999999999</c:v>
                </c:pt>
                <c:pt idx="397">
                  <c:v>-582.53773999999999</c:v>
                </c:pt>
                <c:pt idx="398">
                  <c:v>-583.84230000000002</c:v>
                </c:pt>
                <c:pt idx="399">
                  <c:v>-585.14895999999999</c:v>
                </c:pt>
                <c:pt idx="400">
                  <c:v>-586.45561999999995</c:v>
                </c:pt>
                <c:pt idx="401">
                  <c:v>-587.76219000000003</c:v>
                </c:pt>
                <c:pt idx="402">
                  <c:v>-589.06815000000006</c:v>
                </c:pt>
                <c:pt idx="403">
                  <c:v>-590.37167999999997</c:v>
                </c:pt>
                <c:pt idx="404">
                  <c:v>-591.67511999999999</c:v>
                </c:pt>
                <c:pt idx="405">
                  <c:v>-592.97956999999997</c:v>
                </c:pt>
                <c:pt idx="406">
                  <c:v>-594.28102000000001</c:v>
                </c:pt>
                <c:pt idx="407">
                  <c:v>-595.58556999999996</c:v>
                </c:pt>
                <c:pt idx="408">
                  <c:v>-596.88903000000005</c:v>
                </c:pt>
                <c:pt idx="409">
                  <c:v>-598.19248999999991</c:v>
                </c:pt>
                <c:pt idx="410">
                  <c:v>-599.49605999999994</c:v>
                </c:pt>
                <c:pt idx="411">
                  <c:v>-600.79953</c:v>
                </c:pt>
                <c:pt idx="412">
                  <c:v>-602.10299999999995</c:v>
                </c:pt>
                <c:pt idx="413">
                  <c:v>-603.40660000000003</c:v>
                </c:pt>
                <c:pt idx="414">
                  <c:v>-604.7111000000001</c:v>
                </c:pt>
                <c:pt idx="415">
                  <c:v>-606.01350000000002</c:v>
                </c:pt>
                <c:pt idx="416">
                  <c:v>-607.31799999999998</c:v>
                </c:pt>
                <c:pt idx="417">
                  <c:v>-608.62160000000006</c:v>
                </c:pt>
                <c:pt idx="418">
                  <c:v>-609.92420000000004</c:v>
                </c:pt>
                <c:pt idx="419">
                  <c:v>-611.22760000000005</c:v>
                </c:pt>
                <c:pt idx="420">
                  <c:v>-612.5322000000001</c:v>
                </c:pt>
                <c:pt idx="421">
                  <c:v>-613.83469999999988</c:v>
                </c:pt>
                <c:pt idx="422">
                  <c:v>-615.13940000000002</c:v>
                </c:pt>
                <c:pt idx="423">
                  <c:v>-616.44299999999998</c:v>
                </c:pt>
                <c:pt idx="424">
                  <c:v>-617.74450000000002</c:v>
                </c:pt>
                <c:pt idx="425">
                  <c:v>-619.0447999999999</c:v>
                </c:pt>
                <c:pt idx="426">
                  <c:v>-620.34619999999995</c:v>
                </c:pt>
                <c:pt idx="427">
                  <c:v>-621.64760000000001</c:v>
                </c:pt>
                <c:pt idx="428">
                  <c:v>-622.94910000000004</c:v>
                </c:pt>
                <c:pt idx="429">
                  <c:v>-624.25139999999999</c:v>
                </c:pt>
                <c:pt idx="430">
                  <c:v>-625.55079999999998</c:v>
                </c:pt>
                <c:pt idx="431">
                  <c:v>-626.85230000000001</c:v>
                </c:pt>
                <c:pt idx="432">
                  <c:v>-628.15470000000005</c:v>
                </c:pt>
                <c:pt idx="433">
                  <c:v>-629.45619999999997</c:v>
                </c:pt>
                <c:pt idx="434">
                  <c:v>-630.75559999999996</c:v>
                </c:pt>
                <c:pt idx="435">
                  <c:v>-632.05709999999999</c:v>
                </c:pt>
                <c:pt idx="436">
                  <c:v>-633.35940000000005</c:v>
                </c:pt>
                <c:pt idx="437">
                  <c:v>-634.66090000000008</c:v>
                </c:pt>
                <c:pt idx="438">
                  <c:v>-635.96050000000002</c:v>
                </c:pt>
                <c:pt idx="439">
                  <c:v>-637.26279999999997</c:v>
                </c:pt>
                <c:pt idx="440">
                  <c:v>-638.5643</c:v>
                </c:pt>
                <c:pt idx="441">
                  <c:v>-639.86480000000006</c:v>
                </c:pt>
                <c:pt idx="442">
                  <c:v>-641.16629999999998</c:v>
                </c:pt>
                <c:pt idx="443">
                  <c:v>-642.46769999999992</c:v>
                </c:pt>
                <c:pt idx="444">
                  <c:v>-643.76909999999998</c:v>
                </c:pt>
                <c:pt idx="445">
                  <c:v>-645.07069999999999</c:v>
                </c:pt>
                <c:pt idx="446">
                  <c:v>-646.37220000000002</c:v>
                </c:pt>
                <c:pt idx="447">
                  <c:v>-647.67259999999999</c:v>
                </c:pt>
                <c:pt idx="448">
                  <c:v>-648.9742</c:v>
                </c:pt>
                <c:pt idx="449">
                  <c:v>-650.27579999999989</c:v>
                </c:pt>
                <c:pt idx="450">
                  <c:v>-651.57719999999995</c:v>
                </c:pt>
                <c:pt idx="451">
                  <c:v>-652.8777</c:v>
                </c:pt>
                <c:pt idx="452">
                  <c:v>-654.17930000000001</c:v>
                </c:pt>
                <c:pt idx="453">
                  <c:v>-655.48080000000004</c:v>
                </c:pt>
                <c:pt idx="454">
                  <c:v>-656.78330000000005</c:v>
                </c:pt>
                <c:pt idx="455">
                  <c:v>-658.08389999999997</c:v>
                </c:pt>
                <c:pt idx="456">
                  <c:v>-659.38440000000003</c:v>
                </c:pt>
                <c:pt idx="457">
                  <c:v>-660.68689999999992</c:v>
                </c:pt>
                <c:pt idx="458">
                  <c:v>-661.98749999999995</c:v>
                </c:pt>
                <c:pt idx="459">
                  <c:v>-663.29009999999994</c:v>
                </c:pt>
                <c:pt idx="460">
                  <c:v>-664.59159999999997</c:v>
                </c:pt>
                <c:pt idx="461">
                  <c:v>-665.89110000000005</c:v>
                </c:pt>
                <c:pt idx="462">
                  <c:v>-667.19380000000001</c:v>
                </c:pt>
                <c:pt idx="463">
                  <c:v>-668.49530000000004</c:v>
                </c:pt>
                <c:pt idx="464">
                  <c:v>-669.79590000000007</c:v>
                </c:pt>
                <c:pt idx="465">
                  <c:v>-671.09750000000008</c:v>
                </c:pt>
                <c:pt idx="466">
                  <c:v>-672.3981</c:v>
                </c:pt>
                <c:pt idx="467">
                  <c:v>-673.70060000000001</c:v>
                </c:pt>
                <c:pt idx="468">
                  <c:v>-675.00229999999999</c:v>
                </c:pt>
                <c:pt idx="469">
                  <c:v>-676.30290000000002</c:v>
                </c:pt>
                <c:pt idx="470">
                  <c:v>-677.60450000000003</c:v>
                </c:pt>
                <c:pt idx="471">
                  <c:v>-678.90609999999992</c:v>
                </c:pt>
                <c:pt idx="472">
                  <c:v>-680.20670000000007</c:v>
                </c:pt>
                <c:pt idx="473">
                  <c:v>-681.50929999999994</c:v>
                </c:pt>
                <c:pt idx="474">
                  <c:v>-682.81000000000006</c:v>
                </c:pt>
                <c:pt idx="475">
                  <c:v>-684.11159999999995</c:v>
                </c:pt>
                <c:pt idx="476">
                  <c:v>-685.41330000000005</c:v>
                </c:pt>
                <c:pt idx="477">
                  <c:v>-686.71389999999997</c:v>
                </c:pt>
                <c:pt idx="478">
                  <c:v>-688.01479999999992</c:v>
                </c:pt>
                <c:pt idx="479">
                  <c:v>-689.31470000000013</c:v>
                </c:pt>
                <c:pt idx="480">
                  <c:v>-690.61559999999997</c:v>
                </c:pt>
                <c:pt idx="481">
                  <c:v>-691.91539999999998</c:v>
                </c:pt>
                <c:pt idx="482">
                  <c:v>-693.21519999999987</c:v>
                </c:pt>
                <c:pt idx="483">
                  <c:v>-694.51610000000005</c:v>
                </c:pt>
                <c:pt idx="484">
                  <c:v>-695.81590000000006</c:v>
                </c:pt>
                <c:pt idx="485">
                  <c:v>-697.11680000000001</c:v>
                </c:pt>
                <c:pt idx="486">
                  <c:v>-698.41669999999999</c:v>
                </c:pt>
                <c:pt idx="487">
                  <c:v>-699.71659999999997</c:v>
                </c:pt>
                <c:pt idx="488">
                  <c:v>-701.01850000000002</c:v>
                </c:pt>
                <c:pt idx="489">
                  <c:v>-702.31740000000002</c:v>
                </c:pt>
                <c:pt idx="490">
                  <c:v>-703.61829999999998</c:v>
                </c:pt>
                <c:pt idx="491">
                  <c:v>-704.91920000000005</c:v>
                </c:pt>
                <c:pt idx="492">
                  <c:v>-706.21910000000003</c:v>
                </c:pt>
                <c:pt idx="493">
                  <c:v>-707.52009999999996</c:v>
                </c:pt>
                <c:pt idx="494">
                  <c:v>-708.81889999999999</c:v>
                </c:pt>
                <c:pt idx="495">
                  <c:v>-710.12080000000014</c:v>
                </c:pt>
                <c:pt idx="496">
                  <c:v>-711.42070000000001</c:v>
                </c:pt>
                <c:pt idx="497">
                  <c:v>-712.72070000000008</c:v>
                </c:pt>
                <c:pt idx="498">
                  <c:v>-714.02060000000006</c:v>
                </c:pt>
                <c:pt idx="499">
                  <c:v>-715.32259999999997</c:v>
                </c:pt>
                <c:pt idx="500">
                  <c:v>-716.62249999999995</c:v>
                </c:pt>
                <c:pt idx="501">
                  <c:v>-717.92250000000001</c:v>
                </c:pt>
                <c:pt idx="502">
                  <c:v>-719.22239999999988</c:v>
                </c:pt>
                <c:pt idx="503">
                  <c:v>-720.52239999999995</c:v>
                </c:pt>
                <c:pt idx="504">
                  <c:v>-721.82439999999997</c:v>
                </c:pt>
                <c:pt idx="505">
                  <c:v>-723.12439999999992</c:v>
                </c:pt>
                <c:pt idx="506">
                  <c:v>-724.42420000000004</c:v>
                </c:pt>
                <c:pt idx="507">
                  <c:v>-725.72519999999986</c:v>
                </c:pt>
                <c:pt idx="508">
                  <c:v>-727.02419999999995</c:v>
                </c:pt>
                <c:pt idx="509">
                  <c:v>-728.32619999999997</c:v>
                </c:pt>
                <c:pt idx="510">
                  <c:v>-729.62619999999993</c:v>
                </c:pt>
                <c:pt idx="511">
                  <c:v>-730.92619999999999</c:v>
                </c:pt>
                <c:pt idx="512">
                  <c:v>-732.22720000000004</c:v>
                </c:pt>
                <c:pt idx="513">
                  <c:v>-733.52699999999993</c:v>
                </c:pt>
                <c:pt idx="514">
                  <c:v>-734.82580000000007</c:v>
                </c:pt>
                <c:pt idx="515">
                  <c:v>-736.1253999999999</c:v>
                </c:pt>
                <c:pt idx="516">
                  <c:v>-737.42520000000002</c:v>
                </c:pt>
                <c:pt idx="517">
                  <c:v>-738.72489999999993</c:v>
                </c:pt>
                <c:pt idx="518">
                  <c:v>-740.02480000000003</c:v>
                </c:pt>
                <c:pt idx="519">
                  <c:v>-741.32449999999994</c:v>
                </c:pt>
                <c:pt idx="520">
                  <c:v>-742.62419999999997</c:v>
                </c:pt>
                <c:pt idx="521">
                  <c:v>-743.92409999999995</c:v>
                </c:pt>
                <c:pt idx="522">
                  <c:v>-745.22280000000001</c:v>
                </c:pt>
                <c:pt idx="523">
                  <c:v>-746.52350000000001</c:v>
                </c:pt>
                <c:pt idx="524">
                  <c:v>-747.82240000000002</c:v>
                </c:pt>
                <c:pt idx="525">
                  <c:v>-749.12220000000002</c:v>
                </c:pt>
                <c:pt idx="526">
                  <c:v>-750.42190000000005</c:v>
                </c:pt>
                <c:pt idx="527">
                  <c:v>-751.72180000000003</c:v>
                </c:pt>
                <c:pt idx="528">
                  <c:v>-753.02160000000003</c:v>
                </c:pt>
                <c:pt idx="529">
                  <c:v>-754.32039999999995</c:v>
                </c:pt>
                <c:pt idx="530">
                  <c:v>-755.61920000000009</c:v>
                </c:pt>
                <c:pt idx="531">
                  <c:v>-756.92010000000005</c:v>
                </c:pt>
                <c:pt idx="532">
                  <c:v>-758.21890000000008</c:v>
                </c:pt>
                <c:pt idx="533">
                  <c:v>-759.51869999999997</c:v>
                </c:pt>
                <c:pt idx="534">
                  <c:v>-760.81860000000006</c:v>
                </c:pt>
                <c:pt idx="535">
                  <c:v>-762.11829999999998</c:v>
                </c:pt>
                <c:pt idx="536">
                  <c:v>-763.41800000000001</c:v>
                </c:pt>
                <c:pt idx="537">
                  <c:v>-764.71759999999995</c:v>
                </c:pt>
                <c:pt idx="538">
                  <c:v>-766.01790000000005</c:v>
                </c:pt>
                <c:pt idx="539">
                  <c:v>-767.31819999999993</c:v>
                </c:pt>
                <c:pt idx="540">
                  <c:v>-768.61650000000009</c:v>
                </c:pt>
                <c:pt idx="541">
                  <c:v>-769.91579999999999</c:v>
                </c:pt>
                <c:pt idx="542">
                  <c:v>-771.21489999999994</c:v>
                </c:pt>
                <c:pt idx="543">
                  <c:v>-772.51479999999992</c:v>
                </c:pt>
                <c:pt idx="544">
                  <c:v>-773.81169999999997</c:v>
                </c:pt>
                <c:pt idx="545">
                  <c:v>-775.11069999999995</c:v>
                </c:pt>
                <c:pt idx="546">
                  <c:v>-776.40959999999995</c:v>
                </c:pt>
                <c:pt idx="547">
                  <c:v>-777.70960000000002</c:v>
                </c:pt>
                <c:pt idx="548">
                  <c:v>-779.00649999999996</c:v>
                </c:pt>
                <c:pt idx="549">
                  <c:v>-780.30550000000005</c:v>
                </c:pt>
                <c:pt idx="550">
                  <c:v>-781.60449999999992</c:v>
                </c:pt>
                <c:pt idx="551">
                  <c:v>-782.90239999999994</c:v>
                </c:pt>
                <c:pt idx="552">
                  <c:v>-784.20339999999999</c:v>
                </c:pt>
                <c:pt idx="553">
                  <c:v>-785.50040000000001</c:v>
                </c:pt>
                <c:pt idx="554">
                  <c:v>-786.79840000000013</c:v>
                </c:pt>
                <c:pt idx="555">
                  <c:v>-788.09840000000008</c:v>
                </c:pt>
                <c:pt idx="556">
                  <c:v>-789.39629999999988</c:v>
                </c:pt>
                <c:pt idx="557">
                  <c:v>-790.6943</c:v>
                </c:pt>
                <c:pt idx="558">
                  <c:v>-791.99430000000007</c:v>
                </c:pt>
                <c:pt idx="559">
                  <c:v>-793.29230000000007</c:v>
                </c:pt>
                <c:pt idx="560">
                  <c:v>-794.59230000000002</c:v>
                </c:pt>
                <c:pt idx="561">
                  <c:v>-795.8913</c:v>
                </c:pt>
                <c:pt idx="562">
                  <c:v>-797.1884</c:v>
                </c:pt>
                <c:pt idx="563">
                  <c:v>-798.48739999999998</c:v>
                </c:pt>
                <c:pt idx="564">
                  <c:v>-799.78639999999996</c:v>
                </c:pt>
                <c:pt idx="565">
                  <c:v>-801.07100000000003</c:v>
                </c:pt>
                <c:pt idx="566">
                  <c:v>-802.34209999999996</c:v>
                </c:pt>
                <c:pt idx="567">
                  <c:v>-803.61320000000001</c:v>
                </c:pt>
                <c:pt idx="568">
                  <c:v>-804.88339999999994</c:v>
                </c:pt>
                <c:pt idx="569">
                  <c:v>-806.15550000000007</c:v>
                </c:pt>
                <c:pt idx="570">
                  <c:v>-807.42560000000003</c:v>
                </c:pt>
                <c:pt idx="571">
                  <c:v>-808.69780000000003</c:v>
                </c:pt>
                <c:pt idx="572">
                  <c:v>-809.96890000000008</c:v>
                </c:pt>
                <c:pt idx="573">
                  <c:v>-811.24009999999998</c:v>
                </c:pt>
                <c:pt idx="574">
                  <c:v>-812.51130000000001</c:v>
                </c:pt>
                <c:pt idx="575">
                  <c:v>-813.78340000000003</c:v>
                </c:pt>
                <c:pt idx="576">
                  <c:v>-815.05359999999996</c:v>
                </c:pt>
                <c:pt idx="577">
                  <c:v>-816.32579999999996</c:v>
                </c:pt>
                <c:pt idx="578">
                  <c:v>-817.59789999999998</c:v>
                </c:pt>
                <c:pt idx="579">
                  <c:v>-818.86709999999994</c:v>
                </c:pt>
                <c:pt idx="580">
                  <c:v>-820.13930000000005</c:v>
                </c:pt>
                <c:pt idx="581">
                  <c:v>-821.41049999999996</c:v>
                </c:pt>
                <c:pt idx="582">
                  <c:v>-822.68370000000004</c:v>
                </c:pt>
                <c:pt idx="583">
                  <c:v>-823.9529</c:v>
                </c:pt>
                <c:pt idx="584">
                  <c:v>-825.22509999999988</c:v>
                </c:pt>
                <c:pt idx="585">
                  <c:v>-826.49630000000002</c:v>
                </c:pt>
                <c:pt idx="586">
                  <c:v>-827.76649999999995</c:v>
                </c:pt>
                <c:pt idx="587">
                  <c:v>-829.03770000000009</c:v>
                </c:pt>
                <c:pt idx="588">
                  <c:v>-830.30989999999997</c:v>
                </c:pt>
                <c:pt idx="589">
                  <c:v>-831.58119999999997</c:v>
                </c:pt>
                <c:pt idx="590">
                  <c:v>-832.85140000000001</c:v>
                </c:pt>
                <c:pt idx="591">
                  <c:v>-834.12360000000001</c:v>
                </c:pt>
                <c:pt idx="592">
                  <c:v>-835.39379999999994</c:v>
                </c:pt>
                <c:pt idx="593">
                  <c:v>-836.6671</c:v>
                </c:pt>
                <c:pt idx="594">
                  <c:v>-837.93730000000005</c:v>
                </c:pt>
                <c:pt idx="595">
                  <c:v>-839.20960000000002</c:v>
                </c:pt>
                <c:pt idx="596">
                  <c:v>-840.47980000000007</c:v>
                </c:pt>
                <c:pt idx="597">
                  <c:v>-841.75109999999995</c:v>
                </c:pt>
                <c:pt idx="598">
                  <c:v>-843.02230000000009</c:v>
                </c:pt>
                <c:pt idx="599">
                  <c:v>-844.29459999999995</c:v>
                </c:pt>
                <c:pt idx="600">
                  <c:v>-845.56680000000006</c:v>
                </c:pt>
                <c:pt idx="601">
                  <c:v>-846.83609999999999</c:v>
                </c:pt>
                <c:pt idx="602">
                  <c:v>-848.10839999999996</c:v>
                </c:pt>
                <c:pt idx="603">
                  <c:v>-849.37970000000007</c:v>
                </c:pt>
                <c:pt idx="604">
                  <c:v>-850.65189999999996</c:v>
                </c:pt>
                <c:pt idx="605">
                  <c:v>-851.92219999999998</c:v>
                </c:pt>
                <c:pt idx="606">
                  <c:v>-853.17770000000007</c:v>
                </c:pt>
                <c:pt idx="607">
                  <c:v>-854.42259999999987</c:v>
                </c:pt>
                <c:pt idx="608">
                  <c:v>-855.66740000000004</c:v>
                </c:pt>
                <c:pt idx="609">
                  <c:v>-856.91229999999996</c:v>
                </c:pt>
                <c:pt idx="610">
                  <c:v>-858.15819999999997</c:v>
                </c:pt>
                <c:pt idx="611">
                  <c:v>-859.40110000000004</c:v>
                </c:pt>
                <c:pt idx="612">
                  <c:v>-860.64499999999998</c:v>
                </c:pt>
                <c:pt idx="613">
                  <c:v>-861.88920000000007</c:v>
                </c:pt>
                <c:pt idx="614">
                  <c:v>-863.13330000000008</c:v>
                </c:pt>
                <c:pt idx="615">
                  <c:v>-864.37750000000005</c:v>
                </c:pt>
                <c:pt idx="616">
                  <c:v>-865.61790000000008</c:v>
                </c:pt>
                <c:pt idx="617">
                  <c:v>-866.84249999999986</c:v>
                </c:pt>
                <c:pt idx="618">
                  <c:v>-868.06719999999996</c:v>
                </c:pt>
                <c:pt idx="619">
                  <c:v>-869.28989999999999</c:v>
                </c:pt>
                <c:pt idx="620">
                  <c:v>-870.49699999999996</c:v>
                </c:pt>
                <c:pt idx="621">
                  <c:v>-871.63270000000011</c:v>
                </c:pt>
                <c:pt idx="622">
                  <c:v>-872.76949999999988</c:v>
                </c:pt>
                <c:pt idx="623">
                  <c:v>-873.90629999999999</c:v>
                </c:pt>
                <c:pt idx="624">
                  <c:v>-875.04309999999998</c:v>
                </c:pt>
                <c:pt idx="625">
                  <c:v>-876.1789</c:v>
                </c:pt>
                <c:pt idx="626">
                  <c:v>-877.31470000000013</c:v>
                </c:pt>
                <c:pt idx="627">
                  <c:v>-878.4514999999999</c:v>
                </c:pt>
                <c:pt idx="628">
                  <c:v>-879.58730000000003</c:v>
                </c:pt>
                <c:pt idx="629">
                  <c:v>-880.72410000000002</c:v>
                </c:pt>
                <c:pt idx="630">
                  <c:v>-881.8608999999999</c:v>
                </c:pt>
                <c:pt idx="631">
                  <c:v>-882.99670000000003</c:v>
                </c:pt>
                <c:pt idx="632">
                  <c:v>-884.13350000000014</c:v>
                </c:pt>
                <c:pt idx="633">
                  <c:v>-885.2684999999999</c:v>
                </c:pt>
                <c:pt idx="634">
                  <c:v>-886.28690000000006</c:v>
                </c:pt>
                <c:pt idx="635">
                  <c:v>-887.28989999999999</c:v>
                </c:pt>
                <c:pt idx="636">
                  <c:v>-888.29090000000008</c:v>
                </c:pt>
                <c:pt idx="637">
                  <c:v>-889.29279999999994</c:v>
                </c:pt>
                <c:pt idx="638">
                  <c:v>-890.29579999999999</c:v>
                </c:pt>
                <c:pt idx="639">
                  <c:v>-891.29679999999996</c:v>
                </c:pt>
                <c:pt idx="640">
                  <c:v>-892.29880000000003</c:v>
                </c:pt>
                <c:pt idx="641">
                  <c:v>-893.30080000000009</c:v>
                </c:pt>
                <c:pt idx="642">
                  <c:v>-894.30270000000007</c:v>
                </c:pt>
                <c:pt idx="643">
                  <c:v>-895.30470000000003</c:v>
                </c:pt>
                <c:pt idx="644">
                  <c:v>-896.30470000000003</c:v>
                </c:pt>
                <c:pt idx="645">
                  <c:v>-897.29060000000004</c:v>
                </c:pt>
                <c:pt idx="646">
                  <c:v>-898.27639999999997</c:v>
                </c:pt>
                <c:pt idx="647">
                  <c:v>-899.2623000000001</c:v>
                </c:pt>
                <c:pt idx="648">
                  <c:v>-900.24719999999991</c:v>
                </c:pt>
                <c:pt idx="649">
                  <c:v>-901.23299999999995</c:v>
                </c:pt>
                <c:pt idx="650">
                  <c:v>-902.21889999999996</c:v>
                </c:pt>
                <c:pt idx="651">
                  <c:v>-903.20370000000014</c:v>
                </c:pt>
                <c:pt idx="652">
                  <c:v>-904.18940000000009</c:v>
                </c:pt>
                <c:pt idx="653">
                  <c:v>-905.17400000000009</c:v>
                </c:pt>
                <c:pt idx="654">
                  <c:v>-906.15970000000004</c:v>
                </c:pt>
                <c:pt idx="655">
                  <c:v>-907.12080000000003</c:v>
                </c:pt>
                <c:pt idx="656">
                  <c:v>-908.06669999999997</c:v>
                </c:pt>
                <c:pt idx="657">
                  <c:v>-909.01160000000004</c:v>
                </c:pt>
                <c:pt idx="658">
                  <c:v>-909.95749999999998</c:v>
                </c:pt>
                <c:pt idx="659">
                  <c:v>-910.90340000000003</c:v>
                </c:pt>
                <c:pt idx="660">
                  <c:v>-911.84829999999999</c:v>
                </c:pt>
                <c:pt idx="661">
                  <c:v>-912.79419999999993</c:v>
                </c:pt>
                <c:pt idx="662">
                  <c:v>-913.73909999999989</c:v>
                </c:pt>
                <c:pt idx="663">
                  <c:v>-914.68509999999992</c:v>
                </c:pt>
                <c:pt idx="664">
                  <c:v>-915.63000000000011</c:v>
                </c:pt>
                <c:pt idx="665">
                  <c:v>-916.57490000000007</c:v>
                </c:pt>
                <c:pt idx="666">
                  <c:v>-917.51980000000003</c:v>
                </c:pt>
                <c:pt idx="667">
                  <c:v>-918.46679999999992</c:v>
                </c:pt>
                <c:pt idx="668">
                  <c:v>-919.41069999999991</c:v>
                </c:pt>
                <c:pt idx="669">
                  <c:v>-920.35670000000005</c:v>
                </c:pt>
                <c:pt idx="670">
                  <c:v>-921.30359999999996</c:v>
                </c:pt>
                <c:pt idx="671">
                  <c:v>-922.24760000000003</c:v>
                </c:pt>
                <c:pt idx="672">
                  <c:v>-923.19349999999997</c:v>
                </c:pt>
                <c:pt idx="673">
                  <c:v>-924.13949999999988</c:v>
                </c:pt>
                <c:pt idx="674">
                  <c:v>-925.08219999999994</c:v>
                </c:pt>
                <c:pt idx="675">
                  <c:v>-926.02379999999994</c:v>
                </c:pt>
                <c:pt idx="676">
                  <c:v>-926.9665</c:v>
                </c:pt>
                <c:pt idx="677">
                  <c:v>-927.90170000000001</c:v>
                </c:pt>
                <c:pt idx="678">
                  <c:v>-928.82569999999998</c:v>
                </c:pt>
                <c:pt idx="679">
                  <c:v>-929.74770000000012</c:v>
                </c:pt>
                <c:pt idx="680">
                  <c:v>-930.6706999999999</c:v>
                </c:pt>
                <c:pt idx="681">
                  <c:v>-931.5927999999999</c:v>
                </c:pt>
                <c:pt idx="682">
                  <c:v>-932.51480000000004</c:v>
                </c:pt>
                <c:pt idx="683">
                  <c:v>-933.43680000000006</c:v>
                </c:pt>
                <c:pt idx="684">
                  <c:v>-934.35889999999995</c:v>
                </c:pt>
                <c:pt idx="685">
                  <c:v>-935.28189999999995</c:v>
                </c:pt>
                <c:pt idx="686">
                  <c:v>-936.12549999999999</c:v>
                </c:pt>
                <c:pt idx="687">
                  <c:v>-936.86940000000004</c:v>
                </c:pt>
                <c:pt idx="688">
                  <c:v>-937.61339999999996</c:v>
                </c:pt>
                <c:pt idx="689">
                  <c:v>-938.35739999999998</c:v>
                </c:pt>
                <c:pt idx="690">
                  <c:v>-939.10220000000004</c:v>
                </c:pt>
                <c:pt idx="691">
                  <c:v>-939.84339999999997</c:v>
                </c:pt>
                <c:pt idx="692">
                  <c:v>-940.5548</c:v>
                </c:pt>
                <c:pt idx="693">
                  <c:v>-941.24450000000002</c:v>
                </c:pt>
                <c:pt idx="694">
                  <c:v>-941.93419999999992</c:v>
                </c:pt>
                <c:pt idx="695">
                  <c:v>-942.62189999999998</c:v>
                </c:pt>
                <c:pt idx="696">
                  <c:v>-943.31150000000002</c:v>
                </c:pt>
                <c:pt idx="697">
                  <c:v>-944.00019999999995</c:v>
                </c:pt>
                <c:pt idx="698">
                  <c:v>-944.68990000000008</c:v>
                </c:pt>
                <c:pt idx="699">
                  <c:v>-945.37959999999998</c:v>
                </c:pt>
                <c:pt idx="700">
                  <c:v>-946.06830000000002</c:v>
                </c:pt>
                <c:pt idx="701">
                  <c:v>-946.75699999999995</c:v>
                </c:pt>
                <c:pt idx="702">
                  <c:v>-947.44669999999996</c:v>
                </c:pt>
                <c:pt idx="703">
                  <c:v>-948.13639999999998</c:v>
                </c:pt>
                <c:pt idx="704">
                  <c:v>-948.8261</c:v>
                </c:pt>
                <c:pt idx="705">
                  <c:v>-949.51389999999992</c:v>
                </c:pt>
                <c:pt idx="706">
                  <c:v>-950.20259999999996</c:v>
                </c:pt>
                <c:pt idx="707">
                  <c:v>-950.89229999999998</c:v>
                </c:pt>
                <c:pt idx="708">
                  <c:v>-951.55460000000005</c:v>
                </c:pt>
                <c:pt idx="709">
                  <c:v>-952.21789999999999</c:v>
                </c:pt>
                <c:pt idx="710">
                  <c:v>-952.87689999999998</c:v>
                </c:pt>
                <c:pt idx="711">
                  <c:v>-953.53489999999988</c:v>
                </c:pt>
                <c:pt idx="712">
                  <c:v>-954.1948000000001</c:v>
                </c:pt>
                <c:pt idx="713">
                  <c:v>-954.85280000000012</c:v>
                </c:pt>
                <c:pt idx="714">
                  <c:v>-955.51279999999997</c:v>
                </c:pt>
                <c:pt idx="715">
                  <c:v>-956.16980000000001</c:v>
                </c:pt>
                <c:pt idx="716">
                  <c:v>-956.82780000000002</c:v>
                </c:pt>
                <c:pt idx="717">
                  <c:v>-957.48779999999999</c:v>
                </c:pt>
                <c:pt idx="718">
                  <c:v>-958.14580000000001</c:v>
                </c:pt>
                <c:pt idx="719">
                  <c:v>-958.80480000000011</c:v>
                </c:pt>
                <c:pt idx="720">
                  <c:v>-959.46180000000004</c:v>
                </c:pt>
                <c:pt idx="721">
                  <c:v>-960.12289999999996</c:v>
                </c:pt>
                <c:pt idx="722">
                  <c:v>-960.78089999999997</c:v>
                </c:pt>
                <c:pt idx="723">
                  <c:v>-961.43889999999999</c:v>
                </c:pt>
                <c:pt idx="724">
                  <c:v>-962.09889999999996</c:v>
                </c:pt>
                <c:pt idx="725">
                  <c:v>-962.75589999999988</c:v>
                </c:pt>
                <c:pt idx="726">
                  <c:v>-963.41600000000005</c:v>
                </c:pt>
                <c:pt idx="727">
                  <c:v>-964.07300000000009</c:v>
                </c:pt>
                <c:pt idx="728">
                  <c:v>-964.73199999999997</c:v>
                </c:pt>
                <c:pt idx="729">
                  <c:v>-965.39009999999996</c:v>
                </c:pt>
                <c:pt idx="730">
                  <c:v>-966.03800000000001</c:v>
                </c:pt>
                <c:pt idx="731">
                  <c:v>-966.68389999999999</c:v>
                </c:pt>
                <c:pt idx="732">
                  <c:v>-967.3297</c:v>
                </c:pt>
                <c:pt idx="733">
                  <c:v>-967.9745999999999</c:v>
                </c:pt>
                <c:pt idx="734">
                  <c:v>-968.62249999999995</c:v>
                </c:pt>
                <c:pt idx="735">
                  <c:v>-969.26939999999991</c:v>
                </c:pt>
                <c:pt idx="736">
                  <c:v>-969.91529999999989</c:v>
                </c:pt>
                <c:pt idx="737">
                  <c:v>-970.56020000000001</c:v>
                </c:pt>
                <c:pt idx="738">
                  <c:v>-971.20600000000002</c:v>
                </c:pt>
                <c:pt idx="739">
                  <c:v>-971.85289999999998</c:v>
                </c:pt>
                <c:pt idx="740">
                  <c:v>-972.49679999999989</c:v>
                </c:pt>
                <c:pt idx="741">
                  <c:v>-973.1427000000001</c:v>
                </c:pt>
                <c:pt idx="742">
                  <c:v>-973.78859999999997</c:v>
                </c:pt>
                <c:pt idx="743">
                  <c:v>-974.43229999999994</c:v>
                </c:pt>
                <c:pt idx="744">
                  <c:v>-975.07590000000016</c:v>
                </c:pt>
                <c:pt idx="745">
                  <c:v>-975.71760000000006</c:v>
                </c:pt>
                <c:pt idx="746">
                  <c:v>-976.36019999999996</c:v>
                </c:pt>
                <c:pt idx="747">
                  <c:v>-977.00389999999993</c:v>
                </c:pt>
                <c:pt idx="748">
                  <c:v>-977.64560000000006</c:v>
                </c:pt>
                <c:pt idx="749">
                  <c:v>-978.28820000000007</c:v>
                </c:pt>
                <c:pt idx="750">
                  <c:v>-978.93090000000007</c:v>
                </c:pt>
                <c:pt idx="751">
                  <c:v>-979.57360000000006</c:v>
                </c:pt>
                <c:pt idx="752">
                  <c:v>-980.21629999999993</c:v>
                </c:pt>
                <c:pt idx="753">
                  <c:v>-980.85989999999993</c:v>
                </c:pt>
                <c:pt idx="754">
                  <c:v>-981.50260000000003</c:v>
                </c:pt>
                <c:pt idx="755">
                  <c:v>-982.14530000000002</c:v>
                </c:pt>
                <c:pt idx="756">
                  <c:v>-982.78800000000001</c:v>
                </c:pt>
                <c:pt idx="757">
                  <c:v>-983.4307</c:v>
                </c:pt>
                <c:pt idx="758">
                  <c:v>-984.0723999999999</c:v>
                </c:pt>
                <c:pt idx="759">
                  <c:v>-984.71509999999989</c:v>
                </c:pt>
                <c:pt idx="760">
                  <c:v>-985.35979999999995</c:v>
                </c:pt>
                <c:pt idx="761">
                  <c:v>-986.00150000000008</c:v>
                </c:pt>
                <c:pt idx="762">
                  <c:v>-986.64419999999996</c:v>
                </c:pt>
                <c:pt idx="763">
                  <c:v>-987.28689999999995</c:v>
                </c:pt>
                <c:pt idx="764">
                  <c:v>-987.93059999999991</c:v>
                </c:pt>
                <c:pt idx="765">
                  <c:v>-988.57129999999995</c:v>
                </c:pt>
                <c:pt idx="766">
                  <c:v>-989.21500000000003</c:v>
                </c:pt>
                <c:pt idx="767">
                  <c:v>-989.85680000000002</c:v>
                </c:pt>
                <c:pt idx="768">
                  <c:v>-990.50049999999999</c:v>
                </c:pt>
                <c:pt idx="769">
                  <c:v>-991.14319999999998</c:v>
                </c:pt>
                <c:pt idx="770">
                  <c:v>-991.78690000000006</c:v>
                </c:pt>
                <c:pt idx="771">
                  <c:v>-992.42869999999994</c:v>
                </c:pt>
                <c:pt idx="772">
                  <c:v>-993.07139999999993</c:v>
                </c:pt>
                <c:pt idx="773">
                  <c:v>-993.71309999999994</c:v>
                </c:pt>
                <c:pt idx="774">
                  <c:v>-994.3569</c:v>
                </c:pt>
                <c:pt idx="775">
                  <c:v>-994.9996000000001</c:v>
                </c:pt>
                <c:pt idx="776">
                  <c:v>-995.64240000000007</c:v>
                </c:pt>
                <c:pt idx="777">
                  <c:v>-996.28509999999994</c:v>
                </c:pt>
                <c:pt idx="778">
                  <c:v>-996.92790000000002</c:v>
                </c:pt>
                <c:pt idx="779">
                  <c:v>-997.52140000000009</c:v>
                </c:pt>
                <c:pt idx="780">
                  <c:v>-998.09900000000005</c:v>
                </c:pt>
                <c:pt idx="781">
                  <c:v>-998.6767000000001</c:v>
                </c:pt>
                <c:pt idx="782">
                  <c:v>-999.22320000000002</c:v>
                </c:pt>
                <c:pt idx="783">
                  <c:v>-999.76229999999987</c:v>
                </c:pt>
                <c:pt idx="784">
                  <c:v>-1000.3015</c:v>
                </c:pt>
                <c:pt idx="785">
                  <c:v>-1000.8416999999999</c:v>
                </c:pt>
                <c:pt idx="786">
                  <c:v>-1001.3808</c:v>
                </c:pt>
                <c:pt idx="787">
                  <c:v>-1001.921</c:v>
                </c:pt>
                <c:pt idx="788">
                  <c:v>-1002.4602</c:v>
                </c:pt>
                <c:pt idx="789">
                  <c:v>-1003.0003999999999</c:v>
                </c:pt>
                <c:pt idx="790">
                  <c:v>-1003.5406</c:v>
                </c:pt>
                <c:pt idx="791">
                  <c:v>-1004.0808</c:v>
                </c:pt>
                <c:pt idx="792">
                  <c:v>-1004.6190000000001</c:v>
                </c:pt>
                <c:pt idx="793">
                  <c:v>-1005.1580999999999</c:v>
                </c:pt>
                <c:pt idx="794">
                  <c:v>-1005.6973</c:v>
                </c:pt>
                <c:pt idx="795">
                  <c:v>-1006.2354999999999</c:v>
                </c:pt>
                <c:pt idx="796">
                  <c:v>-1006.7737</c:v>
                </c:pt>
                <c:pt idx="797">
                  <c:v>-1007.3129000000001</c:v>
                </c:pt>
                <c:pt idx="798">
                  <c:v>-1007.8521000000001</c:v>
                </c:pt>
                <c:pt idx="799">
                  <c:v>-1008.3913</c:v>
                </c:pt>
                <c:pt idx="800">
                  <c:v>-1008.9306</c:v>
                </c:pt>
                <c:pt idx="801">
                  <c:v>-1009.4688000000001</c:v>
                </c:pt>
                <c:pt idx="802">
                  <c:v>-1010.0081</c:v>
                </c:pt>
                <c:pt idx="803">
                  <c:v>-1010.5463999999999</c:v>
                </c:pt>
                <c:pt idx="804">
                  <c:v>-1011.0846000000001</c:v>
                </c:pt>
                <c:pt idx="805">
                  <c:v>-1011.6228999999998</c:v>
                </c:pt>
                <c:pt idx="806">
                  <c:v>-1012.1612</c:v>
                </c:pt>
                <c:pt idx="807">
                  <c:v>-1012.6994999999999</c:v>
                </c:pt>
                <c:pt idx="808">
                  <c:v>-1013.2378000000001</c:v>
                </c:pt>
                <c:pt idx="809">
                  <c:v>-1013.7770999999999</c:v>
                </c:pt>
                <c:pt idx="810">
                  <c:v>-1014.3154</c:v>
                </c:pt>
                <c:pt idx="811">
                  <c:v>-1014.8537000000001</c:v>
                </c:pt>
                <c:pt idx="812">
                  <c:v>-1015.3920000000001</c:v>
                </c:pt>
                <c:pt idx="813">
                  <c:v>-1015.9313</c:v>
                </c:pt>
                <c:pt idx="814">
                  <c:v>-1016.4696</c:v>
                </c:pt>
                <c:pt idx="815">
                  <c:v>-1017.0078999999999</c:v>
                </c:pt>
                <c:pt idx="816">
                  <c:v>-1017.5462</c:v>
                </c:pt>
                <c:pt idx="817">
                  <c:v>-1018.0855</c:v>
                </c:pt>
                <c:pt idx="818">
                  <c:v>-1018.6248000000001</c:v>
                </c:pt>
                <c:pt idx="819">
                  <c:v>-1019.1622</c:v>
                </c:pt>
                <c:pt idx="820">
                  <c:v>-1019.7005</c:v>
                </c:pt>
                <c:pt idx="821">
                  <c:v>-1020.2398000000001</c:v>
                </c:pt>
                <c:pt idx="822">
                  <c:v>-1020.7781</c:v>
                </c:pt>
                <c:pt idx="823">
                  <c:v>-1021.3113</c:v>
                </c:pt>
                <c:pt idx="824">
                  <c:v>-1021.8464</c:v>
                </c:pt>
                <c:pt idx="825">
                  <c:v>-1022.3806</c:v>
                </c:pt>
                <c:pt idx="826">
                  <c:v>-1022.9157</c:v>
                </c:pt>
                <c:pt idx="827">
                  <c:v>-1023.4489</c:v>
                </c:pt>
                <c:pt idx="828">
                  <c:v>-1023.9841</c:v>
                </c:pt>
                <c:pt idx="829">
                  <c:v>-1024.5183</c:v>
                </c:pt>
                <c:pt idx="830">
                  <c:v>-1025.0525</c:v>
                </c:pt>
                <c:pt idx="831">
                  <c:v>-1025.5865999999999</c:v>
                </c:pt>
                <c:pt idx="832">
                  <c:v>-1026.1208000000001</c:v>
                </c:pt>
                <c:pt idx="833">
                  <c:v>-1026.654</c:v>
                </c:pt>
                <c:pt idx="834">
                  <c:v>-1027.1892</c:v>
                </c:pt>
                <c:pt idx="835">
                  <c:v>-1027.7233999999999</c:v>
                </c:pt>
                <c:pt idx="836">
                  <c:v>-1028.2585999999999</c:v>
                </c:pt>
                <c:pt idx="837">
                  <c:v>-1028.7938000000001</c:v>
                </c:pt>
                <c:pt idx="838">
                  <c:v>-1029.327</c:v>
                </c:pt>
                <c:pt idx="839">
                  <c:v>-1029.8622</c:v>
                </c:pt>
                <c:pt idx="840">
                  <c:v>-1030.3964000000001</c:v>
                </c:pt>
                <c:pt idx="841">
                  <c:v>-1030.9315999999999</c:v>
                </c:pt>
                <c:pt idx="842">
                  <c:v>-1031.4648999999999</c:v>
                </c:pt>
                <c:pt idx="843">
                  <c:v>-1032.0001</c:v>
                </c:pt>
                <c:pt idx="844">
                  <c:v>-1032.5343</c:v>
                </c:pt>
                <c:pt idx="845">
                  <c:v>-1033.0675000000001</c:v>
                </c:pt>
                <c:pt idx="846">
                  <c:v>-1033.6027999999999</c:v>
                </c:pt>
                <c:pt idx="847">
                  <c:v>-1034.1370000000002</c:v>
                </c:pt>
                <c:pt idx="848">
                  <c:v>-1034.6712</c:v>
                </c:pt>
                <c:pt idx="849">
                  <c:v>-1035.2065</c:v>
                </c:pt>
                <c:pt idx="850">
                  <c:v>-1035.7417</c:v>
                </c:pt>
                <c:pt idx="851">
                  <c:v>-1036.2759999999998</c:v>
                </c:pt>
                <c:pt idx="852">
                  <c:v>-1036.8112000000001</c:v>
                </c:pt>
                <c:pt idx="853">
                  <c:v>-1037.3444999999999</c:v>
                </c:pt>
                <c:pt idx="854">
                  <c:v>-1037.8797</c:v>
                </c:pt>
                <c:pt idx="855">
                  <c:v>-1038.413</c:v>
                </c:pt>
                <c:pt idx="856">
                  <c:v>-1038.9461999999999</c:v>
                </c:pt>
                <c:pt idx="857">
                  <c:v>-1039.4825000000001</c:v>
                </c:pt>
                <c:pt idx="858">
                  <c:v>-1040.0158000000001</c:v>
                </c:pt>
                <c:pt idx="859">
                  <c:v>-1040.5510999999999</c:v>
                </c:pt>
                <c:pt idx="860">
                  <c:v>-1041.0853</c:v>
                </c:pt>
                <c:pt idx="861">
                  <c:v>-1041.6206</c:v>
                </c:pt>
                <c:pt idx="862">
                  <c:v>-1042.1549</c:v>
                </c:pt>
                <c:pt idx="863">
                  <c:v>-1042.6902</c:v>
                </c:pt>
                <c:pt idx="864">
                  <c:v>-1043.2235000000001</c:v>
                </c:pt>
                <c:pt idx="865">
                  <c:v>-1043.7576999999999</c:v>
                </c:pt>
                <c:pt idx="866">
                  <c:v>-1044.2929999999999</c:v>
                </c:pt>
                <c:pt idx="867">
                  <c:v>-1044.8272999999999</c:v>
                </c:pt>
                <c:pt idx="868">
                  <c:v>-1045.3606</c:v>
                </c:pt>
                <c:pt idx="869">
                  <c:v>-1045.8949</c:v>
                </c:pt>
                <c:pt idx="870">
                  <c:v>-1046.4302</c:v>
                </c:pt>
                <c:pt idx="871">
                  <c:v>-1046.9646</c:v>
                </c:pt>
                <c:pt idx="872">
                  <c:v>-1047.4999</c:v>
                </c:pt>
                <c:pt idx="873">
                  <c:v>-1048.0342000000001</c:v>
                </c:pt>
                <c:pt idx="874">
                  <c:v>-1048.5684999999999</c:v>
                </c:pt>
                <c:pt idx="875">
                  <c:v>-1049.1037999999999</c:v>
                </c:pt>
                <c:pt idx="876">
                  <c:v>-1049.6370999999999</c:v>
                </c:pt>
                <c:pt idx="877">
                  <c:v>-1050.1704</c:v>
                </c:pt>
                <c:pt idx="878">
                  <c:v>-1050.6380999999999</c:v>
                </c:pt>
                <c:pt idx="879">
                  <c:v>-1051.1069</c:v>
                </c:pt>
                <c:pt idx="880">
                  <c:v>-1051.5745999999999</c:v>
                </c:pt>
                <c:pt idx="881">
                  <c:v>-1052.0412999999999</c:v>
                </c:pt>
                <c:pt idx="882">
                  <c:v>-1052.51</c:v>
                </c:pt>
                <c:pt idx="883">
                  <c:v>-1052.9766999999999</c:v>
                </c:pt>
                <c:pt idx="884">
                  <c:v>-1053.4455000000003</c:v>
                </c:pt>
                <c:pt idx="885">
                  <c:v>-1053.9122</c:v>
                </c:pt>
                <c:pt idx="886">
                  <c:v>-1054.3808999999999</c:v>
                </c:pt>
                <c:pt idx="887">
                  <c:v>-1054.8487</c:v>
                </c:pt>
                <c:pt idx="888">
                  <c:v>-1055.3163999999999</c:v>
                </c:pt>
                <c:pt idx="889">
                  <c:v>-1055.7831000000001</c:v>
                </c:pt>
                <c:pt idx="890">
                  <c:v>-1056.2509</c:v>
                </c:pt>
                <c:pt idx="891">
                  <c:v>-1056.7195999999999</c:v>
                </c:pt>
                <c:pt idx="892">
                  <c:v>-1057.1884</c:v>
                </c:pt>
                <c:pt idx="893">
                  <c:v>-1057.6550999999999</c:v>
                </c:pt>
                <c:pt idx="894">
                  <c:v>-1058.1238999999998</c:v>
                </c:pt>
                <c:pt idx="895">
                  <c:v>-1058.5906</c:v>
                </c:pt>
                <c:pt idx="896">
                  <c:v>-1059.0594000000001</c:v>
                </c:pt>
                <c:pt idx="897">
                  <c:v>-1059.5271</c:v>
                </c:pt>
                <c:pt idx="898">
                  <c:v>-1059.9949000000001</c:v>
                </c:pt>
                <c:pt idx="899">
                  <c:v>-1060.4608000000001</c:v>
                </c:pt>
                <c:pt idx="900">
                  <c:v>-1060.9296999999999</c:v>
                </c:pt>
                <c:pt idx="901">
                  <c:v>-1061.3956000000001</c:v>
                </c:pt>
                <c:pt idx="902">
                  <c:v>-1061.8625</c:v>
                </c:pt>
                <c:pt idx="903">
                  <c:v>-1062.3294000000001</c:v>
                </c:pt>
                <c:pt idx="904">
                  <c:v>-1062.7953</c:v>
                </c:pt>
                <c:pt idx="905">
                  <c:v>-1063.2642999999998</c:v>
                </c:pt>
                <c:pt idx="906">
                  <c:v>-1063.7302</c:v>
                </c:pt>
                <c:pt idx="907">
                  <c:v>-1064.1991</c:v>
                </c:pt>
                <c:pt idx="908">
                  <c:v>-1064.665</c:v>
                </c:pt>
                <c:pt idx="909">
                  <c:v>-1065.1329000000001</c:v>
                </c:pt>
                <c:pt idx="910">
                  <c:v>-1065.5998</c:v>
                </c:pt>
                <c:pt idx="911">
                  <c:v>-1066.0666999999999</c:v>
                </c:pt>
                <c:pt idx="912">
                  <c:v>-1066.5337000000002</c:v>
                </c:pt>
                <c:pt idx="913">
                  <c:v>-1067.0006000000001</c:v>
                </c:pt>
                <c:pt idx="914">
                  <c:v>-1067.4684999999999</c:v>
                </c:pt>
                <c:pt idx="915">
                  <c:v>-1067.9354000000001</c:v>
                </c:pt>
                <c:pt idx="916">
                  <c:v>-1068.4023999999999</c:v>
                </c:pt>
                <c:pt idx="917">
                  <c:v>-1068.8683000000001</c:v>
                </c:pt>
                <c:pt idx="918">
                  <c:v>-1069.3371999999999</c:v>
                </c:pt>
                <c:pt idx="919">
                  <c:v>-1069.8022000000001</c:v>
                </c:pt>
                <c:pt idx="920">
                  <c:v>-1070.2710999999999</c:v>
                </c:pt>
                <c:pt idx="921">
                  <c:v>-1070.7370999999998</c:v>
                </c:pt>
                <c:pt idx="922">
                  <c:v>-1071.204</c:v>
                </c:pt>
                <c:pt idx="923">
                  <c:v>-1071.6719000000001</c:v>
                </c:pt>
                <c:pt idx="924">
                  <c:v>-1072.1388999999999</c:v>
                </c:pt>
                <c:pt idx="925">
                  <c:v>-1072.6078</c:v>
                </c:pt>
                <c:pt idx="926">
                  <c:v>-1073.0737999999999</c:v>
                </c:pt>
                <c:pt idx="927">
                  <c:v>-1073.5407</c:v>
                </c:pt>
                <c:pt idx="928">
                  <c:v>-1074.0067000000001</c:v>
                </c:pt>
                <c:pt idx="929">
                  <c:v>-1074.4746</c:v>
                </c:pt>
                <c:pt idx="930">
                  <c:v>-1074.9415999999999</c:v>
                </c:pt>
                <c:pt idx="931">
                  <c:v>-1075.4096000000002</c:v>
                </c:pt>
                <c:pt idx="932">
                  <c:v>-1075.8755000000001</c:v>
                </c:pt>
                <c:pt idx="933">
                  <c:v>-1076.3445000000002</c:v>
                </c:pt>
                <c:pt idx="934">
                  <c:v>-1076.8105</c:v>
                </c:pt>
                <c:pt idx="935">
                  <c:v>-1077.2793999999999</c:v>
                </c:pt>
                <c:pt idx="936">
                  <c:v>-1077.7444</c:v>
                </c:pt>
                <c:pt idx="937">
                  <c:v>-1078.2134000000001</c:v>
                </c:pt>
                <c:pt idx="938">
                  <c:v>-1078.6793</c:v>
                </c:pt>
                <c:pt idx="939">
                  <c:v>-1079.1462999999999</c:v>
                </c:pt>
                <c:pt idx="940">
                  <c:v>-1079.6143</c:v>
                </c:pt>
                <c:pt idx="941">
                  <c:v>-1080.0802999999999</c:v>
                </c:pt>
                <c:pt idx="942">
                  <c:v>-1080.5482000000002</c:v>
                </c:pt>
                <c:pt idx="943">
                  <c:v>-1081.0142000000001</c:v>
                </c:pt>
                <c:pt idx="944">
                  <c:v>-1081.4801</c:v>
                </c:pt>
                <c:pt idx="945">
                  <c:v>-1081.9481000000001</c:v>
                </c:pt>
                <c:pt idx="946">
                  <c:v>-1082.4141</c:v>
                </c:pt>
                <c:pt idx="947">
                  <c:v>-1082.8809999999999</c:v>
                </c:pt>
                <c:pt idx="948">
                  <c:v>-1083.348</c:v>
                </c:pt>
                <c:pt idx="949">
                  <c:v>-1083.8149000000001</c:v>
                </c:pt>
                <c:pt idx="950">
                  <c:v>-1084.2809</c:v>
                </c:pt>
                <c:pt idx="951">
                  <c:v>-1084.7478999999998</c:v>
                </c:pt>
                <c:pt idx="952">
                  <c:v>-1085.2148</c:v>
                </c:pt>
                <c:pt idx="953">
                  <c:v>-1085.6818000000001</c:v>
                </c:pt>
                <c:pt idx="954">
                  <c:v>-1086.1478</c:v>
                </c:pt>
                <c:pt idx="955">
                  <c:v>-1086.6148000000001</c:v>
                </c:pt>
                <c:pt idx="956">
                  <c:v>-1087.0817</c:v>
                </c:pt>
                <c:pt idx="957">
                  <c:v>-1087.5477000000001</c:v>
                </c:pt>
                <c:pt idx="958">
                  <c:v>-1088.0147000000002</c:v>
                </c:pt>
                <c:pt idx="959">
                  <c:v>-1088.4797000000001</c:v>
                </c:pt>
                <c:pt idx="960">
                  <c:v>-1088.9476</c:v>
                </c:pt>
                <c:pt idx="961">
                  <c:v>-1089.4031</c:v>
                </c:pt>
                <c:pt idx="962">
                  <c:v>-1089.8587</c:v>
                </c:pt>
                <c:pt idx="963">
                  <c:v>-1090.3142</c:v>
                </c:pt>
                <c:pt idx="964">
                  <c:v>-1090.7697000000001</c:v>
                </c:pt>
                <c:pt idx="965">
                  <c:v>-1091.2252000000001</c:v>
                </c:pt>
                <c:pt idx="966">
                  <c:v>-1091.6797000000001</c:v>
                </c:pt>
                <c:pt idx="967">
                  <c:v>-1092.1362999999999</c:v>
                </c:pt>
                <c:pt idx="968">
                  <c:v>-1092.5917999999999</c:v>
                </c:pt>
                <c:pt idx="969">
                  <c:v>-1093.0463</c:v>
                </c:pt>
                <c:pt idx="970">
                  <c:v>-1093.5029000000002</c:v>
                </c:pt>
                <c:pt idx="971">
                  <c:v>-1093.9584000000002</c:v>
                </c:pt>
                <c:pt idx="972">
                  <c:v>-1094.4129</c:v>
                </c:pt>
                <c:pt idx="973">
                  <c:v>-1094.8685</c:v>
                </c:pt>
                <c:pt idx="974">
                  <c:v>-1095.325</c:v>
                </c:pt>
                <c:pt idx="975">
                  <c:v>-1095.7784999999999</c:v>
                </c:pt>
                <c:pt idx="976">
                  <c:v>-1096.2350999999999</c:v>
                </c:pt>
                <c:pt idx="977">
                  <c:v>-1096.6916000000001</c:v>
                </c:pt>
                <c:pt idx="978">
                  <c:v>-1097.1461999999999</c:v>
                </c:pt>
                <c:pt idx="979">
                  <c:v>-1097.6016999999999</c:v>
                </c:pt>
                <c:pt idx="980">
                  <c:v>-1098.0573000000002</c:v>
                </c:pt>
                <c:pt idx="981">
                  <c:v>-1098.5137999999999</c:v>
                </c:pt>
                <c:pt idx="982">
                  <c:v>-1098.9674</c:v>
                </c:pt>
                <c:pt idx="983">
                  <c:v>-1099.4229</c:v>
                </c:pt>
                <c:pt idx="984">
                  <c:v>-1099.8795</c:v>
                </c:pt>
                <c:pt idx="985">
                  <c:v>-1100.3341</c:v>
                </c:pt>
                <c:pt idx="986">
                  <c:v>-1100.7906</c:v>
                </c:pt>
                <c:pt idx="987">
                  <c:v>-1101.2463</c:v>
                </c:pt>
                <c:pt idx="988">
                  <c:v>-1101.6994</c:v>
                </c:pt>
                <c:pt idx="989">
                  <c:v>-1102.1555000000001</c:v>
                </c:pt>
                <c:pt idx="990">
                  <c:v>-1102.6106</c:v>
                </c:pt>
                <c:pt idx="991">
                  <c:v>-1103.0657000000001</c:v>
                </c:pt>
                <c:pt idx="992">
                  <c:v>-1103.5207999999998</c:v>
                </c:pt>
                <c:pt idx="993">
                  <c:v>-1103.9769000000001</c:v>
                </c:pt>
                <c:pt idx="994">
                  <c:v>-1104.431</c:v>
                </c:pt>
                <c:pt idx="995">
                  <c:v>-1104.8860999999999</c:v>
                </c:pt>
                <c:pt idx="996">
                  <c:v>-1105.3401999999999</c:v>
                </c:pt>
                <c:pt idx="997">
                  <c:v>-1105.7973</c:v>
                </c:pt>
                <c:pt idx="998">
                  <c:v>-1106.2514000000001</c:v>
                </c:pt>
                <c:pt idx="999">
                  <c:v>-1106.7055</c:v>
                </c:pt>
                <c:pt idx="1000">
                  <c:v>-1107.1596</c:v>
                </c:pt>
                <c:pt idx="1001">
                  <c:v>-1107.6167</c:v>
                </c:pt>
                <c:pt idx="1002">
                  <c:v>-1108.0717999999999</c:v>
                </c:pt>
                <c:pt idx="1003">
                  <c:v>-1108.5258999999999</c:v>
                </c:pt>
                <c:pt idx="1004">
                  <c:v>-1108.9820000000002</c:v>
                </c:pt>
                <c:pt idx="1005">
                  <c:v>-1109.4362000000001</c:v>
                </c:pt>
                <c:pt idx="1006">
                  <c:v>-1109.8923000000002</c:v>
                </c:pt>
                <c:pt idx="1007">
                  <c:v>-1110.3463999999999</c:v>
                </c:pt>
                <c:pt idx="1008">
                  <c:v>-1110.7974000000002</c:v>
                </c:pt>
                <c:pt idx="1009">
                  <c:v>-1111.2438000000002</c:v>
                </c:pt>
                <c:pt idx="1010">
                  <c:v>-1111.6942000000001</c:v>
                </c:pt>
                <c:pt idx="1011">
                  <c:v>-1112.1405999999999</c:v>
                </c:pt>
                <c:pt idx="1012">
                  <c:v>-1112.5914</c:v>
                </c:pt>
                <c:pt idx="1013">
                  <c:v>-1113.0364999999999</c:v>
                </c:pt>
                <c:pt idx="1014">
                  <c:v>-1113.4856</c:v>
                </c:pt>
                <c:pt idx="1015">
                  <c:v>-1113.9306999999999</c:v>
                </c:pt>
                <c:pt idx="1016">
                  <c:v>-1114.3797999999999</c:v>
                </c:pt>
                <c:pt idx="1017">
                  <c:v>-1114.8269</c:v>
                </c:pt>
                <c:pt idx="1018">
                  <c:v>-1115.2750000000001</c:v>
                </c:pt>
                <c:pt idx="1019">
                  <c:v>-1115.7231999999999</c:v>
                </c:pt>
                <c:pt idx="1020">
                  <c:v>-1116.1683</c:v>
                </c:pt>
                <c:pt idx="1021">
                  <c:v>-1116.6173999999999</c:v>
                </c:pt>
                <c:pt idx="1022">
                  <c:v>-1117.0645</c:v>
                </c:pt>
                <c:pt idx="1023">
                  <c:v>-1117.5126</c:v>
                </c:pt>
                <c:pt idx="1024">
                  <c:v>-1117.9588000000001</c:v>
                </c:pt>
                <c:pt idx="1025">
                  <c:v>-1118.4079000000002</c:v>
                </c:pt>
                <c:pt idx="1026">
                  <c:v>-1118.855</c:v>
                </c:pt>
                <c:pt idx="1027">
                  <c:v>-1119.3032000000001</c:v>
                </c:pt>
                <c:pt idx="1028">
                  <c:v>-1119.7502999999999</c:v>
                </c:pt>
                <c:pt idx="1029">
                  <c:v>-1120.1974</c:v>
                </c:pt>
                <c:pt idx="1030">
                  <c:v>-1120.6456000000001</c:v>
                </c:pt>
                <c:pt idx="1031">
                  <c:v>-1121.0926999999999</c:v>
                </c:pt>
                <c:pt idx="1032">
                  <c:v>-1121.5409</c:v>
                </c:pt>
                <c:pt idx="1033">
                  <c:v>-1121.9880000000001</c:v>
                </c:pt>
                <c:pt idx="1034">
                  <c:v>-1122.4351999999999</c:v>
                </c:pt>
                <c:pt idx="1035">
                  <c:v>-1122.8833000000002</c:v>
                </c:pt>
                <c:pt idx="1036">
                  <c:v>-1123.3304000000001</c:v>
                </c:pt>
                <c:pt idx="1037">
                  <c:v>-1123.7785999999999</c:v>
                </c:pt>
                <c:pt idx="1038">
                  <c:v>-1124.2257999999999</c:v>
                </c:pt>
                <c:pt idx="1039">
                  <c:v>-1124.6729</c:v>
                </c:pt>
                <c:pt idx="1040">
                  <c:v>-1125.1201000000001</c:v>
                </c:pt>
                <c:pt idx="1041">
                  <c:v>-1125.5692000000001</c:v>
                </c:pt>
                <c:pt idx="1042">
                  <c:v>-1126.0154</c:v>
                </c:pt>
                <c:pt idx="1043">
                  <c:v>-1126.4636</c:v>
                </c:pt>
                <c:pt idx="1044">
                  <c:v>-1126.9107000000001</c:v>
                </c:pt>
                <c:pt idx="1045">
                  <c:v>-1127.3579</c:v>
                </c:pt>
                <c:pt idx="1046">
                  <c:v>-1127.8071</c:v>
                </c:pt>
                <c:pt idx="1047">
                  <c:v>-1128.2531999999999</c:v>
                </c:pt>
                <c:pt idx="1048">
                  <c:v>-1128.7013999999999</c:v>
                </c:pt>
                <c:pt idx="1049">
                  <c:v>-1129.1486</c:v>
                </c:pt>
                <c:pt idx="1050">
                  <c:v>-1129.5958000000001</c:v>
                </c:pt>
                <c:pt idx="1051">
                  <c:v>-1130.0438999999999</c:v>
                </c:pt>
                <c:pt idx="1052">
                  <c:v>-1130.4920999999999</c:v>
                </c:pt>
                <c:pt idx="1053">
                  <c:v>-1130.9383</c:v>
                </c:pt>
                <c:pt idx="1054">
                  <c:v>-1131.3865000000001</c:v>
                </c:pt>
                <c:pt idx="1055">
                  <c:v>-1131.8346999999999</c:v>
                </c:pt>
                <c:pt idx="1056">
                  <c:v>-1132.2819000000002</c:v>
                </c:pt>
                <c:pt idx="1057">
                  <c:v>-1132.7301</c:v>
                </c:pt>
                <c:pt idx="1058">
                  <c:v>-1133.1773000000001</c:v>
                </c:pt>
                <c:pt idx="1059">
                  <c:v>-1133.6244999999999</c:v>
                </c:pt>
                <c:pt idx="1060">
                  <c:v>-1134.0726999999999</c:v>
                </c:pt>
                <c:pt idx="1061">
                  <c:v>-1134.5209</c:v>
                </c:pt>
                <c:pt idx="1062">
                  <c:v>-1134.9670000000001</c:v>
                </c:pt>
                <c:pt idx="1063">
                  <c:v>-1135.4100000000001</c:v>
                </c:pt>
                <c:pt idx="1064">
                  <c:v>-1135.8530000000001</c:v>
                </c:pt>
                <c:pt idx="1065">
                  <c:v>-1136.2949000000001</c:v>
                </c:pt>
                <c:pt idx="1066">
                  <c:v>-1136.7379000000001</c:v>
                </c:pt>
                <c:pt idx="1067">
                  <c:v>-1137.1809000000001</c:v>
                </c:pt>
                <c:pt idx="1068">
                  <c:v>-1137.6239</c:v>
                </c:pt>
                <c:pt idx="1069">
                  <c:v>-1138.0658000000001</c:v>
                </c:pt>
                <c:pt idx="1070">
                  <c:v>-1138.5098</c:v>
                </c:pt>
                <c:pt idx="1071">
                  <c:v>-1138.9528</c:v>
                </c:pt>
                <c:pt idx="1072">
                  <c:v>-1139.3928000000001</c:v>
                </c:pt>
                <c:pt idx="1073">
                  <c:v>-1139.8378</c:v>
                </c:pt>
                <c:pt idx="1074">
                  <c:v>-1140.2808</c:v>
                </c:pt>
                <c:pt idx="1075">
                  <c:v>-1140.7238000000002</c:v>
                </c:pt>
                <c:pt idx="1076">
                  <c:v>-1141.1657</c:v>
                </c:pt>
                <c:pt idx="1077">
                  <c:v>-1141.6077</c:v>
                </c:pt>
                <c:pt idx="1078">
                  <c:v>-1142.0527</c:v>
                </c:pt>
                <c:pt idx="1079">
                  <c:v>-1142.4947</c:v>
                </c:pt>
                <c:pt idx="1080">
                  <c:v>-1142.9357</c:v>
                </c:pt>
                <c:pt idx="1081">
                  <c:v>-1143.3807000000002</c:v>
                </c:pt>
                <c:pt idx="1082">
                  <c:v>-1143.8226999999999</c:v>
                </c:pt>
                <c:pt idx="1083">
                  <c:v>-1144.2646999999999</c:v>
                </c:pt>
                <c:pt idx="1084">
                  <c:v>-1144.7087999999999</c:v>
                </c:pt>
                <c:pt idx="1085">
                  <c:v>-1145.1507999999999</c:v>
                </c:pt>
                <c:pt idx="1086">
                  <c:v>-1145.5937999999999</c:v>
                </c:pt>
                <c:pt idx="1087">
                  <c:v>-1146.0368000000001</c:v>
                </c:pt>
                <c:pt idx="1088">
                  <c:v>-1146.4798000000001</c:v>
                </c:pt>
                <c:pt idx="1089">
                  <c:v>-1146.9218000000001</c:v>
                </c:pt>
                <c:pt idx="1090">
                  <c:v>-1147.3647999999998</c:v>
                </c:pt>
                <c:pt idx="1091">
                  <c:v>-1147.8089</c:v>
                </c:pt>
                <c:pt idx="1092">
                  <c:v>-1148.2519</c:v>
                </c:pt>
                <c:pt idx="1093">
                  <c:v>-1148.6929</c:v>
                </c:pt>
                <c:pt idx="1094">
                  <c:v>-1149.1359</c:v>
                </c:pt>
                <c:pt idx="1095">
                  <c:v>-1149.58</c:v>
                </c:pt>
                <c:pt idx="1096">
                  <c:v>-1150.021</c:v>
                </c:pt>
                <c:pt idx="1097">
                  <c:v>-1150.4650000000001</c:v>
                </c:pt>
                <c:pt idx="1098">
                  <c:v>-1150.9081000000001</c:v>
                </c:pt>
                <c:pt idx="1099">
                  <c:v>-1151.3511000000001</c:v>
                </c:pt>
                <c:pt idx="1100">
                  <c:v>-1151.7941000000001</c:v>
                </c:pt>
                <c:pt idx="1101">
                  <c:v>-1152.2352000000001</c:v>
                </c:pt>
                <c:pt idx="1102">
                  <c:v>-1152.6792</c:v>
                </c:pt>
                <c:pt idx="1103">
                  <c:v>-1153.1212999999998</c:v>
                </c:pt>
                <c:pt idx="1104">
                  <c:v>-1153.5652999999998</c:v>
                </c:pt>
                <c:pt idx="1105">
                  <c:v>-1154.0074</c:v>
                </c:pt>
                <c:pt idx="1106">
                  <c:v>-1154.4413</c:v>
                </c:pt>
                <c:pt idx="1107">
                  <c:v>-1154.8751999999999</c:v>
                </c:pt>
                <c:pt idx="1108">
                  <c:v>-1155.3081</c:v>
                </c:pt>
                <c:pt idx="1109">
                  <c:v>-1155.741</c:v>
                </c:pt>
                <c:pt idx="1110">
                  <c:v>-1156.1759</c:v>
                </c:pt>
                <c:pt idx="1111">
                  <c:v>-1156.6079</c:v>
                </c:pt>
                <c:pt idx="1112">
                  <c:v>-1157.0427999999999</c:v>
                </c:pt>
                <c:pt idx="1113">
                  <c:v>-1157.4757</c:v>
                </c:pt>
                <c:pt idx="1114">
                  <c:v>-1157.9086</c:v>
                </c:pt>
                <c:pt idx="1115">
                  <c:v>-1158.3416</c:v>
                </c:pt>
                <c:pt idx="1116">
                  <c:v>-1158.7764999999999</c:v>
                </c:pt>
                <c:pt idx="1117">
                  <c:v>-1159.2084</c:v>
                </c:pt>
                <c:pt idx="1118">
                  <c:v>-1159.6424</c:v>
                </c:pt>
                <c:pt idx="1119">
                  <c:v>-1160.0762999999999</c:v>
                </c:pt>
                <c:pt idx="1120">
                  <c:v>-1160.5073</c:v>
                </c:pt>
                <c:pt idx="1121">
                  <c:v>-1160.9413</c:v>
                </c:pt>
                <c:pt idx="1122">
                  <c:v>-1161.3723</c:v>
                </c:pt>
                <c:pt idx="1123">
                  <c:v>-1161.8082999999999</c:v>
                </c:pt>
                <c:pt idx="1124">
                  <c:v>-1162.2393000000002</c:v>
                </c:pt>
                <c:pt idx="1125">
                  <c:v>-1162.6732999999999</c:v>
                </c:pt>
                <c:pt idx="1126">
                  <c:v>-1163.1043</c:v>
                </c:pt>
                <c:pt idx="1127">
                  <c:v>-1163.5382999999999</c:v>
                </c:pt>
                <c:pt idx="1128">
                  <c:v>-1163.9724000000001</c:v>
                </c:pt>
                <c:pt idx="1129">
                  <c:v>-1164.4043999999999</c:v>
                </c:pt>
                <c:pt idx="1130">
                  <c:v>-1164.8373999999999</c:v>
                </c:pt>
                <c:pt idx="1131">
                  <c:v>-1165.2694000000001</c:v>
                </c:pt>
                <c:pt idx="1132">
                  <c:v>-1165.7034000000001</c:v>
                </c:pt>
                <c:pt idx="1133">
                  <c:v>-1166.1363999999999</c:v>
                </c:pt>
                <c:pt idx="1134">
                  <c:v>-1166.5685000000001</c:v>
                </c:pt>
                <c:pt idx="1135">
                  <c:v>-1167.0015000000001</c:v>
                </c:pt>
                <c:pt idx="1136">
                  <c:v>-1167.4345000000001</c:v>
                </c:pt>
                <c:pt idx="1137">
                  <c:v>-1167.8685</c:v>
                </c:pt>
                <c:pt idx="1138">
                  <c:v>-1168.3006</c:v>
                </c:pt>
                <c:pt idx="1139">
                  <c:v>-1168.7345999999998</c:v>
                </c:pt>
                <c:pt idx="1140">
                  <c:v>-1169.1655999999998</c:v>
                </c:pt>
                <c:pt idx="1141">
                  <c:v>-1169.5997</c:v>
                </c:pt>
                <c:pt idx="1142">
                  <c:v>-1170.0327</c:v>
                </c:pt>
                <c:pt idx="1143">
                  <c:v>-1170.4657</c:v>
                </c:pt>
                <c:pt idx="1144">
                  <c:v>-1170.8978</c:v>
                </c:pt>
                <c:pt idx="1145">
                  <c:v>-1171.3308</c:v>
                </c:pt>
                <c:pt idx="1146">
                  <c:v>-1171.7649000000001</c:v>
                </c:pt>
                <c:pt idx="1147">
                  <c:v>-1172.1979000000001</c:v>
                </c:pt>
                <c:pt idx="1148">
                  <c:v>-1172.6300000000001</c:v>
                </c:pt>
                <c:pt idx="1149">
                  <c:v>-1173.0629999999999</c:v>
                </c:pt>
                <c:pt idx="1150">
                  <c:v>-1173.4951000000001</c:v>
                </c:pt>
                <c:pt idx="1151">
                  <c:v>-1173.9301</c:v>
                </c:pt>
                <c:pt idx="1152">
                  <c:v>-1174.3622</c:v>
                </c:pt>
                <c:pt idx="1153">
                  <c:v>-1174.7951999999998</c:v>
                </c:pt>
                <c:pt idx="1154">
                  <c:v>-1175.2273</c:v>
                </c:pt>
                <c:pt idx="1155">
                  <c:v>-1175.6613</c:v>
                </c:pt>
                <c:pt idx="1156">
                  <c:v>-1176.0944</c:v>
                </c:pt>
                <c:pt idx="1157">
                  <c:v>-1176.5264999999999</c:v>
                </c:pt>
                <c:pt idx="1158">
                  <c:v>-1176.9594999999999</c:v>
                </c:pt>
                <c:pt idx="1159">
                  <c:v>-1177.3926000000001</c:v>
                </c:pt>
                <c:pt idx="1160">
                  <c:v>-1177.8267000000001</c:v>
                </c:pt>
                <c:pt idx="1161">
                  <c:v>-1178.2588000000001</c:v>
                </c:pt>
                <c:pt idx="1162">
                  <c:v>-1178.6928</c:v>
                </c:pt>
                <c:pt idx="1163">
                  <c:v>-1179.1249</c:v>
                </c:pt>
                <c:pt idx="1164">
                  <c:v>-1179.558</c:v>
                </c:pt>
                <c:pt idx="1165">
                  <c:v>-1179.9911</c:v>
                </c:pt>
                <c:pt idx="1166">
                  <c:v>-1180.4232000000002</c:v>
                </c:pt>
                <c:pt idx="1167">
                  <c:v>-1180.8562000000002</c:v>
                </c:pt>
                <c:pt idx="1168">
                  <c:v>-1181.2903000000001</c:v>
                </c:pt>
                <c:pt idx="1169">
                  <c:v>-1181.7233999999999</c:v>
                </c:pt>
                <c:pt idx="1170">
                  <c:v>-1182.1554999999998</c:v>
                </c:pt>
                <c:pt idx="1171">
                  <c:v>-1182.5876000000001</c:v>
                </c:pt>
                <c:pt idx="1172">
                  <c:v>-1183.0227000000002</c:v>
                </c:pt>
                <c:pt idx="1173">
                  <c:v>-1183.4538</c:v>
                </c:pt>
                <c:pt idx="1174">
                  <c:v>-1183.8888999999999</c:v>
                </c:pt>
                <c:pt idx="1175">
                  <c:v>-1184.3189</c:v>
                </c:pt>
                <c:pt idx="1176">
                  <c:v>-1184.7330999999999</c:v>
                </c:pt>
                <c:pt idx="1177">
                  <c:v>-1185.1482999999998</c:v>
                </c:pt>
                <c:pt idx="1178">
                  <c:v>-1185.5614</c:v>
                </c:pt>
                <c:pt idx="1179">
                  <c:v>-1185.9746</c:v>
                </c:pt>
                <c:pt idx="1180">
                  <c:v>-1186.3907999999999</c:v>
                </c:pt>
                <c:pt idx="1181">
                  <c:v>-1186.8049999999998</c:v>
                </c:pt>
                <c:pt idx="1182">
                  <c:v>-1187.2181</c:v>
                </c:pt>
                <c:pt idx="1183">
                  <c:v>-1187.6333</c:v>
                </c:pt>
                <c:pt idx="1184">
                  <c:v>-1188.0464999999999</c:v>
                </c:pt>
                <c:pt idx="1185">
                  <c:v>-1188.4478999999999</c:v>
                </c:pt>
                <c:pt idx="1186">
                  <c:v>-1188.8406</c:v>
                </c:pt>
                <c:pt idx="1187">
                  <c:v>-1189.2324000000001</c:v>
                </c:pt>
                <c:pt idx="1188">
                  <c:v>-1189.6232</c:v>
                </c:pt>
                <c:pt idx="1189">
                  <c:v>-1190.0159999999998</c:v>
                </c:pt>
                <c:pt idx="1190">
                  <c:v>-1190.4078</c:v>
                </c:pt>
                <c:pt idx="1191">
                  <c:v>-1190.7984999999999</c:v>
                </c:pt>
                <c:pt idx="1192">
                  <c:v>-1191.1903</c:v>
                </c:pt>
                <c:pt idx="1193">
                  <c:v>-1191.5831000000001</c:v>
                </c:pt>
                <c:pt idx="1194">
                  <c:v>-1191.9748999999999</c:v>
                </c:pt>
                <c:pt idx="1195">
                  <c:v>-1192.3667</c:v>
                </c:pt>
                <c:pt idx="1196">
                  <c:v>-1192.7574999999999</c:v>
                </c:pt>
                <c:pt idx="1197">
                  <c:v>-1193.1502</c:v>
                </c:pt>
                <c:pt idx="1198">
                  <c:v>-1193.5409999999999</c:v>
                </c:pt>
                <c:pt idx="1199">
                  <c:v>-1193.9318000000001</c:v>
                </c:pt>
                <c:pt idx="1200">
                  <c:v>-1194.3245999999999</c:v>
                </c:pt>
                <c:pt idx="1201">
                  <c:v>-1194.7144000000001</c:v>
                </c:pt>
                <c:pt idx="1202">
                  <c:v>-1195.1071999999999</c:v>
                </c:pt>
                <c:pt idx="1203">
                  <c:v>-1195.4979000000001</c:v>
                </c:pt>
                <c:pt idx="1204">
                  <c:v>-1195.8897000000002</c:v>
                </c:pt>
                <c:pt idx="1205">
                  <c:v>-1196.2805000000001</c:v>
                </c:pt>
                <c:pt idx="1206">
                  <c:v>-1196.6723000000002</c:v>
                </c:pt>
                <c:pt idx="1207">
                  <c:v>-1197.0650999999998</c:v>
                </c:pt>
                <c:pt idx="1208">
                  <c:v>-1197.4549000000002</c:v>
                </c:pt>
                <c:pt idx="1209">
                  <c:v>-1197.8487</c:v>
                </c:pt>
                <c:pt idx="1210">
                  <c:v>-1198.2394999999999</c:v>
                </c:pt>
                <c:pt idx="1211">
                  <c:v>-1198.6313</c:v>
                </c:pt>
                <c:pt idx="1212">
                  <c:v>-1199.0220999999999</c:v>
                </c:pt>
                <c:pt idx="1213">
                  <c:v>-1199.4140000000002</c:v>
                </c:pt>
                <c:pt idx="1214">
                  <c:v>-1199.8047999999999</c:v>
                </c:pt>
                <c:pt idx="1215">
                  <c:v>-1200.1966</c:v>
                </c:pt>
                <c:pt idx="1216">
                  <c:v>-1200.5775999999998</c:v>
                </c:pt>
                <c:pt idx="1217">
                  <c:v>-1200.8482999999999</c:v>
                </c:pt>
                <c:pt idx="1218">
                  <c:v>-1201.1189999999999</c:v>
                </c:pt>
                <c:pt idx="1219">
                  <c:v>-1201.3896999999999</c:v>
                </c:pt>
                <c:pt idx="1220">
                  <c:v>-1201.6604</c:v>
                </c:pt>
                <c:pt idx="1221">
                  <c:v>-1201.9301</c:v>
                </c:pt>
                <c:pt idx="1222">
                  <c:v>-1202.2019</c:v>
                </c:pt>
                <c:pt idx="1223">
                  <c:v>-1202.4726000000001</c:v>
                </c:pt>
                <c:pt idx="1224">
                  <c:v>-1202.7422999999999</c:v>
                </c:pt>
                <c:pt idx="1225">
                  <c:v>-1203.0129999999999</c:v>
                </c:pt>
                <c:pt idx="1226">
                  <c:v>-1203.2846999999999</c:v>
                </c:pt>
                <c:pt idx="1227">
                  <c:v>-1203.5554</c:v>
                </c:pt>
                <c:pt idx="1228">
                  <c:v>-1203.8251</c:v>
                </c:pt>
                <c:pt idx="1229">
                  <c:v>-1204.0969</c:v>
                </c:pt>
                <c:pt idx="1230">
                  <c:v>-1204.2864</c:v>
                </c:pt>
                <c:pt idx="1231">
                  <c:v>-1204.3706999999999</c:v>
                </c:pt>
                <c:pt idx="1232">
                  <c:v>-1204.4550000000002</c:v>
                </c:pt>
                <c:pt idx="1233">
                  <c:v>-1204.5392999999999</c:v>
                </c:pt>
                <c:pt idx="1234">
                  <c:v>-1204.6226000000001</c:v>
                </c:pt>
                <c:pt idx="1235">
                  <c:v>-1204.7069000000001</c:v>
                </c:pt>
                <c:pt idx="1236">
                  <c:v>-1204.7912000000001</c:v>
                </c:pt>
                <c:pt idx="1237">
                  <c:v>-1204.8755000000001</c:v>
                </c:pt>
                <c:pt idx="1238">
                  <c:v>-1204.9598000000001</c:v>
                </c:pt>
                <c:pt idx="1239">
                  <c:v>-1205.0441000000001</c:v>
                </c:pt>
                <c:pt idx="1240">
                  <c:v>-1205.1284000000001</c:v>
                </c:pt>
                <c:pt idx="1241">
                  <c:v>-1205.2126999999998</c:v>
                </c:pt>
                <c:pt idx="1242">
                  <c:v>-1205.297</c:v>
                </c:pt>
                <c:pt idx="1243">
                  <c:v>-1205.3813</c:v>
                </c:pt>
                <c:pt idx="1244">
                  <c:v>-1205.4656</c:v>
                </c:pt>
                <c:pt idx="1245">
                  <c:v>-1205.5509</c:v>
                </c:pt>
                <c:pt idx="1246">
                  <c:v>-1205.6332</c:v>
                </c:pt>
                <c:pt idx="1247">
                  <c:v>-1205.7184999999999</c:v>
                </c:pt>
                <c:pt idx="1248">
                  <c:v>-1205.8027999999999</c:v>
                </c:pt>
                <c:pt idx="1249">
                  <c:v>-1205.8870999999999</c:v>
                </c:pt>
                <c:pt idx="1250">
                  <c:v>-1205.9713999999999</c:v>
                </c:pt>
                <c:pt idx="1251">
                  <c:v>-1206.0546999999999</c:v>
                </c:pt>
                <c:pt idx="1252">
                  <c:v>-1206.1390000000001</c:v>
                </c:pt>
                <c:pt idx="1253">
                  <c:v>-1206.2233000000001</c:v>
                </c:pt>
                <c:pt idx="1254">
                  <c:v>-1206.3066000000001</c:v>
                </c:pt>
                <c:pt idx="1255">
                  <c:v>-1206.3919000000001</c:v>
                </c:pt>
                <c:pt idx="1256">
                  <c:v>-1206.4762000000001</c:v>
                </c:pt>
                <c:pt idx="1257">
                  <c:v>-1206.5605</c:v>
                </c:pt>
                <c:pt idx="1258">
                  <c:v>-1206.6438000000001</c:v>
                </c:pt>
                <c:pt idx="1259">
                  <c:v>-1206.7280999999998</c:v>
                </c:pt>
                <c:pt idx="1260">
                  <c:v>-1206.8134</c:v>
                </c:pt>
                <c:pt idx="1261">
                  <c:v>-1206.7013999999999</c:v>
                </c:pt>
                <c:pt idx="1262">
                  <c:v>-1206.3471</c:v>
                </c:pt>
                <c:pt idx="1263">
                  <c:v>-1205.9939000000002</c:v>
                </c:pt>
                <c:pt idx="1264">
                  <c:v>-1205.6405999999999</c:v>
                </c:pt>
                <c:pt idx="1265">
                  <c:v>-1205.2873</c:v>
                </c:pt>
                <c:pt idx="1266">
                  <c:v>-1204.9340999999999</c:v>
                </c:pt>
                <c:pt idx="1267">
                  <c:v>-1204.5798</c:v>
                </c:pt>
                <c:pt idx="1268">
                  <c:v>-1204.2265000000002</c:v>
                </c:pt>
                <c:pt idx="1269">
                  <c:v>-1203.8712</c:v>
                </c:pt>
                <c:pt idx="1270">
                  <c:v>-1203.519</c:v>
                </c:pt>
                <c:pt idx="1271">
                  <c:v>-1203.1647</c:v>
                </c:pt>
                <c:pt idx="1272">
                  <c:v>-1202.8114</c:v>
                </c:pt>
                <c:pt idx="1273">
                  <c:v>-1202.4580999999998</c:v>
                </c:pt>
                <c:pt idx="1274">
                  <c:v>-1202.1039000000001</c:v>
                </c:pt>
                <c:pt idx="1275">
                  <c:v>-1201.7505999999998</c:v>
                </c:pt>
                <c:pt idx="1276">
                  <c:v>-1201.3973000000001</c:v>
                </c:pt>
                <c:pt idx="1277">
                  <c:v>-1201.0430000000001</c:v>
                </c:pt>
                <c:pt idx="1278">
                  <c:v>-1200.6898000000001</c:v>
                </c:pt>
                <c:pt idx="1279">
                  <c:v>-1200.3344999999999</c:v>
                </c:pt>
                <c:pt idx="1280">
                  <c:v>-1199.9812000000002</c:v>
                </c:pt>
                <c:pt idx="1281">
                  <c:v>-1199.6269</c:v>
                </c:pt>
                <c:pt idx="1282">
                  <c:v>-1199.2717000000002</c:v>
                </c:pt>
                <c:pt idx="1283">
                  <c:v>-1198.9194</c:v>
                </c:pt>
                <c:pt idx="1284">
                  <c:v>-1198.5650999999998</c:v>
                </c:pt>
                <c:pt idx="1285">
                  <c:v>-1198.2087999999999</c:v>
                </c:pt>
                <c:pt idx="1286">
                  <c:v>-1197.8554999999999</c:v>
                </c:pt>
                <c:pt idx="1287">
                  <c:v>-1197.5022999999999</c:v>
                </c:pt>
                <c:pt idx="1288">
                  <c:v>-1197.1479999999999</c:v>
                </c:pt>
                <c:pt idx="1289">
                  <c:v>-1196.7927</c:v>
                </c:pt>
                <c:pt idx="1290">
                  <c:v>-1196.4384</c:v>
                </c:pt>
                <c:pt idx="1291">
                  <c:v>-1196.0851000000002</c:v>
                </c:pt>
                <c:pt idx="1292">
                  <c:v>-1195.7298000000001</c:v>
                </c:pt>
                <c:pt idx="1293">
                  <c:v>-1195.3746000000001</c:v>
                </c:pt>
                <c:pt idx="1294">
                  <c:v>-1195.0203000000001</c:v>
                </c:pt>
                <c:pt idx="1295">
                  <c:v>-1194.6670000000001</c:v>
                </c:pt>
                <c:pt idx="1296">
                  <c:v>-1194.3117</c:v>
                </c:pt>
                <c:pt idx="1297">
                  <c:v>-1193.9574</c:v>
                </c:pt>
                <c:pt idx="1298">
                  <c:v>-1193.6021000000001</c:v>
                </c:pt>
                <c:pt idx="1299">
                  <c:v>-1193.2478000000001</c:v>
                </c:pt>
                <c:pt idx="1300">
                  <c:v>-1192.8926000000001</c:v>
                </c:pt>
                <c:pt idx="1301">
                  <c:v>-1192.5392999999999</c:v>
                </c:pt>
                <c:pt idx="1302">
                  <c:v>-1192.1849999999999</c:v>
                </c:pt>
                <c:pt idx="1303">
                  <c:v>-1191.8296999999998</c:v>
                </c:pt>
                <c:pt idx="1304">
                  <c:v>-1191.4743999999998</c:v>
                </c:pt>
                <c:pt idx="1305">
                  <c:v>-1191.1201000000001</c:v>
                </c:pt>
                <c:pt idx="1306">
                  <c:v>-1190.7637999999999</c:v>
                </c:pt>
                <c:pt idx="1307">
                  <c:v>-1190.4095</c:v>
                </c:pt>
                <c:pt idx="1308">
                  <c:v>-1190.0542</c:v>
                </c:pt>
                <c:pt idx="1309">
                  <c:v>-1189.6999000000001</c:v>
                </c:pt>
                <c:pt idx="1310">
                  <c:v>-1189.3445999999999</c:v>
                </c:pt>
                <c:pt idx="1311">
                  <c:v>-1188.9902999999999</c:v>
                </c:pt>
                <c:pt idx="1312">
                  <c:v>-1188.6350000000002</c:v>
                </c:pt>
                <c:pt idx="1313">
                  <c:v>-1188.2808</c:v>
                </c:pt>
                <c:pt idx="1314">
                  <c:v>-1187.9254999999998</c:v>
                </c:pt>
                <c:pt idx="1315">
                  <c:v>-1187.5691999999999</c:v>
                </c:pt>
                <c:pt idx="1316">
                  <c:v>-1187.2148999999999</c:v>
                </c:pt>
                <c:pt idx="1317">
                  <c:v>-1186.8578</c:v>
                </c:pt>
                <c:pt idx="1318">
                  <c:v>-1186.5018</c:v>
                </c:pt>
                <c:pt idx="1319">
                  <c:v>-1186.1448</c:v>
                </c:pt>
                <c:pt idx="1320">
                  <c:v>-1185.7888</c:v>
                </c:pt>
                <c:pt idx="1321">
                  <c:v>-1185.4319</c:v>
                </c:pt>
                <c:pt idx="1322">
                  <c:v>-1185.0739000000001</c:v>
                </c:pt>
                <c:pt idx="1323">
                  <c:v>-1184.7179000000001</c:v>
                </c:pt>
                <c:pt idx="1324">
                  <c:v>-1184.3608999999999</c:v>
                </c:pt>
                <c:pt idx="1325">
                  <c:v>-1184.0038999999999</c:v>
                </c:pt>
                <c:pt idx="1326">
                  <c:v>-1183.6469999999999</c:v>
                </c:pt>
                <c:pt idx="1327">
                  <c:v>-1183.29</c:v>
                </c:pt>
                <c:pt idx="1328">
                  <c:v>-1182.9330000000002</c:v>
                </c:pt>
                <c:pt idx="1329">
                  <c:v>-1182.576</c:v>
                </c:pt>
                <c:pt idx="1330">
                  <c:v>-1182.2189999999998</c:v>
                </c:pt>
                <c:pt idx="1331">
                  <c:v>-1181.8620000000001</c:v>
                </c:pt>
                <c:pt idx="1332">
                  <c:v>-1181.5060000000001</c:v>
                </c:pt>
                <c:pt idx="1333">
                  <c:v>-1181.1480000000001</c:v>
                </c:pt>
                <c:pt idx="1334">
                  <c:v>-1180.7910999999999</c:v>
                </c:pt>
                <c:pt idx="1335">
                  <c:v>-1180.4331000000002</c:v>
                </c:pt>
                <c:pt idx="1336">
                  <c:v>-1180.0751</c:v>
                </c:pt>
                <c:pt idx="1337">
                  <c:v>-1179.7191</c:v>
                </c:pt>
                <c:pt idx="1338">
                  <c:v>-1179.3621000000001</c:v>
                </c:pt>
                <c:pt idx="1339">
                  <c:v>-1179.0041000000001</c:v>
                </c:pt>
                <c:pt idx="1340">
                  <c:v>-1178.6471000000001</c:v>
                </c:pt>
                <c:pt idx="1341">
                  <c:v>-1178.2753</c:v>
                </c:pt>
                <c:pt idx="1342">
                  <c:v>-1177.8993</c:v>
                </c:pt>
                <c:pt idx="1343">
                  <c:v>-1177.5234</c:v>
                </c:pt>
                <c:pt idx="1344">
                  <c:v>-1177.1484</c:v>
                </c:pt>
                <c:pt idx="1345">
                  <c:v>-1176.7723999999998</c:v>
                </c:pt>
                <c:pt idx="1346">
                  <c:v>-1176.3973999999998</c:v>
                </c:pt>
                <c:pt idx="1347">
                  <c:v>-1176.0234999999998</c:v>
                </c:pt>
                <c:pt idx="1348">
                  <c:v>-1175.6475</c:v>
                </c:pt>
                <c:pt idx="1349">
                  <c:v>-1175.2705000000001</c:v>
                </c:pt>
                <c:pt idx="1350">
                  <c:v>-1174.8944999999999</c:v>
                </c:pt>
                <c:pt idx="1351">
                  <c:v>-1174.5196000000001</c:v>
                </c:pt>
                <c:pt idx="1352">
                  <c:v>-1174.1435999999999</c:v>
                </c:pt>
                <c:pt idx="1353">
                  <c:v>-1173.7665999999999</c:v>
                </c:pt>
                <c:pt idx="1354">
                  <c:v>-1173.3916000000002</c:v>
                </c:pt>
                <c:pt idx="1355">
                  <c:v>-1173.0165999999999</c:v>
                </c:pt>
                <c:pt idx="1356">
                  <c:v>-1172.6406999999999</c:v>
                </c:pt>
                <c:pt idx="1357">
                  <c:v>-1172.2637</c:v>
                </c:pt>
                <c:pt idx="1358">
                  <c:v>-1171.8887</c:v>
                </c:pt>
                <c:pt idx="1359">
                  <c:v>-1171.5127</c:v>
                </c:pt>
                <c:pt idx="1360">
                  <c:v>-1171.1356999999998</c:v>
                </c:pt>
                <c:pt idx="1361">
                  <c:v>-1170.7598</c:v>
                </c:pt>
                <c:pt idx="1362">
                  <c:v>-1170.3848</c:v>
                </c:pt>
                <c:pt idx="1363">
                  <c:v>-1170.0067999999999</c:v>
                </c:pt>
                <c:pt idx="1364">
                  <c:v>-1169.6308000000001</c:v>
                </c:pt>
                <c:pt idx="1365">
                  <c:v>-1169.2548000000002</c:v>
                </c:pt>
                <c:pt idx="1366">
                  <c:v>-1168.8788999999999</c:v>
                </c:pt>
                <c:pt idx="1367">
                  <c:v>-1168.5029</c:v>
                </c:pt>
                <c:pt idx="1368">
                  <c:v>-1168.1259</c:v>
                </c:pt>
                <c:pt idx="1369">
                  <c:v>-1167.7498999999998</c:v>
                </c:pt>
                <c:pt idx="1370">
                  <c:v>-1167.3739</c:v>
                </c:pt>
                <c:pt idx="1371">
                  <c:v>-1166.9875999999999</c:v>
                </c:pt>
                <c:pt idx="1372">
                  <c:v>-1166.5878000000002</c:v>
                </c:pt>
                <c:pt idx="1373">
                  <c:v>-1166.1880000000001</c:v>
                </c:pt>
                <c:pt idx="1374">
                  <c:v>-1165.7872</c:v>
                </c:pt>
                <c:pt idx="1375">
                  <c:v>-1165.3874000000001</c:v>
                </c:pt>
                <c:pt idx="1376">
                  <c:v>-1164.9866</c:v>
                </c:pt>
                <c:pt idx="1377">
                  <c:v>-1164.5869</c:v>
                </c:pt>
                <c:pt idx="1378">
                  <c:v>-1164.1840999999999</c:v>
                </c:pt>
                <c:pt idx="1379">
                  <c:v>-1163.7843</c:v>
                </c:pt>
                <c:pt idx="1380">
                  <c:v>-1163.3834999999999</c:v>
                </c:pt>
                <c:pt idx="1381">
                  <c:v>-1162.9827</c:v>
                </c:pt>
                <c:pt idx="1382">
                  <c:v>-1162.5818999999999</c:v>
                </c:pt>
                <c:pt idx="1383">
                  <c:v>-1162.1821</c:v>
                </c:pt>
                <c:pt idx="1384">
                  <c:v>-1161.7823000000001</c:v>
                </c:pt>
                <c:pt idx="1385">
                  <c:v>-1161.3805</c:v>
                </c:pt>
                <c:pt idx="1386">
                  <c:v>-1160.9796999999999</c:v>
                </c:pt>
                <c:pt idx="1387">
                  <c:v>-1160.5789</c:v>
                </c:pt>
                <c:pt idx="1388">
                  <c:v>-1160.1791000000001</c:v>
                </c:pt>
                <c:pt idx="1389">
                  <c:v>-1159.7792999999999</c:v>
                </c:pt>
                <c:pt idx="1390">
                  <c:v>-1159.3774999999998</c:v>
                </c:pt>
                <c:pt idx="1391">
                  <c:v>-1158.9747</c:v>
                </c:pt>
                <c:pt idx="1392">
                  <c:v>-1158.5739000000001</c:v>
                </c:pt>
                <c:pt idx="1393">
                  <c:v>-1158.1731000000002</c:v>
                </c:pt>
                <c:pt idx="1394">
                  <c:v>-1157.7723000000001</c:v>
                </c:pt>
                <c:pt idx="1395">
                  <c:v>-1157.3724999999999</c:v>
                </c:pt>
                <c:pt idx="1396">
                  <c:v>-1156.9717000000001</c:v>
                </c:pt>
                <c:pt idx="1397">
                  <c:v>-1156.5699</c:v>
                </c:pt>
                <c:pt idx="1398">
                  <c:v>-1156.1691000000001</c:v>
                </c:pt>
                <c:pt idx="1399">
                  <c:v>-1155.7663</c:v>
                </c:pt>
                <c:pt idx="1400">
                  <c:v>-1155.3654999999999</c:v>
                </c:pt>
                <c:pt idx="1401">
                  <c:v>-1154.9637</c:v>
                </c:pt>
                <c:pt idx="1402">
                  <c:v>-1154.5638999999999</c:v>
                </c:pt>
                <c:pt idx="1403">
                  <c:v>-1154.1621</c:v>
                </c:pt>
                <c:pt idx="1404">
                  <c:v>-1153.7602999999999</c:v>
                </c:pt>
                <c:pt idx="1405">
                  <c:v>-1153.3575000000001</c:v>
                </c:pt>
                <c:pt idx="1406">
                  <c:v>-1152.9576999999999</c:v>
                </c:pt>
                <c:pt idx="1407">
                  <c:v>-1152.5559000000001</c:v>
                </c:pt>
                <c:pt idx="1408">
                  <c:v>-1152.1550999999999</c:v>
                </c:pt>
                <c:pt idx="1409">
                  <c:v>-1151.7532999999999</c:v>
                </c:pt>
                <c:pt idx="1410">
                  <c:v>-1151.3505</c:v>
                </c:pt>
                <c:pt idx="1411">
                  <c:v>-1150.9497000000001</c:v>
                </c:pt>
                <c:pt idx="1412">
                  <c:v>-1150.5489</c:v>
                </c:pt>
                <c:pt idx="1413">
                  <c:v>-1150.1470999999999</c:v>
                </c:pt>
                <c:pt idx="1414">
                  <c:v>-1149.7442999999998</c:v>
                </c:pt>
                <c:pt idx="1415">
                  <c:v>-1149.3425</c:v>
                </c:pt>
                <c:pt idx="1416">
                  <c:v>-1148.9406999999999</c:v>
                </c:pt>
                <c:pt idx="1417">
                  <c:v>-1148.5399</c:v>
                </c:pt>
                <c:pt idx="1418">
                  <c:v>-1148.1390999999999</c:v>
                </c:pt>
                <c:pt idx="1419">
                  <c:v>-1147.7363</c:v>
                </c:pt>
                <c:pt idx="1420">
                  <c:v>-1147.3345000000002</c:v>
                </c:pt>
                <c:pt idx="1421">
                  <c:v>-1146.9326000000001</c:v>
                </c:pt>
                <c:pt idx="1422">
                  <c:v>-1146.5318</c:v>
                </c:pt>
                <c:pt idx="1423">
                  <c:v>-1146.1289999999999</c:v>
                </c:pt>
                <c:pt idx="1424">
                  <c:v>-1145.7262000000001</c:v>
                </c:pt>
                <c:pt idx="1425">
                  <c:v>-1145.3244000000002</c:v>
                </c:pt>
                <c:pt idx="1426">
                  <c:v>-1144.9216000000001</c:v>
                </c:pt>
                <c:pt idx="1427">
                  <c:v>-1144.5188000000001</c:v>
                </c:pt>
                <c:pt idx="1428">
                  <c:v>-1144.1179999999999</c:v>
                </c:pt>
                <c:pt idx="1429">
                  <c:v>-1143.7162000000001</c:v>
                </c:pt>
                <c:pt idx="1430">
                  <c:v>-1143.3134</c:v>
                </c:pt>
                <c:pt idx="1431">
                  <c:v>-1142.9105999999999</c:v>
                </c:pt>
                <c:pt idx="1432">
                  <c:v>-1142.5088000000001</c:v>
                </c:pt>
                <c:pt idx="1433">
                  <c:v>-1142.1059</c:v>
                </c:pt>
                <c:pt idx="1434">
                  <c:v>-1141.7030999999999</c:v>
                </c:pt>
                <c:pt idx="1435">
                  <c:v>-1141.3013000000001</c:v>
                </c:pt>
                <c:pt idx="1436">
                  <c:v>-1140.9005000000002</c:v>
                </c:pt>
                <c:pt idx="1437">
                  <c:v>-1140.4966999999999</c:v>
                </c:pt>
                <c:pt idx="1438">
                  <c:v>-1140.0938999999998</c:v>
                </c:pt>
                <c:pt idx="1439">
                  <c:v>-1139.6921</c:v>
                </c:pt>
                <c:pt idx="1440">
                  <c:v>-1139.2903000000001</c:v>
                </c:pt>
                <c:pt idx="1441">
                  <c:v>-1138.8865000000001</c:v>
                </c:pt>
                <c:pt idx="1442">
                  <c:v>-1138.4846000000002</c:v>
                </c:pt>
                <c:pt idx="1443">
                  <c:v>-1138.0817999999999</c:v>
                </c:pt>
                <c:pt idx="1444">
                  <c:v>-1137.6178</c:v>
                </c:pt>
                <c:pt idx="1445">
                  <c:v>-1137.0831000000001</c:v>
                </c:pt>
                <c:pt idx="1446">
                  <c:v>-1136.5484999999999</c:v>
                </c:pt>
                <c:pt idx="1447">
                  <c:v>-1135.9780999999998</c:v>
                </c:pt>
                <c:pt idx="1448">
                  <c:v>-1135.3089</c:v>
                </c:pt>
                <c:pt idx="1449">
                  <c:v>-1134.6396</c:v>
                </c:pt>
                <c:pt idx="1450">
                  <c:v>-1133.9714000000001</c:v>
                </c:pt>
                <c:pt idx="1451">
                  <c:v>-1133.3031000000001</c:v>
                </c:pt>
                <c:pt idx="1452">
                  <c:v>-1132.6349</c:v>
                </c:pt>
                <c:pt idx="1453">
                  <c:v>-1131.9657</c:v>
                </c:pt>
                <c:pt idx="1454">
                  <c:v>-1131.2964000000002</c:v>
                </c:pt>
                <c:pt idx="1455">
                  <c:v>-1130.6271999999999</c:v>
                </c:pt>
                <c:pt idx="1456">
                  <c:v>-1129.9590000000001</c:v>
                </c:pt>
                <c:pt idx="1457">
                  <c:v>-1129.2897</c:v>
                </c:pt>
                <c:pt idx="1458">
                  <c:v>-1128.6194999999998</c:v>
                </c:pt>
                <c:pt idx="1459">
                  <c:v>-1127.9493</c:v>
                </c:pt>
                <c:pt idx="1460">
                  <c:v>-1127.2809999999999</c:v>
                </c:pt>
                <c:pt idx="1461">
                  <c:v>-1126.6118000000001</c:v>
                </c:pt>
                <c:pt idx="1462">
                  <c:v>-1125.9425999999999</c:v>
                </c:pt>
                <c:pt idx="1463">
                  <c:v>-1125.2723000000001</c:v>
                </c:pt>
                <c:pt idx="1464">
                  <c:v>-1124.5268000000001</c:v>
                </c:pt>
                <c:pt idx="1465">
                  <c:v>-1123.7420999999999</c:v>
                </c:pt>
                <c:pt idx="1466">
                  <c:v>-1122.9043000000001</c:v>
                </c:pt>
                <c:pt idx="1467">
                  <c:v>-1122.0645000000002</c:v>
                </c:pt>
                <c:pt idx="1468">
                  <c:v>-1121.2257</c:v>
                </c:pt>
                <c:pt idx="1469">
                  <c:v>-1120.3868</c:v>
                </c:pt>
                <c:pt idx="1470">
                  <c:v>-1119.549</c:v>
                </c:pt>
                <c:pt idx="1471">
                  <c:v>-1118.7092</c:v>
                </c:pt>
                <c:pt idx="1472">
                  <c:v>-1117.8684000000001</c:v>
                </c:pt>
                <c:pt idx="1473">
                  <c:v>-1117.0306</c:v>
                </c:pt>
                <c:pt idx="1474">
                  <c:v>-1116.1793</c:v>
                </c:pt>
                <c:pt idx="1475">
                  <c:v>-1115.1715000000002</c:v>
                </c:pt>
                <c:pt idx="1476">
                  <c:v>-1114.1627000000001</c:v>
                </c:pt>
                <c:pt idx="1477">
                  <c:v>-1113.1569</c:v>
                </c:pt>
                <c:pt idx="1478">
                  <c:v>-1112.1491000000001</c:v>
                </c:pt>
                <c:pt idx="1479">
                  <c:v>-1111.1413</c:v>
                </c:pt>
                <c:pt idx="1480">
                  <c:v>-1110.1324999999999</c:v>
                </c:pt>
                <c:pt idx="1481">
                  <c:v>-1109.1237000000001</c:v>
                </c:pt>
                <c:pt idx="1482">
                  <c:v>-1108.116</c:v>
                </c:pt>
                <c:pt idx="1483">
                  <c:v>-1107.1071999999999</c:v>
                </c:pt>
                <c:pt idx="1484">
                  <c:v>-1106.0984000000001</c:v>
                </c:pt>
                <c:pt idx="1485">
                  <c:v>-1105.0906</c:v>
                </c:pt>
                <c:pt idx="1486">
                  <c:v>-1104.0798</c:v>
                </c:pt>
                <c:pt idx="1487">
                  <c:v>-1103.0711000000001</c:v>
                </c:pt>
                <c:pt idx="1488">
                  <c:v>-1101.9533000000001</c:v>
                </c:pt>
                <c:pt idx="1489">
                  <c:v>-1100.7824000000001</c:v>
                </c:pt>
                <c:pt idx="1490">
                  <c:v>-1099.6124</c:v>
                </c:pt>
                <c:pt idx="1491">
                  <c:v>-1098.4423999999999</c:v>
                </c:pt>
                <c:pt idx="1492">
                  <c:v>-1097.2705000000001</c:v>
                </c:pt>
                <c:pt idx="1493">
                  <c:v>-1096.1005</c:v>
                </c:pt>
                <c:pt idx="1494">
                  <c:v>-1094.9304999999999</c:v>
                </c:pt>
                <c:pt idx="1495">
                  <c:v>-1093.7586000000001</c:v>
                </c:pt>
                <c:pt idx="1496">
                  <c:v>-1092.4607999999998</c:v>
                </c:pt>
                <c:pt idx="1497">
                  <c:v>-1091.1621</c:v>
                </c:pt>
                <c:pt idx="1498">
                  <c:v>-1089.8603000000001</c:v>
                </c:pt>
                <c:pt idx="1499">
                  <c:v>-1088.5615</c:v>
                </c:pt>
                <c:pt idx="1500">
                  <c:v>-1087.2617</c:v>
                </c:pt>
                <c:pt idx="1501">
                  <c:v>-1085.963</c:v>
                </c:pt>
                <c:pt idx="1502">
                  <c:v>-1084.6612</c:v>
                </c:pt>
                <c:pt idx="1503">
                  <c:v>-1083.3624</c:v>
                </c:pt>
                <c:pt idx="1504">
                  <c:v>-1082.0626999999999</c:v>
                </c:pt>
                <c:pt idx="1505">
                  <c:v>-1080.7609</c:v>
                </c:pt>
                <c:pt idx="1506">
                  <c:v>-1079.4621999999999</c:v>
                </c:pt>
                <c:pt idx="1507">
                  <c:v>-1078.1499000000001</c:v>
                </c:pt>
                <c:pt idx="1508">
                  <c:v>-1076.7216000000001</c:v>
                </c:pt>
                <c:pt idx="1509">
                  <c:v>-1075.2934</c:v>
                </c:pt>
                <c:pt idx="1510">
                  <c:v>-1073.8652</c:v>
                </c:pt>
                <c:pt idx="1511">
                  <c:v>-1072.4370000000001</c:v>
                </c:pt>
                <c:pt idx="1512">
                  <c:v>-1071.0088000000001</c:v>
                </c:pt>
                <c:pt idx="1513">
                  <c:v>-1069.5797</c:v>
                </c:pt>
                <c:pt idx="1514">
                  <c:v>-1068.1505</c:v>
                </c:pt>
                <c:pt idx="1515">
                  <c:v>-1066.7222999999999</c:v>
                </c:pt>
                <c:pt idx="1516">
                  <c:v>-1065.2931000000001</c:v>
                </c:pt>
                <c:pt idx="1517">
                  <c:v>-1063.8649</c:v>
                </c:pt>
                <c:pt idx="1518">
                  <c:v>-1062.4347</c:v>
                </c:pt>
                <c:pt idx="1519">
                  <c:v>-1061.0046</c:v>
                </c:pt>
                <c:pt idx="1520">
                  <c:v>-1059.5753999999999</c:v>
                </c:pt>
                <c:pt idx="1521">
                  <c:v>-1058.1442</c:v>
                </c:pt>
                <c:pt idx="1522">
                  <c:v>-1056.7161000000001</c:v>
                </c:pt>
                <c:pt idx="1523">
                  <c:v>-1055.2858999999999</c:v>
                </c:pt>
                <c:pt idx="1524">
                  <c:v>-1053.8558</c:v>
                </c:pt>
                <c:pt idx="1525">
                  <c:v>-1052.4246000000001</c:v>
                </c:pt>
                <c:pt idx="1526">
                  <c:v>-1050.9954</c:v>
                </c:pt>
                <c:pt idx="1527">
                  <c:v>-1049.5643</c:v>
                </c:pt>
                <c:pt idx="1528">
                  <c:v>-1048.1332</c:v>
                </c:pt>
                <c:pt idx="1529">
                  <c:v>-1046.7040000000002</c:v>
                </c:pt>
                <c:pt idx="1530">
                  <c:v>-1045.2709</c:v>
                </c:pt>
                <c:pt idx="1531">
                  <c:v>-1043.8407</c:v>
                </c:pt>
                <c:pt idx="1532">
                  <c:v>-1042.4086</c:v>
                </c:pt>
                <c:pt idx="1533">
                  <c:v>-1040.9785000000002</c:v>
                </c:pt>
                <c:pt idx="1534">
                  <c:v>-1039.5473999999999</c:v>
                </c:pt>
                <c:pt idx="1535">
                  <c:v>-1038.1171999999999</c:v>
                </c:pt>
                <c:pt idx="1536">
                  <c:v>-1036.6840999999999</c:v>
                </c:pt>
                <c:pt idx="1537">
                  <c:v>-1035.2520000000002</c:v>
                </c:pt>
                <c:pt idx="1538">
                  <c:v>-1033.8208999999999</c:v>
                </c:pt>
                <c:pt idx="1539">
                  <c:v>-1032.3887999999999</c:v>
                </c:pt>
                <c:pt idx="1540">
                  <c:v>-1030.9557</c:v>
                </c:pt>
                <c:pt idx="1541">
                  <c:v>-1029.5226</c:v>
                </c:pt>
                <c:pt idx="1542">
                  <c:v>-1028.0905</c:v>
                </c:pt>
                <c:pt idx="1543">
                  <c:v>-1026.6584</c:v>
                </c:pt>
                <c:pt idx="1544">
                  <c:v>-1025.2263</c:v>
                </c:pt>
                <c:pt idx="1545">
                  <c:v>-1023.7932</c:v>
                </c:pt>
                <c:pt idx="1546">
                  <c:v>-1022.3600999999999</c:v>
                </c:pt>
                <c:pt idx="1547">
                  <c:v>-1020.9271</c:v>
                </c:pt>
                <c:pt idx="1548">
                  <c:v>-1019.4930000000001</c:v>
                </c:pt>
                <c:pt idx="1549">
                  <c:v>-1018.0599000000001</c:v>
                </c:pt>
                <c:pt idx="1550">
                  <c:v>-1016.6258</c:v>
                </c:pt>
                <c:pt idx="1551">
                  <c:v>-1015.1938</c:v>
                </c:pt>
                <c:pt idx="1552">
                  <c:v>-1013.7597000000001</c:v>
                </c:pt>
                <c:pt idx="1553">
                  <c:v>-1012.3256000000001</c:v>
                </c:pt>
                <c:pt idx="1554">
                  <c:v>-1010.8905999999999</c:v>
                </c:pt>
                <c:pt idx="1555">
                  <c:v>-1009.4564999999999</c:v>
                </c:pt>
                <c:pt idx="1556">
                  <c:v>-1008.0235</c:v>
                </c:pt>
                <c:pt idx="1557">
                  <c:v>-1006.5873999999999</c:v>
                </c:pt>
                <c:pt idx="1558">
                  <c:v>-1005.1534</c:v>
                </c:pt>
                <c:pt idx="1559">
                  <c:v>-1003.7193</c:v>
                </c:pt>
                <c:pt idx="1560">
                  <c:v>-1002.2832999999999</c:v>
                </c:pt>
                <c:pt idx="1561">
                  <c:v>-1000.8503000000001</c:v>
                </c:pt>
                <c:pt idx="1562">
                  <c:v>-999.41519999999991</c:v>
                </c:pt>
                <c:pt idx="1563">
                  <c:v>-997.98019999999997</c:v>
                </c:pt>
                <c:pt idx="1564">
                  <c:v>-996.54420000000005</c:v>
                </c:pt>
                <c:pt idx="1565">
                  <c:v>-995.10810000000004</c:v>
                </c:pt>
                <c:pt idx="1566">
                  <c:v>-993.6721</c:v>
                </c:pt>
                <c:pt idx="1567">
                  <c:v>-992.23609999999996</c:v>
                </c:pt>
                <c:pt idx="1568">
                  <c:v>-990.80010000000016</c:v>
                </c:pt>
                <c:pt idx="1569">
                  <c:v>-989.36410000000001</c:v>
                </c:pt>
                <c:pt idx="1570">
                  <c:v>-987.92910000000006</c:v>
                </c:pt>
                <c:pt idx="1571">
                  <c:v>-986.49209999999994</c:v>
                </c:pt>
                <c:pt idx="1572">
                  <c:v>-985.05509999999981</c:v>
                </c:pt>
                <c:pt idx="1573">
                  <c:v>-983.6191</c:v>
                </c:pt>
                <c:pt idx="1574">
                  <c:v>-982.18209999999999</c:v>
                </c:pt>
                <c:pt idx="1575">
                  <c:v>-980.74610000000007</c:v>
                </c:pt>
                <c:pt idx="1576">
                  <c:v>-979.30809999999997</c:v>
                </c:pt>
                <c:pt idx="1577">
                  <c:v>-977.87209999999993</c:v>
                </c:pt>
                <c:pt idx="1578">
                  <c:v>-976.43420000000003</c:v>
                </c:pt>
                <c:pt idx="1579">
                  <c:v>-974.9982</c:v>
                </c:pt>
                <c:pt idx="1580">
                  <c:v>-973.56020000000001</c:v>
                </c:pt>
                <c:pt idx="1581">
                  <c:v>-972.12220000000002</c:v>
                </c:pt>
                <c:pt idx="1582">
                  <c:v>-970.6853000000001</c:v>
                </c:pt>
                <c:pt idx="1583">
                  <c:v>-969.2473</c:v>
                </c:pt>
                <c:pt idx="1584">
                  <c:v>-967.8094000000001</c:v>
                </c:pt>
                <c:pt idx="1585">
                  <c:v>-966.37139999999999</c:v>
                </c:pt>
                <c:pt idx="1586">
                  <c:v>-964.9316</c:v>
                </c:pt>
                <c:pt idx="1587">
                  <c:v>-963.36939999999993</c:v>
                </c:pt>
                <c:pt idx="1588">
                  <c:v>-961.75489999999991</c:v>
                </c:pt>
                <c:pt idx="1589">
                  <c:v>-959.95600000000002</c:v>
                </c:pt>
                <c:pt idx="1590">
                  <c:v>-958.09049999999991</c:v>
                </c:pt>
                <c:pt idx="1591">
                  <c:v>-956.22500000000002</c:v>
                </c:pt>
                <c:pt idx="1592">
                  <c:v>-954.35860000000002</c:v>
                </c:pt>
                <c:pt idx="1593">
                  <c:v>-952.49110000000007</c:v>
                </c:pt>
                <c:pt idx="1594">
                  <c:v>-950.62469999999996</c:v>
                </c:pt>
                <c:pt idx="1595">
                  <c:v>-948.7573000000001</c:v>
                </c:pt>
                <c:pt idx="1596">
                  <c:v>-946.88990000000001</c:v>
                </c:pt>
                <c:pt idx="1597">
                  <c:v>-945.02150000000006</c:v>
                </c:pt>
                <c:pt idx="1598">
                  <c:v>-943.15510000000006</c:v>
                </c:pt>
                <c:pt idx="1599">
                  <c:v>-941.28769999999997</c:v>
                </c:pt>
                <c:pt idx="1600">
                  <c:v>-939.41930000000002</c:v>
                </c:pt>
                <c:pt idx="1601">
                  <c:v>-937.54899999999998</c:v>
                </c:pt>
                <c:pt idx="1602">
                  <c:v>-935.68159999999989</c:v>
                </c:pt>
                <c:pt idx="1603">
                  <c:v>-933.8143</c:v>
                </c:pt>
                <c:pt idx="1604">
                  <c:v>-931.94399999999996</c:v>
                </c:pt>
                <c:pt idx="1605">
                  <c:v>-930.07569999999998</c:v>
                </c:pt>
                <c:pt idx="1606">
                  <c:v>-928.20429999999999</c:v>
                </c:pt>
                <c:pt idx="1607">
                  <c:v>-926.33699999999999</c:v>
                </c:pt>
                <c:pt idx="1608">
                  <c:v>-924.46579999999994</c:v>
                </c:pt>
                <c:pt idx="1609">
                  <c:v>-922.59550000000013</c:v>
                </c:pt>
                <c:pt idx="1610">
                  <c:v>-920.72523000000001</c:v>
                </c:pt>
                <c:pt idx="1611">
                  <c:v>-918.85597000000007</c:v>
                </c:pt>
                <c:pt idx="1612">
                  <c:v>-916.98373000000015</c:v>
                </c:pt>
                <c:pt idx="1613">
                  <c:v>-915.11349999999993</c:v>
                </c:pt>
                <c:pt idx="1614">
                  <c:v>-913.24227999999994</c:v>
                </c:pt>
                <c:pt idx="1615">
                  <c:v>-911.37106000000017</c:v>
                </c:pt>
                <c:pt idx="1616">
                  <c:v>-909.50085999999988</c:v>
                </c:pt>
                <c:pt idx="1617">
                  <c:v>-907.62867000000006</c:v>
                </c:pt>
                <c:pt idx="1618">
                  <c:v>-905.7564900000001</c:v>
                </c:pt>
                <c:pt idx="1619">
                  <c:v>-903.88332000000003</c:v>
                </c:pt>
                <c:pt idx="1620">
                  <c:v>-902.01215999999999</c:v>
                </c:pt>
                <c:pt idx="1621">
                  <c:v>-900.14001000000007</c:v>
                </c:pt>
                <c:pt idx="1622">
                  <c:v>-898.26688000000013</c:v>
                </c:pt>
                <c:pt idx="1623">
                  <c:v>-896.39375000000007</c:v>
                </c:pt>
                <c:pt idx="1624">
                  <c:v>-894.52062999999998</c:v>
                </c:pt>
                <c:pt idx="1625">
                  <c:v>-892.64753000000007</c:v>
                </c:pt>
                <c:pt idx="1626">
                  <c:v>-890.77442999999994</c:v>
                </c:pt>
                <c:pt idx="1627">
                  <c:v>-888.90035</c:v>
                </c:pt>
                <c:pt idx="1628">
                  <c:v>-887.02626999999995</c:v>
                </c:pt>
                <c:pt idx="1629">
                  <c:v>-885.15120999999999</c:v>
                </c:pt>
                <c:pt idx="1630">
                  <c:v>-883.27814999999998</c:v>
                </c:pt>
                <c:pt idx="1631">
                  <c:v>-881.40310999999997</c:v>
                </c:pt>
                <c:pt idx="1632">
                  <c:v>-879.52908000000002</c:v>
                </c:pt>
                <c:pt idx="1633">
                  <c:v>-877.6530600000001</c:v>
                </c:pt>
                <c:pt idx="1634">
                  <c:v>-875.77803999999992</c:v>
                </c:pt>
                <c:pt idx="1635">
                  <c:v>-873.90404000000001</c:v>
                </c:pt>
                <c:pt idx="1636">
                  <c:v>-872.02804999999989</c:v>
                </c:pt>
                <c:pt idx="1637">
                  <c:v>-870.15206999999987</c:v>
                </c:pt>
                <c:pt idx="1638">
                  <c:v>-868.27710999999999</c:v>
                </c:pt>
                <c:pt idx="1639">
                  <c:v>-866.39915000000008</c:v>
                </c:pt>
                <c:pt idx="1640">
                  <c:v>-864.52319999999997</c:v>
                </c:pt>
                <c:pt idx="1641">
                  <c:v>-862.64725999999996</c:v>
                </c:pt>
                <c:pt idx="1642">
                  <c:v>-860.77034000000003</c:v>
                </c:pt>
                <c:pt idx="1643">
                  <c:v>-858.89242000000013</c:v>
                </c:pt>
                <c:pt idx="1644">
                  <c:v>-857.01551000000006</c:v>
                </c:pt>
                <c:pt idx="1645">
                  <c:v>-855.13861999999995</c:v>
                </c:pt>
                <c:pt idx="1646">
                  <c:v>-853.26073999999994</c:v>
                </c:pt>
                <c:pt idx="1647">
                  <c:v>-851.38285999999994</c:v>
                </c:pt>
                <c:pt idx="1648">
                  <c:v>-849.505</c:v>
                </c:pt>
                <c:pt idx="1649">
                  <c:v>-847.62715000000003</c:v>
                </c:pt>
                <c:pt idx="1650">
                  <c:v>-845.74830000000009</c:v>
                </c:pt>
                <c:pt idx="1651">
                  <c:v>-843.86847000000012</c:v>
                </c:pt>
                <c:pt idx="1652">
                  <c:v>-841.98964999999998</c:v>
                </c:pt>
                <c:pt idx="1653">
                  <c:v>-840.11084000000005</c:v>
                </c:pt>
                <c:pt idx="1654">
                  <c:v>-838.23303999999996</c:v>
                </c:pt>
                <c:pt idx="1655">
                  <c:v>-836.35326000000009</c:v>
                </c:pt>
                <c:pt idx="1656">
                  <c:v>-834.47348</c:v>
                </c:pt>
                <c:pt idx="1657">
                  <c:v>-832.5927099999999</c:v>
                </c:pt>
                <c:pt idx="1658">
                  <c:v>-830.71295999999995</c:v>
                </c:pt>
                <c:pt idx="1659">
                  <c:v>-828.83321000000001</c:v>
                </c:pt>
                <c:pt idx="1660">
                  <c:v>-826.95257000000004</c:v>
                </c:pt>
                <c:pt idx="1661">
                  <c:v>-825.07164999999998</c:v>
                </c:pt>
                <c:pt idx="1662">
                  <c:v>-823.19064000000003</c:v>
                </c:pt>
                <c:pt idx="1663">
                  <c:v>-821.30953000000011</c:v>
                </c:pt>
                <c:pt idx="1664">
                  <c:v>-819.42843999999991</c:v>
                </c:pt>
                <c:pt idx="1665">
                  <c:v>-817.54636000000005</c:v>
                </c:pt>
                <c:pt idx="1666">
                  <c:v>-815.66418999999996</c:v>
                </c:pt>
                <c:pt idx="1667">
                  <c:v>-813.78392999999994</c:v>
                </c:pt>
                <c:pt idx="1668">
                  <c:v>-811.90178000000003</c:v>
                </c:pt>
                <c:pt idx="1669">
                  <c:v>-810.01844000000006</c:v>
                </c:pt>
                <c:pt idx="1670">
                  <c:v>-808.13611000000003</c:v>
                </c:pt>
                <c:pt idx="1671">
                  <c:v>-806.25369000000001</c:v>
                </c:pt>
                <c:pt idx="1672">
                  <c:v>-804.37029000000007</c:v>
                </c:pt>
                <c:pt idx="1673">
                  <c:v>-802.48679000000004</c:v>
                </c:pt>
                <c:pt idx="1674">
                  <c:v>-800.60340999999994</c:v>
                </c:pt>
                <c:pt idx="1675">
                  <c:v>-798.71983</c:v>
                </c:pt>
                <c:pt idx="1676">
                  <c:v>-796.83726999999988</c:v>
                </c:pt>
                <c:pt idx="1677">
                  <c:v>-794.95161000000007</c:v>
                </c:pt>
                <c:pt idx="1678">
                  <c:v>-793.06786999999997</c:v>
                </c:pt>
                <c:pt idx="1679">
                  <c:v>-791.18313999999998</c:v>
                </c:pt>
                <c:pt idx="1680">
                  <c:v>-789.29841999999996</c:v>
                </c:pt>
                <c:pt idx="1681">
                  <c:v>-787.41371000000004</c:v>
                </c:pt>
                <c:pt idx="1682">
                  <c:v>-785.52891</c:v>
                </c:pt>
                <c:pt idx="1683">
                  <c:v>-783.64402000000007</c:v>
                </c:pt>
                <c:pt idx="1684">
                  <c:v>-781.75814000000003</c:v>
                </c:pt>
                <c:pt idx="1685">
                  <c:v>-779.87108000000012</c:v>
                </c:pt>
                <c:pt idx="1686">
                  <c:v>-777.98612000000003</c:v>
                </c:pt>
                <c:pt idx="1687">
                  <c:v>-776.10106999999994</c:v>
                </c:pt>
                <c:pt idx="1688">
                  <c:v>-774.21403999999995</c:v>
                </c:pt>
                <c:pt idx="1689">
                  <c:v>-772.32790999999997</c:v>
                </c:pt>
                <c:pt idx="1690">
                  <c:v>-770.4396999999999</c:v>
                </c:pt>
                <c:pt idx="1691">
                  <c:v>-768.55349999999999</c:v>
                </c:pt>
                <c:pt idx="1692">
                  <c:v>-766.66620999999986</c:v>
                </c:pt>
                <c:pt idx="1693">
                  <c:v>-764.77902999999992</c:v>
                </c:pt>
                <c:pt idx="1694">
                  <c:v>-762.89265999999998</c:v>
                </c:pt>
                <c:pt idx="1695">
                  <c:v>-761.00429999999994</c:v>
                </c:pt>
                <c:pt idx="1696">
                  <c:v>-759.11584999999991</c:v>
                </c:pt>
                <c:pt idx="1697">
                  <c:v>-757.22740999999996</c:v>
                </c:pt>
                <c:pt idx="1698">
                  <c:v>-755.33987999999988</c:v>
                </c:pt>
                <c:pt idx="1699">
                  <c:v>-753.45036999999991</c:v>
                </c:pt>
                <c:pt idx="1700">
                  <c:v>-751.56286</c:v>
                </c:pt>
                <c:pt idx="1701">
                  <c:v>-749.67317000000003</c:v>
                </c:pt>
                <c:pt idx="1702">
                  <c:v>-747.78348000000005</c:v>
                </c:pt>
                <c:pt idx="1703">
                  <c:v>-745.89381000000003</c:v>
                </c:pt>
                <c:pt idx="1704">
                  <c:v>-744.00504999999998</c:v>
                </c:pt>
                <c:pt idx="1705">
                  <c:v>-742.11529999999993</c:v>
                </c:pt>
                <c:pt idx="1706">
                  <c:v>-740.22546</c:v>
                </c:pt>
                <c:pt idx="1707">
                  <c:v>-738.33463000000006</c:v>
                </c:pt>
                <c:pt idx="1708">
                  <c:v>-736.44461000000001</c:v>
                </c:pt>
                <c:pt idx="1709">
                  <c:v>-734.55370000000005</c:v>
                </c:pt>
                <c:pt idx="1710">
                  <c:v>-732.66181000000006</c:v>
                </c:pt>
                <c:pt idx="1711">
                  <c:v>-730.77161999999998</c:v>
                </c:pt>
                <c:pt idx="1712">
                  <c:v>-728.88064000000008</c:v>
                </c:pt>
                <c:pt idx="1713">
                  <c:v>-726.9884800000001</c:v>
                </c:pt>
                <c:pt idx="1714">
                  <c:v>-725.09733000000006</c:v>
                </c:pt>
                <c:pt idx="1715">
                  <c:v>-723.20507999999995</c:v>
                </c:pt>
                <c:pt idx="1716">
                  <c:v>-721.31285000000003</c:v>
                </c:pt>
                <c:pt idx="1717">
                  <c:v>-719.42163000000005</c:v>
                </c:pt>
                <c:pt idx="1718">
                  <c:v>-717.52731999999992</c:v>
                </c:pt>
                <c:pt idx="1719">
                  <c:v>-715.63481999999999</c:v>
                </c:pt>
                <c:pt idx="1720">
                  <c:v>-713.74252999999999</c:v>
                </c:pt>
                <c:pt idx="1721">
                  <c:v>-711.84906000000001</c:v>
                </c:pt>
                <c:pt idx="1722">
                  <c:v>-709.95558999999992</c:v>
                </c:pt>
                <c:pt idx="1723">
                  <c:v>-708.06203000000005</c:v>
                </c:pt>
                <c:pt idx="1724">
                  <c:v>-706.16738999999995</c:v>
                </c:pt>
                <c:pt idx="1725">
                  <c:v>-704.27476000000001</c:v>
                </c:pt>
                <c:pt idx="1726">
                  <c:v>-702.38013000000001</c:v>
                </c:pt>
                <c:pt idx="1727">
                  <c:v>-700.48541999999998</c:v>
                </c:pt>
                <c:pt idx="1728">
                  <c:v>-698.59072000000003</c:v>
                </c:pt>
                <c:pt idx="1729">
                  <c:v>-696.69682999999986</c:v>
                </c:pt>
                <c:pt idx="1730">
                  <c:v>-694.80105000000003</c:v>
                </c:pt>
                <c:pt idx="1731">
                  <c:v>-692.90627999999992</c:v>
                </c:pt>
                <c:pt idx="1732">
                  <c:v>-691.01033000000007</c:v>
                </c:pt>
                <c:pt idx="1733">
                  <c:v>-689.11428000000001</c:v>
                </c:pt>
                <c:pt idx="1734">
                  <c:v>-687.21834999999999</c:v>
                </c:pt>
                <c:pt idx="1735">
                  <c:v>-685.3222199999999</c:v>
                </c:pt>
                <c:pt idx="1736">
                  <c:v>-683.42621000000008</c:v>
                </c:pt>
                <c:pt idx="1737">
                  <c:v>-681.53010999999992</c:v>
                </c:pt>
                <c:pt idx="1738">
                  <c:v>-679.63201000000004</c:v>
                </c:pt>
                <c:pt idx="1739">
                  <c:v>-677.73572999999999</c:v>
                </c:pt>
                <c:pt idx="1740">
                  <c:v>-675.83845999999994</c:v>
                </c:pt>
                <c:pt idx="1741">
                  <c:v>-673.94120999999996</c:v>
                </c:pt>
                <c:pt idx="1742">
                  <c:v>-672.04386</c:v>
                </c:pt>
                <c:pt idx="1743">
                  <c:v>-670.14652000000001</c:v>
                </c:pt>
                <c:pt idx="1744">
                  <c:v>-668.24810000000002</c:v>
                </c:pt>
                <c:pt idx="1745">
                  <c:v>-666.34968000000003</c:v>
                </c:pt>
                <c:pt idx="1746">
                  <c:v>-664.45018000000005</c:v>
                </c:pt>
                <c:pt idx="1747">
                  <c:v>-662.55158999999992</c:v>
                </c:pt>
                <c:pt idx="1748">
                  <c:v>-660.65300000000002</c:v>
                </c:pt>
                <c:pt idx="1749">
                  <c:v>-658.75432999999998</c:v>
                </c:pt>
                <c:pt idx="1750">
                  <c:v>-656.85476999999992</c:v>
                </c:pt>
                <c:pt idx="1751">
                  <c:v>-654.95603000000006</c:v>
                </c:pt>
                <c:pt idx="1752">
                  <c:v>-653.05619000000002</c:v>
                </c:pt>
                <c:pt idx="1753">
                  <c:v>-651.15646000000004</c:v>
                </c:pt>
                <c:pt idx="1754">
                  <c:v>-649.25564999999995</c:v>
                </c:pt>
                <c:pt idx="1755">
                  <c:v>-647.35573999999997</c:v>
                </c:pt>
                <c:pt idx="1756">
                  <c:v>-645.45485000000008</c:v>
                </c:pt>
                <c:pt idx="1757">
                  <c:v>-643.55386999999996</c:v>
                </c:pt>
                <c:pt idx="1758">
                  <c:v>-641.65289000000007</c:v>
                </c:pt>
                <c:pt idx="1759">
                  <c:v>-639.75183000000015</c:v>
                </c:pt>
                <c:pt idx="1760">
                  <c:v>-637.85077999999999</c:v>
                </c:pt>
                <c:pt idx="1761">
                  <c:v>-635.94865000000004</c:v>
                </c:pt>
                <c:pt idx="1762">
                  <c:v>-634.04642000000001</c:v>
                </c:pt>
                <c:pt idx="1763">
                  <c:v>-632.14529999999991</c:v>
                </c:pt>
                <c:pt idx="1764">
                  <c:v>-630.24299999999994</c:v>
                </c:pt>
                <c:pt idx="1765">
                  <c:v>-628.34069999999997</c:v>
                </c:pt>
                <c:pt idx="1766">
                  <c:v>-626.43841999999995</c:v>
                </c:pt>
                <c:pt idx="1767">
                  <c:v>-624.53494999999998</c:v>
                </c:pt>
                <c:pt idx="1768">
                  <c:v>-622.63158999999996</c:v>
                </c:pt>
                <c:pt idx="1769">
                  <c:v>-620.72914000000014</c:v>
                </c:pt>
                <c:pt idx="1770">
                  <c:v>-618.82560000000001</c:v>
                </c:pt>
                <c:pt idx="1771">
                  <c:v>-616.92307000000005</c:v>
                </c:pt>
                <c:pt idx="1772">
                  <c:v>-615.01746000000003</c:v>
                </c:pt>
                <c:pt idx="1773">
                  <c:v>-613.11384999999996</c:v>
                </c:pt>
                <c:pt idx="1774">
                  <c:v>-611.20925999999997</c:v>
                </c:pt>
                <c:pt idx="1775">
                  <c:v>-609.30547000000001</c:v>
                </c:pt>
                <c:pt idx="1776">
                  <c:v>-607.39970000000005</c:v>
                </c:pt>
                <c:pt idx="1777">
                  <c:v>-605.49484000000007</c:v>
                </c:pt>
                <c:pt idx="1778">
                  <c:v>-603.58998999999994</c:v>
                </c:pt>
                <c:pt idx="1779">
                  <c:v>-601.68425000000002</c:v>
                </c:pt>
                <c:pt idx="1780">
                  <c:v>-599.77922000000001</c:v>
                </c:pt>
                <c:pt idx="1781">
                  <c:v>-597.87330999999995</c:v>
                </c:pt>
                <c:pt idx="1782">
                  <c:v>-595.96720000000005</c:v>
                </c:pt>
                <c:pt idx="1783">
                  <c:v>-594.06120999999996</c:v>
                </c:pt>
                <c:pt idx="1784">
                  <c:v>-592.15512000000001</c:v>
                </c:pt>
                <c:pt idx="1785">
                  <c:v>-590.24805000000003</c:v>
                </c:pt>
                <c:pt idx="1786">
                  <c:v>-588.34078999999997</c:v>
                </c:pt>
                <c:pt idx="1787">
                  <c:v>-586.43363999999997</c:v>
                </c:pt>
                <c:pt idx="1788">
                  <c:v>-584.52740000000006</c:v>
                </c:pt>
                <c:pt idx="1789">
                  <c:v>-582.61797999999999</c:v>
                </c:pt>
                <c:pt idx="1790">
                  <c:v>-580.71165999999994</c:v>
                </c:pt>
                <c:pt idx="1791">
                  <c:v>-578.80325000000005</c:v>
                </c:pt>
                <c:pt idx="1792">
                  <c:v>-576.89485999999999</c:v>
                </c:pt>
                <c:pt idx="1793">
                  <c:v>-574.98738000000003</c:v>
                </c:pt>
                <c:pt idx="1794">
                  <c:v>-573.07790999999997</c:v>
                </c:pt>
                <c:pt idx="1795">
                  <c:v>-571.16924999999992</c:v>
                </c:pt>
                <c:pt idx="1796">
                  <c:v>-569.26070000000004</c:v>
                </c:pt>
                <c:pt idx="1797">
                  <c:v>-567.35105999999996</c:v>
                </c:pt>
                <c:pt idx="1798">
                  <c:v>-565.44242999999994</c:v>
                </c:pt>
                <c:pt idx="1799">
                  <c:v>-563.53262000000007</c:v>
                </c:pt>
                <c:pt idx="1800">
                  <c:v>-561.62291000000005</c:v>
                </c:pt>
                <c:pt idx="1801">
                  <c:v>-559.71201999999994</c:v>
                </c:pt>
                <c:pt idx="1802">
                  <c:v>-557.80124000000001</c:v>
                </c:pt>
                <c:pt idx="1803">
                  <c:v>-555.89136999999994</c:v>
                </c:pt>
                <c:pt idx="1804">
                  <c:v>-553.98140999999998</c:v>
                </c:pt>
                <c:pt idx="1805">
                  <c:v>-552.06946000000005</c:v>
                </c:pt>
                <c:pt idx="1806">
                  <c:v>-550.15941999999995</c:v>
                </c:pt>
                <c:pt idx="1807">
                  <c:v>-548.24740000000008</c:v>
                </c:pt>
                <c:pt idx="1808">
                  <c:v>-546.33618000000001</c:v>
                </c:pt>
                <c:pt idx="1809">
                  <c:v>-544.42408</c:v>
                </c:pt>
                <c:pt idx="1810">
                  <c:v>-542.51188999999999</c:v>
                </c:pt>
                <c:pt idx="1811">
                  <c:v>-540.59971000000007</c:v>
                </c:pt>
                <c:pt idx="1812">
                  <c:v>-538.68834000000004</c:v>
                </c:pt>
                <c:pt idx="1813">
                  <c:v>-536.77508</c:v>
                </c:pt>
                <c:pt idx="1814">
                  <c:v>-534.86262999999997</c:v>
                </c:pt>
                <c:pt idx="1815">
                  <c:v>-532.94929000000002</c:v>
                </c:pt>
                <c:pt idx="1816">
                  <c:v>-531.03577000000007</c:v>
                </c:pt>
                <c:pt idx="1817">
                  <c:v>-529.12346000000002</c:v>
                </c:pt>
                <c:pt idx="1818">
                  <c:v>-527.20974999999999</c:v>
                </c:pt>
                <c:pt idx="1819">
                  <c:v>-525.29525999999998</c:v>
                </c:pt>
                <c:pt idx="1820">
                  <c:v>-523.38058000000001</c:v>
                </c:pt>
                <c:pt idx="1821">
                  <c:v>-521.46702000000005</c:v>
                </c:pt>
                <c:pt idx="1822">
                  <c:v>-519.55225999999993</c:v>
                </c:pt>
                <c:pt idx="1823">
                  <c:v>-517.63761</c:v>
                </c:pt>
                <c:pt idx="1824">
                  <c:v>-515.72278000000006</c:v>
                </c:pt>
                <c:pt idx="1825">
                  <c:v>-513.80795999999998</c:v>
                </c:pt>
                <c:pt idx="1826">
                  <c:v>-511.89114000000001</c:v>
                </c:pt>
                <c:pt idx="1827">
                  <c:v>-509.97713999999996</c:v>
                </c:pt>
                <c:pt idx="1828">
                  <c:v>-508.06115</c:v>
                </c:pt>
                <c:pt idx="1829">
                  <c:v>-506.14418000000001</c:v>
                </c:pt>
                <c:pt idx="1830">
                  <c:v>-504.22820999999999</c:v>
                </c:pt>
                <c:pt idx="1831">
                  <c:v>-502.31104999999991</c:v>
                </c:pt>
                <c:pt idx="1832">
                  <c:v>-500.39510999999999</c:v>
                </c:pt>
                <c:pt idx="1833">
                  <c:v>-498.47787999999997</c:v>
                </c:pt>
                <c:pt idx="1834">
                  <c:v>-496.56055999999995</c:v>
                </c:pt>
                <c:pt idx="1835">
                  <c:v>-494.64404999999999</c:v>
                </c:pt>
                <c:pt idx="1836">
                  <c:v>-492.72654999999997</c:v>
                </c:pt>
                <c:pt idx="1837">
                  <c:v>-490.80885999999992</c:v>
                </c:pt>
                <c:pt idx="1838">
                  <c:v>-488.89118000000002</c:v>
                </c:pt>
                <c:pt idx="1839">
                  <c:v>-486.97221999999999</c:v>
                </c:pt>
                <c:pt idx="1840">
                  <c:v>-485.05436999999995</c:v>
                </c:pt>
                <c:pt idx="1841">
                  <c:v>-483.13532999999995</c:v>
                </c:pt>
                <c:pt idx="1842">
                  <c:v>-481.21708999999998</c:v>
                </c:pt>
                <c:pt idx="1843">
                  <c:v>-479.29777999999999</c:v>
                </c:pt>
                <c:pt idx="1844">
                  <c:v>-477.37837000000002</c:v>
                </c:pt>
                <c:pt idx="1845">
                  <c:v>-475.45887000000005</c:v>
                </c:pt>
                <c:pt idx="1846">
                  <c:v>-473.53929000000005</c:v>
                </c:pt>
                <c:pt idx="1847">
                  <c:v>-471.61961000000002</c:v>
                </c:pt>
                <c:pt idx="1848">
                  <c:v>-469.69985000000008</c:v>
                </c:pt>
                <c:pt idx="1849">
                  <c:v>-467.779</c:v>
                </c:pt>
                <c:pt idx="1850">
                  <c:v>-465.85896000000002</c:v>
                </c:pt>
                <c:pt idx="1851">
                  <c:v>-463.93792999999999</c:v>
                </c:pt>
                <c:pt idx="1852">
                  <c:v>-462.01762000000002</c:v>
                </c:pt>
                <c:pt idx="1853">
                  <c:v>-460.09631100000001</c:v>
                </c:pt>
                <c:pt idx="1854">
                  <c:v>-458.17491700000005</c:v>
                </c:pt>
                <c:pt idx="1855">
                  <c:v>-456.25243499999999</c:v>
                </c:pt>
                <c:pt idx="1856">
                  <c:v>-454.33086400000002</c:v>
                </c:pt>
                <c:pt idx="1857">
                  <c:v>-452.40920399999999</c:v>
                </c:pt>
                <c:pt idx="1858">
                  <c:v>-450.486356</c:v>
                </c:pt>
                <c:pt idx="1859">
                  <c:v>-448.56441899999999</c:v>
                </c:pt>
                <c:pt idx="1860">
                  <c:v>-446.64129400000002</c:v>
                </c:pt>
                <c:pt idx="1861">
                  <c:v>-444.71918000000005</c:v>
                </c:pt>
                <c:pt idx="1862">
                  <c:v>-442.79597799999993</c:v>
                </c:pt>
                <c:pt idx="1863">
                  <c:v>-440.87268699999998</c:v>
                </c:pt>
                <c:pt idx="1864">
                  <c:v>-438.949208</c:v>
                </c:pt>
                <c:pt idx="1865">
                  <c:v>-437.02564000000007</c:v>
                </c:pt>
                <c:pt idx="1866">
                  <c:v>-435.10098300000004</c:v>
                </c:pt>
                <c:pt idx="1867">
                  <c:v>-433.17723800000005</c:v>
                </c:pt>
                <c:pt idx="1868">
                  <c:v>-431.25230500000004</c:v>
                </c:pt>
                <c:pt idx="1869">
                  <c:v>-429.32838200000003</c:v>
                </c:pt>
                <c:pt idx="1870">
                  <c:v>-427.40337199999999</c:v>
                </c:pt>
                <c:pt idx="1871">
                  <c:v>-425.69789700000001</c:v>
                </c:pt>
                <c:pt idx="1872">
                  <c:v>-424.141434</c:v>
                </c:pt>
                <c:pt idx="1873">
                  <c:v>-422.82226600000001</c:v>
                </c:pt>
                <c:pt idx="1874">
                  <c:v>-421.57658599999996</c:v>
                </c:pt>
                <c:pt idx="1875">
                  <c:v>-420.33091200000001</c:v>
                </c:pt>
                <c:pt idx="1876">
                  <c:v>-419.08414400000004</c:v>
                </c:pt>
                <c:pt idx="1877">
                  <c:v>-417.83828299999999</c:v>
                </c:pt>
                <c:pt idx="1878">
                  <c:v>-416.59142700000001</c:v>
                </c:pt>
                <c:pt idx="1879">
                  <c:v>-415.34457800000007</c:v>
                </c:pt>
                <c:pt idx="1880">
                  <c:v>-414.098635</c:v>
                </c:pt>
                <c:pt idx="1881">
                  <c:v>-412.85179900000003</c:v>
                </c:pt>
                <c:pt idx="1882">
                  <c:v>-411.80755099999999</c:v>
                </c:pt>
                <c:pt idx="1883">
                  <c:v>-411.105234</c:v>
                </c:pt>
                <c:pt idx="1884">
                  <c:v>-410.66054399999996</c:v>
                </c:pt>
                <c:pt idx="1885">
                  <c:v>-410.34334249999995</c:v>
                </c:pt>
                <c:pt idx="1886">
                  <c:v>-410.02614220000004</c:v>
                </c:pt>
                <c:pt idx="1887">
                  <c:v>-409.70894320000002</c:v>
                </c:pt>
                <c:pt idx="1888">
                  <c:v>-409.39174530000003</c:v>
                </c:pt>
                <c:pt idx="1889">
                  <c:v>-409.07444869999995</c:v>
                </c:pt>
                <c:pt idx="1890">
                  <c:v>-408.75725320000004</c:v>
                </c:pt>
                <c:pt idx="1891">
                  <c:v>-408.44105899999994</c:v>
                </c:pt>
                <c:pt idx="1892">
                  <c:v>-408.12376599999999</c:v>
                </c:pt>
                <c:pt idx="1893">
                  <c:v>-408.08519050000001</c:v>
                </c:pt>
                <c:pt idx="1894">
                  <c:v>-408.05669999999998</c:v>
                </c:pt>
                <c:pt idx="1895">
                  <c:v>-408.02810969999996</c:v>
                </c:pt>
                <c:pt idx="1896">
                  <c:v>-408.00061949999997</c:v>
                </c:pt>
                <c:pt idx="1897">
                  <c:v>-407.97212920000004</c:v>
                </c:pt>
                <c:pt idx="1898">
                  <c:v>-407.94363900000002</c:v>
                </c:pt>
                <c:pt idx="1899">
                  <c:v>-407.91604880000006</c:v>
                </c:pt>
                <c:pt idx="1900">
                  <c:v>-407.8875587</c:v>
                </c:pt>
                <c:pt idx="1901">
                  <c:v>-407.8599686</c:v>
                </c:pt>
                <c:pt idx="1902">
                  <c:v>-407.8305785</c:v>
                </c:pt>
                <c:pt idx="1903">
                  <c:v>-407.80208849999997</c:v>
                </c:pt>
                <c:pt idx="1904">
                  <c:v>-407.77459847</c:v>
                </c:pt>
                <c:pt idx="1905">
                  <c:v>-407.74610848000003</c:v>
                </c:pt>
                <c:pt idx="1906">
                  <c:v>-407.71751855999997</c:v>
                </c:pt>
                <c:pt idx="1907">
                  <c:v>-407.69002866</c:v>
                </c:pt>
                <c:pt idx="1908">
                  <c:v>-407.66153881999998</c:v>
                </c:pt>
                <c:pt idx="1909">
                  <c:v>-407.63304893000003</c:v>
                </c:pt>
                <c:pt idx="1910">
                  <c:v>-407.60545916299998</c:v>
                </c:pt>
                <c:pt idx="1911">
                  <c:v>-407.57696938999993</c:v>
                </c:pt>
                <c:pt idx="1912">
                  <c:v>-407.54937964999999</c:v>
                </c:pt>
                <c:pt idx="1913">
                  <c:v>-407.52098993999999</c:v>
                </c:pt>
                <c:pt idx="1914">
                  <c:v>-407.49240027000008</c:v>
                </c:pt>
                <c:pt idx="1915">
                  <c:v>-407.46501062999999</c:v>
                </c:pt>
                <c:pt idx="1916">
                  <c:v>-407.43542100000002</c:v>
                </c:pt>
                <c:pt idx="1917">
                  <c:v>-407.40693140000002</c:v>
                </c:pt>
                <c:pt idx="1918">
                  <c:v>-407.37934189999999</c:v>
                </c:pt>
                <c:pt idx="1919">
                  <c:v>-407.35095240000004</c:v>
                </c:pt>
                <c:pt idx="1920">
                  <c:v>-407.32236290000003</c:v>
                </c:pt>
                <c:pt idx="1921">
                  <c:v>-407.29487349999999</c:v>
                </c:pt>
                <c:pt idx="1922">
                  <c:v>-407.26628399999993</c:v>
                </c:pt>
                <c:pt idx="1923">
                  <c:v>-407.23879460000001</c:v>
                </c:pt>
                <c:pt idx="1924">
                  <c:v>-407.21030530000007</c:v>
                </c:pt>
                <c:pt idx="1925">
                  <c:v>-407.18181599999997</c:v>
                </c:pt>
                <c:pt idx="1926">
                  <c:v>-407.15432669999996</c:v>
                </c:pt>
                <c:pt idx="1927">
                  <c:v>-407.12583750000005</c:v>
                </c:pt>
                <c:pt idx="1928">
                  <c:v>-407.09724819999997</c:v>
                </c:pt>
                <c:pt idx="1929">
                  <c:v>-407.06985900000001</c:v>
                </c:pt>
                <c:pt idx="1930">
                  <c:v>-407.04136990000001</c:v>
                </c:pt>
                <c:pt idx="1931">
                  <c:v>-407.01278079999997</c:v>
                </c:pt>
                <c:pt idx="1932">
                  <c:v>-406.98429170000003</c:v>
                </c:pt>
                <c:pt idx="1933">
                  <c:v>-406.9557026</c:v>
                </c:pt>
                <c:pt idx="1934">
                  <c:v>-406.92821360000005</c:v>
                </c:pt>
                <c:pt idx="1935">
                  <c:v>-406.89972460000001</c:v>
                </c:pt>
                <c:pt idx="1936">
                  <c:v>-406.87133560000001</c:v>
                </c:pt>
                <c:pt idx="1937">
                  <c:v>-406.84374670000005</c:v>
                </c:pt>
                <c:pt idx="1938">
                  <c:v>-406.81525780000004</c:v>
                </c:pt>
                <c:pt idx="1939">
                  <c:v>-406.7866689</c:v>
                </c:pt>
                <c:pt idx="1940">
                  <c:v>-406.75928010000001</c:v>
                </c:pt>
                <c:pt idx="1941">
                  <c:v>-406.73069129999999</c:v>
                </c:pt>
                <c:pt idx="1942">
                  <c:v>-406.70320250000003</c:v>
                </c:pt>
                <c:pt idx="1943">
                  <c:v>-406.67461380000003</c:v>
                </c:pt>
                <c:pt idx="1944">
                  <c:v>-406.64612510000001</c:v>
                </c:pt>
                <c:pt idx="1945">
                  <c:v>-406.61753640000001</c:v>
                </c:pt>
                <c:pt idx="1946">
                  <c:v>-406.58914780000003</c:v>
                </c:pt>
                <c:pt idx="1947">
                  <c:v>-406.56065919999998</c:v>
                </c:pt>
                <c:pt idx="1948">
                  <c:v>-406.53317059999995</c:v>
                </c:pt>
                <c:pt idx="1949">
                  <c:v>-406.50458210000005</c:v>
                </c:pt>
                <c:pt idx="1950">
                  <c:v>-406.47609359999996</c:v>
                </c:pt>
                <c:pt idx="1951">
                  <c:v>-406.44860510000001</c:v>
                </c:pt>
                <c:pt idx="1952">
                  <c:v>-406.42011669999999</c:v>
                </c:pt>
                <c:pt idx="1953">
                  <c:v>-406.39252820000002</c:v>
                </c:pt>
                <c:pt idx="1954">
                  <c:v>-406.36403989999997</c:v>
                </c:pt>
                <c:pt idx="1955">
                  <c:v>-406.33545149999998</c:v>
                </c:pt>
                <c:pt idx="1956">
                  <c:v>-406.30806319999999</c:v>
                </c:pt>
                <c:pt idx="1957">
                  <c:v>-406.2795749</c:v>
                </c:pt>
                <c:pt idx="1958">
                  <c:v>-406.25108669999997</c:v>
                </c:pt>
                <c:pt idx="1959">
                  <c:v>-406.2225985</c:v>
                </c:pt>
                <c:pt idx="1960">
                  <c:v>-406.1940103</c:v>
                </c:pt>
                <c:pt idx="1961">
                  <c:v>-406.16552209999998</c:v>
                </c:pt>
                <c:pt idx="1962">
                  <c:v>-406.138034</c:v>
                </c:pt>
                <c:pt idx="1963">
                  <c:v>-406.1095459</c:v>
                </c:pt>
                <c:pt idx="1964">
                  <c:v>-406.08195790000002</c:v>
                </c:pt>
                <c:pt idx="1965">
                  <c:v>-406.05346989999998</c:v>
                </c:pt>
                <c:pt idx="1966">
                  <c:v>-406.02488190000003</c:v>
                </c:pt>
                <c:pt idx="1967">
                  <c:v>-405.99759390000003</c:v>
                </c:pt>
                <c:pt idx="1968">
                  <c:v>-405.96900600000004</c:v>
                </c:pt>
                <c:pt idx="1969">
                  <c:v>-405.94051810000002</c:v>
                </c:pt>
                <c:pt idx="1970">
                  <c:v>-405.91293030000003</c:v>
                </c:pt>
                <c:pt idx="1971">
                  <c:v>-405.88444240000001</c:v>
                </c:pt>
                <c:pt idx="1972">
                  <c:v>-405.85685459999996</c:v>
                </c:pt>
                <c:pt idx="1973">
                  <c:v>-405.82846699999999</c:v>
                </c:pt>
                <c:pt idx="1974">
                  <c:v>-405.798879</c:v>
                </c:pt>
                <c:pt idx="1975">
                  <c:v>-405.77139099999999</c:v>
                </c:pt>
                <c:pt idx="1976">
                  <c:v>-405.74280400000004</c:v>
                </c:pt>
                <c:pt idx="1977">
                  <c:v>-405.71441599999997</c:v>
                </c:pt>
                <c:pt idx="1978">
                  <c:v>-405.68692899999996</c:v>
                </c:pt>
                <c:pt idx="1979">
                  <c:v>-405.65844099999998</c:v>
                </c:pt>
                <c:pt idx="1980">
                  <c:v>-405.62985299999997</c:v>
                </c:pt>
                <c:pt idx="1981">
                  <c:v>-405.60236600000002</c:v>
                </c:pt>
                <c:pt idx="1982">
                  <c:v>-405.573778</c:v>
                </c:pt>
                <c:pt idx="1983">
                  <c:v>-405.546291</c:v>
                </c:pt>
                <c:pt idx="1984">
                  <c:v>-405.51780400000001</c:v>
                </c:pt>
                <c:pt idx="1985">
                  <c:v>-405.48931600000003</c:v>
                </c:pt>
                <c:pt idx="1986">
                  <c:v>-405.46172900000005</c:v>
                </c:pt>
                <c:pt idx="1987">
                  <c:v>-405.43324200000001</c:v>
                </c:pt>
                <c:pt idx="1988">
                  <c:v>-405.40385400000002</c:v>
                </c:pt>
                <c:pt idx="1989">
                  <c:v>-405.37636699999996</c:v>
                </c:pt>
                <c:pt idx="1990">
                  <c:v>-405.34787999999998</c:v>
                </c:pt>
                <c:pt idx="1991">
                  <c:v>-405.31929300000002</c:v>
                </c:pt>
                <c:pt idx="1992">
                  <c:v>-405.29180600000007</c:v>
                </c:pt>
                <c:pt idx="1993">
                  <c:v>-405.26321800000005</c:v>
                </c:pt>
                <c:pt idx="1994">
                  <c:v>-405.23573099999993</c:v>
                </c:pt>
                <c:pt idx="1995">
                  <c:v>-405.20724399999995</c:v>
                </c:pt>
                <c:pt idx="1996">
                  <c:v>-405.17875700000002</c:v>
                </c:pt>
                <c:pt idx="1997">
                  <c:v>-405.15126999999995</c:v>
                </c:pt>
                <c:pt idx="1998">
                  <c:v>-405.12278300000003</c:v>
                </c:pt>
                <c:pt idx="1999">
                  <c:v>-405.09419600000001</c:v>
                </c:pt>
                <c:pt idx="2000">
                  <c:v>-405.06680999999998</c:v>
                </c:pt>
                <c:pt idx="2001">
                  <c:v>-405.03822300000002</c:v>
                </c:pt>
                <c:pt idx="2002">
                  <c:v>-405.00973599999998</c:v>
                </c:pt>
                <c:pt idx="2003">
                  <c:v>-404.98114900000002</c:v>
                </c:pt>
                <c:pt idx="2004">
                  <c:v>-404.95266200000003</c:v>
                </c:pt>
                <c:pt idx="2005">
                  <c:v>-404.92507599999999</c:v>
                </c:pt>
                <c:pt idx="2006">
                  <c:v>-404.89668899999998</c:v>
                </c:pt>
                <c:pt idx="2007">
                  <c:v>-404.86820199999994</c:v>
                </c:pt>
                <c:pt idx="2008">
                  <c:v>-404.84071599999999</c:v>
                </c:pt>
                <c:pt idx="2009">
                  <c:v>-404.81212900000003</c:v>
                </c:pt>
                <c:pt idx="2010">
                  <c:v>-404.78364200000004</c:v>
                </c:pt>
                <c:pt idx="2011">
                  <c:v>-404.75615599999998</c:v>
                </c:pt>
                <c:pt idx="2012">
                  <c:v>-404.72766899999999</c:v>
                </c:pt>
                <c:pt idx="2013">
                  <c:v>-404.70008300000001</c:v>
                </c:pt>
                <c:pt idx="2014">
                  <c:v>-404.67159700000002</c:v>
                </c:pt>
                <c:pt idx="2015">
                  <c:v>-404.64301</c:v>
                </c:pt>
                <c:pt idx="2016">
                  <c:v>-404.61452399999996</c:v>
                </c:pt>
                <c:pt idx="2017">
                  <c:v>-404.58613700000001</c:v>
                </c:pt>
                <c:pt idx="2018">
                  <c:v>-404.55765100000002</c:v>
                </c:pt>
                <c:pt idx="2019">
                  <c:v>-404.53006500000004</c:v>
                </c:pt>
                <c:pt idx="2020">
                  <c:v>-404.50157899999999</c:v>
                </c:pt>
                <c:pt idx="2021">
                  <c:v>-404.47309200000001</c:v>
                </c:pt>
                <c:pt idx="2022">
                  <c:v>-404.445606</c:v>
                </c:pt>
                <c:pt idx="2023">
                  <c:v>-404.41711999999995</c:v>
                </c:pt>
                <c:pt idx="2024">
                  <c:v>-404.38953399999997</c:v>
                </c:pt>
                <c:pt idx="2025">
                  <c:v>-404.36104800000004</c:v>
                </c:pt>
                <c:pt idx="2026">
                  <c:v>-404.33246200000002</c:v>
                </c:pt>
                <c:pt idx="2027">
                  <c:v>-404.30507600000004</c:v>
                </c:pt>
                <c:pt idx="2028">
                  <c:v>-404.27659000000006</c:v>
                </c:pt>
                <c:pt idx="2029">
                  <c:v>-404.24810400000001</c:v>
                </c:pt>
                <c:pt idx="2030">
                  <c:v>-404.21951799999999</c:v>
                </c:pt>
                <c:pt idx="2031">
                  <c:v>-404.19103200000001</c:v>
                </c:pt>
                <c:pt idx="2032">
                  <c:v>-404.16244600000005</c:v>
                </c:pt>
                <c:pt idx="2033">
                  <c:v>-404.13495999999998</c:v>
                </c:pt>
                <c:pt idx="2034">
                  <c:v>-404.10647499999999</c:v>
                </c:pt>
                <c:pt idx="2035">
                  <c:v>-404.07898899999998</c:v>
                </c:pt>
                <c:pt idx="2036">
                  <c:v>-404.05050299999999</c:v>
                </c:pt>
                <c:pt idx="2037">
                  <c:v>-404.02201800000006</c:v>
                </c:pt>
                <c:pt idx="2038">
                  <c:v>-403.99443200000002</c:v>
                </c:pt>
                <c:pt idx="2039">
                  <c:v>-403.96604600000001</c:v>
                </c:pt>
                <c:pt idx="2040">
                  <c:v>-403.93746099999998</c:v>
                </c:pt>
                <c:pt idx="2041">
                  <c:v>-403.90997499999997</c:v>
                </c:pt>
                <c:pt idx="2042">
                  <c:v>-403.88139000000001</c:v>
                </c:pt>
                <c:pt idx="2043">
                  <c:v>-403.853904</c:v>
                </c:pt>
                <c:pt idx="2044">
                  <c:v>-403.82431899999995</c:v>
                </c:pt>
                <c:pt idx="2045">
                  <c:v>-403.79593299999999</c:v>
                </c:pt>
                <c:pt idx="2046">
                  <c:v>-403.76844799999998</c:v>
                </c:pt>
                <c:pt idx="2047">
                  <c:v>-403.73996199999999</c:v>
                </c:pt>
                <c:pt idx="2048">
                  <c:v>-403.71137700000003</c:v>
                </c:pt>
                <c:pt idx="2049">
                  <c:v>-403.68389200000001</c:v>
                </c:pt>
                <c:pt idx="2050">
                  <c:v>-403.65540700000003</c:v>
                </c:pt>
                <c:pt idx="2051">
                  <c:v>-403.62692099999998</c:v>
                </c:pt>
                <c:pt idx="2052">
                  <c:v>-403.59933599999999</c:v>
                </c:pt>
                <c:pt idx="2053">
                  <c:v>-403.570851</c:v>
                </c:pt>
                <c:pt idx="2054">
                  <c:v>-403.54326599999996</c:v>
                </c:pt>
                <c:pt idx="2055">
                  <c:v>-403.514881</c:v>
                </c:pt>
                <c:pt idx="2056">
                  <c:v>-403.48649599999999</c:v>
                </c:pt>
                <c:pt idx="2057">
                  <c:v>-403.45791100000008</c:v>
                </c:pt>
                <c:pt idx="2058">
                  <c:v>-403.42942599999998</c:v>
                </c:pt>
                <c:pt idx="2059">
                  <c:v>-403.40084100000001</c:v>
                </c:pt>
                <c:pt idx="2060">
                  <c:v>-403.373356</c:v>
                </c:pt>
                <c:pt idx="2061">
                  <c:v>-403.34487100000001</c:v>
                </c:pt>
                <c:pt idx="2062">
                  <c:v>-403.31638600000002</c:v>
                </c:pt>
                <c:pt idx="2063">
                  <c:v>-403.28880099999998</c:v>
                </c:pt>
                <c:pt idx="2064">
                  <c:v>-403.26041599999996</c:v>
                </c:pt>
                <c:pt idx="2065">
                  <c:v>-403.23283199999997</c:v>
                </c:pt>
                <c:pt idx="2066">
                  <c:v>-403.20434699999998</c:v>
                </c:pt>
                <c:pt idx="2067">
                  <c:v>-403.17586200000005</c:v>
                </c:pt>
                <c:pt idx="2068">
                  <c:v>-403.14837699999998</c:v>
                </c:pt>
                <c:pt idx="2069">
                  <c:v>-403.11979299999996</c:v>
                </c:pt>
                <c:pt idx="2070">
                  <c:v>-403.09130799999997</c:v>
                </c:pt>
                <c:pt idx="2071">
                  <c:v>-403.062724</c:v>
                </c:pt>
                <c:pt idx="2072">
                  <c:v>-403.03423899999996</c:v>
                </c:pt>
                <c:pt idx="2073">
                  <c:v>-403.00575399999997</c:v>
                </c:pt>
                <c:pt idx="2074">
                  <c:v>-402.97836999999998</c:v>
                </c:pt>
                <c:pt idx="2075">
                  <c:v>-402.94978500000002</c:v>
                </c:pt>
                <c:pt idx="2076">
                  <c:v>-402.92230099999995</c:v>
                </c:pt>
                <c:pt idx="2077">
                  <c:v>-402.89371700000004</c:v>
                </c:pt>
                <c:pt idx="2078">
                  <c:v>-402.86533199999997</c:v>
                </c:pt>
                <c:pt idx="2079">
                  <c:v>-402.83774799999992</c:v>
                </c:pt>
                <c:pt idx="2080">
                  <c:v>-402.80926399999998</c:v>
                </c:pt>
                <c:pt idx="2081">
                  <c:v>-402.78067899999996</c:v>
                </c:pt>
                <c:pt idx="2082">
                  <c:v>-402.75319500000001</c:v>
                </c:pt>
                <c:pt idx="2083">
                  <c:v>-402.72471100000001</c:v>
                </c:pt>
                <c:pt idx="2084">
                  <c:v>-402.69732700000003</c:v>
                </c:pt>
                <c:pt idx="2085">
                  <c:v>-402.66774300000003</c:v>
                </c:pt>
                <c:pt idx="2086">
                  <c:v>-402.63925899999992</c:v>
                </c:pt>
                <c:pt idx="2087">
                  <c:v>-402.61167499999999</c:v>
                </c:pt>
                <c:pt idx="2088">
                  <c:v>-402.583191</c:v>
                </c:pt>
                <c:pt idx="2089">
                  <c:v>-402.55460700000003</c:v>
                </c:pt>
                <c:pt idx="2090">
                  <c:v>-402.52722299999999</c:v>
                </c:pt>
                <c:pt idx="2091">
                  <c:v>-402.49863899999997</c:v>
                </c:pt>
                <c:pt idx="2092">
                  <c:v>-402.47025500000001</c:v>
                </c:pt>
                <c:pt idx="2093">
                  <c:v>-402.44277099999999</c:v>
                </c:pt>
                <c:pt idx="2094">
                  <c:v>-402.41418700000003</c:v>
                </c:pt>
                <c:pt idx="2095">
                  <c:v>-402.38680299999999</c:v>
                </c:pt>
                <c:pt idx="2096">
                  <c:v>-402.35821899999996</c:v>
                </c:pt>
                <c:pt idx="2097">
                  <c:v>-402.32973599999997</c:v>
                </c:pt>
                <c:pt idx="2098">
                  <c:v>-402.30115199999995</c:v>
                </c:pt>
                <c:pt idx="2099">
                  <c:v>-402.27266800000001</c:v>
                </c:pt>
                <c:pt idx="2100">
                  <c:v>-402.24408500000004</c:v>
                </c:pt>
                <c:pt idx="2101">
                  <c:v>-402.21680100000003</c:v>
                </c:pt>
                <c:pt idx="2102">
                  <c:v>-402.18821800000001</c:v>
                </c:pt>
                <c:pt idx="2103">
                  <c:v>-402.15973399999996</c:v>
                </c:pt>
                <c:pt idx="2104">
                  <c:v>-402.13215000000002</c:v>
                </c:pt>
                <c:pt idx="2105">
                  <c:v>-402.10366699999997</c:v>
                </c:pt>
                <c:pt idx="2106">
                  <c:v>-402.07608400000004</c:v>
                </c:pt>
                <c:pt idx="2107">
                  <c:v>-402.04769999999996</c:v>
                </c:pt>
                <c:pt idx="2108">
                  <c:v>-402.01911699999999</c:v>
                </c:pt>
                <c:pt idx="2109">
                  <c:v>-401.99163300000004</c:v>
                </c:pt>
                <c:pt idx="2110">
                  <c:v>-401.96314999999998</c:v>
                </c:pt>
                <c:pt idx="2111">
                  <c:v>-401.93466699999999</c:v>
                </c:pt>
                <c:pt idx="2112">
                  <c:v>-401.906184</c:v>
                </c:pt>
                <c:pt idx="2113">
                  <c:v>-401.8777</c:v>
                </c:pt>
                <c:pt idx="2114">
                  <c:v>-401.84911700000004</c:v>
                </c:pt>
                <c:pt idx="2115">
                  <c:v>-401.82163399999996</c:v>
                </c:pt>
                <c:pt idx="2116">
                  <c:v>-401.79305099999999</c:v>
                </c:pt>
                <c:pt idx="2117">
                  <c:v>-401.76556799999997</c:v>
                </c:pt>
                <c:pt idx="2118">
                  <c:v>-401.73708499999998</c:v>
                </c:pt>
                <c:pt idx="2119">
                  <c:v>-401.70870200000002</c:v>
                </c:pt>
                <c:pt idx="2120">
                  <c:v>-401.68111900000002</c:v>
                </c:pt>
                <c:pt idx="2121">
                  <c:v>-401.65263599999997</c:v>
                </c:pt>
                <c:pt idx="2122">
                  <c:v>-401.624053</c:v>
                </c:pt>
                <c:pt idx="2123">
                  <c:v>-401.59656999999993</c:v>
                </c:pt>
                <c:pt idx="2124">
                  <c:v>-401.56808699999999</c:v>
                </c:pt>
                <c:pt idx="2125">
                  <c:v>-401.53960399999994</c:v>
                </c:pt>
                <c:pt idx="2126">
                  <c:v>-401.51102100000003</c:v>
                </c:pt>
                <c:pt idx="2127">
                  <c:v>-401.48253900000003</c:v>
                </c:pt>
                <c:pt idx="2128">
                  <c:v>-401.45505599999996</c:v>
                </c:pt>
                <c:pt idx="2129">
                  <c:v>-401.42657300000002</c:v>
                </c:pt>
                <c:pt idx="2130">
                  <c:v>-401.39809100000002</c:v>
                </c:pt>
                <c:pt idx="2131">
                  <c:v>-401.37060800000006</c:v>
                </c:pt>
                <c:pt idx="2132">
                  <c:v>-401.34202499999998</c:v>
                </c:pt>
                <c:pt idx="2133">
                  <c:v>-401.31354299999998</c:v>
                </c:pt>
                <c:pt idx="2134">
                  <c:v>-401.28596000000005</c:v>
                </c:pt>
                <c:pt idx="2135">
                  <c:v>-401.25757800000002</c:v>
                </c:pt>
                <c:pt idx="2136">
                  <c:v>-401.23019500000004</c:v>
                </c:pt>
                <c:pt idx="2137">
                  <c:v>-401.20161300000001</c:v>
                </c:pt>
                <c:pt idx="2138">
                  <c:v>-401.17212999999998</c:v>
                </c:pt>
                <c:pt idx="2139">
                  <c:v>-401.14454799999999</c:v>
                </c:pt>
                <c:pt idx="2140">
                  <c:v>-401.11606600000005</c:v>
                </c:pt>
                <c:pt idx="2141">
                  <c:v>-401.08758300000005</c:v>
                </c:pt>
                <c:pt idx="2142">
                  <c:v>-401.06010100000003</c:v>
                </c:pt>
                <c:pt idx="2143">
                  <c:v>-401.031519</c:v>
                </c:pt>
                <c:pt idx="2144">
                  <c:v>-401.00303700000001</c:v>
                </c:pt>
                <c:pt idx="2145">
                  <c:v>-400.97555399999999</c:v>
                </c:pt>
                <c:pt idx="2146">
                  <c:v>-400.94707199999999</c:v>
                </c:pt>
                <c:pt idx="2147">
                  <c:v>-400.91958999999997</c:v>
                </c:pt>
                <c:pt idx="2148">
                  <c:v>-400.89110800000003</c:v>
                </c:pt>
                <c:pt idx="2149">
                  <c:v>-400.862526</c:v>
                </c:pt>
                <c:pt idx="2150">
                  <c:v>-400.83504400000004</c:v>
                </c:pt>
                <c:pt idx="2151">
                  <c:v>-400.80646200000001</c:v>
                </c:pt>
                <c:pt idx="2152">
                  <c:v>-400.77697999999998</c:v>
                </c:pt>
                <c:pt idx="2153">
                  <c:v>-400.7494979999999</c:v>
                </c:pt>
                <c:pt idx="2154">
                  <c:v>-400.72111599999999</c:v>
                </c:pt>
                <c:pt idx="2155">
                  <c:v>-400.69253399999997</c:v>
                </c:pt>
                <c:pt idx="2156">
                  <c:v>-400.665052</c:v>
                </c:pt>
                <c:pt idx="2157">
                  <c:v>-400.63647100000003</c:v>
                </c:pt>
                <c:pt idx="2158">
                  <c:v>-400.60908900000004</c:v>
                </c:pt>
                <c:pt idx="2159">
                  <c:v>-400.58050700000001</c:v>
                </c:pt>
                <c:pt idx="2160">
                  <c:v>-400.55202599999996</c:v>
                </c:pt>
                <c:pt idx="2161">
                  <c:v>-400.52444399999996</c:v>
                </c:pt>
                <c:pt idx="2162">
                  <c:v>-400.49606199999994</c:v>
                </c:pt>
                <c:pt idx="2163">
                  <c:v>-400.46748100000002</c:v>
                </c:pt>
                <c:pt idx="2164">
                  <c:v>-400.44009899999998</c:v>
                </c:pt>
                <c:pt idx="2165">
                  <c:v>-400.41051699999997</c:v>
                </c:pt>
                <c:pt idx="2166">
                  <c:v>-400.38203599999997</c:v>
                </c:pt>
                <c:pt idx="2167">
                  <c:v>-400.35445499999997</c:v>
                </c:pt>
                <c:pt idx="2168">
                  <c:v>-400.32597299999998</c:v>
                </c:pt>
                <c:pt idx="2169">
                  <c:v>-400.29839199999998</c:v>
                </c:pt>
                <c:pt idx="2170">
                  <c:v>-400.27000999999996</c:v>
                </c:pt>
                <c:pt idx="2171">
                  <c:v>-400.24152900000001</c:v>
                </c:pt>
                <c:pt idx="2172">
                  <c:v>-400.21404799999999</c:v>
                </c:pt>
                <c:pt idx="2173">
                  <c:v>-400.18546600000002</c:v>
                </c:pt>
                <c:pt idx="2174">
                  <c:v>-400.15698499999996</c:v>
                </c:pt>
                <c:pt idx="2175">
                  <c:v>-400.12940399999997</c:v>
                </c:pt>
                <c:pt idx="2176">
                  <c:v>-400.10102300000005</c:v>
                </c:pt>
                <c:pt idx="2177">
                  <c:v>-400.073442</c:v>
                </c:pt>
                <c:pt idx="2178">
                  <c:v>-400.04395999999997</c:v>
                </c:pt>
                <c:pt idx="2179">
                  <c:v>-400.01547899999997</c:v>
                </c:pt>
                <c:pt idx="2180">
                  <c:v>-399.98799799999995</c:v>
                </c:pt>
                <c:pt idx="2181">
                  <c:v>-399.95951700000001</c:v>
                </c:pt>
                <c:pt idx="2182">
                  <c:v>-399.93103600000001</c:v>
                </c:pt>
                <c:pt idx="2183">
                  <c:v>-399.90355500000004</c:v>
                </c:pt>
                <c:pt idx="2184">
                  <c:v>-399.87497500000001</c:v>
                </c:pt>
                <c:pt idx="2185">
                  <c:v>-399.84649400000001</c:v>
                </c:pt>
                <c:pt idx="2186">
                  <c:v>-399.81891300000001</c:v>
                </c:pt>
                <c:pt idx="2187">
                  <c:v>-399.79053199999998</c:v>
                </c:pt>
                <c:pt idx="2188">
                  <c:v>-399.76305100000002</c:v>
                </c:pt>
                <c:pt idx="2189">
                  <c:v>-399.73456999999996</c:v>
                </c:pt>
                <c:pt idx="2190">
                  <c:v>-399.70599000000004</c:v>
                </c:pt>
                <c:pt idx="2191">
                  <c:v>-399.67750899999999</c:v>
                </c:pt>
                <c:pt idx="2192">
                  <c:v>-399.64892799999996</c:v>
                </c:pt>
                <c:pt idx="2193">
                  <c:v>-399.62054800000004</c:v>
                </c:pt>
                <c:pt idx="2194">
                  <c:v>-399.59296700000004</c:v>
                </c:pt>
                <c:pt idx="2195">
                  <c:v>-399.56448699999999</c:v>
                </c:pt>
                <c:pt idx="2196">
                  <c:v>-399.53600600000004</c:v>
                </c:pt>
                <c:pt idx="2197">
                  <c:v>-399.50852599999996</c:v>
                </c:pt>
                <c:pt idx="2198">
                  <c:v>-399.47994499999999</c:v>
                </c:pt>
                <c:pt idx="2199">
                  <c:v>-399.45256500000005</c:v>
                </c:pt>
                <c:pt idx="2200">
                  <c:v>-399.42398400000002</c:v>
                </c:pt>
                <c:pt idx="2201">
                  <c:v>-399.39550399999996</c:v>
                </c:pt>
                <c:pt idx="2202">
                  <c:v>-399.36792399999996</c:v>
                </c:pt>
                <c:pt idx="2203">
                  <c:v>-399.33944300000002</c:v>
                </c:pt>
                <c:pt idx="2204">
                  <c:v>-399.30996299999993</c:v>
                </c:pt>
                <c:pt idx="2205">
                  <c:v>-399.28258300000005</c:v>
                </c:pt>
                <c:pt idx="2206">
                  <c:v>-399.25400300000001</c:v>
                </c:pt>
                <c:pt idx="2207">
                  <c:v>-399.22552200000007</c:v>
                </c:pt>
                <c:pt idx="2208">
                  <c:v>-399.19794200000001</c:v>
                </c:pt>
                <c:pt idx="2209">
                  <c:v>-399.16946199999995</c:v>
                </c:pt>
                <c:pt idx="2210">
                  <c:v>-399.14188200000001</c:v>
                </c:pt>
                <c:pt idx="2211">
                  <c:v>-399.11350199999998</c:v>
                </c:pt>
                <c:pt idx="2212">
                  <c:v>-399.08502199999998</c:v>
                </c:pt>
                <c:pt idx="2213">
                  <c:v>-399.05417099999994</c:v>
                </c:pt>
                <c:pt idx="2214">
                  <c:v>-399.01197999999999</c:v>
                </c:pt>
                <c:pt idx="2215">
                  <c:v>-398.96988800000003</c:v>
                </c:pt>
                <c:pt idx="2216">
                  <c:v>-398.92669599999999</c:v>
                </c:pt>
                <c:pt idx="2217">
                  <c:v>-398.88360500000005</c:v>
                </c:pt>
                <c:pt idx="2218">
                  <c:v>-398.84141399999993</c:v>
                </c:pt>
                <c:pt idx="2219">
                  <c:v>-398.79922199999999</c:v>
                </c:pt>
                <c:pt idx="2220">
                  <c:v>-398.75623100000001</c:v>
                </c:pt>
                <c:pt idx="2221">
                  <c:v>-398.71403999999995</c:v>
                </c:pt>
                <c:pt idx="2222">
                  <c:v>-398.67194900000004</c:v>
                </c:pt>
                <c:pt idx="2223">
                  <c:v>-398.62885699999998</c:v>
                </c:pt>
                <c:pt idx="2224">
                  <c:v>-398.585666</c:v>
                </c:pt>
                <c:pt idx="2225">
                  <c:v>-398.54357500000003</c:v>
                </c:pt>
                <c:pt idx="2226">
                  <c:v>-398.50138400000003</c:v>
                </c:pt>
                <c:pt idx="2227">
                  <c:v>-398.44893100000002</c:v>
                </c:pt>
                <c:pt idx="2228">
                  <c:v>-398.39247499999999</c:v>
                </c:pt>
                <c:pt idx="2229">
                  <c:v>-398.33491900000001</c:v>
                </c:pt>
                <c:pt idx="2230">
                  <c:v>-398.27836300000001</c:v>
                </c:pt>
                <c:pt idx="2231">
                  <c:v>-398.22080699999998</c:v>
                </c:pt>
                <c:pt idx="2232">
                  <c:v>-398.16335199999997</c:v>
                </c:pt>
                <c:pt idx="2233">
                  <c:v>-398.10669599999994</c:v>
                </c:pt>
                <c:pt idx="2234">
                  <c:v>-398.04914100000002</c:v>
                </c:pt>
                <c:pt idx="2235">
                  <c:v>-397.99258500000002</c:v>
                </c:pt>
                <c:pt idx="2236">
                  <c:v>-397.93502999999998</c:v>
                </c:pt>
                <c:pt idx="2237">
                  <c:v>-397.87757499999998</c:v>
                </c:pt>
                <c:pt idx="2238">
                  <c:v>-397.82001899999995</c:v>
                </c:pt>
                <c:pt idx="2239">
                  <c:v>-397.763464</c:v>
                </c:pt>
                <c:pt idx="2240">
                  <c:v>-397.70580900000004</c:v>
                </c:pt>
                <c:pt idx="2241">
                  <c:v>-397.64605700000004</c:v>
                </c:pt>
                <c:pt idx="2242">
                  <c:v>-397.57720899999993</c:v>
                </c:pt>
                <c:pt idx="2243">
                  <c:v>-397.50826200000006</c:v>
                </c:pt>
                <c:pt idx="2244">
                  <c:v>-397.43643399999996</c:v>
                </c:pt>
                <c:pt idx="2245">
                  <c:v>-397.35635699999995</c:v>
                </c:pt>
                <c:pt idx="2246">
                  <c:v>-397.27537999999998</c:v>
                </c:pt>
                <c:pt idx="2247">
                  <c:v>-397.19430299999999</c:v>
                </c:pt>
                <c:pt idx="2248">
                  <c:v>-397.11332700000003</c:v>
                </c:pt>
                <c:pt idx="2249">
                  <c:v>-397.03234999999995</c:v>
                </c:pt>
                <c:pt idx="2250">
                  <c:v>-396.95227399999999</c:v>
                </c:pt>
                <c:pt idx="2251">
                  <c:v>-396.86090200000001</c:v>
                </c:pt>
                <c:pt idx="2252">
                  <c:v>-396.76575300000002</c:v>
                </c:pt>
                <c:pt idx="2253">
                  <c:v>-396.66930500000001</c:v>
                </c:pt>
                <c:pt idx="2254">
                  <c:v>-396.57405800000004</c:v>
                </c:pt>
                <c:pt idx="2255">
                  <c:v>-396.47971000000001</c:v>
                </c:pt>
                <c:pt idx="2256">
                  <c:v>-396.38436200000001</c:v>
                </c:pt>
                <c:pt idx="2257">
                  <c:v>-396.288115</c:v>
                </c:pt>
                <c:pt idx="2258">
                  <c:v>-396.192768</c:v>
                </c:pt>
                <c:pt idx="2259">
                  <c:v>-396.09751999999997</c:v>
                </c:pt>
                <c:pt idx="2260">
                  <c:v>-396.00217399999997</c:v>
                </c:pt>
                <c:pt idx="2261">
                  <c:v>-395.90582699999993</c:v>
                </c:pt>
                <c:pt idx="2262">
                  <c:v>-395.81157999999994</c:v>
                </c:pt>
                <c:pt idx="2263">
                  <c:v>-395.71623399999999</c:v>
                </c:pt>
                <c:pt idx="2264">
                  <c:v>-395.62088700000004</c:v>
                </c:pt>
                <c:pt idx="2265">
                  <c:v>-395.52464099999997</c:v>
                </c:pt>
                <c:pt idx="2266">
                  <c:v>-395.42929500000002</c:v>
                </c:pt>
                <c:pt idx="2267">
                  <c:v>-395.33394900000002</c:v>
                </c:pt>
                <c:pt idx="2268">
                  <c:v>-395.23970300000008</c:v>
                </c:pt>
                <c:pt idx="2269">
                  <c:v>-395.14335800000003</c:v>
                </c:pt>
                <c:pt idx="2270">
                  <c:v>-395.04801200000003</c:v>
                </c:pt>
                <c:pt idx="2271">
                  <c:v>-394.95276699999999</c:v>
                </c:pt>
                <c:pt idx="2272">
                  <c:v>-394.85752200000002</c:v>
                </c:pt>
                <c:pt idx="2273">
                  <c:v>-394.761077</c:v>
                </c:pt>
                <c:pt idx="2274">
                  <c:v>-394.66583200000002</c:v>
                </c:pt>
                <c:pt idx="2275">
                  <c:v>-394.57158700000002</c:v>
                </c:pt>
                <c:pt idx="2276">
                  <c:v>-394.47614200000004</c:v>
                </c:pt>
                <c:pt idx="2277">
                  <c:v>-394.37989800000003</c:v>
                </c:pt>
                <c:pt idx="2278">
                  <c:v>-394.28455400000001</c:v>
                </c:pt>
                <c:pt idx="2279">
                  <c:v>-394.18602199999998</c:v>
                </c:pt>
                <c:pt idx="2280">
                  <c:v>-394.06786199999999</c:v>
                </c:pt>
                <c:pt idx="2281">
                  <c:v>-393.94581399999993</c:v>
                </c:pt>
                <c:pt idx="2282">
                  <c:v>-393.82266700000002</c:v>
                </c:pt>
                <c:pt idx="2283">
                  <c:v>-393.70062000000001</c:v>
                </c:pt>
                <c:pt idx="2284">
                  <c:v>-393.577473</c:v>
                </c:pt>
                <c:pt idx="2285">
                  <c:v>-393.45542599999999</c:v>
                </c:pt>
                <c:pt idx="2286">
                  <c:v>-393.33237899999995</c:v>
                </c:pt>
                <c:pt idx="2287">
                  <c:v>-393.21033299999999</c:v>
                </c:pt>
                <c:pt idx="2288">
                  <c:v>-393.08728599999995</c:v>
                </c:pt>
                <c:pt idx="2289">
                  <c:v>-392.96514000000002</c:v>
                </c:pt>
                <c:pt idx="2290">
                  <c:v>-392.84209500000003</c:v>
                </c:pt>
                <c:pt idx="2291">
                  <c:v>-392.71994899999993</c:v>
                </c:pt>
                <c:pt idx="2292">
                  <c:v>-392.59790399999997</c:v>
                </c:pt>
                <c:pt idx="2293">
                  <c:v>-392.47485799999998</c:v>
                </c:pt>
                <c:pt idx="2294">
                  <c:v>-392.35281300000003</c:v>
                </c:pt>
                <c:pt idx="2295">
                  <c:v>-392.22976900000003</c:v>
                </c:pt>
                <c:pt idx="2296">
                  <c:v>-392.10762399999999</c:v>
                </c:pt>
                <c:pt idx="2297">
                  <c:v>-391.98174000000006</c:v>
                </c:pt>
                <c:pt idx="2298">
                  <c:v>-391.846765</c:v>
                </c:pt>
                <c:pt idx="2299">
                  <c:v>-391.71159</c:v>
                </c:pt>
                <c:pt idx="2300">
                  <c:v>-391.57651600000008</c:v>
                </c:pt>
                <c:pt idx="2301">
                  <c:v>-391.44244100000003</c:v>
                </c:pt>
                <c:pt idx="2302">
                  <c:v>-391.306467</c:v>
                </c:pt>
                <c:pt idx="2303">
                  <c:v>-391.17139300000002</c:v>
                </c:pt>
                <c:pt idx="2304">
                  <c:v>-391.03611999999998</c:v>
                </c:pt>
                <c:pt idx="2305">
                  <c:v>-390.90104600000001</c:v>
                </c:pt>
                <c:pt idx="2306">
                  <c:v>-390.76697300000001</c:v>
                </c:pt>
                <c:pt idx="2307">
                  <c:v>-390.63099999999997</c:v>
                </c:pt>
                <c:pt idx="2308">
                  <c:v>-390.49692699999997</c:v>
                </c:pt>
                <c:pt idx="2309">
                  <c:v>-390.36085500000002</c:v>
                </c:pt>
                <c:pt idx="2310">
                  <c:v>-390.22668300000004</c:v>
                </c:pt>
                <c:pt idx="2311">
                  <c:v>-390.091611</c:v>
                </c:pt>
                <c:pt idx="2312">
                  <c:v>-389.95653900000002</c:v>
                </c:pt>
                <c:pt idx="2313">
                  <c:v>-389.82146699999998</c:v>
                </c:pt>
                <c:pt idx="2314">
                  <c:v>-389.68739600000004</c:v>
                </c:pt>
                <c:pt idx="2315">
                  <c:v>-389.55122500000004</c:v>
                </c:pt>
                <c:pt idx="2316">
                  <c:v>-389.41725399999996</c:v>
                </c:pt>
                <c:pt idx="2317">
                  <c:v>-389.28118300000006</c:v>
                </c:pt>
                <c:pt idx="2318">
                  <c:v>-389.14522600000004</c:v>
                </c:pt>
                <c:pt idx="2319">
                  <c:v>-389.00386600000007</c:v>
                </c:pt>
                <c:pt idx="2320">
                  <c:v>-388.86240599999996</c:v>
                </c:pt>
                <c:pt idx="2321">
                  <c:v>-388.72104700000006</c:v>
                </c:pt>
                <c:pt idx="2322">
                  <c:v>-388.58068800000001</c:v>
                </c:pt>
                <c:pt idx="2323">
                  <c:v>-388.43420900000001</c:v>
                </c:pt>
                <c:pt idx="2324">
                  <c:v>-388.28748600000006</c:v>
                </c:pt>
                <c:pt idx="2325">
                  <c:v>-388.13976300000002</c:v>
                </c:pt>
                <c:pt idx="2326">
                  <c:v>-387.99204000000003</c:v>
                </c:pt>
                <c:pt idx="2327">
                  <c:v>-387.84421800000001</c:v>
                </c:pt>
                <c:pt idx="2328">
                  <c:v>-387.69649600000002</c:v>
                </c:pt>
                <c:pt idx="2329">
                  <c:v>-387.54977399999996</c:v>
                </c:pt>
                <c:pt idx="2330">
                  <c:v>-387.402153</c:v>
                </c:pt>
                <c:pt idx="2331">
                  <c:v>-387.25443200000001</c:v>
                </c:pt>
                <c:pt idx="2332">
                  <c:v>-387.10771100000005</c:v>
                </c:pt>
                <c:pt idx="2333">
                  <c:v>-386.95989000000003</c:v>
                </c:pt>
                <c:pt idx="2334">
                  <c:v>-386.81216999999998</c:v>
                </c:pt>
                <c:pt idx="2335">
                  <c:v>-386.66544900000002</c:v>
                </c:pt>
                <c:pt idx="2336">
                  <c:v>-386.51783</c:v>
                </c:pt>
                <c:pt idx="2337">
                  <c:v>-386.37010999999995</c:v>
                </c:pt>
                <c:pt idx="2338">
                  <c:v>-386.22239100000002</c:v>
                </c:pt>
                <c:pt idx="2339">
                  <c:v>-386.07457199999999</c:v>
                </c:pt>
                <c:pt idx="2340">
                  <c:v>-385.92685299999994</c:v>
                </c:pt>
                <c:pt idx="2341">
                  <c:v>-385.78113400000001</c:v>
                </c:pt>
                <c:pt idx="2342">
                  <c:v>-385.63341599999995</c:v>
                </c:pt>
                <c:pt idx="2343">
                  <c:v>-385.48579800000005</c:v>
                </c:pt>
                <c:pt idx="2344">
                  <c:v>-385.33808099999999</c:v>
                </c:pt>
                <c:pt idx="2345">
                  <c:v>-385.19026299999996</c:v>
                </c:pt>
                <c:pt idx="2346">
                  <c:v>-385.04244599999998</c:v>
                </c:pt>
                <c:pt idx="2347">
                  <c:v>-384.892267</c:v>
                </c:pt>
                <c:pt idx="2348">
                  <c:v>-384.740206</c:v>
                </c:pt>
                <c:pt idx="2349">
                  <c:v>-384.58614699999998</c:v>
                </c:pt>
                <c:pt idx="2350">
                  <c:v>-384.43398700000006</c:v>
                </c:pt>
                <c:pt idx="2351">
                  <c:v>-384.28182699999996</c:v>
                </c:pt>
                <c:pt idx="2352">
                  <c:v>-384.12876800000004</c:v>
                </c:pt>
                <c:pt idx="2353">
                  <c:v>-383.97670899999991</c:v>
                </c:pt>
                <c:pt idx="2354">
                  <c:v>-383.82365099999998</c:v>
                </c:pt>
                <c:pt idx="2355">
                  <c:v>-383.670592</c:v>
                </c:pt>
                <c:pt idx="2356">
                  <c:v>-383.51843399999996</c:v>
                </c:pt>
                <c:pt idx="2357">
                  <c:v>-383.36070399999994</c:v>
                </c:pt>
                <c:pt idx="2358">
                  <c:v>-383.20196899999991</c:v>
                </c:pt>
                <c:pt idx="2359">
                  <c:v>-383.04523599999999</c:v>
                </c:pt>
                <c:pt idx="2360">
                  <c:v>-382.88650200000001</c:v>
                </c:pt>
                <c:pt idx="2361">
                  <c:v>-382.72966900000006</c:v>
                </c:pt>
                <c:pt idx="2362">
                  <c:v>-382.57083599999999</c:v>
                </c:pt>
                <c:pt idx="2363">
                  <c:v>-382.413003</c:v>
                </c:pt>
                <c:pt idx="2364">
                  <c:v>-382.25527099999999</c:v>
                </c:pt>
                <c:pt idx="2365">
                  <c:v>-382.09743899999995</c:v>
                </c:pt>
                <c:pt idx="2366">
                  <c:v>-381.93870699999997</c:v>
                </c:pt>
                <c:pt idx="2367">
                  <c:v>-381.78187500000001</c:v>
                </c:pt>
                <c:pt idx="2368">
                  <c:v>-381.62314400000002</c:v>
                </c:pt>
                <c:pt idx="2369">
                  <c:v>-381.46531299999998</c:v>
                </c:pt>
                <c:pt idx="2370">
                  <c:v>-381.30748299999999</c:v>
                </c:pt>
                <c:pt idx="2371">
                  <c:v>-381.148753</c:v>
                </c:pt>
                <c:pt idx="2372">
                  <c:v>-380.99192299999999</c:v>
                </c:pt>
                <c:pt idx="2373">
                  <c:v>-380.83319300000005</c:v>
                </c:pt>
                <c:pt idx="2374">
                  <c:v>-380.67646399999995</c:v>
                </c:pt>
                <c:pt idx="2375">
                  <c:v>-380.51763500000004</c:v>
                </c:pt>
                <c:pt idx="2376">
                  <c:v>-380.35980599999999</c:v>
                </c:pt>
                <c:pt idx="2377">
                  <c:v>-380.201978</c:v>
                </c:pt>
                <c:pt idx="2378">
                  <c:v>-380.04425000000003</c:v>
                </c:pt>
                <c:pt idx="2379">
                  <c:v>-379.88552199999998</c:v>
                </c:pt>
                <c:pt idx="2380">
                  <c:v>-379.72869400000002</c:v>
                </c:pt>
                <c:pt idx="2381">
                  <c:v>-379.56996699999996</c:v>
                </c:pt>
                <c:pt idx="2382">
                  <c:v>-379.41314</c:v>
                </c:pt>
                <c:pt idx="2383">
                  <c:v>-379.25431399999997</c:v>
                </c:pt>
                <c:pt idx="2384">
                  <c:v>-379.096588</c:v>
                </c:pt>
                <c:pt idx="2385">
                  <c:v>-378.938762</c:v>
                </c:pt>
                <c:pt idx="2386">
                  <c:v>-378.780036</c:v>
                </c:pt>
                <c:pt idx="2387">
                  <c:v>-378.62221099999999</c:v>
                </c:pt>
                <c:pt idx="2388">
                  <c:v>-378.46448499999997</c:v>
                </c:pt>
                <c:pt idx="2389">
                  <c:v>-378.30666099999996</c:v>
                </c:pt>
                <c:pt idx="2390">
                  <c:v>-378.14883600000002</c:v>
                </c:pt>
                <c:pt idx="2391">
                  <c:v>-377.99101200000001</c:v>
                </c:pt>
                <c:pt idx="2392">
                  <c:v>-377.83228800000001</c:v>
                </c:pt>
                <c:pt idx="2393">
                  <c:v>-377.67556500000001</c:v>
                </c:pt>
                <c:pt idx="2394">
                  <c:v>-377.51674200000002</c:v>
                </c:pt>
                <c:pt idx="2395">
                  <c:v>-377.35991899999999</c:v>
                </c:pt>
                <c:pt idx="2396">
                  <c:v>-377.20109600000001</c:v>
                </c:pt>
                <c:pt idx="2397">
                  <c:v>-377.04347399999995</c:v>
                </c:pt>
                <c:pt idx="2398">
                  <c:v>-376.88565200000005</c:v>
                </c:pt>
                <c:pt idx="2399">
                  <c:v>-376.72783000000004</c:v>
                </c:pt>
                <c:pt idx="2400">
                  <c:v>-376.569008</c:v>
                </c:pt>
                <c:pt idx="2401">
                  <c:v>-376.41118699999998</c:v>
                </c:pt>
                <c:pt idx="2402">
                  <c:v>-376.253467</c:v>
                </c:pt>
                <c:pt idx="2403">
                  <c:v>-376.09574599999996</c:v>
                </c:pt>
                <c:pt idx="2404">
                  <c:v>-375.93792599999995</c:v>
                </c:pt>
                <c:pt idx="2405">
                  <c:v>-375.77910600000007</c:v>
                </c:pt>
                <c:pt idx="2406">
                  <c:v>-375.62228599999997</c:v>
                </c:pt>
                <c:pt idx="2407">
                  <c:v>-375.46356700000001</c:v>
                </c:pt>
                <c:pt idx="2408">
                  <c:v>-375.30584799999997</c:v>
                </c:pt>
                <c:pt idx="2409">
                  <c:v>-375.14802900000001</c:v>
                </c:pt>
                <c:pt idx="2410">
                  <c:v>-374.99021099999993</c:v>
                </c:pt>
                <c:pt idx="2411">
                  <c:v>-374.83239300000002</c:v>
                </c:pt>
                <c:pt idx="2412">
                  <c:v>-374.67467500000004</c:v>
                </c:pt>
                <c:pt idx="2413">
                  <c:v>-374.51585800000004</c:v>
                </c:pt>
                <c:pt idx="2414">
                  <c:v>-374.35914100000002</c:v>
                </c:pt>
                <c:pt idx="2415">
                  <c:v>-374.20032400000002</c:v>
                </c:pt>
                <c:pt idx="2416">
                  <c:v>-374.04260700000003</c:v>
                </c:pt>
                <c:pt idx="2417">
                  <c:v>-373.88479100000001</c:v>
                </c:pt>
                <c:pt idx="2418">
                  <c:v>-373.72597499999995</c:v>
                </c:pt>
                <c:pt idx="2419">
                  <c:v>-373.56915900000007</c:v>
                </c:pt>
                <c:pt idx="2420">
                  <c:v>-373.41044399999998</c:v>
                </c:pt>
                <c:pt idx="2421">
                  <c:v>-373.25272900000004</c:v>
                </c:pt>
                <c:pt idx="2422">
                  <c:v>-373.09531400000003</c:v>
                </c:pt>
                <c:pt idx="2423">
                  <c:v>-372.93689999999998</c:v>
                </c:pt>
                <c:pt idx="2424">
                  <c:v>-372.77858600000002</c:v>
                </c:pt>
                <c:pt idx="2425">
                  <c:v>-372.62137200000001</c:v>
                </c:pt>
                <c:pt idx="2426">
                  <c:v>-372.46305799999993</c:v>
                </c:pt>
                <c:pt idx="2427">
                  <c:v>-372.30564500000003</c:v>
                </c:pt>
                <c:pt idx="2428">
                  <c:v>-372.14743199999998</c:v>
                </c:pt>
                <c:pt idx="2429">
                  <c:v>-371.98912000000001</c:v>
                </c:pt>
                <c:pt idx="2430">
                  <c:v>-371.83180800000002</c:v>
                </c:pt>
                <c:pt idx="2431">
                  <c:v>-371.67359499999998</c:v>
                </c:pt>
                <c:pt idx="2432">
                  <c:v>-371.51518399999998</c:v>
                </c:pt>
                <c:pt idx="2433">
                  <c:v>-371.35777200000001</c:v>
                </c:pt>
                <c:pt idx="2434">
                  <c:v>-371.19956100000002</c:v>
                </c:pt>
                <c:pt idx="2435">
                  <c:v>-371.04235099999994</c:v>
                </c:pt>
                <c:pt idx="2436">
                  <c:v>-370.88404000000003</c:v>
                </c:pt>
                <c:pt idx="2437">
                  <c:v>-370.72563000000002</c:v>
                </c:pt>
                <c:pt idx="2438">
                  <c:v>-370.56832000000003</c:v>
                </c:pt>
                <c:pt idx="2439">
                  <c:v>-370.41011100000003</c:v>
                </c:pt>
                <c:pt idx="2440">
                  <c:v>-370.251801</c:v>
                </c:pt>
                <c:pt idx="2441">
                  <c:v>-370.094492</c:v>
                </c:pt>
                <c:pt idx="2442">
                  <c:v>-369.93608399999999</c:v>
                </c:pt>
                <c:pt idx="2443">
                  <c:v>-369.778775</c:v>
                </c:pt>
                <c:pt idx="2444">
                  <c:v>-369.62056699999994</c:v>
                </c:pt>
                <c:pt idx="2445">
                  <c:v>-369.46226000000001</c:v>
                </c:pt>
                <c:pt idx="2446">
                  <c:v>-369.30495200000001</c:v>
                </c:pt>
                <c:pt idx="2447">
                  <c:v>-369.14654499999995</c:v>
                </c:pt>
                <c:pt idx="2448">
                  <c:v>-368.98823799999997</c:v>
                </c:pt>
                <c:pt idx="2449">
                  <c:v>-368.83113200000003</c:v>
                </c:pt>
                <c:pt idx="2450">
                  <c:v>-368.67272500000001</c:v>
                </c:pt>
                <c:pt idx="2451">
                  <c:v>-368.514319</c:v>
                </c:pt>
                <c:pt idx="2452">
                  <c:v>-368.35711400000002</c:v>
                </c:pt>
                <c:pt idx="2453">
                  <c:v>-368.19890900000001</c:v>
                </c:pt>
                <c:pt idx="2454">
                  <c:v>-368.04150399999997</c:v>
                </c:pt>
                <c:pt idx="2455">
                  <c:v>-367.88319899999999</c:v>
                </c:pt>
                <c:pt idx="2456">
                  <c:v>-367.72489499999995</c:v>
                </c:pt>
                <c:pt idx="2457">
                  <c:v>-367.56749000000002</c:v>
                </c:pt>
                <c:pt idx="2458">
                  <c:v>-367.40928699999995</c:v>
                </c:pt>
                <c:pt idx="2459">
                  <c:v>-367.25108299999999</c:v>
                </c:pt>
                <c:pt idx="2460">
                  <c:v>-367.09357999999997</c:v>
                </c:pt>
                <c:pt idx="2461">
                  <c:v>-366.93527699999999</c:v>
                </c:pt>
                <c:pt idx="2462">
                  <c:v>-366.77817500000003</c:v>
                </c:pt>
                <c:pt idx="2463">
                  <c:v>-366.61987199999999</c:v>
                </c:pt>
                <c:pt idx="2464">
                  <c:v>-366.46136999999993</c:v>
                </c:pt>
                <c:pt idx="2465">
                  <c:v>-366.304169</c:v>
                </c:pt>
                <c:pt idx="2466">
                  <c:v>-366.14586700000001</c:v>
                </c:pt>
                <c:pt idx="2467">
                  <c:v>-365.98756599999996</c:v>
                </c:pt>
                <c:pt idx="2468">
                  <c:v>-365.83026500000005</c:v>
                </c:pt>
                <c:pt idx="2469">
                  <c:v>-365.671965</c:v>
                </c:pt>
                <c:pt idx="2470">
                  <c:v>-365.51366499999995</c:v>
                </c:pt>
                <c:pt idx="2471">
                  <c:v>-365.35636500000004</c:v>
                </c:pt>
                <c:pt idx="2472">
                  <c:v>-365.19806599999998</c:v>
                </c:pt>
                <c:pt idx="2473">
                  <c:v>-365.04076599999996</c:v>
                </c:pt>
                <c:pt idx="2474">
                  <c:v>-364.88246700000002</c:v>
                </c:pt>
                <c:pt idx="2475">
                  <c:v>-364.72416899999996</c:v>
                </c:pt>
                <c:pt idx="2476">
                  <c:v>-364.56687099999999</c:v>
                </c:pt>
                <c:pt idx="2477">
                  <c:v>-364.40847299999996</c:v>
                </c:pt>
                <c:pt idx="2478">
                  <c:v>-364.25027499999999</c:v>
                </c:pt>
                <c:pt idx="2479">
                  <c:v>-364.09297699999996</c:v>
                </c:pt>
                <c:pt idx="2480">
                  <c:v>-363.93468000000001</c:v>
                </c:pt>
                <c:pt idx="2481">
                  <c:v>-363.77738399999998</c:v>
                </c:pt>
                <c:pt idx="2482">
                  <c:v>-363.61908700000004</c:v>
                </c:pt>
                <c:pt idx="2483">
                  <c:v>-363.46079099999997</c:v>
                </c:pt>
                <c:pt idx="2484">
                  <c:v>-363.303495</c:v>
                </c:pt>
                <c:pt idx="2485">
                  <c:v>-363.14519899999999</c:v>
                </c:pt>
                <c:pt idx="2486">
                  <c:v>-362.98690399999998</c:v>
                </c:pt>
                <c:pt idx="2487">
                  <c:v>-362.829609</c:v>
                </c:pt>
                <c:pt idx="2488">
                  <c:v>-362.67121500000002</c:v>
                </c:pt>
                <c:pt idx="2489">
                  <c:v>-362.51292000000001</c:v>
                </c:pt>
                <c:pt idx="2490">
                  <c:v>-362.35572599999995</c:v>
                </c:pt>
                <c:pt idx="2491">
                  <c:v>-362.19743200000005</c:v>
                </c:pt>
                <c:pt idx="2492">
                  <c:v>-362.04003899999998</c:v>
                </c:pt>
                <c:pt idx="2493">
                  <c:v>-361.88174600000002</c:v>
                </c:pt>
                <c:pt idx="2494">
                  <c:v>-361.72355299999998</c:v>
                </c:pt>
                <c:pt idx="2495">
                  <c:v>-361.56626</c:v>
                </c:pt>
                <c:pt idx="2496">
                  <c:v>-361.40786800000001</c:v>
                </c:pt>
                <c:pt idx="2497">
                  <c:v>-361.24957599999999</c:v>
                </c:pt>
                <c:pt idx="2498">
                  <c:v>-361.092285</c:v>
                </c:pt>
                <c:pt idx="2499">
                  <c:v>-360.93409300000002</c:v>
                </c:pt>
                <c:pt idx="2500">
                  <c:v>-360.77570200000002</c:v>
                </c:pt>
                <c:pt idx="2501">
                  <c:v>-360.61851200000001</c:v>
                </c:pt>
                <c:pt idx="2502">
                  <c:v>-360.46012099999996</c:v>
                </c:pt>
                <c:pt idx="2503">
                  <c:v>-360.302931</c:v>
                </c:pt>
                <c:pt idx="2504">
                  <c:v>-360.144541</c:v>
                </c:pt>
                <c:pt idx="2505">
                  <c:v>-359.98625200000004</c:v>
                </c:pt>
                <c:pt idx="2506">
                  <c:v>-359.82896299999999</c:v>
                </c:pt>
                <c:pt idx="2507">
                  <c:v>-359.67057399999999</c:v>
                </c:pt>
                <c:pt idx="2508">
                  <c:v>-359.51248499999997</c:v>
                </c:pt>
                <c:pt idx="2509">
                  <c:v>-359.355097</c:v>
                </c:pt>
                <c:pt idx="2510">
                  <c:v>-359.19680899999997</c:v>
                </c:pt>
                <c:pt idx="2511">
                  <c:v>-359.03842100000003</c:v>
                </c:pt>
                <c:pt idx="2512">
                  <c:v>-358.88123399999995</c:v>
                </c:pt>
                <c:pt idx="2513">
                  <c:v>-358.72294700000003</c:v>
                </c:pt>
                <c:pt idx="2514">
                  <c:v>-358.56466</c:v>
                </c:pt>
                <c:pt idx="2515">
                  <c:v>-358.407174</c:v>
                </c:pt>
                <c:pt idx="2516">
                  <c:v>-358.24908700000003</c:v>
                </c:pt>
                <c:pt idx="2517">
                  <c:v>-358.09180199999997</c:v>
                </c:pt>
                <c:pt idx="2518">
                  <c:v>-357.93341600000002</c:v>
                </c:pt>
                <c:pt idx="2519">
                  <c:v>-357.77513099999999</c:v>
                </c:pt>
                <c:pt idx="2520">
                  <c:v>-357.61784599999999</c:v>
                </c:pt>
                <c:pt idx="2521">
                  <c:v>-357.45966099999998</c:v>
                </c:pt>
                <c:pt idx="2522">
                  <c:v>-357.301177</c:v>
                </c:pt>
                <c:pt idx="2523">
                  <c:v>-357.14399300000002</c:v>
                </c:pt>
                <c:pt idx="2524">
                  <c:v>-356.98570899999999</c:v>
                </c:pt>
                <c:pt idx="2525">
                  <c:v>-356.82742599999995</c:v>
                </c:pt>
                <c:pt idx="2526">
                  <c:v>-356.67004300000002</c:v>
                </c:pt>
                <c:pt idx="2527">
                  <c:v>-356.51186000000001</c:v>
                </c:pt>
                <c:pt idx="2528">
                  <c:v>-356.35357699999997</c:v>
                </c:pt>
                <c:pt idx="2529">
                  <c:v>-356.19609500000001</c:v>
                </c:pt>
                <c:pt idx="2530">
                  <c:v>-356.03801300000003</c:v>
                </c:pt>
                <c:pt idx="2531">
                  <c:v>-355.88073200000002</c:v>
                </c:pt>
                <c:pt idx="2532">
                  <c:v>-355.72235000000001</c:v>
                </c:pt>
                <c:pt idx="2533">
                  <c:v>-355.56396899999999</c:v>
                </c:pt>
                <c:pt idx="2534">
                  <c:v>-355.40688900000004</c:v>
                </c:pt>
                <c:pt idx="2535">
                  <c:v>-355.24850799999996</c:v>
                </c:pt>
                <c:pt idx="2536">
                  <c:v>-355.09012799999999</c:v>
                </c:pt>
                <c:pt idx="2537">
                  <c:v>-354.93284899999998</c:v>
                </c:pt>
                <c:pt idx="2538">
                  <c:v>-354.77466900000002</c:v>
                </c:pt>
                <c:pt idx="2539">
                  <c:v>-354.61639000000002</c:v>
                </c:pt>
                <c:pt idx="2540">
                  <c:v>-354.45901099999998</c:v>
                </c:pt>
                <c:pt idx="2541">
                  <c:v>-354.30073299999998</c:v>
                </c:pt>
                <c:pt idx="2542">
                  <c:v>-354.14245399999993</c:v>
                </c:pt>
                <c:pt idx="2543">
                  <c:v>-353.98517600000002</c:v>
                </c:pt>
                <c:pt idx="2544">
                  <c:v>-353.82689899999997</c:v>
                </c:pt>
                <c:pt idx="2545">
                  <c:v>-353.66952100000003</c:v>
                </c:pt>
                <c:pt idx="2546">
                  <c:v>-353.51134399999995</c:v>
                </c:pt>
                <c:pt idx="2547">
                  <c:v>-353.35306800000001</c:v>
                </c:pt>
                <c:pt idx="2548">
                  <c:v>-353.19569099999995</c:v>
                </c:pt>
                <c:pt idx="2549">
                  <c:v>-353.03741500000001</c:v>
                </c:pt>
                <c:pt idx="2550">
                  <c:v>-352.87923900000004</c:v>
                </c:pt>
                <c:pt idx="2551">
                  <c:v>-352.72186400000004</c:v>
                </c:pt>
                <c:pt idx="2552">
                  <c:v>-352.56358899999998</c:v>
                </c:pt>
                <c:pt idx="2553">
                  <c:v>-352.40531400000003</c:v>
                </c:pt>
                <c:pt idx="2554">
                  <c:v>-352.24803900000001</c:v>
                </c:pt>
                <c:pt idx="2555">
                  <c:v>-352.08966499999997</c:v>
                </c:pt>
                <c:pt idx="2556">
                  <c:v>-351.93149099999999</c:v>
                </c:pt>
                <c:pt idx="2557">
                  <c:v>-351.77421699999996</c:v>
                </c:pt>
                <c:pt idx="2558">
                  <c:v>-351.61584399999998</c:v>
                </c:pt>
                <c:pt idx="2559">
                  <c:v>-351.45857100000001</c:v>
                </c:pt>
                <c:pt idx="2560">
                  <c:v>-351.30039800000003</c:v>
                </c:pt>
                <c:pt idx="2561">
                  <c:v>-351.14192599999996</c:v>
                </c:pt>
                <c:pt idx="2562">
                  <c:v>-350.98475300000001</c:v>
                </c:pt>
                <c:pt idx="2563">
                  <c:v>-350.826481</c:v>
                </c:pt>
                <c:pt idx="2564">
                  <c:v>-350.66811000000001</c:v>
                </c:pt>
                <c:pt idx="2565">
                  <c:v>-350.51083900000003</c:v>
                </c:pt>
                <c:pt idx="2566">
                  <c:v>-350.35266799999999</c:v>
                </c:pt>
                <c:pt idx="2567">
                  <c:v>-350.19429700000001</c:v>
                </c:pt>
                <c:pt idx="2568">
                  <c:v>-350.03692699999999</c:v>
                </c:pt>
                <c:pt idx="2569">
                  <c:v>-349.87875700000006</c:v>
                </c:pt>
                <c:pt idx="2570">
                  <c:v>-349.72038700000002</c:v>
                </c:pt>
                <c:pt idx="2571">
                  <c:v>-349.56321800000001</c:v>
                </c:pt>
                <c:pt idx="2572">
                  <c:v>-349.40484900000001</c:v>
                </c:pt>
                <c:pt idx="2573">
                  <c:v>-349.24657999999999</c:v>
                </c:pt>
                <c:pt idx="2574">
                  <c:v>-349.08931099999995</c:v>
                </c:pt>
                <c:pt idx="2575">
                  <c:v>-348.93104299999999</c:v>
                </c:pt>
                <c:pt idx="2576">
                  <c:v>-348.77267500000005</c:v>
                </c:pt>
                <c:pt idx="2577">
                  <c:v>-348.61540699999995</c:v>
                </c:pt>
                <c:pt idx="2578">
                  <c:v>-348.45723999999996</c:v>
                </c:pt>
                <c:pt idx="2579">
                  <c:v>-348.29987299999999</c:v>
                </c:pt>
                <c:pt idx="2580">
                  <c:v>-348.14160600000002</c:v>
                </c:pt>
                <c:pt idx="2581">
                  <c:v>-347.98334</c:v>
                </c:pt>
                <c:pt idx="2582">
                  <c:v>-347.82607400000001</c:v>
                </c:pt>
                <c:pt idx="2583">
                  <c:v>-347.667708</c:v>
                </c:pt>
                <c:pt idx="2584">
                  <c:v>-347.50954300000001</c:v>
                </c:pt>
                <c:pt idx="2585">
                  <c:v>-347.35217799999998</c:v>
                </c:pt>
                <c:pt idx="2586">
                  <c:v>-347.19391300000001</c:v>
                </c:pt>
                <c:pt idx="2587">
                  <c:v>-347.03564799999998</c:v>
                </c:pt>
                <c:pt idx="2588">
                  <c:v>-346.87838399999998</c:v>
                </c:pt>
                <c:pt idx="2589">
                  <c:v>-346.72012000000001</c:v>
                </c:pt>
                <c:pt idx="2590">
                  <c:v>-346.561756</c:v>
                </c:pt>
                <c:pt idx="2591">
                  <c:v>-346.404493</c:v>
                </c:pt>
                <c:pt idx="2592">
                  <c:v>-346.24623000000003</c:v>
                </c:pt>
                <c:pt idx="2593">
                  <c:v>-346.08796700000005</c:v>
                </c:pt>
                <c:pt idx="2594">
                  <c:v>-345.93060500000001</c:v>
                </c:pt>
                <c:pt idx="2595">
                  <c:v>-345.77244300000001</c:v>
                </c:pt>
                <c:pt idx="2596">
                  <c:v>-345.61418099999997</c:v>
                </c:pt>
                <c:pt idx="2597">
                  <c:v>-345.45671900000002</c:v>
                </c:pt>
                <c:pt idx="2598">
                  <c:v>-345.29855799999996</c:v>
                </c:pt>
                <c:pt idx="2599">
                  <c:v>-345.14029699999998</c:v>
                </c:pt>
                <c:pt idx="2600">
                  <c:v>-344.98293699999994</c:v>
                </c:pt>
                <c:pt idx="2601">
                  <c:v>-344.82467600000001</c:v>
                </c:pt>
                <c:pt idx="2602">
                  <c:v>-344.667416</c:v>
                </c:pt>
                <c:pt idx="2603">
                  <c:v>-344.50925699999999</c:v>
                </c:pt>
                <c:pt idx="2604">
                  <c:v>-344.35089700000003</c:v>
                </c:pt>
                <c:pt idx="2605">
                  <c:v>-344.19353800000005</c:v>
                </c:pt>
                <c:pt idx="2606">
                  <c:v>-344.03527899999995</c:v>
                </c:pt>
                <c:pt idx="2607">
                  <c:v>-343.87712099999999</c:v>
                </c:pt>
                <c:pt idx="2608">
                  <c:v>-343.719763</c:v>
                </c:pt>
                <c:pt idx="2609">
                  <c:v>-343.56150500000001</c:v>
                </c:pt>
                <c:pt idx="2610">
                  <c:v>-343.40314699999999</c:v>
                </c:pt>
                <c:pt idx="2611">
                  <c:v>-343.24579</c:v>
                </c:pt>
                <c:pt idx="2612">
                  <c:v>-343.08773300000001</c:v>
                </c:pt>
                <c:pt idx="2613">
                  <c:v>-342.92937699999999</c:v>
                </c:pt>
                <c:pt idx="2614">
                  <c:v>-342.77212000000003</c:v>
                </c:pt>
                <c:pt idx="2615">
                  <c:v>-342.61376399999995</c:v>
                </c:pt>
                <c:pt idx="2616">
                  <c:v>-342.45550800000001</c:v>
                </c:pt>
                <c:pt idx="2617">
                  <c:v>-342.29835300000002</c:v>
                </c:pt>
                <c:pt idx="2618">
                  <c:v>-342.13989800000002</c:v>
                </c:pt>
                <c:pt idx="2619">
                  <c:v>-341.98164299999996</c:v>
                </c:pt>
                <c:pt idx="2620">
                  <c:v>-341.82448900000003</c:v>
                </c:pt>
                <c:pt idx="2621">
                  <c:v>-341.666134</c:v>
                </c:pt>
                <c:pt idx="2622">
                  <c:v>-341.50788</c:v>
                </c:pt>
                <c:pt idx="2623">
                  <c:v>-341.35062700000003</c:v>
                </c:pt>
                <c:pt idx="2624">
                  <c:v>-341.192273</c:v>
                </c:pt>
                <c:pt idx="2625">
                  <c:v>-341.03412099999997</c:v>
                </c:pt>
                <c:pt idx="2626">
                  <c:v>-340.87666800000005</c:v>
                </c:pt>
                <c:pt idx="2627">
                  <c:v>-340.71851500000002</c:v>
                </c:pt>
                <c:pt idx="2628">
                  <c:v>-340.56026300000002</c:v>
                </c:pt>
                <c:pt idx="2629">
                  <c:v>-340.40291200000001</c:v>
                </c:pt>
                <c:pt idx="2630">
                  <c:v>-340.24466000000001</c:v>
                </c:pt>
                <c:pt idx="2631">
                  <c:v>-340.086409</c:v>
                </c:pt>
                <c:pt idx="2632">
                  <c:v>-339.929058</c:v>
                </c:pt>
                <c:pt idx="2633">
                  <c:v>-339.77090800000002</c:v>
                </c:pt>
                <c:pt idx="2634">
                  <c:v>-339.61355699999996</c:v>
                </c:pt>
                <c:pt idx="2635">
                  <c:v>-339.455307</c:v>
                </c:pt>
                <c:pt idx="2636">
                  <c:v>-339.29705799999999</c:v>
                </c:pt>
                <c:pt idx="2637">
                  <c:v>-339.13970800000004</c:v>
                </c:pt>
                <c:pt idx="2638">
                  <c:v>-338.98155899999995</c:v>
                </c:pt>
                <c:pt idx="2639">
                  <c:v>-338.82321100000001</c:v>
                </c:pt>
                <c:pt idx="2640">
                  <c:v>-338.665862</c:v>
                </c:pt>
                <c:pt idx="2641">
                  <c:v>-338.50761399999999</c:v>
                </c:pt>
                <c:pt idx="2642">
                  <c:v>-338.34936599999997</c:v>
                </c:pt>
                <c:pt idx="2643">
                  <c:v>-338.19211900000005</c:v>
                </c:pt>
                <c:pt idx="2644">
                  <c:v>-338.033771</c:v>
                </c:pt>
                <c:pt idx="2645">
                  <c:v>-337.87552499999998</c:v>
                </c:pt>
                <c:pt idx="2646">
                  <c:v>-337.71837799999997</c:v>
                </c:pt>
                <c:pt idx="2647">
                  <c:v>-337.56003200000004</c:v>
                </c:pt>
                <c:pt idx="2648">
                  <c:v>-337.40168599999998</c:v>
                </c:pt>
                <c:pt idx="2649">
                  <c:v>-337.24444</c:v>
                </c:pt>
                <c:pt idx="2650">
                  <c:v>-337.08629499999995</c:v>
                </c:pt>
                <c:pt idx="2651">
                  <c:v>-336.92794900000001</c:v>
                </c:pt>
                <c:pt idx="2652">
                  <c:v>-336.77060499999999</c:v>
                </c:pt>
                <c:pt idx="2653">
                  <c:v>-336.61236000000002</c:v>
                </c:pt>
                <c:pt idx="2654">
                  <c:v>-336.454116</c:v>
                </c:pt>
                <c:pt idx="2655">
                  <c:v>-336.29687200000001</c:v>
                </c:pt>
                <c:pt idx="2656">
                  <c:v>-336.13862899999998</c:v>
                </c:pt>
                <c:pt idx="2657">
                  <c:v>-335.98028499999998</c:v>
                </c:pt>
                <c:pt idx="2658">
                  <c:v>-335.82314199999996</c:v>
                </c:pt>
                <c:pt idx="2659">
                  <c:v>-335.66469999999998</c:v>
                </c:pt>
                <c:pt idx="2660">
                  <c:v>-335.50645699999995</c:v>
                </c:pt>
                <c:pt idx="2661">
                  <c:v>-335.34931500000005</c:v>
                </c:pt>
                <c:pt idx="2662">
                  <c:v>-335.19097400000004</c:v>
                </c:pt>
                <c:pt idx="2663">
                  <c:v>-335.03273200000001</c:v>
                </c:pt>
                <c:pt idx="2664">
                  <c:v>-334.87539100000004</c:v>
                </c:pt>
                <c:pt idx="2665">
                  <c:v>-334.71715</c:v>
                </c:pt>
                <c:pt idx="2666">
                  <c:v>-334.55870999999996</c:v>
                </c:pt>
                <c:pt idx="2667">
                  <c:v>-334.40166899999997</c:v>
                </c:pt>
                <c:pt idx="2668">
                  <c:v>-334.24343000000005</c:v>
                </c:pt>
                <c:pt idx="2669">
                  <c:v>-334.08508999999998</c:v>
                </c:pt>
                <c:pt idx="2670">
                  <c:v>-333.927751</c:v>
                </c:pt>
                <c:pt idx="2671">
                  <c:v>-333.76951200000002</c:v>
                </c:pt>
                <c:pt idx="2672">
                  <c:v>-333.61127299999998</c:v>
                </c:pt>
                <c:pt idx="2673">
                  <c:v>-333.45383500000003</c:v>
                </c:pt>
                <c:pt idx="2674">
                  <c:v>-333.29569700000002</c:v>
                </c:pt>
                <c:pt idx="2675">
                  <c:v>-333.13755899999995</c:v>
                </c:pt>
                <c:pt idx="2676">
                  <c:v>-332.98022099999997</c:v>
                </c:pt>
                <c:pt idx="2677">
                  <c:v>-332.82188400000001</c:v>
                </c:pt>
                <c:pt idx="2678">
                  <c:v>-332.66354699999999</c:v>
                </c:pt>
                <c:pt idx="2679">
                  <c:v>-332.50641100000001</c:v>
                </c:pt>
                <c:pt idx="2680">
                  <c:v>-332.348274</c:v>
                </c:pt>
                <c:pt idx="2681">
                  <c:v>-332.18983799999995</c:v>
                </c:pt>
                <c:pt idx="2682">
                  <c:v>-332.03260299999999</c:v>
                </c:pt>
                <c:pt idx="2683">
                  <c:v>-331.87436700000001</c:v>
                </c:pt>
                <c:pt idx="2684">
                  <c:v>-331.71613200000002</c:v>
                </c:pt>
                <c:pt idx="2685">
                  <c:v>-331.55869799999999</c:v>
                </c:pt>
                <c:pt idx="2686">
                  <c:v>-331.40046300000006</c:v>
                </c:pt>
                <c:pt idx="2687">
                  <c:v>-331.24232899999998</c:v>
                </c:pt>
                <c:pt idx="2688">
                  <c:v>-331.08499499999999</c:v>
                </c:pt>
                <c:pt idx="2689">
                  <c:v>-330.926762</c:v>
                </c:pt>
                <c:pt idx="2690">
                  <c:v>-330.76842800000003</c:v>
                </c:pt>
                <c:pt idx="2691">
                  <c:v>-330.61129599999998</c:v>
                </c:pt>
                <c:pt idx="2692">
                  <c:v>-330.45286299999998</c:v>
                </c:pt>
                <c:pt idx="2693">
                  <c:v>-330.29463100000004</c:v>
                </c:pt>
                <c:pt idx="2694">
                  <c:v>-330.13739900000002</c:v>
                </c:pt>
                <c:pt idx="2695">
                  <c:v>-329.97926699999999</c:v>
                </c:pt>
                <c:pt idx="2696">
                  <c:v>-329.82083599999999</c:v>
                </c:pt>
                <c:pt idx="2697">
                  <c:v>-329.66360500000002</c:v>
                </c:pt>
                <c:pt idx="2698">
                  <c:v>-329.50537400000002</c:v>
                </c:pt>
                <c:pt idx="2699">
                  <c:v>-329.34714300000002</c:v>
                </c:pt>
                <c:pt idx="2700">
                  <c:v>-329.18981299999996</c:v>
                </c:pt>
                <c:pt idx="2701">
                  <c:v>-329.03158299999996</c:v>
                </c:pt>
                <c:pt idx="2702">
                  <c:v>-328.87335400000001</c:v>
                </c:pt>
                <c:pt idx="2703">
                  <c:v>-328.71592399999997</c:v>
                </c:pt>
                <c:pt idx="2704">
                  <c:v>-328.55779500000006</c:v>
                </c:pt>
                <c:pt idx="2705">
                  <c:v>-328.39946700000002</c:v>
                </c:pt>
                <c:pt idx="2706">
                  <c:v>-328.24223800000004</c:v>
                </c:pt>
                <c:pt idx="2707">
                  <c:v>-328.08391</c:v>
                </c:pt>
                <c:pt idx="2708">
                  <c:v>-327.92568299999999</c:v>
                </c:pt>
                <c:pt idx="2709">
                  <c:v>-327.76855499999994</c:v>
                </c:pt>
                <c:pt idx="2710">
                  <c:v>-327.61022800000001</c:v>
                </c:pt>
                <c:pt idx="2711">
                  <c:v>-327.45190099999996</c:v>
                </c:pt>
                <c:pt idx="2712">
                  <c:v>-327.29467500000004</c:v>
                </c:pt>
                <c:pt idx="2713">
                  <c:v>-327.13644900000003</c:v>
                </c:pt>
                <c:pt idx="2714">
                  <c:v>-326.97812299999998</c:v>
                </c:pt>
                <c:pt idx="2715">
                  <c:v>-326.82079699999997</c:v>
                </c:pt>
                <c:pt idx="2716">
                  <c:v>-326.66257200000001</c:v>
                </c:pt>
                <c:pt idx="2717">
                  <c:v>-326.50444699999997</c:v>
                </c:pt>
                <c:pt idx="2718">
                  <c:v>-326.34702200000004</c:v>
                </c:pt>
                <c:pt idx="2719">
                  <c:v>-326.18879800000002</c:v>
                </c:pt>
                <c:pt idx="2720">
                  <c:v>-326.03067399999998</c:v>
                </c:pt>
                <c:pt idx="2721">
                  <c:v>-325.87335000000002</c:v>
                </c:pt>
                <c:pt idx="2722">
                  <c:v>-325.71502599999997</c:v>
                </c:pt>
                <c:pt idx="2723">
                  <c:v>-325.55670300000003</c:v>
                </c:pt>
                <c:pt idx="2724">
                  <c:v>-325.39957999999996</c:v>
                </c:pt>
                <c:pt idx="2725">
                  <c:v>-325.24135799999999</c:v>
                </c:pt>
                <c:pt idx="2726">
                  <c:v>-325.083035</c:v>
                </c:pt>
                <c:pt idx="2727">
                  <c:v>-324.924713</c:v>
                </c:pt>
                <c:pt idx="2728">
                  <c:v>-324.76759200000004</c:v>
                </c:pt>
                <c:pt idx="2729">
                  <c:v>-324.60927100000004</c:v>
                </c:pt>
                <c:pt idx="2730">
                  <c:v>-324.45094899999998</c:v>
                </c:pt>
                <c:pt idx="2731">
                  <c:v>-324.29362900000001</c:v>
                </c:pt>
                <c:pt idx="2732">
                  <c:v>-324.13550900000001</c:v>
                </c:pt>
                <c:pt idx="2733">
                  <c:v>-323.97708900000003</c:v>
                </c:pt>
                <c:pt idx="2734">
                  <c:v>-323.81996900000001</c:v>
                </c:pt>
                <c:pt idx="2735">
                  <c:v>-323.66164900000001</c:v>
                </c:pt>
                <c:pt idx="2736">
                  <c:v>-323.50352999999996</c:v>
                </c:pt>
                <c:pt idx="2737">
                  <c:v>-323.34611100000001</c:v>
                </c:pt>
                <c:pt idx="2738">
                  <c:v>-323.18789299999997</c:v>
                </c:pt>
                <c:pt idx="2739">
                  <c:v>-323.02957400000003</c:v>
                </c:pt>
                <c:pt idx="2740">
                  <c:v>-322.872456</c:v>
                </c:pt>
                <c:pt idx="2741">
                  <c:v>-322.71403900000001</c:v>
                </c:pt>
                <c:pt idx="2742">
                  <c:v>-322.55582099999998</c:v>
                </c:pt>
                <c:pt idx="2743">
                  <c:v>-322.39860399999998</c:v>
                </c:pt>
                <c:pt idx="2744">
                  <c:v>-322.24048699999997</c:v>
                </c:pt>
                <c:pt idx="2745">
                  <c:v>-322.08217100000002</c:v>
                </c:pt>
                <c:pt idx="2746">
                  <c:v>-321.92485499999998</c:v>
                </c:pt>
                <c:pt idx="2747">
                  <c:v>-321.766639</c:v>
                </c:pt>
                <c:pt idx="2748">
                  <c:v>-321.60842300000002</c:v>
                </c:pt>
                <c:pt idx="2749">
                  <c:v>-321.45110799999998</c:v>
                </c:pt>
                <c:pt idx="2750">
                  <c:v>-321.29279300000002</c:v>
                </c:pt>
                <c:pt idx="2751">
                  <c:v>-321.13457899999992</c:v>
                </c:pt>
                <c:pt idx="2752">
                  <c:v>-320.97726400000005</c:v>
                </c:pt>
                <c:pt idx="2753">
                  <c:v>-320.81905</c:v>
                </c:pt>
                <c:pt idx="2754">
                  <c:v>-320.66083600000002</c:v>
                </c:pt>
                <c:pt idx="2755">
                  <c:v>-320.503623</c:v>
                </c:pt>
                <c:pt idx="2756">
                  <c:v>-320.34531000000004</c:v>
                </c:pt>
                <c:pt idx="2757">
                  <c:v>-320.18709699999999</c:v>
                </c:pt>
                <c:pt idx="2758">
                  <c:v>-320.029785</c:v>
                </c:pt>
                <c:pt idx="2759">
                  <c:v>-319.87157199999996</c:v>
                </c:pt>
                <c:pt idx="2760">
                  <c:v>-319.71325999999999</c:v>
                </c:pt>
                <c:pt idx="2761">
                  <c:v>-319.555049</c:v>
                </c:pt>
                <c:pt idx="2762">
                  <c:v>-319.39773700000006</c:v>
                </c:pt>
                <c:pt idx="2763">
                  <c:v>-319.23952600000001</c:v>
                </c:pt>
                <c:pt idx="2764">
                  <c:v>-319.08121600000004</c:v>
                </c:pt>
                <c:pt idx="2765">
                  <c:v>-318.924105</c:v>
                </c:pt>
                <c:pt idx="2766">
                  <c:v>-318.76579499999997</c:v>
                </c:pt>
                <c:pt idx="2767">
                  <c:v>-318.60758599999997</c:v>
                </c:pt>
                <c:pt idx="2768">
                  <c:v>-318.45027600000003</c:v>
                </c:pt>
                <c:pt idx="2769">
                  <c:v>-318.291967</c:v>
                </c:pt>
                <c:pt idx="2770">
                  <c:v>-318.133758</c:v>
                </c:pt>
                <c:pt idx="2771">
                  <c:v>-317.976449</c:v>
                </c:pt>
                <c:pt idx="2772">
                  <c:v>-317.81824099999994</c:v>
                </c:pt>
                <c:pt idx="2773">
                  <c:v>-317.65993300000002</c:v>
                </c:pt>
                <c:pt idx="2774">
                  <c:v>-317.502726</c:v>
                </c:pt>
                <c:pt idx="2775">
                  <c:v>-317.34431799999999</c:v>
                </c:pt>
                <c:pt idx="2776">
                  <c:v>-317.18621100000001</c:v>
                </c:pt>
                <c:pt idx="2777">
                  <c:v>-317.02890500000001</c:v>
                </c:pt>
                <c:pt idx="2778">
                  <c:v>-316.87079800000004</c:v>
                </c:pt>
                <c:pt idx="2779">
                  <c:v>-316.71239200000002</c:v>
                </c:pt>
                <c:pt idx="2780">
                  <c:v>-316.55528599999997</c:v>
                </c:pt>
                <c:pt idx="2781">
                  <c:v>-316.39698100000004</c:v>
                </c:pt>
                <c:pt idx="2782">
                  <c:v>-316.23877500000003</c:v>
                </c:pt>
                <c:pt idx="2783">
                  <c:v>-316.08037100000001</c:v>
                </c:pt>
                <c:pt idx="2784">
                  <c:v>-315.92326600000001</c:v>
                </c:pt>
                <c:pt idx="2785">
                  <c:v>-315.76496200000003</c:v>
                </c:pt>
                <c:pt idx="2786">
                  <c:v>-315.60675799999996</c:v>
                </c:pt>
                <c:pt idx="2787">
                  <c:v>-315.44935399999997</c:v>
                </c:pt>
                <c:pt idx="2788">
                  <c:v>-315.29125099999999</c:v>
                </c:pt>
                <c:pt idx="2789">
                  <c:v>-315.13294699999994</c:v>
                </c:pt>
                <c:pt idx="2790">
                  <c:v>-314.97574500000002</c:v>
                </c:pt>
                <c:pt idx="2791">
                  <c:v>-314.817342</c:v>
                </c:pt>
                <c:pt idx="2792">
                  <c:v>-314.65924000000001</c:v>
                </c:pt>
                <c:pt idx="2793">
                  <c:v>-314.50203799999997</c:v>
                </c:pt>
                <c:pt idx="2794">
                  <c:v>-314.34373699999998</c:v>
                </c:pt>
                <c:pt idx="2795">
                  <c:v>-314.18543499999998</c:v>
                </c:pt>
                <c:pt idx="2796">
                  <c:v>-314.028234</c:v>
                </c:pt>
                <c:pt idx="2797">
                  <c:v>-313.87003399999998</c:v>
                </c:pt>
                <c:pt idx="2798">
                  <c:v>-313.71173300000004</c:v>
                </c:pt>
                <c:pt idx="2799">
                  <c:v>-313.55443300000002</c:v>
                </c:pt>
                <c:pt idx="2800">
                  <c:v>-313.39623400000005</c:v>
                </c:pt>
                <c:pt idx="2801">
                  <c:v>-313.23803399999997</c:v>
                </c:pt>
                <c:pt idx="2802">
                  <c:v>-313.07973500000003</c:v>
                </c:pt>
                <c:pt idx="2803">
                  <c:v>-312.92253600000004</c:v>
                </c:pt>
                <c:pt idx="2804">
                  <c:v>-312.76423799999998</c:v>
                </c:pt>
                <c:pt idx="2805">
                  <c:v>-312.60593999999998</c:v>
                </c:pt>
                <c:pt idx="2806">
                  <c:v>-312.44874199999998</c:v>
                </c:pt>
                <c:pt idx="2807">
                  <c:v>-312.29044399999998</c:v>
                </c:pt>
                <c:pt idx="2808">
                  <c:v>-312.13224700000001</c:v>
                </c:pt>
                <c:pt idx="2809">
                  <c:v>-311.97505000000001</c:v>
                </c:pt>
                <c:pt idx="2810">
                  <c:v>-311.81675300000001</c:v>
                </c:pt>
                <c:pt idx="2811">
                  <c:v>-311.65855700000003</c:v>
                </c:pt>
                <c:pt idx="2812">
                  <c:v>-311.50136099999997</c:v>
                </c:pt>
                <c:pt idx="2813">
                  <c:v>-311.34306500000002</c:v>
                </c:pt>
                <c:pt idx="2814">
                  <c:v>-311.18466899999999</c:v>
                </c:pt>
                <c:pt idx="2815">
                  <c:v>-311.02757400000002</c:v>
                </c:pt>
                <c:pt idx="2816">
                  <c:v>-310.86927900000001</c:v>
                </c:pt>
                <c:pt idx="2817">
                  <c:v>-310.71108500000003</c:v>
                </c:pt>
                <c:pt idx="2818">
                  <c:v>-310.55269100000004</c:v>
                </c:pt>
                <c:pt idx="2819">
                  <c:v>-310.39559700000001</c:v>
                </c:pt>
                <c:pt idx="2820">
                  <c:v>-310.237303</c:v>
                </c:pt>
                <c:pt idx="2821">
                  <c:v>-310.07911000000001</c:v>
                </c:pt>
                <c:pt idx="2822">
                  <c:v>-309.921717</c:v>
                </c:pt>
                <c:pt idx="2823">
                  <c:v>-309.76352400000002</c:v>
                </c:pt>
                <c:pt idx="2824">
                  <c:v>-309.60533199999998</c:v>
                </c:pt>
                <c:pt idx="2825">
                  <c:v>-309.44803900000005</c:v>
                </c:pt>
                <c:pt idx="2826">
                  <c:v>-309.28974799999997</c:v>
                </c:pt>
                <c:pt idx="2827">
                  <c:v>-309.13155600000005</c:v>
                </c:pt>
                <c:pt idx="2828">
                  <c:v>-308.97436499999998</c:v>
                </c:pt>
                <c:pt idx="2829">
                  <c:v>-308.81607400000001</c:v>
                </c:pt>
                <c:pt idx="2830">
                  <c:v>-308.65768299999996</c:v>
                </c:pt>
                <c:pt idx="2831">
                  <c:v>-308.499593</c:v>
                </c:pt>
                <c:pt idx="2832">
                  <c:v>-308.34230299999996</c:v>
                </c:pt>
                <c:pt idx="2833">
                  <c:v>-308.18421300000006</c:v>
                </c:pt>
                <c:pt idx="2834">
                  <c:v>-308.025824</c:v>
                </c:pt>
                <c:pt idx="2835">
                  <c:v>-307.86873499999996</c:v>
                </c:pt>
                <c:pt idx="2836">
                  <c:v>-307.71044599999999</c:v>
                </c:pt>
                <c:pt idx="2837">
                  <c:v>-307.55215800000002</c:v>
                </c:pt>
                <c:pt idx="2838">
                  <c:v>-307.39497</c:v>
                </c:pt>
                <c:pt idx="2839">
                  <c:v>-307.23668199999997</c:v>
                </c:pt>
                <c:pt idx="2840">
                  <c:v>-307.07849400000003</c:v>
                </c:pt>
                <c:pt idx="2841">
                  <c:v>-306.92120699999992</c:v>
                </c:pt>
                <c:pt idx="2842">
                  <c:v>-306.76302000000004</c:v>
                </c:pt>
                <c:pt idx="2843">
                  <c:v>-306.60473300000001</c:v>
                </c:pt>
                <c:pt idx="2844">
                  <c:v>-306.44744700000001</c:v>
                </c:pt>
                <c:pt idx="2845">
                  <c:v>-306.28926100000001</c:v>
                </c:pt>
                <c:pt idx="2846">
                  <c:v>-306.13097500000003</c:v>
                </c:pt>
                <c:pt idx="2847">
                  <c:v>-305.97279000000003</c:v>
                </c:pt>
                <c:pt idx="2848">
                  <c:v>-305.81550499999997</c:v>
                </c:pt>
                <c:pt idx="2849">
                  <c:v>-305.65732000000003</c:v>
                </c:pt>
                <c:pt idx="2850">
                  <c:v>-305.49903499999999</c:v>
                </c:pt>
                <c:pt idx="2851">
                  <c:v>-305.34175099999999</c:v>
                </c:pt>
                <c:pt idx="2852">
                  <c:v>-305.18356699999998</c:v>
                </c:pt>
                <c:pt idx="2853">
                  <c:v>-305.02528400000006</c:v>
                </c:pt>
                <c:pt idx="2854">
                  <c:v>-304.86810000000003</c:v>
                </c:pt>
                <c:pt idx="2855">
                  <c:v>-304.70981699999999</c:v>
                </c:pt>
                <c:pt idx="2856">
                  <c:v>-304.551535</c:v>
                </c:pt>
                <c:pt idx="2857">
                  <c:v>-304.39335199999999</c:v>
                </c:pt>
                <c:pt idx="2858">
                  <c:v>-304.23606999999998</c:v>
                </c:pt>
                <c:pt idx="2859">
                  <c:v>-304.07788900000003</c:v>
                </c:pt>
                <c:pt idx="2860">
                  <c:v>-303.91960699999998</c:v>
                </c:pt>
                <c:pt idx="2861">
                  <c:v>-303.762426</c:v>
                </c:pt>
                <c:pt idx="2862">
                  <c:v>-303.60414500000002</c:v>
                </c:pt>
                <c:pt idx="2863">
                  <c:v>-303.44586500000003</c:v>
                </c:pt>
                <c:pt idx="2864">
                  <c:v>-303.28868399999999</c:v>
                </c:pt>
                <c:pt idx="2865">
                  <c:v>-303.13050400000003</c:v>
                </c:pt>
                <c:pt idx="2866">
                  <c:v>-302.97212500000001</c:v>
                </c:pt>
                <c:pt idx="2867">
                  <c:v>-302.81494500000002</c:v>
                </c:pt>
                <c:pt idx="2868">
                  <c:v>-302.65666599999997</c:v>
                </c:pt>
                <c:pt idx="2869">
                  <c:v>-302.49858799999998</c:v>
                </c:pt>
                <c:pt idx="2870">
                  <c:v>-302.34020899999996</c:v>
                </c:pt>
                <c:pt idx="2871">
                  <c:v>-302.182931</c:v>
                </c:pt>
                <c:pt idx="2872">
                  <c:v>-302.02475300000003</c:v>
                </c:pt>
                <c:pt idx="2873">
                  <c:v>-301.86657600000001</c:v>
                </c:pt>
                <c:pt idx="2874">
                  <c:v>-301.70929899999999</c:v>
                </c:pt>
                <c:pt idx="2875">
                  <c:v>-301.55102199999999</c:v>
                </c:pt>
                <c:pt idx="2876">
                  <c:v>-301.39274499999999</c:v>
                </c:pt>
                <c:pt idx="2877">
                  <c:v>-301.23566900000003</c:v>
                </c:pt>
                <c:pt idx="2878">
                  <c:v>-301.07729299999994</c:v>
                </c:pt>
                <c:pt idx="2879">
                  <c:v>-300.91911700000003</c:v>
                </c:pt>
                <c:pt idx="2880">
                  <c:v>-300.76094199999994</c:v>
                </c:pt>
                <c:pt idx="2881">
                  <c:v>-300.60366699999997</c:v>
                </c:pt>
                <c:pt idx="2882">
                  <c:v>-300.44539199999997</c:v>
                </c:pt>
                <c:pt idx="2883">
                  <c:v>-300.28711800000002</c:v>
                </c:pt>
                <c:pt idx="2884">
                  <c:v>-300.12994400000002</c:v>
                </c:pt>
                <c:pt idx="2885">
                  <c:v>-299.97176999999999</c:v>
                </c:pt>
                <c:pt idx="2886">
                  <c:v>-299.81339600000001</c:v>
                </c:pt>
                <c:pt idx="2887">
                  <c:v>-299.65622299999995</c:v>
                </c:pt>
                <c:pt idx="2888">
                  <c:v>-299.49804999999998</c:v>
                </c:pt>
                <c:pt idx="2889">
                  <c:v>-299.33977699999997</c:v>
                </c:pt>
                <c:pt idx="2890">
                  <c:v>-299.18150500000002</c:v>
                </c:pt>
                <c:pt idx="2891">
                  <c:v>-299.02423299999998</c:v>
                </c:pt>
                <c:pt idx="2892">
                  <c:v>-298.866061</c:v>
                </c:pt>
                <c:pt idx="2893">
                  <c:v>-298.70788999999996</c:v>
                </c:pt>
                <c:pt idx="2894">
                  <c:v>-298.55051900000001</c:v>
                </c:pt>
                <c:pt idx="2895">
                  <c:v>-298.39234800000003</c:v>
                </c:pt>
                <c:pt idx="2896">
                  <c:v>-298.23417799999999</c:v>
                </c:pt>
                <c:pt idx="2897">
                  <c:v>-298.07690700000001</c:v>
                </c:pt>
                <c:pt idx="2898">
                  <c:v>-297.91863699999999</c:v>
                </c:pt>
                <c:pt idx="2899">
                  <c:v>-297.760468</c:v>
                </c:pt>
                <c:pt idx="2900">
                  <c:v>-297.60219900000004</c:v>
                </c:pt>
                <c:pt idx="2901">
                  <c:v>-297.44503000000003</c:v>
                </c:pt>
                <c:pt idx="2902">
                  <c:v>-297.28666099999998</c:v>
                </c:pt>
                <c:pt idx="2903">
                  <c:v>-297.12859300000002</c:v>
                </c:pt>
                <c:pt idx="2904">
                  <c:v>-296.97132500000004</c:v>
                </c:pt>
                <c:pt idx="2905">
                  <c:v>-296.81305699999996</c:v>
                </c:pt>
                <c:pt idx="2906">
                  <c:v>-296.65478899999999</c:v>
                </c:pt>
                <c:pt idx="2907">
                  <c:v>-296.49762200000004</c:v>
                </c:pt>
                <c:pt idx="2908">
                  <c:v>-296.33935500000001</c:v>
                </c:pt>
                <c:pt idx="2909">
                  <c:v>-296.18118900000002</c:v>
                </c:pt>
                <c:pt idx="2910">
                  <c:v>-296.02282300000002</c:v>
                </c:pt>
                <c:pt idx="2911">
                  <c:v>-295.86565700000006</c:v>
                </c:pt>
                <c:pt idx="2912">
                  <c:v>-295.707491</c:v>
                </c:pt>
                <c:pt idx="2913">
                  <c:v>-295.54922599999998</c:v>
                </c:pt>
                <c:pt idx="2914">
                  <c:v>-295.39196099999998</c:v>
                </c:pt>
                <c:pt idx="2915">
                  <c:v>-295.23379600000004</c:v>
                </c:pt>
                <c:pt idx="2916">
                  <c:v>-295.07553200000001</c:v>
                </c:pt>
                <c:pt idx="2917">
                  <c:v>-294.91736800000001</c:v>
                </c:pt>
                <c:pt idx="2918">
                  <c:v>-294.76020399999999</c:v>
                </c:pt>
                <c:pt idx="2919">
                  <c:v>-294.60174000000001</c:v>
                </c:pt>
                <c:pt idx="2920">
                  <c:v>-294.443577</c:v>
                </c:pt>
                <c:pt idx="2921">
                  <c:v>-294.286314</c:v>
                </c:pt>
                <c:pt idx="2922">
                  <c:v>-294.128152</c:v>
                </c:pt>
                <c:pt idx="2923">
                  <c:v>-293.96988900000002</c:v>
                </c:pt>
                <c:pt idx="2924">
                  <c:v>-293.81262699999996</c:v>
                </c:pt>
                <c:pt idx="2925">
                  <c:v>-293.65436600000004</c:v>
                </c:pt>
                <c:pt idx="2926">
                  <c:v>-293.49630400000001</c:v>
                </c:pt>
                <c:pt idx="2927">
                  <c:v>-293.337943</c:v>
                </c:pt>
                <c:pt idx="2928">
                  <c:v>-293.18068299999999</c:v>
                </c:pt>
                <c:pt idx="2929">
                  <c:v>-293.02262199999996</c:v>
                </c:pt>
                <c:pt idx="2930">
                  <c:v>-292.86436199999997</c:v>
                </c:pt>
                <c:pt idx="2931">
                  <c:v>-292.70700199999999</c:v>
                </c:pt>
                <c:pt idx="2932">
                  <c:v>-292.54884299999998</c:v>
                </c:pt>
                <c:pt idx="2933">
                  <c:v>-292.39088299999997</c:v>
                </c:pt>
                <c:pt idx="2934">
                  <c:v>-292.23292500000002</c:v>
                </c:pt>
                <c:pt idx="2935">
                  <c:v>-292.07496600000002</c:v>
                </c:pt>
                <c:pt idx="2936">
                  <c:v>-291.91700800000001</c:v>
                </c:pt>
                <c:pt idx="2937">
                  <c:v>-291.75914999999998</c:v>
                </c:pt>
                <c:pt idx="2938">
                  <c:v>-291.60119200000003</c:v>
                </c:pt>
                <c:pt idx="2939">
                  <c:v>-291.44313499999998</c:v>
                </c:pt>
                <c:pt idx="2940">
                  <c:v>-291.28527700000006</c:v>
                </c:pt>
                <c:pt idx="2941">
                  <c:v>-291.12742099999997</c:v>
                </c:pt>
                <c:pt idx="2942">
                  <c:v>-290.96946400000002</c:v>
                </c:pt>
                <c:pt idx="2943">
                  <c:v>-290.811308</c:v>
                </c:pt>
                <c:pt idx="2944">
                  <c:v>-290.65355199999999</c:v>
                </c:pt>
                <c:pt idx="2945">
                  <c:v>-290.49559699999998</c:v>
                </c:pt>
                <c:pt idx="2946">
                  <c:v>-290.33764099999996</c:v>
                </c:pt>
                <c:pt idx="2947">
                  <c:v>-290.179686</c:v>
                </c:pt>
                <c:pt idx="2948">
                  <c:v>-290.02183199999996</c:v>
                </c:pt>
                <c:pt idx="2949">
                  <c:v>-289.86377700000003</c:v>
                </c:pt>
                <c:pt idx="2950">
                  <c:v>-289.70592299999998</c:v>
                </c:pt>
                <c:pt idx="2951">
                  <c:v>-289.54786999999999</c:v>
                </c:pt>
                <c:pt idx="2952">
                  <c:v>-289.39001599999995</c:v>
                </c:pt>
                <c:pt idx="2953">
                  <c:v>-289.23216300000001</c:v>
                </c:pt>
                <c:pt idx="2954">
                  <c:v>-289.07420999999999</c:v>
                </c:pt>
                <c:pt idx="2955">
                  <c:v>-288.916358</c:v>
                </c:pt>
                <c:pt idx="2956">
                  <c:v>-288.75840499999998</c:v>
                </c:pt>
                <c:pt idx="2957">
                  <c:v>-288.60045400000001</c:v>
                </c:pt>
                <c:pt idx="2958">
                  <c:v>-288.44250199999999</c:v>
                </c:pt>
                <c:pt idx="2959">
                  <c:v>-288.28465100000005</c:v>
                </c:pt>
                <c:pt idx="2960">
                  <c:v>-288.12649999999996</c:v>
                </c:pt>
                <c:pt idx="2961">
                  <c:v>-287.968549</c:v>
                </c:pt>
                <c:pt idx="2962">
                  <c:v>-287.81059899999997</c:v>
                </c:pt>
                <c:pt idx="2963">
                  <c:v>-287.652849</c:v>
                </c:pt>
                <c:pt idx="2964">
                  <c:v>-287.494799</c:v>
                </c:pt>
                <c:pt idx="2965">
                  <c:v>-287.33684899999997</c:v>
                </c:pt>
                <c:pt idx="2966">
                  <c:v>-287.17910000000001</c:v>
                </c:pt>
                <c:pt idx="2967">
                  <c:v>-287.021051</c:v>
                </c:pt>
                <c:pt idx="2968">
                  <c:v>-286.86300299999999</c:v>
                </c:pt>
                <c:pt idx="2969">
                  <c:v>-286.70515399999999</c:v>
                </c:pt>
                <c:pt idx="2970">
                  <c:v>-286.54730699999999</c:v>
                </c:pt>
                <c:pt idx="2971">
                  <c:v>-286.38935900000001</c:v>
                </c:pt>
                <c:pt idx="2972">
                  <c:v>-286.23141199999998</c:v>
                </c:pt>
                <c:pt idx="2973">
                  <c:v>-286.073465</c:v>
                </c:pt>
                <c:pt idx="2974">
                  <c:v>-285.91551800000002</c:v>
                </c:pt>
                <c:pt idx="2975">
                  <c:v>-285.75747100000001</c:v>
                </c:pt>
                <c:pt idx="2976">
                  <c:v>-285.599625</c:v>
                </c:pt>
                <c:pt idx="2977">
                  <c:v>-285.44167899999997</c:v>
                </c:pt>
                <c:pt idx="2978">
                  <c:v>-285.28373400000004</c:v>
                </c:pt>
                <c:pt idx="2979">
                  <c:v>-285.12588899999997</c:v>
                </c:pt>
                <c:pt idx="2980">
                  <c:v>-284.96794399999999</c:v>
                </c:pt>
                <c:pt idx="2981">
                  <c:v>-284.80989900000003</c:v>
                </c:pt>
                <c:pt idx="2982">
                  <c:v>-284.65195499999999</c:v>
                </c:pt>
                <c:pt idx="2983">
                  <c:v>-284.49411100000003</c:v>
                </c:pt>
                <c:pt idx="2984">
                  <c:v>-284.33616700000005</c:v>
                </c:pt>
                <c:pt idx="2985">
                  <c:v>-284.178224</c:v>
                </c:pt>
                <c:pt idx="2986">
                  <c:v>-284.02038099999999</c:v>
                </c:pt>
                <c:pt idx="2987">
                  <c:v>-283.86233800000002</c:v>
                </c:pt>
                <c:pt idx="2988">
                  <c:v>-283.70439599999997</c:v>
                </c:pt>
                <c:pt idx="2989">
                  <c:v>-283.54635300000001</c:v>
                </c:pt>
                <c:pt idx="2990">
                  <c:v>-283.38851199999999</c:v>
                </c:pt>
                <c:pt idx="2991">
                  <c:v>-283.23057</c:v>
                </c:pt>
                <c:pt idx="2992">
                  <c:v>-283.07272899999998</c:v>
                </c:pt>
                <c:pt idx="2993">
                  <c:v>-282.91478800000004</c:v>
                </c:pt>
                <c:pt idx="2994">
                  <c:v>-282.75674700000002</c:v>
                </c:pt>
                <c:pt idx="2995">
                  <c:v>-282.598907</c:v>
                </c:pt>
                <c:pt idx="2996">
                  <c:v>-282.440967</c:v>
                </c:pt>
                <c:pt idx="2997">
                  <c:v>-282.28312699999998</c:v>
                </c:pt>
                <c:pt idx="2998">
                  <c:v>-282.12498799999997</c:v>
                </c:pt>
                <c:pt idx="2999">
                  <c:v>-281.96704900000003</c:v>
                </c:pt>
                <c:pt idx="3000">
                  <c:v>-281.80921000000001</c:v>
                </c:pt>
                <c:pt idx="3001">
                  <c:v>-281.65127100000007</c:v>
                </c:pt>
                <c:pt idx="3002">
                  <c:v>-281.49323299999998</c:v>
                </c:pt>
                <c:pt idx="3003">
                  <c:v>-281.33539500000006</c:v>
                </c:pt>
                <c:pt idx="3004">
                  <c:v>-281.17755799999998</c:v>
                </c:pt>
                <c:pt idx="3005">
                  <c:v>-281.01952</c:v>
                </c:pt>
                <c:pt idx="3006">
                  <c:v>-280.861583</c:v>
                </c:pt>
                <c:pt idx="3007">
                  <c:v>-280.70364699999999</c:v>
                </c:pt>
                <c:pt idx="3008">
                  <c:v>-280.54581000000002</c:v>
                </c:pt>
                <c:pt idx="3009">
                  <c:v>-280.38777399999998</c:v>
                </c:pt>
                <c:pt idx="3010">
                  <c:v>-280.229739</c:v>
                </c:pt>
                <c:pt idx="3011">
                  <c:v>-280.07190300000002</c:v>
                </c:pt>
                <c:pt idx="3012">
                  <c:v>-279.91396800000001</c:v>
                </c:pt>
                <c:pt idx="3013">
                  <c:v>-279.75603299999995</c:v>
                </c:pt>
                <c:pt idx="3014">
                  <c:v>-279.59819900000002</c:v>
                </c:pt>
                <c:pt idx="3015">
                  <c:v>-279.44016399999998</c:v>
                </c:pt>
                <c:pt idx="3016">
                  <c:v>-279.28223000000003</c:v>
                </c:pt>
                <c:pt idx="3017">
                  <c:v>-279.12439699999999</c:v>
                </c:pt>
                <c:pt idx="3018">
                  <c:v>-278.96636400000006</c:v>
                </c:pt>
                <c:pt idx="3019">
                  <c:v>-278.80843099999998</c:v>
                </c:pt>
                <c:pt idx="3020">
                  <c:v>-278.65039800000005</c:v>
                </c:pt>
                <c:pt idx="3021">
                  <c:v>-278.49256500000001</c:v>
                </c:pt>
                <c:pt idx="3022">
                  <c:v>-278.334633</c:v>
                </c:pt>
                <c:pt idx="3023">
                  <c:v>-278.17670199999998</c:v>
                </c:pt>
                <c:pt idx="3024">
                  <c:v>-278.01877000000002</c:v>
                </c:pt>
                <c:pt idx="3025">
                  <c:v>-277.860839</c:v>
                </c:pt>
                <c:pt idx="3026">
                  <c:v>-277.70290800000004</c:v>
                </c:pt>
                <c:pt idx="3027">
                  <c:v>-277.54487699999999</c:v>
                </c:pt>
                <c:pt idx="3028">
                  <c:v>-277.387047</c:v>
                </c:pt>
                <c:pt idx="3029">
                  <c:v>-277.229017</c:v>
                </c:pt>
                <c:pt idx="3030">
                  <c:v>-277.07108800000003</c:v>
                </c:pt>
                <c:pt idx="3031">
                  <c:v>-276.91335800000002</c:v>
                </c:pt>
                <c:pt idx="3032">
                  <c:v>-276.75532899999996</c:v>
                </c:pt>
                <c:pt idx="3033">
                  <c:v>-276.59730000000002</c:v>
                </c:pt>
                <c:pt idx="3034">
                  <c:v>-276.43937199999999</c:v>
                </c:pt>
                <c:pt idx="3035">
                  <c:v>-276.28164400000003</c:v>
                </c:pt>
                <c:pt idx="3036">
                  <c:v>-276.123516</c:v>
                </c:pt>
                <c:pt idx="3037">
                  <c:v>-275.96548799999999</c:v>
                </c:pt>
                <c:pt idx="3038">
                  <c:v>-275.80756099999996</c:v>
                </c:pt>
                <c:pt idx="3039">
                  <c:v>-275.64983399999994</c:v>
                </c:pt>
                <c:pt idx="3040">
                  <c:v>-275.49180799999999</c:v>
                </c:pt>
                <c:pt idx="3041">
                  <c:v>-275.33388099999996</c:v>
                </c:pt>
                <c:pt idx="3042">
                  <c:v>-275.17595499999999</c:v>
                </c:pt>
                <c:pt idx="3043">
                  <c:v>-275.01812999999999</c:v>
                </c:pt>
                <c:pt idx="3044">
                  <c:v>-274.86010399999998</c:v>
                </c:pt>
                <c:pt idx="3045">
                  <c:v>-274.70207900000003</c:v>
                </c:pt>
                <c:pt idx="3046">
                  <c:v>-274.54415399999999</c:v>
                </c:pt>
                <c:pt idx="3047">
                  <c:v>-274.38632999999999</c:v>
                </c:pt>
                <c:pt idx="3048">
                  <c:v>-274.22840600000001</c:v>
                </c:pt>
                <c:pt idx="3049">
                  <c:v>-274.070382</c:v>
                </c:pt>
                <c:pt idx="3050">
                  <c:v>-273.91245799999996</c:v>
                </c:pt>
                <c:pt idx="3051">
                  <c:v>-273.754435</c:v>
                </c:pt>
                <c:pt idx="3052">
                  <c:v>-273.59661199999999</c:v>
                </c:pt>
                <c:pt idx="3053">
                  <c:v>-273.43858899999998</c:v>
                </c:pt>
                <c:pt idx="3054">
                  <c:v>-273.28066699999999</c:v>
                </c:pt>
                <c:pt idx="3055">
                  <c:v>-273.12274500000001</c:v>
                </c:pt>
                <c:pt idx="3056">
                  <c:v>-272.96502300000003</c:v>
                </c:pt>
                <c:pt idx="3057">
                  <c:v>-272.80700199999995</c:v>
                </c:pt>
                <c:pt idx="3058">
                  <c:v>-272.64888099999996</c:v>
                </c:pt>
                <c:pt idx="3059">
                  <c:v>-272.49095999999997</c:v>
                </c:pt>
                <c:pt idx="3060">
                  <c:v>-272.33313999999996</c:v>
                </c:pt>
                <c:pt idx="3061">
                  <c:v>-272.17521899999997</c:v>
                </c:pt>
                <c:pt idx="3062">
                  <c:v>-272.01719900000001</c:v>
                </c:pt>
                <c:pt idx="3063">
                  <c:v>-271.85928000000001</c:v>
                </c:pt>
                <c:pt idx="3064">
                  <c:v>-271.70136000000002</c:v>
                </c:pt>
                <c:pt idx="3065">
                  <c:v>-271.543542</c:v>
                </c:pt>
                <c:pt idx="3066">
                  <c:v>-271.38542299999995</c:v>
                </c:pt>
                <c:pt idx="3067">
                  <c:v>-271.22760399999999</c:v>
                </c:pt>
                <c:pt idx="3068">
                  <c:v>-271.06958599999996</c:v>
                </c:pt>
                <c:pt idx="3069">
                  <c:v>-270.91166900000002</c:v>
                </c:pt>
                <c:pt idx="3070">
                  <c:v>-270.753851</c:v>
                </c:pt>
                <c:pt idx="3071">
                  <c:v>-270.59583400000002</c:v>
                </c:pt>
                <c:pt idx="3072">
                  <c:v>-270.437817</c:v>
                </c:pt>
                <c:pt idx="3073">
                  <c:v>-270.279901</c:v>
                </c:pt>
                <c:pt idx="3074">
                  <c:v>-270.121984</c:v>
                </c:pt>
                <c:pt idx="3075">
                  <c:v>-269.964068</c:v>
                </c:pt>
                <c:pt idx="3076">
                  <c:v>-269.80615299999999</c:v>
                </c:pt>
                <c:pt idx="3077">
                  <c:v>-269.64823699999999</c:v>
                </c:pt>
                <c:pt idx="3078">
                  <c:v>-269.49032199999999</c:v>
                </c:pt>
                <c:pt idx="3079">
                  <c:v>-269.33220799999998</c:v>
                </c:pt>
                <c:pt idx="3080">
                  <c:v>-269.17439300000001</c:v>
                </c:pt>
                <c:pt idx="3081">
                  <c:v>-269.016479</c:v>
                </c:pt>
                <c:pt idx="3082">
                  <c:v>-268.858565</c:v>
                </c:pt>
                <c:pt idx="3083">
                  <c:v>-268.70065199999999</c:v>
                </c:pt>
                <c:pt idx="3084">
                  <c:v>-268.54253900000003</c:v>
                </c:pt>
                <c:pt idx="3085">
                  <c:v>-268.384726</c:v>
                </c:pt>
                <c:pt idx="3086">
                  <c:v>-268.22681299999999</c:v>
                </c:pt>
                <c:pt idx="3087">
                  <c:v>-268.06880099999995</c:v>
                </c:pt>
                <c:pt idx="3088">
                  <c:v>-267.910889</c:v>
                </c:pt>
                <c:pt idx="3089">
                  <c:v>-267.75297699999999</c:v>
                </c:pt>
                <c:pt idx="3090">
                  <c:v>-267.59506600000003</c:v>
                </c:pt>
                <c:pt idx="3091">
                  <c:v>-267.43705499999999</c:v>
                </c:pt>
                <c:pt idx="3092">
                  <c:v>-267.27924399999995</c:v>
                </c:pt>
                <c:pt idx="3093">
                  <c:v>-267.12113399999998</c:v>
                </c:pt>
                <c:pt idx="3094">
                  <c:v>-266.96322299999997</c:v>
                </c:pt>
                <c:pt idx="3095">
                  <c:v>-266.80551400000002</c:v>
                </c:pt>
                <c:pt idx="3096">
                  <c:v>-266.64750400000003</c:v>
                </c:pt>
                <c:pt idx="3097">
                  <c:v>-266.489395</c:v>
                </c:pt>
                <c:pt idx="3098">
                  <c:v>-266.33148599999998</c:v>
                </c:pt>
                <c:pt idx="3099">
                  <c:v>-266.17357700000002</c:v>
                </c:pt>
                <c:pt idx="3100">
                  <c:v>-266.01576899999998</c:v>
                </c:pt>
                <c:pt idx="3101">
                  <c:v>-265.85776099999998</c:v>
                </c:pt>
                <c:pt idx="3102">
                  <c:v>-265.69985300000002</c:v>
                </c:pt>
                <c:pt idx="3103">
                  <c:v>-265.54184599999996</c:v>
                </c:pt>
                <c:pt idx="3104">
                  <c:v>-265.383939</c:v>
                </c:pt>
                <c:pt idx="3105">
                  <c:v>-265.225932</c:v>
                </c:pt>
                <c:pt idx="3106">
                  <c:v>-265.06812500000001</c:v>
                </c:pt>
                <c:pt idx="3107">
                  <c:v>-264.91021900000004</c:v>
                </c:pt>
                <c:pt idx="3108">
                  <c:v>-264.75221299999998</c:v>
                </c:pt>
                <c:pt idx="3109">
                  <c:v>-264.59430800000001</c:v>
                </c:pt>
                <c:pt idx="3110">
                  <c:v>-264.43630300000001</c:v>
                </c:pt>
                <c:pt idx="3111">
                  <c:v>-264.27839800000004</c:v>
                </c:pt>
                <c:pt idx="3112">
                  <c:v>-264.12049300000001</c:v>
                </c:pt>
                <c:pt idx="3113">
                  <c:v>-263.96268900000001</c:v>
                </c:pt>
                <c:pt idx="3114">
                  <c:v>-263.80458499999997</c:v>
                </c:pt>
                <c:pt idx="3115">
                  <c:v>-263.64658099999997</c:v>
                </c:pt>
                <c:pt idx="3116">
                  <c:v>-263.488677</c:v>
                </c:pt>
                <c:pt idx="3117">
                  <c:v>-263.33087399999999</c:v>
                </c:pt>
                <c:pt idx="3118">
                  <c:v>-263.17297100000002</c:v>
                </c:pt>
                <c:pt idx="3119">
                  <c:v>-263.01486899999998</c:v>
                </c:pt>
                <c:pt idx="3120">
                  <c:v>-262.856967</c:v>
                </c:pt>
                <c:pt idx="3121">
                  <c:v>-262.69906500000002</c:v>
                </c:pt>
                <c:pt idx="3122">
                  <c:v>-262.54106300000001</c:v>
                </c:pt>
                <c:pt idx="3123">
                  <c:v>-262.38336199999998</c:v>
                </c:pt>
                <c:pt idx="3124">
                  <c:v>-262.22526099999999</c:v>
                </c:pt>
                <c:pt idx="3125">
                  <c:v>-262.06725999999998</c:v>
                </c:pt>
                <c:pt idx="3126">
                  <c:v>-261.90935999999999</c:v>
                </c:pt>
                <c:pt idx="3127">
                  <c:v>-261.75146000000001</c:v>
                </c:pt>
                <c:pt idx="3128">
                  <c:v>-261.59345999999999</c:v>
                </c:pt>
                <c:pt idx="3129">
                  <c:v>-261.43546000000003</c:v>
                </c:pt>
                <c:pt idx="3130">
                  <c:v>-261.27766100000002</c:v>
                </c:pt>
                <c:pt idx="3131">
                  <c:v>-261.11976199999998</c:v>
                </c:pt>
                <c:pt idx="3132">
                  <c:v>-260.96176399999996</c:v>
                </c:pt>
                <c:pt idx="3133">
                  <c:v>-260.80386600000003</c:v>
                </c:pt>
                <c:pt idx="3134">
                  <c:v>-260.64596799999998</c:v>
                </c:pt>
                <c:pt idx="3135">
                  <c:v>-260.48786999999999</c:v>
                </c:pt>
                <c:pt idx="3136">
                  <c:v>-260.33007299999997</c:v>
                </c:pt>
                <c:pt idx="3137">
                  <c:v>-260.172076</c:v>
                </c:pt>
                <c:pt idx="3138">
                  <c:v>-260.01417900000001</c:v>
                </c:pt>
                <c:pt idx="3139">
                  <c:v>-259.85628200000002</c:v>
                </c:pt>
                <c:pt idx="3140">
                  <c:v>-259.69828599999994</c:v>
                </c:pt>
                <c:pt idx="3141">
                  <c:v>-259.540391</c:v>
                </c:pt>
                <c:pt idx="3142">
                  <c:v>-259.382295</c:v>
                </c:pt>
                <c:pt idx="3143">
                  <c:v>-259.22449999999998</c:v>
                </c:pt>
                <c:pt idx="3144">
                  <c:v>-259.06660499999998</c:v>
                </c:pt>
                <c:pt idx="3145">
                  <c:v>-258.90861000000001</c:v>
                </c:pt>
                <c:pt idx="3146">
                  <c:v>-258.75061600000004</c:v>
                </c:pt>
                <c:pt idx="3147">
                  <c:v>-258.59272199999998</c:v>
                </c:pt>
                <c:pt idx="3148">
                  <c:v>-258.43482800000004</c:v>
                </c:pt>
                <c:pt idx="3149">
                  <c:v>-258.27683500000001</c:v>
                </c:pt>
                <c:pt idx="3150">
                  <c:v>-258.11894199999995</c:v>
                </c:pt>
                <c:pt idx="3151">
                  <c:v>-257.961049</c:v>
                </c:pt>
                <c:pt idx="3152">
                  <c:v>-257.80305699999997</c:v>
                </c:pt>
                <c:pt idx="3153">
                  <c:v>-257.64516500000002</c:v>
                </c:pt>
                <c:pt idx="3154">
                  <c:v>-257.48727300000002</c:v>
                </c:pt>
                <c:pt idx="3155">
                  <c:v>-257.32918100000001</c:v>
                </c:pt>
                <c:pt idx="3156">
                  <c:v>-257.17119000000002</c:v>
                </c:pt>
                <c:pt idx="3157">
                  <c:v>-257.01339899999999</c:v>
                </c:pt>
                <c:pt idx="3158">
                  <c:v>-256.85560800000002</c:v>
                </c:pt>
                <c:pt idx="3159">
                  <c:v>-256.69761800000003</c:v>
                </c:pt>
                <c:pt idx="3160">
                  <c:v>-256.53952800000002</c:v>
                </c:pt>
                <c:pt idx="3161">
                  <c:v>-256.38163800000001</c:v>
                </c:pt>
                <c:pt idx="3162">
                  <c:v>-256.223749</c:v>
                </c:pt>
                <c:pt idx="3163">
                  <c:v>-256.06575999999995</c:v>
                </c:pt>
                <c:pt idx="3164">
                  <c:v>-255.907771</c:v>
                </c:pt>
                <c:pt idx="3165">
                  <c:v>-255.74988300000001</c:v>
                </c:pt>
                <c:pt idx="3166">
                  <c:v>-255.591994</c:v>
                </c:pt>
                <c:pt idx="3167">
                  <c:v>-255.43410599999999</c:v>
                </c:pt>
                <c:pt idx="3168">
                  <c:v>-255.27621899999997</c:v>
                </c:pt>
                <c:pt idx="3169">
                  <c:v>-255.118132</c:v>
                </c:pt>
                <c:pt idx="3170">
                  <c:v>-254.96014499999998</c:v>
                </c:pt>
                <c:pt idx="3171">
                  <c:v>-254.802358</c:v>
                </c:pt>
                <c:pt idx="3172">
                  <c:v>-254.644372</c:v>
                </c:pt>
                <c:pt idx="3173">
                  <c:v>-254.48638600000001</c:v>
                </c:pt>
                <c:pt idx="3174">
                  <c:v>-254.32839999999999</c:v>
                </c:pt>
                <c:pt idx="3175">
                  <c:v>-254.170614</c:v>
                </c:pt>
                <c:pt idx="3176">
                  <c:v>-254.01262899999998</c:v>
                </c:pt>
                <c:pt idx="3177">
                  <c:v>-253.85464400000001</c:v>
                </c:pt>
                <c:pt idx="3178">
                  <c:v>-253.69666000000001</c:v>
                </c:pt>
                <c:pt idx="3179">
                  <c:v>-253.53877600000001</c:v>
                </c:pt>
                <c:pt idx="3180">
                  <c:v>-253.38089200000002</c:v>
                </c:pt>
                <c:pt idx="3181">
                  <c:v>-253.22300799999996</c:v>
                </c:pt>
                <c:pt idx="3182">
                  <c:v>-253.06512499999999</c:v>
                </c:pt>
                <c:pt idx="3183">
                  <c:v>-252.90704199999999</c:v>
                </c:pt>
                <c:pt idx="3184">
                  <c:v>-252.74915900000002</c:v>
                </c:pt>
                <c:pt idx="3185">
                  <c:v>-252.59127700000005</c:v>
                </c:pt>
                <c:pt idx="3186">
                  <c:v>-252.43329500000004</c:v>
                </c:pt>
                <c:pt idx="3187">
                  <c:v>-252.27521300000001</c:v>
                </c:pt>
                <c:pt idx="3188">
                  <c:v>-252.11743099999998</c:v>
                </c:pt>
                <c:pt idx="3189">
                  <c:v>-251.95945</c:v>
                </c:pt>
                <c:pt idx="3190">
                  <c:v>-251.801469</c:v>
                </c:pt>
                <c:pt idx="3191">
                  <c:v>-251.64348899999999</c:v>
                </c:pt>
                <c:pt idx="3192">
                  <c:v>-251.48570900000001</c:v>
                </c:pt>
                <c:pt idx="3193">
                  <c:v>-251.32772900000003</c:v>
                </c:pt>
                <c:pt idx="3194">
                  <c:v>-251.169749</c:v>
                </c:pt>
                <c:pt idx="3195">
                  <c:v>-251.01186999999999</c:v>
                </c:pt>
                <c:pt idx="3196">
                  <c:v>-250.85389099999998</c:v>
                </c:pt>
                <c:pt idx="3197">
                  <c:v>-250.69591199999999</c:v>
                </c:pt>
                <c:pt idx="3198">
                  <c:v>-250.53803300000001</c:v>
                </c:pt>
                <c:pt idx="3199">
                  <c:v>-250.380055</c:v>
                </c:pt>
                <c:pt idx="3200">
                  <c:v>-250.22217700000002</c:v>
                </c:pt>
                <c:pt idx="3201">
                  <c:v>-250.06410000000002</c:v>
                </c:pt>
                <c:pt idx="3202">
                  <c:v>-249.90632299999999</c:v>
                </c:pt>
                <c:pt idx="3203">
                  <c:v>-249.748346</c:v>
                </c:pt>
                <c:pt idx="3204">
                  <c:v>-249.59046899999998</c:v>
                </c:pt>
                <c:pt idx="3205">
                  <c:v>-249.432593</c:v>
                </c:pt>
                <c:pt idx="3206">
                  <c:v>-249.274517</c:v>
                </c:pt>
                <c:pt idx="3207">
                  <c:v>-249.11654100000004</c:v>
                </c:pt>
                <c:pt idx="3208">
                  <c:v>-248.958766</c:v>
                </c:pt>
                <c:pt idx="3209">
                  <c:v>-248.80079099999998</c:v>
                </c:pt>
                <c:pt idx="3210">
                  <c:v>-248.64271599999998</c:v>
                </c:pt>
                <c:pt idx="3211">
                  <c:v>-248.48474200000001</c:v>
                </c:pt>
                <c:pt idx="3212">
                  <c:v>-248.326967</c:v>
                </c:pt>
                <c:pt idx="3213">
                  <c:v>-248.16899400000003</c:v>
                </c:pt>
                <c:pt idx="3214">
                  <c:v>-248.01112000000001</c:v>
                </c:pt>
                <c:pt idx="3215">
                  <c:v>-247.85314700000004</c:v>
                </c:pt>
                <c:pt idx="3216">
                  <c:v>-247.69517400000001</c:v>
                </c:pt>
                <c:pt idx="3217">
                  <c:v>-247.53730100000001</c:v>
                </c:pt>
                <c:pt idx="3218">
                  <c:v>-247.37922899999998</c:v>
                </c:pt>
                <c:pt idx="3219">
                  <c:v>-247.22145700000002</c:v>
                </c:pt>
                <c:pt idx="3220">
                  <c:v>-247.06338500000001</c:v>
                </c:pt>
                <c:pt idx="3221">
                  <c:v>-246.90551400000001</c:v>
                </c:pt>
                <c:pt idx="3222">
                  <c:v>-246.74754300000004</c:v>
                </c:pt>
                <c:pt idx="3223">
                  <c:v>-246.58967200000001</c:v>
                </c:pt>
                <c:pt idx="3224">
                  <c:v>-246.431601</c:v>
                </c:pt>
                <c:pt idx="3225">
                  <c:v>-246.27383100000003</c:v>
                </c:pt>
                <c:pt idx="3226">
                  <c:v>-246.11576100000002</c:v>
                </c:pt>
                <c:pt idx="3227">
                  <c:v>-245.95789200000002</c:v>
                </c:pt>
                <c:pt idx="3228">
                  <c:v>-245.80002199999998</c:v>
                </c:pt>
                <c:pt idx="3229">
                  <c:v>-245.641953</c:v>
                </c:pt>
                <c:pt idx="3230">
                  <c:v>-245.48408499999999</c:v>
                </c:pt>
                <c:pt idx="3231">
                  <c:v>-245.32611600000001</c:v>
                </c:pt>
                <c:pt idx="3232">
                  <c:v>-245.16834800000001</c:v>
                </c:pt>
                <c:pt idx="3233">
                  <c:v>-245.01028099999999</c:v>
                </c:pt>
                <c:pt idx="3234">
                  <c:v>-244.85231300000001</c:v>
                </c:pt>
                <c:pt idx="3235">
                  <c:v>-244.69444600000003</c:v>
                </c:pt>
                <c:pt idx="3236">
                  <c:v>-244.53657899999996</c:v>
                </c:pt>
                <c:pt idx="3237">
                  <c:v>-244.378513</c:v>
                </c:pt>
                <c:pt idx="3238">
                  <c:v>-244.22044600000004</c:v>
                </c:pt>
                <c:pt idx="3239">
                  <c:v>-244.06268099999997</c:v>
                </c:pt>
                <c:pt idx="3240">
                  <c:v>-243.90461499999998</c:v>
                </c:pt>
                <c:pt idx="3241">
                  <c:v>-243.74674999999999</c:v>
                </c:pt>
                <c:pt idx="3242">
                  <c:v>-243.58888499999998</c:v>
                </c:pt>
                <c:pt idx="3243">
                  <c:v>-243.43091999999999</c:v>
                </c:pt>
                <c:pt idx="3244">
                  <c:v>-243.27285600000002</c:v>
                </c:pt>
                <c:pt idx="3245">
                  <c:v>-243.11509100000001</c:v>
                </c:pt>
                <c:pt idx="3246">
                  <c:v>-242.95722799999999</c:v>
                </c:pt>
                <c:pt idx="3247">
                  <c:v>-242.79916400000002</c:v>
                </c:pt>
                <c:pt idx="3248">
                  <c:v>-242.64120099999997</c:v>
                </c:pt>
                <c:pt idx="3249">
                  <c:v>-242.483338</c:v>
                </c:pt>
                <c:pt idx="3250">
                  <c:v>-242.32547600000001</c:v>
                </c:pt>
                <c:pt idx="3251">
                  <c:v>-242.16741300000001</c:v>
                </c:pt>
                <c:pt idx="3252">
                  <c:v>-242.00955100000002</c:v>
                </c:pt>
                <c:pt idx="3253">
                  <c:v>-241.85159000000002</c:v>
                </c:pt>
                <c:pt idx="3254">
                  <c:v>-241.69352799999999</c:v>
                </c:pt>
                <c:pt idx="3255">
                  <c:v>-241.53576699999999</c:v>
                </c:pt>
                <c:pt idx="3256">
                  <c:v>-241.37780700000002</c:v>
                </c:pt>
                <c:pt idx="3257">
                  <c:v>-241.21974599999999</c:v>
                </c:pt>
                <c:pt idx="3258">
                  <c:v>-241.06178599999998</c:v>
                </c:pt>
                <c:pt idx="3259">
                  <c:v>-240.90392600000001</c:v>
                </c:pt>
                <c:pt idx="3260">
                  <c:v>-240.74606699999998</c:v>
                </c:pt>
                <c:pt idx="3261">
                  <c:v>-240.588008</c:v>
                </c:pt>
                <c:pt idx="3262">
                  <c:v>-240.430049</c:v>
                </c:pt>
                <c:pt idx="3263">
                  <c:v>-240.27218999999999</c:v>
                </c:pt>
                <c:pt idx="3264">
                  <c:v>-240.11423200000002</c:v>
                </c:pt>
                <c:pt idx="3265">
                  <c:v>-239.95637399999998</c:v>
                </c:pt>
                <c:pt idx="3266">
                  <c:v>-239.798416</c:v>
                </c:pt>
                <c:pt idx="3267">
                  <c:v>-239.64035899999999</c:v>
                </c:pt>
                <c:pt idx="3268">
                  <c:v>-239.48250200000001</c:v>
                </c:pt>
                <c:pt idx="3269">
                  <c:v>-239.324545</c:v>
                </c:pt>
                <c:pt idx="3270">
                  <c:v>-239.16668800000002</c:v>
                </c:pt>
                <c:pt idx="3271">
                  <c:v>-239.00873200000001</c:v>
                </c:pt>
                <c:pt idx="3272">
                  <c:v>-238.850776</c:v>
                </c:pt>
                <c:pt idx="3273">
                  <c:v>-238.69292100000001</c:v>
                </c:pt>
                <c:pt idx="3274">
                  <c:v>-238.53496599999997</c:v>
                </c:pt>
                <c:pt idx="3275">
                  <c:v>-238.37701100000001</c:v>
                </c:pt>
                <c:pt idx="3276">
                  <c:v>-238.21905599999999</c:v>
                </c:pt>
                <c:pt idx="3277">
                  <c:v>-238.06110200000001</c:v>
                </c:pt>
                <c:pt idx="3278">
                  <c:v>-237.90324799999999</c:v>
                </c:pt>
                <c:pt idx="3279">
                  <c:v>-237.74529400000003</c:v>
                </c:pt>
                <c:pt idx="3280">
                  <c:v>-237.58734099999998</c:v>
                </c:pt>
                <c:pt idx="3281">
                  <c:v>-237.42928799999999</c:v>
                </c:pt>
                <c:pt idx="3282">
                  <c:v>-237.271435</c:v>
                </c:pt>
                <c:pt idx="3283">
                  <c:v>-237.113482</c:v>
                </c:pt>
                <c:pt idx="3284">
                  <c:v>-236.95553000000001</c:v>
                </c:pt>
                <c:pt idx="3285">
                  <c:v>-236.79767800000002</c:v>
                </c:pt>
                <c:pt idx="3286">
                  <c:v>-236.63962699999999</c:v>
                </c:pt>
                <c:pt idx="3287">
                  <c:v>-236.48177500000003</c:v>
                </c:pt>
                <c:pt idx="3288">
                  <c:v>-236.32382400000003</c:v>
                </c:pt>
                <c:pt idx="3289">
                  <c:v>-236.165874</c:v>
                </c:pt>
                <c:pt idx="3290">
                  <c:v>-236.00802300000001</c:v>
                </c:pt>
                <c:pt idx="3291">
                  <c:v>-235.84997300000001</c:v>
                </c:pt>
                <c:pt idx="3292">
                  <c:v>-235.69212400000004</c:v>
                </c:pt>
                <c:pt idx="3293">
                  <c:v>-235.53417399999998</c:v>
                </c:pt>
                <c:pt idx="3294">
                  <c:v>-235.376125</c:v>
                </c:pt>
                <c:pt idx="3295">
                  <c:v>-235.21837600000001</c:v>
                </c:pt>
                <c:pt idx="3296">
                  <c:v>-235.060328</c:v>
                </c:pt>
                <c:pt idx="3297">
                  <c:v>-234.90227899999999</c:v>
                </c:pt>
                <c:pt idx="3298">
                  <c:v>-234.74453200000002</c:v>
                </c:pt>
                <c:pt idx="3299">
                  <c:v>-234.58658400000002</c:v>
                </c:pt>
                <c:pt idx="3300">
                  <c:v>-234.42853700000001</c:v>
                </c:pt>
                <c:pt idx="3301">
                  <c:v>-234.27069</c:v>
                </c:pt>
                <c:pt idx="3302">
                  <c:v>-234.11274299999997</c:v>
                </c:pt>
                <c:pt idx="3303">
                  <c:v>-233.95469700000001</c:v>
                </c:pt>
                <c:pt idx="3304">
                  <c:v>-233.79684999999998</c:v>
                </c:pt>
                <c:pt idx="3305">
                  <c:v>-233.63890499999999</c:v>
                </c:pt>
                <c:pt idx="3306">
                  <c:v>-233.48085899999998</c:v>
                </c:pt>
                <c:pt idx="3307">
                  <c:v>-233.323014</c:v>
                </c:pt>
                <c:pt idx="3308">
                  <c:v>-233.16516899999999</c:v>
                </c:pt>
                <c:pt idx="3309">
                  <c:v>-233.007125</c:v>
                </c:pt>
                <c:pt idx="3310">
                  <c:v>-232.84917999999999</c:v>
                </c:pt>
                <c:pt idx="3311">
                  <c:v>-232.69133600000001</c:v>
                </c:pt>
                <c:pt idx="3312">
                  <c:v>-232.53329299999999</c:v>
                </c:pt>
                <c:pt idx="3313">
                  <c:v>-232.37535000000003</c:v>
                </c:pt>
                <c:pt idx="3314">
                  <c:v>-232.21760599999999</c:v>
                </c:pt>
                <c:pt idx="3315">
                  <c:v>-232.05946400000005</c:v>
                </c:pt>
                <c:pt idx="3316">
                  <c:v>-231.90152099999997</c:v>
                </c:pt>
                <c:pt idx="3317">
                  <c:v>-231.74367899999999</c:v>
                </c:pt>
                <c:pt idx="3318">
                  <c:v>-231.58573699999999</c:v>
                </c:pt>
                <c:pt idx="3319">
                  <c:v>-231.427796</c:v>
                </c:pt>
                <c:pt idx="3320">
                  <c:v>-231.26985500000001</c:v>
                </c:pt>
                <c:pt idx="3321">
                  <c:v>-231.11191399999998</c:v>
                </c:pt>
                <c:pt idx="3322">
                  <c:v>-230.95397300000002</c:v>
                </c:pt>
                <c:pt idx="3323">
                  <c:v>-230.796133</c:v>
                </c:pt>
                <c:pt idx="3324">
                  <c:v>-230.63819300000003</c:v>
                </c:pt>
                <c:pt idx="3325">
                  <c:v>-230.48015299999997</c:v>
                </c:pt>
                <c:pt idx="3326">
                  <c:v>-230.32221399999997</c:v>
                </c:pt>
                <c:pt idx="3327">
                  <c:v>-230.16437499999998</c:v>
                </c:pt>
                <c:pt idx="3328">
                  <c:v>-230.00643599999998</c:v>
                </c:pt>
                <c:pt idx="3329">
                  <c:v>-229.84849799999998</c:v>
                </c:pt>
                <c:pt idx="3330">
                  <c:v>-229.69036</c:v>
                </c:pt>
                <c:pt idx="3331">
                  <c:v>-229.532522</c:v>
                </c:pt>
                <c:pt idx="3332">
                  <c:v>-229.374584</c:v>
                </c:pt>
                <c:pt idx="3333">
                  <c:v>-229.21654699999999</c:v>
                </c:pt>
                <c:pt idx="3334">
                  <c:v>-229.05881000000002</c:v>
                </c:pt>
                <c:pt idx="3335">
                  <c:v>-228.90077300000002</c:v>
                </c:pt>
                <c:pt idx="3336">
                  <c:v>-228.74273700000003</c:v>
                </c:pt>
                <c:pt idx="3337">
                  <c:v>-228.58500100000003</c:v>
                </c:pt>
                <c:pt idx="3338">
                  <c:v>-228.426965</c:v>
                </c:pt>
                <c:pt idx="3339">
                  <c:v>-228.26902999999999</c:v>
                </c:pt>
                <c:pt idx="3340">
                  <c:v>-228.11109499999998</c:v>
                </c:pt>
                <c:pt idx="3341">
                  <c:v>-227.95316</c:v>
                </c:pt>
                <c:pt idx="3342">
                  <c:v>-227.79522599999999</c:v>
                </c:pt>
                <c:pt idx="3343">
                  <c:v>-227.63739099999998</c:v>
                </c:pt>
                <c:pt idx="3344">
                  <c:v>-227.47935799999999</c:v>
                </c:pt>
                <c:pt idx="3345">
                  <c:v>-227.32142400000001</c:v>
                </c:pt>
                <c:pt idx="3346">
                  <c:v>-227.16349099999999</c:v>
                </c:pt>
                <c:pt idx="3347">
                  <c:v>-227.00555800000004</c:v>
                </c:pt>
                <c:pt idx="3348">
                  <c:v>-226.84762500000002</c:v>
                </c:pt>
                <c:pt idx="3349">
                  <c:v>-226.68979300000001</c:v>
                </c:pt>
                <c:pt idx="3350">
                  <c:v>-226.53176099999996</c:v>
                </c:pt>
                <c:pt idx="3351">
                  <c:v>-226.373829</c:v>
                </c:pt>
                <c:pt idx="3352">
                  <c:v>-226.21579799999998</c:v>
                </c:pt>
                <c:pt idx="3353">
                  <c:v>-226.058066</c:v>
                </c:pt>
                <c:pt idx="3354">
                  <c:v>-225.900136</c:v>
                </c:pt>
                <c:pt idx="3355">
                  <c:v>-225.74200500000001</c:v>
                </c:pt>
                <c:pt idx="3356">
                  <c:v>-225.58407500000001</c:v>
                </c:pt>
                <c:pt idx="3357">
                  <c:v>-225.42624499999999</c:v>
                </c:pt>
                <c:pt idx="3358">
                  <c:v>-225.26821500000003</c:v>
                </c:pt>
                <c:pt idx="3359">
                  <c:v>-225.110286</c:v>
                </c:pt>
                <c:pt idx="3360">
                  <c:v>-224.95235700000001</c:v>
                </c:pt>
                <c:pt idx="3361">
                  <c:v>-224.79442799999998</c:v>
                </c:pt>
                <c:pt idx="3362">
                  <c:v>-224.63650000000001</c:v>
                </c:pt>
                <c:pt idx="3363">
                  <c:v>-224.47857199999999</c:v>
                </c:pt>
                <c:pt idx="3364">
                  <c:v>-224.32064399999999</c:v>
                </c:pt>
                <c:pt idx="3365">
                  <c:v>-224.16271699999999</c:v>
                </c:pt>
                <c:pt idx="3366">
                  <c:v>-224.00479000000001</c:v>
                </c:pt>
                <c:pt idx="3367">
                  <c:v>-223.84686299999998</c:v>
                </c:pt>
                <c:pt idx="3368">
                  <c:v>-223.68893600000001</c:v>
                </c:pt>
                <c:pt idx="3369">
                  <c:v>-223.53101000000001</c:v>
                </c:pt>
                <c:pt idx="3370">
                  <c:v>-223.37308400000003</c:v>
                </c:pt>
                <c:pt idx="3371">
                  <c:v>-223.215058</c:v>
                </c:pt>
                <c:pt idx="3372">
                  <c:v>-223.057233</c:v>
                </c:pt>
                <c:pt idx="3373">
                  <c:v>-222.89920800000004</c:v>
                </c:pt>
                <c:pt idx="3374">
                  <c:v>-222.74128300000001</c:v>
                </c:pt>
                <c:pt idx="3375">
                  <c:v>-222.583259</c:v>
                </c:pt>
                <c:pt idx="3376">
                  <c:v>-222.42533499999996</c:v>
                </c:pt>
                <c:pt idx="3377">
                  <c:v>-222.26741100000001</c:v>
                </c:pt>
                <c:pt idx="3378">
                  <c:v>-222.109488</c:v>
                </c:pt>
                <c:pt idx="3379">
                  <c:v>-221.95166400000002</c:v>
                </c:pt>
                <c:pt idx="3380">
                  <c:v>-221.79364199999998</c:v>
                </c:pt>
                <c:pt idx="3381">
                  <c:v>-221.63571900000002</c:v>
                </c:pt>
                <c:pt idx="3382">
                  <c:v>-221.47779699999998</c:v>
                </c:pt>
                <c:pt idx="3383">
                  <c:v>-221.31987500000002</c:v>
                </c:pt>
                <c:pt idx="3384">
                  <c:v>-221.16195300000001</c:v>
                </c:pt>
                <c:pt idx="3385">
                  <c:v>-221.004032</c:v>
                </c:pt>
                <c:pt idx="3386">
                  <c:v>-220.846011</c:v>
                </c:pt>
                <c:pt idx="3387">
                  <c:v>-220.68798999999999</c:v>
                </c:pt>
                <c:pt idx="3388">
                  <c:v>-220.53017</c:v>
                </c:pt>
                <c:pt idx="3389">
                  <c:v>-220.37224899999998</c:v>
                </c:pt>
                <c:pt idx="3390">
                  <c:v>-220.21423000000001</c:v>
                </c:pt>
                <c:pt idx="3391">
                  <c:v>-220.05641</c:v>
                </c:pt>
                <c:pt idx="3392">
                  <c:v>-219.898391</c:v>
                </c:pt>
                <c:pt idx="3393">
                  <c:v>-219.74047199999998</c:v>
                </c:pt>
                <c:pt idx="3394">
                  <c:v>-219.58255300000002</c:v>
                </c:pt>
                <c:pt idx="3395">
                  <c:v>-219.42463500000002</c:v>
                </c:pt>
                <c:pt idx="3396">
                  <c:v>-219.26671700000003</c:v>
                </c:pt>
                <c:pt idx="3397">
                  <c:v>-219.108699</c:v>
                </c:pt>
                <c:pt idx="3398">
                  <c:v>-218.950782</c:v>
                </c:pt>
                <c:pt idx="3399">
                  <c:v>-218.79276500000003</c:v>
                </c:pt>
                <c:pt idx="3400">
                  <c:v>-218.63484799999998</c:v>
                </c:pt>
                <c:pt idx="3401">
                  <c:v>-218.47703200000001</c:v>
                </c:pt>
                <c:pt idx="3402">
                  <c:v>-218.31901500000001</c:v>
                </c:pt>
                <c:pt idx="3403">
                  <c:v>-218.16109999999998</c:v>
                </c:pt>
                <c:pt idx="3404">
                  <c:v>-218.00318399999998</c:v>
                </c:pt>
                <c:pt idx="3405">
                  <c:v>-217.845169</c:v>
                </c:pt>
                <c:pt idx="3406">
                  <c:v>-217.687354</c:v>
                </c:pt>
                <c:pt idx="3407">
                  <c:v>-217.529439</c:v>
                </c:pt>
                <c:pt idx="3408">
                  <c:v>-217.37152499999999</c:v>
                </c:pt>
                <c:pt idx="3409">
                  <c:v>-217.21341100000001</c:v>
                </c:pt>
                <c:pt idx="3410">
                  <c:v>-217.055497</c:v>
                </c:pt>
                <c:pt idx="3411">
                  <c:v>-216.89758399999999</c:v>
                </c:pt>
                <c:pt idx="3412">
                  <c:v>-216.73967099999999</c:v>
                </c:pt>
                <c:pt idx="3413">
                  <c:v>-216.58175800000001</c:v>
                </c:pt>
                <c:pt idx="3414">
                  <c:v>-216.42384499999997</c:v>
                </c:pt>
                <c:pt idx="3415">
                  <c:v>-216.26583299999999</c:v>
                </c:pt>
                <c:pt idx="3416">
                  <c:v>-216.107921</c:v>
                </c:pt>
                <c:pt idx="3417">
                  <c:v>-215.95000999999999</c:v>
                </c:pt>
                <c:pt idx="3418">
                  <c:v>-215.79199800000004</c:v>
                </c:pt>
                <c:pt idx="3419">
                  <c:v>-215.63408700000002</c:v>
                </c:pt>
                <c:pt idx="3420">
                  <c:v>-215.47617700000001</c:v>
                </c:pt>
                <c:pt idx="3421">
                  <c:v>-215.31816599999999</c:v>
                </c:pt>
                <c:pt idx="3422">
                  <c:v>-215.160256</c:v>
                </c:pt>
                <c:pt idx="3423">
                  <c:v>-215.00244699999996</c:v>
                </c:pt>
                <c:pt idx="3424">
                  <c:v>-214.84443700000003</c:v>
                </c:pt>
                <c:pt idx="3425">
                  <c:v>-214.68642799999998</c:v>
                </c:pt>
                <c:pt idx="3426">
                  <c:v>-214.52861899999999</c:v>
                </c:pt>
                <c:pt idx="3427">
                  <c:v>-214.37061099999997</c:v>
                </c:pt>
                <c:pt idx="3428">
                  <c:v>-214.21270200000001</c:v>
                </c:pt>
                <c:pt idx="3429">
                  <c:v>-214.05479500000001</c:v>
                </c:pt>
                <c:pt idx="3430">
                  <c:v>-213.89688699999999</c:v>
                </c:pt>
                <c:pt idx="3431">
                  <c:v>-213.73877999999999</c:v>
                </c:pt>
                <c:pt idx="3432">
                  <c:v>-213.580973</c:v>
                </c:pt>
                <c:pt idx="3433">
                  <c:v>-213.422966</c:v>
                </c:pt>
                <c:pt idx="3434">
                  <c:v>-213.26506000000001</c:v>
                </c:pt>
                <c:pt idx="3435">
                  <c:v>-213.10715299999998</c:v>
                </c:pt>
                <c:pt idx="3436">
                  <c:v>-212.94914799999998</c:v>
                </c:pt>
                <c:pt idx="3437">
                  <c:v>-212.79124199999998</c:v>
                </c:pt>
                <c:pt idx="3438">
                  <c:v>-212.63323699999995</c:v>
                </c:pt>
                <c:pt idx="3439">
                  <c:v>-212.47543199999998</c:v>
                </c:pt>
                <c:pt idx="3440">
                  <c:v>-212.31742799999998</c:v>
                </c:pt>
                <c:pt idx="3441">
                  <c:v>-212.159423</c:v>
                </c:pt>
                <c:pt idx="3442">
                  <c:v>-212.00161899999998</c:v>
                </c:pt>
                <c:pt idx="3443">
                  <c:v>-211.84351599999999</c:v>
                </c:pt>
                <c:pt idx="3444">
                  <c:v>-211.685712</c:v>
                </c:pt>
                <c:pt idx="3445">
                  <c:v>-211.52780900000002</c:v>
                </c:pt>
                <c:pt idx="3446">
                  <c:v>-211.36980700000001</c:v>
                </c:pt>
                <c:pt idx="3447">
                  <c:v>-211.211804</c:v>
                </c:pt>
                <c:pt idx="3448">
                  <c:v>-211.05400200000003</c:v>
                </c:pt>
                <c:pt idx="3449">
                  <c:v>-210.89600000000004</c:v>
                </c:pt>
                <c:pt idx="3450">
                  <c:v>-210.73809899999998</c:v>
                </c:pt>
                <c:pt idx="3451">
                  <c:v>-210.58009799999999</c:v>
                </c:pt>
                <c:pt idx="3452">
                  <c:v>-210.42209700000001</c:v>
                </c:pt>
                <c:pt idx="3453">
                  <c:v>-210.264196</c:v>
                </c:pt>
                <c:pt idx="3454">
                  <c:v>-210.10639599999999</c:v>
                </c:pt>
                <c:pt idx="3455">
                  <c:v>-209.94849599999998</c:v>
                </c:pt>
                <c:pt idx="3456">
                  <c:v>-209.79039599999999</c:v>
                </c:pt>
                <c:pt idx="3457">
                  <c:v>-209.63259699999998</c:v>
                </c:pt>
                <c:pt idx="3458">
                  <c:v>-209.47459800000001</c:v>
                </c:pt>
                <c:pt idx="3459">
                  <c:v>-209.316599</c:v>
                </c:pt>
                <c:pt idx="3460">
                  <c:v>-209.15870100000001</c:v>
                </c:pt>
                <c:pt idx="3461">
                  <c:v>-209.00080300000002</c:v>
                </c:pt>
                <c:pt idx="3462">
                  <c:v>-208.842805</c:v>
                </c:pt>
                <c:pt idx="3463">
                  <c:v>-208.68480699999998</c:v>
                </c:pt>
                <c:pt idx="3464">
                  <c:v>-208.52690999999999</c:v>
                </c:pt>
                <c:pt idx="3465">
                  <c:v>-208.36891299999999</c:v>
                </c:pt>
                <c:pt idx="3466">
                  <c:v>-208.211016</c:v>
                </c:pt>
                <c:pt idx="3467">
                  <c:v>-208.05302</c:v>
                </c:pt>
                <c:pt idx="3468">
                  <c:v>-207.89522400000001</c:v>
                </c:pt>
                <c:pt idx="3469">
                  <c:v>-207.73732799999999</c:v>
                </c:pt>
                <c:pt idx="3470">
                  <c:v>-207.57943299999999</c:v>
                </c:pt>
                <c:pt idx="3471">
                  <c:v>-207.42143800000002</c:v>
                </c:pt>
                <c:pt idx="3472">
                  <c:v>-207.26334299999999</c:v>
                </c:pt>
                <c:pt idx="3473">
                  <c:v>-207.10554900000002</c:v>
                </c:pt>
                <c:pt idx="3474">
                  <c:v>-206.947554</c:v>
                </c:pt>
                <c:pt idx="3475">
                  <c:v>-206.78966100000002</c:v>
                </c:pt>
                <c:pt idx="3476">
                  <c:v>-206.63176700000002</c:v>
                </c:pt>
                <c:pt idx="3477">
                  <c:v>-206.47367400000002</c:v>
                </c:pt>
                <c:pt idx="3478">
                  <c:v>-206.31568099999998</c:v>
                </c:pt>
                <c:pt idx="3479">
                  <c:v>-206.15788799999999</c:v>
                </c:pt>
                <c:pt idx="3480">
                  <c:v>-205.99999599999998</c:v>
                </c:pt>
                <c:pt idx="3481">
                  <c:v>-205.84200399999997</c:v>
                </c:pt>
                <c:pt idx="3482">
                  <c:v>-205.684212</c:v>
                </c:pt>
                <c:pt idx="3483">
                  <c:v>-205.52602099999999</c:v>
                </c:pt>
                <c:pt idx="3484">
                  <c:v>-205.36813000000001</c:v>
                </c:pt>
                <c:pt idx="3485">
                  <c:v>-205.21023899999997</c:v>
                </c:pt>
                <c:pt idx="3486">
                  <c:v>-205.05234800000002</c:v>
                </c:pt>
                <c:pt idx="3487">
                  <c:v>-204.89435799999998</c:v>
                </c:pt>
                <c:pt idx="3488">
                  <c:v>-204.736468</c:v>
                </c:pt>
                <c:pt idx="3489">
                  <c:v>-204.57837900000001</c:v>
                </c:pt>
                <c:pt idx="3490">
                  <c:v>-204.42048900000003</c:v>
                </c:pt>
                <c:pt idx="3491">
                  <c:v>-204.2627</c:v>
                </c:pt>
                <c:pt idx="3492">
                  <c:v>-204.10481199999998</c:v>
                </c:pt>
                <c:pt idx="3493">
                  <c:v>-203.94672299999999</c:v>
                </c:pt>
                <c:pt idx="3494">
                  <c:v>-203.78883500000001</c:v>
                </c:pt>
                <c:pt idx="3495">
                  <c:v>-203.63094699999999</c:v>
                </c:pt>
                <c:pt idx="3496">
                  <c:v>-203.47295999999997</c:v>
                </c:pt>
                <c:pt idx="3497">
                  <c:v>-203.31507299999998</c:v>
                </c:pt>
                <c:pt idx="3498">
                  <c:v>-203.157186</c:v>
                </c:pt>
                <c:pt idx="3499">
                  <c:v>-202.9992</c:v>
                </c:pt>
                <c:pt idx="3500">
                  <c:v>-202.84111299999998</c:v>
                </c:pt>
                <c:pt idx="3501">
                  <c:v>-202.68332700000002</c:v>
                </c:pt>
                <c:pt idx="3502">
                  <c:v>-202.52534199999999</c:v>
                </c:pt>
                <c:pt idx="3503">
                  <c:v>-202.367456</c:v>
                </c:pt>
                <c:pt idx="3504">
                  <c:v>-202.20947100000004</c:v>
                </c:pt>
                <c:pt idx="3505">
                  <c:v>-202.05158700000004</c:v>
                </c:pt>
                <c:pt idx="3506">
                  <c:v>-201.89350199999998</c:v>
                </c:pt>
                <c:pt idx="3507">
                  <c:v>-201.73571800000002</c:v>
                </c:pt>
                <c:pt idx="3508">
                  <c:v>-201.57773399999999</c:v>
                </c:pt>
                <c:pt idx="3509">
                  <c:v>-201.41975099999999</c:v>
                </c:pt>
                <c:pt idx="3510">
                  <c:v>-201.26186799999999</c:v>
                </c:pt>
                <c:pt idx="3511">
                  <c:v>-201.10388499999999</c:v>
                </c:pt>
                <c:pt idx="3512">
                  <c:v>-200.94590199999999</c:v>
                </c:pt>
                <c:pt idx="3513">
                  <c:v>-200.78811999999999</c:v>
                </c:pt>
                <c:pt idx="3514">
                  <c:v>-200.63013799999999</c:v>
                </c:pt>
                <c:pt idx="3515">
                  <c:v>-200.47215699999998</c:v>
                </c:pt>
                <c:pt idx="3516">
                  <c:v>-200.31417500000001</c:v>
                </c:pt>
                <c:pt idx="3517">
                  <c:v>-200.156294</c:v>
                </c:pt>
                <c:pt idx="3518">
                  <c:v>-199.998313</c:v>
                </c:pt>
                <c:pt idx="3519">
                  <c:v>-199.84053299999999</c:v>
                </c:pt>
                <c:pt idx="3520">
                  <c:v>-199.68245300000001</c:v>
                </c:pt>
                <c:pt idx="3521">
                  <c:v>-199.52447299999997</c:v>
                </c:pt>
                <c:pt idx="3522">
                  <c:v>-199.36649399999999</c:v>
                </c:pt>
                <c:pt idx="3523">
                  <c:v>-199.20861399999998</c:v>
                </c:pt>
                <c:pt idx="3524">
                  <c:v>-199.050635</c:v>
                </c:pt>
                <c:pt idx="3525">
                  <c:v>-198.89285699999999</c:v>
                </c:pt>
                <c:pt idx="3526">
                  <c:v>-198.73467899999997</c:v>
                </c:pt>
                <c:pt idx="3527">
                  <c:v>-198.57680100000002</c:v>
                </c:pt>
                <c:pt idx="3528">
                  <c:v>-198.41892299999998</c:v>
                </c:pt>
                <c:pt idx="3529">
                  <c:v>-198.26104600000002</c:v>
                </c:pt>
                <c:pt idx="3530">
                  <c:v>-198.103069</c:v>
                </c:pt>
                <c:pt idx="3531">
                  <c:v>-197.94509200000002</c:v>
                </c:pt>
                <c:pt idx="3532">
                  <c:v>-197.787115</c:v>
                </c:pt>
                <c:pt idx="3533">
                  <c:v>-197.62923899999998</c:v>
                </c:pt>
                <c:pt idx="3534">
                  <c:v>-197.471363</c:v>
                </c:pt>
                <c:pt idx="3535">
                  <c:v>-197.313388</c:v>
                </c:pt>
                <c:pt idx="3536">
                  <c:v>-197.15531299999998</c:v>
                </c:pt>
                <c:pt idx="3537">
                  <c:v>-196.99753800000002</c:v>
                </c:pt>
                <c:pt idx="3538">
                  <c:v>-196.839563</c:v>
                </c:pt>
                <c:pt idx="3539">
                  <c:v>-196.68168900000001</c:v>
                </c:pt>
                <c:pt idx="3540">
                  <c:v>-196.52371499999998</c:v>
                </c:pt>
                <c:pt idx="3541">
                  <c:v>-196.36584100000002</c:v>
                </c:pt>
                <c:pt idx="3542">
                  <c:v>-196.20776800000002</c:v>
                </c:pt>
                <c:pt idx="3543">
                  <c:v>-196.049995</c:v>
                </c:pt>
                <c:pt idx="3544">
                  <c:v>-195.89192200000002</c:v>
                </c:pt>
                <c:pt idx="3545">
                  <c:v>-195.733949</c:v>
                </c:pt>
                <c:pt idx="3546">
                  <c:v>-195.57607700000003</c:v>
                </c:pt>
                <c:pt idx="3547">
                  <c:v>-195.418105</c:v>
                </c:pt>
                <c:pt idx="3548">
                  <c:v>-195.26013400000002</c:v>
                </c:pt>
                <c:pt idx="3549">
                  <c:v>-195.10216200000002</c:v>
                </c:pt>
                <c:pt idx="3550">
                  <c:v>-194.94429100000002</c:v>
                </c:pt>
                <c:pt idx="3551">
                  <c:v>-194.78642099999999</c:v>
                </c:pt>
                <c:pt idx="3552">
                  <c:v>-194.62845000000002</c:v>
                </c:pt>
                <c:pt idx="3553">
                  <c:v>-194.47047999999998</c:v>
                </c:pt>
                <c:pt idx="3554">
                  <c:v>-194.31251100000003</c:v>
                </c:pt>
                <c:pt idx="3555">
                  <c:v>-194.154641</c:v>
                </c:pt>
                <c:pt idx="3556">
                  <c:v>-193.99677199999999</c:v>
                </c:pt>
                <c:pt idx="3557">
                  <c:v>-193.83880300000001</c:v>
                </c:pt>
                <c:pt idx="3558">
                  <c:v>-193.68073500000003</c:v>
                </c:pt>
                <c:pt idx="3559">
                  <c:v>-193.52286700000002</c:v>
                </c:pt>
                <c:pt idx="3560">
                  <c:v>-193.36489900000001</c:v>
                </c:pt>
                <c:pt idx="3561">
                  <c:v>-193.20693100000003</c:v>
                </c:pt>
                <c:pt idx="3562">
                  <c:v>-193.04906399999999</c:v>
                </c:pt>
                <c:pt idx="3563">
                  <c:v>-192.89119699999998</c:v>
                </c:pt>
                <c:pt idx="3564">
                  <c:v>-192.73313000000002</c:v>
                </c:pt>
                <c:pt idx="3565">
                  <c:v>-192.575264</c:v>
                </c:pt>
                <c:pt idx="3566">
                  <c:v>-192.41729799999999</c:v>
                </c:pt>
                <c:pt idx="3567">
                  <c:v>-192.259332</c:v>
                </c:pt>
                <c:pt idx="3568">
                  <c:v>-192.10156700000002</c:v>
                </c:pt>
                <c:pt idx="3569">
                  <c:v>-191.94340099999999</c:v>
                </c:pt>
                <c:pt idx="3570">
                  <c:v>-191.785437</c:v>
                </c:pt>
                <c:pt idx="3571">
                  <c:v>-191.62757200000001</c:v>
                </c:pt>
                <c:pt idx="3572">
                  <c:v>-191.469708</c:v>
                </c:pt>
                <c:pt idx="3573">
                  <c:v>-191.31174399999998</c:v>
                </c:pt>
                <c:pt idx="3574">
                  <c:v>-191.15388000000002</c:v>
                </c:pt>
                <c:pt idx="3575">
                  <c:v>-190.99581699999999</c:v>
                </c:pt>
                <c:pt idx="3576">
                  <c:v>-190.83795400000002</c:v>
                </c:pt>
                <c:pt idx="3577">
                  <c:v>-190.680091</c:v>
                </c:pt>
                <c:pt idx="3578">
                  <c:v>-190.52212900000001</c:v>
                </c:pt>
                <c:pt idx="3579">
                  <c:v>-190.36406699999998</c:v>
                </c:pt>
                <c:pt idx="3580">
                  <c:v>-190.20610500000004</c:v>
                </c:pt>
                <c:pt idx="3581">
                  <c:v>-190.04814399999998</c:v>
                </c:pt>
                <c:pt idx="3582">
                  <c:v>-189.89018200000001</c:v>
                </c:pt>
                <c:pt idx="3583">
                  <c:v>-189.73242200000001</c:v>
                </c:pt>
                <c:pt idx="3584">
                  <c:v>-189.57446100000001</c:v>
                </c:pt>
                <c:pt idx="3585">
                  <c:v>-189.41650100000001</c:v>
                </c:pt>
                <c:pt idx="3586">
                  <c:v>-189.25854100000001</c:v>
                </c:pt>
                <c:pt idx="3587">
                  <c:v>-189.10058100000001</c:v>
                </c:pt>
                <c:pt idx="3588">
                  <c:v>-188.94262200000003</c:v>
                </c:pt>
                <c:pt idx="3589">
                  <c:v>-188.78476300000003</c:v>
                </c:pt>
                <c:pt idx="3590">
                  <c:v>-188.62680399999999</c:v>
                </c:pt>
                <c:pt idx="3591">
                  <c:v>-188.46874600000001</c:v>
                </c:pt>
                <c:pt idx="3592">
                  <c:v>-188.31098800000001</c:v>
                </c:pt>
                <c:pt idx="3593">
                  <c:v>-188.15293000000003</c:v>
                </c:pt>
                <c:pt idx="3594">
                  <c:v>-187.99497200000002</c:v>
                </c:pt>
                <c:pt idx="3595">
                  <c:v>-187.83711499999998</c:v>
                </c:pt>
                <c:pt idx="3596">
                  <c:v>-187.67925799999998</c:v>
                </c:pt>
                <c:pt idx="3597">
                  <c:v>-187.52110200000001</c:v>
                </c:pt>
                <c:pt idx="3598">
                  <c:v>-187.36334500000001</c:v>
                </c:pt>
                <c:pt idx="3599">
                  <c:v>-187.205389</c:v>
                </c:pt>
                <c:pt idx="3600">
                  <c:v>-187.04743399999998</c:v>
                </c:pt>
                <c:pt idx="3601">
                  <c:v>-186.88947799999997</c:v>
                </c:pt>
                <c:pt idx="3602">
                  <c:v>-186.73152300000001</c:v>
                </c:pt>
                <c:pt idx="3603">
                  <c:v>-186.57356799999997</c:v>
                </c:pt>
                <c:pt idx="3604">
                  <c:v>-186.41561400000001</c:v>
                </c:pt>
                <c:pt idx="3605">
                  <c:v>-186.25775999999999</c:v>
                </c:pt>
                <c:pt idx="3606">
                  <c:v>-186.099806</c:v>
                </c:pt>
                <c:pt idx="3607">
                  <c:v>-185.94185300000001</c:v>
                </c:pt>
                <c:pt idx="3608">
                  <c:v>-185.78379900000002</c:v>
                </c:pt>
                <c:pt idx="3609">
                  <c:v>-185.625946</c:v>
                </c:pt>
                <c:pt idx="3610">
                  <c:v>-185.46809400000004</c:v>
                </c:pt>
                <c:pt idx="3611">
                  <c:v>-185.31004100000001</c:v>
                </c:pt>
                <c:pt idx="3612">
                  <c:v>-185.15218900000002</c:v>
                </c:pt>
                <c:pt idx="3613">
                  <c:v>-184.994238</c:v>
                </c:pt>
                <c:pt idx="3614">
                  <c:v>-184.836186</c:v>
                </c:pt>
                <c:pt idx="3615">
                  <c:v>-184.67833499999998</c:v>
                </c:pt>
                <c:pt idx="3616">
                  <c:v>-184.52048499999998</c:v>
                </c:pt>
                <c:pt idx="3617">
                  <c:v>-184.36253400000001</c:v>
                </c:pt>
                <c:pt idx="3618">
                  <c:v>-184.20458400000001</c:v>
                </c:pt>
                <c:pt idx="3619">
                  <c:v>-184.04663400000001</c:v>
                </c:pt>
                <c:pt idx="3620">
                  <c:v>-183.88858399999998</c:v>
                </c:pt>
                <c:pt idx="3621">
                  <c:v>-183.73073500000001</c:v>
                </c:pt>
                <c:pt idx="3622">
                  <c:v>-183.57278600000001</c:v>
                </c:pt>
                <c:pt idx="3623">
                  <c:v>-183.41493800000003</c:v>
                </c:pt>
                <c:pt idx="3624">
                  <c:v>-183.256889</c:v>
                </c:pt>
                <c:pt idx="3625">
                  <c:v>-183.09884100000002</c:v>
                </c:pt>
                <c:pt idx="3626">
                  <c:v>-182.94099399999999</c:v>
                </c:pt>
                <c:pt idx="3627">
                  <c:v>-182.78314600000004</c:v>
                </c:pt>
                <c:pt idx="3628">
                  <c:v>-182.62519900000001</c:v>
                </c:pt>
                <c:pt idx="3629">
                  <c:v>-182.467152</c:v>
                </c:pt>
                <c:pt idx="3630">
                  <c:v>-182.309406</c:v>
                </c:pt>
                <c:pt idx="3631">
                  <c:v>-182.15125999999998</c:v>
                </c:pt>
                <c:pt idx="3632">
                  <c:v>-181.993314</c:v>
                </c:pt>
                <c:pt idx="3633">
                  <c:v>-181.83556799999997</c:v>
                </c:pt>
                <c:pt idx="3634">
                  <c:v>-181.67742299999998</c:v>
                </c:pt>
                <c:pt idx="3635">
                  <c:v>-181.519578</c:v>
                </c:pt>
                <c:pt idx="3636">
                  <c:v>-181.36173300000002</c:v>
                </c:pt>
                <c:pt idx="3637">
                  <c:v>-181.203689</c:v>
                </c:pt>
                <c:pt idx="3638">
                  <c:v>-181.04574500000001</c:v>
                </c:pt>
                <c:pt idx="3639">
                  <c:v>-180.887801</c:v>
                </c:pt>
                <c:pt idx="3640">
                  <c:v>-180.72995800000001</c:v>
                </c:pt>
                <c:pt idx="3641">
                  <c:v>-180.57191399999999</c:v>
                </c:pt>
                <c:pt idx="3642">
                  <c:v>-180.414072</c:v>
                </c:pt>
                <c:pt idx="3643">
                  <c:v>-180.25602900000001</c:v>
                </c:pt>
                <c:pt idx="3644">
                  <c:v>-180.09798700000002</c:v>
                </c:pt>
                <c:pt idx="3645">
                  <c:v>-179.940245</c:v>
                </c:pt>
                <c:pt idx="3646">
                  <c:v>-179.78230300000001</c:v>
                </c:pt>
                <c:pt idx="3647">
                  <c:v>-179.62436199999996</c:v>
                </c:pt>
                <c:pt idx="3648">
                  <c:v>-179.46632099999997</c:v>
                </c:pt>
                <c:pt idx="3649">
                  <c:v>-179.30838</c:v>
                </c:pt>
                <c:pt idx="3650">
                  <c:v>-179.15043999999997</c:v>
                </c:pt>
                <c:pt idx="3651">
                  <c:v>-178.99260000000001</c:v>
                </c:pt>
                <c:pt idx="3652">
                  <c:v>-178.83465999999999</c:v>
                </c:pt>
                <c:pt idx="3653">
                  <c:v>-178.67662100000001</c:v>
                </c:pt>
                <c:pt idx="3654">
                  <c:v>-178.51868199999998</c:v>
                </c:pt>
                <c:pt idx="3655">
                  <c:v>-178.36084300000002</c:v>
                </c:pt>
                <c:pt idx="3656">
                  <c:v>-178.20270399999998</c:v>
                </c:pt>
                <c:pt idx="3657">
                  <c:v>-178.04496600000002</c:v>
                </c:pt>
                <c:pt idx="3658">
                  <c:v>-177.88702800000002</c:v>
                </c:pt>
                <c:pt idx="3659">
                  <c:v>-177.72899000000001</c:v>
                </c:pt>
                <c:pt idx="3660">
                  <c:v>-177.57105300000001</c:v>
                </c:pt>
                <c:pt idx="3661">
                  <c:v>-177.41311600000003</c:v>
                </c:pt>
                <c:pt idx="3662">
                  <c:v>-177.255179</c:v>
                </c:pt>
                <c:pt idx="3663">
                  <c:v>-177.09734299999997</c:v>
                </c:pt>
                <c:pt idx="3664">
                  <c:v>-176.93930699999999</c:v>
                </c:pt>
                <c:pt idx="3665">
                  <c:v>-176.78127099999998</c:v>
                </c:pt>
                <c:pt idx="3666">
                  <c:v>-176.623435</c:v>
                </c:pt>
                <c:pt idx="3667">
                  <c:v>-176.46559999999997</c:v>
                </c:pt>
                <c:pt idx="3668">
                  <c:v>-176.30746499999998</c:v>
                </c:pt>
                <c:pt idx="3669">
                  <c:v>-176.149631</c:v>
                </c:pt>
                <c:pt idx="3670">
                  <c:v>-175.99179699999999</c:v>
                </c:pt>
                <c:pt idx="3671">
                  <c:v>-175.83366299999997</c:v>
                </c:pt>
                <c:pt idx="3672">
                  <c:v>-175.67582900000002</c:v>
                </c:pt>
                <c:pt idx="3673">
                  <c:v>-175.51789600000001</c:v>
                </c:pt>
                <c:pt idx="3674">
                  <c:v>-175.35996300000002</c:v>
                </c:pt>
                <c:pt idx="3675">
                  <c:v>-175.20212999999998</c:v>
                </c:pt>
                <c:pt idx="3676">
                  <c:v>-175.04409700000002</c:v>
                </c:pt>
                <c:pt idx="3677">
                  <c:v>-174.88616500000001</c:v>
                </c:pt>
                <c:pt idx="3678">
                  <c:v>-174.72823299999999</c:v>
                </c:pt>
                <c:pt idx="3679">
                  <c:v>-174.57020200000002</c:v>
                </c:pt>
                <c:pt idx="3680">
                  <c:v>-174.41237100000001</c:v>
                </c:pt>
                <c:pt idx="3681">
                  <c:v>-174.25444000000005</c:v>
                </c:pt>
                <c:pt idx="3682">
                  <c:v>-174.096609</c:v>
                </c:pt>
                <c:pt idx="3683">
                  <c:v>-173.938479</c:v>
                </c:pt>
                <c:pt idx="3684">
                  <c:v>-173.78054900000001</c:v>
                </c:pt>
                <c:pt idx="3685">
                  <c:v>-173.62271900000002</c:v>
                </c:pt>
                <c:pt idx="3686">
                  <c:v>-173.46468999999999</c:v>
                </c:pt>
                <c:pt idx="3687">
                  <c:v>-173.30676099999999</c:v>
                </c:pt>
                <c:pt idx="3688">
                  <c:v>-173.148832</c:v>
                </c:pt>
                <c:pt idx="3689">
                  <c:v>-172.990904</c:v>
                </c:pt>
                <c:pt idx="3690">
                  <c:v>-172.832975</c:v>
                </c:pt>
                <c:pt idx="3691">
                  <c:v>-172.674948</c:v>
                </c:pt>
                <c:pt idx="3692">
                  <c:v>-172.51712000000001</c:v>
                </c:pt>
                <c:pt idx="3693">
                  <c:v>-172.35919299999998</c:v>
                </c:pt>
                <c:pt idx="3694">
                  <c:v>-172.201166</c:v>
                </c:pt>
                <c:pt idx="3695">
                  <c:v>-172.043239</c:v>
                </c:pt>
                <c:pt idx="3696">
                  <c:v>-171.88531300000002</c:v>
                </c:pt>
                <c:pt idx="3697">
                  <c:v>-171.72728699999999</c:v>
                </c:pt>
                <c:pt idx="3698">
                  <c:v>-171.56956100000002</c:v>
                </c:pt>
                <c:pt idx="3699">
                  <c:v>-171.41143600000004</c:v>
                </c:pt>
                <c:pt idx="3700">
                  <c:v>-171.253511</c:v>
                </c:pt>
                <c:pt idx="3701">
                  <c:v>-171.09568599999997</c:v>
                </c:pt>
                <c:pt idx="3702">
                  <c:v>-170.93756099999999</c:v>
                </c:pt>
                <c:pt idx="3703">
                  <c:v>-170.77963700000001</c:v>
                </c:pt>
                <c:pt idx="3704">
                  <c:v>-170.62191299999998</c:v>
                </c:pt>
                <c:pt idx="3705">
                  <c:v>-170.46388999999999</c:v>
                </c:pt>
                <c:pt idx="3706">
                  <c:v>-170.30596699999998</c:v>
                </c:pt>
                <c:pt idx="3707">
                  <c:v>-170.148044</c:v>
                </c:pt>
                <c:pt idx="3708">
                  <c:v>-169.99002099999998</c:v>
                </c:pt>
                <c:pt idx="3709">
                  <c:v>-169.832199</c:v>
                </c:pt>
                <c:pt idx="3710">
                  <c:v>-169.67417699999999</c:v>
                </c:pt>
                <c:pt idx="3711">
                  <c:v>-169.51625500000003</c:v>
                </c:pt>
                <c:pt idx="3712">
                  <c:v>-169.35833300000002</c:v>
                </c:pt>
                <c:pt idx="3713">
                  <c:v>-169.20031200000003</c:v>
                </c:pt>
                <c:pt idx="3714">
                  <c:v>-169.04239100000001</c:v>
                </c:pt>
                <c:pt idx="3715">
                  <c:v>-168.88447099999999</c:v>
                </c:pt>
                <c:pt idx="3716">
                  <c:v>-168.726551</c:v>
                </c:pt>
                <c:pt idx="3717">
                  <c:v>-168.56863100000001</c:v>
                </c:pt>
                <c:pt idx="3718">
                  <c:v>-168.41061100000002</c:v>
                </c:pt>
                <c:pt idx="3719">
                  <c:v>-168.25269200000002</c:v>
                </c:pt>
                <c:pt idx="3720">
                  <c:v>-168.094773</c:v>
                </c:pt>
                <c:pt idx="3721">
                  <c:v>-167.93685399999998</c:v>
                </c:pt>
                <c:pt idx="3722">
                  <c:v>-167.77893599999999</c:v>
                </c:pt>
                <c:pt idx="3723">
                  <c:v>-167.62091799999999</c:v>
                </c:pt>
                <c:pt idx="3724">
                  <c:v>-167.46300000000002</c:v>
                </c:pt>
                <c:pt idx="3725">
                  <c:v>-167.30508299999997</c:v>
                </c:pt>
                <c:pt idx="3726">
                  <c:v>-167.147066</c:v>
                </c:pt>
                <c:pt idx="3727">
                  <c:v>-166.989249</c:v>
                </c:pt>
                <c:pt idx="3728">
                  <c:v>-166.831232</c:v>
                </c:pt>
                <c:pt idx="3729">
                  <c:v>-166.673316</c:v>
                </c:pt>
                <c:pt idx="3730">
                  <c:v>-166.51540000000003</c:v>
                </c:pt>
                <c:pt idx="3731">
                  <c:v>-166.357384</c:v>
                </c:pt>
                <c:pt idx="3732">
                  <c:v>-166.199569</c:v>
                </c:pt>
                <c:pt idx="3733">
                  <c:v>-166.04155400000002</c:v>
                </c:pt>
                <c:pt idx="3734">
                  <c:v>-165.88353899999998</c:v>
                </c:pt>
                <c:pt idx="3735">
                  <c:v>-165.72582500000001</c:v>
                </c:pt>
                <c:pt idx="3736">
                  <c:v>-165.567711</c:v>
                </c:pt>
                <c:pt idx="3737">
                  <c:v>-165.40969699999999</c:v>
                </c:pt>
                <c:pt idx="3738">
                  <c:v>-165.25188400000002</c:v>
                </c:pt>
                <c:pt idx="3739">
                  <c:v>-165.09397100000001</c:v>
                </c:pt>
                <c:pt idx="3740">
                  <c:v>-164.93595799999997</c:v>
                </c:pt>
                <c:pt idx="3741">
                  <c:v>-164.77814499999999</c:v>
                </c:pt>
                <c:pt idx="3742">
                  <c:v>-164.62003300000001</c:v>
                </c:pt>
                <c:pt idx="3743">
                  <c:v>-164.46202099999999</c:v>
                </c:pt>
                <c:pt idx="3744">
                  <c:v>-164.30430899999999</c:v>
                </c:pt>
                <c:pt idx="3745">
                  <c:v>-164.14629799999997</c:v>
                </c:pt>
                <c:pt idx="3746">
                  <c:v>-163.98828699999999</c:v>
                </c:pt>
                <c:pt idx="3747">
                  <c:v>-163.83057600000001</c:v>
                </c:pt>
                <c:pt idx="3748">
                  <c:v>-163.67246599999999</c:v>
                </c:pt>
                <c:pt idx="3749">
                  <c:v>-163.514456</c:v>
                </c:pt>
                <c:pt idx="3750">
                  <c:v>-163.35664599999998</c:v>
                </c:pt>
                <c:pt idx="3751">
                  <c:v>-163.19863599999999</c:v>
                </c:pt>
                <c:pt idx="3752">
                  <c:v>-163.040727</c:v>
                </c:pt>
                <c:pt idx="3753">
                  <c:v>-162.88281800000001</c:v>
                </c:pt>
                <c:pt idx="3754">
                  <c:v>-162.72490999999999</c:v>
                </c:pt>
                <c:pt idx="3755">
                  <c:v>-162.566801</c:v>
                </c:pt>
                <c:pt idx="3756">
                  <c:v>-162.40899300000004</c:v>
                </c:pt>
                <c:pt idx="3757">
                  <c:v>-162.25108600000002</c:v>
                </c:pt>
                <c:pt idx="3758">
                  <c:v>-162.09307800000002</c:v>
                </c:pt>
                <c:pt idx="3759">
                  <c:v>-161.935271</c:v>
                </c:pt>
                <c:pt idx="3760">
                  <c:v>-161.77716500000002</c:v>
                </c:pt>
                <c:pt idx="3761">
                  <c:v>-161.619258</c:v>
                </c:pt>
                <c:pt idx="3762">
                  <c:v>-161.461252</c:v>
                </c:pt>
                <c:pt idx="3763">
                  <c:v>-161.30334599999998</c:v>
                </c:pt>
                <c:pt idx="3764">
                  <c:v>-161.14554099999998</c:v>
                </c:pt>
                <c:pt idx="3765">
                  <c:v>-160.98753600000001</c:v>
                </c:pt>
                <c:pt idx="3766">
                  <c:v>-160.82963099999998</c:v>
                </c:pt>
                <c:pt idx="3767">
                  <c:v>-160.671526</c:v>
                </c:pt>
                <c:pt idx="3768">
                  <c:v>-160.513722</c:v>
                </c:pt>
                <c:pt idx="3769">
                  <c:v>-160.35561800000002</c:v>
                </c:pt>
                <c:pt idx="3770">
                  <c:v>-160.19781399999999</c:v>
                </c:pt>
                <c:pt idx="3771">
                  <c:v>-160.04001100000002</c:v>
                </c:pt>
                <c:pt idx="3772">
                  <c:v>-159.88190800000001</c:v>
                </c:pt>
                <c:pt idx="3773">
                  <c:v>-159.72400500000001</c:v>
                </c:pt>
                <c:pt idx="3774">
                  <c:v>-159.56590199999999</c:v>
                </c:pt>
                <c:pt idx="3775">
                  <c:v>-159.40820000000002</c:v>
                </c:pt>
                <c:pt idx="3776">
                  <c:v>-159.25009800000001</c:v>
                </c:pt>
                <c:pt idx="3777">
                  <c:v>-159.092197</c:v>
                </c:pt>
                <c:pt idx="3778">
                  <c:v>-158.93449600000002</c:v>
                </c:pt>
                <c:pt idx="3779">
                  <c:v>-158.776295</c:v>
                </c:pt>
                <c:pt idx="3780">
                  <c:v>-158.618394</c:v>
                </c:pt>
                <c:pt idx="3781">
                  <c:v>-158.46049399999998</c:v>
                </c:pt>
                <c:pt idx="3782">
                  <c:v>-158.302594</c:v>
                </c:pt>
                <c:pt idx="3783">
                  <c:v>-158.14449399999998</c:v>
                </c:pt>
                <c:pt idx="3784">
                  <c:v>-157.986795</c:v>
                </c:pt>
                <c:pt idx="3785">
                  <c:v>-157.82859599999998</c:v>
                </c:pt>
                <c:pt idx="3786">
                  <c:v>-157.67069699999999</c:v>
                </c:pt>
                <c:pt idx="3787">
                  <c:v>-157.51289799999998</c:v>
                </c:pt>
                <c:pt idx="3788">
                  <c:v>-157.35490000000001</c:v>
                </c:pt>
                <c:pt idx="3789">
                  <c:v>-157.197002</c:v>
                </c:pt>
                <c:pt idx="3790">
                  <c:v>-157.039005</c:v>
                </c:pt>
                <c:pt idx="3791">
                  <c:v>-156.88110699999999</c:v>
                </c:pt>
                <c:pt idx="3792">
                  <c:v>-156.72310999999996</c:v>
                </c:pt>
                <c:pt idx="3793">
                  <c:v>-156.565214</c:v>
                </c:pt>
                <c:pt idx="3794">
                  <c:v>-156.40717699999999</c:v>
                </c:pt>
                <c:pt idx="3795">
                  <c:v>-156.24941100000001</c:v>
                </c:pt>
                <c:pt idx="3796">
                  <c:v>-156.09134600000002</c:v>
                </c:pt>
                <c:pt idx="3797">
                  <c:v>-155.93348</c:v>
                </c:pt>
                <c:pt idx="3798">
                  <c:v>-155.77551500000001</c:v>
                </c:pt>
                <c:pt idx="3799">
                  <c:v>-155.61755000000002</c:v>
                </c:pt>
                <c:pt idx="3800">
                  <c:v>-155.459586</c:v>
                </c:pt>
                <c:pt idx="3801">
                  <c:v>-155.30172199999998</c:v>
                </c:pt>
                <c:pt idx="3802">
                  <c:v>-155.14374799999999</c:v>
                </c:pt>
                <c:pt idx="3803">
                  <c:v>-154.98578399999997</c:v>
                </c:pt>
                <c:pt idx="3804">
                  <c:v>-154.82792099999998</c:v>
                </c:pt>
                <c:pt idx="3805">
                  <c:v>-154.66985800000003</c:v>
                </c:pt>
                <c:pt idx="3806">
                  <c:v>-154.51199499999998</c:v>
                </c:pt>
                <c:pt idx="3807">
                  <c:v>-154.35403299999999</c:v>
                </c:pt>
                <c:pt idx="3808">
                  <c:v>-154.19617100000002</c:v>
                </c:pt>
                <c:pt idx="3809">
                  <c:v>-154.03820899999999</c:v>
                </c:pt>
                <c:pt idx="3810">
                  <c:v>-153.88023800000002</c:v>
                </c:pt>
                <c:pt idx="3811">
                  <c:v>-153.72217600000002</c:v>
                </c:pt>
                <c:pt idx="3812">
                  <c:v>-153.56441599999999</c:v>
                </c:pt>
                <c:pt idx="3813">
                  <c:v>-153.40645499999999</c:v>
                </c:pt>
                <c:pt idx="3814">
                  <c:v>-153.24849500000002</c:v>
                </c:pt>
                <c:pt idx="3815">
                  <c:v>-153.09063499999999</c:v>
                </c:pt>
                <c:pt idx="3816">
                  <c:v>-152.93256499999998</c:v>
                </c:pt>
                <c:pt idx="3817">
                  <c:v>-152.77460600000003</c:v>
                </c:pt>
                <c:pt idx="3818">
                  <c:v>-152.616747</c:v>
                </c:pt>
                <c:pt idx="3819">
                  <c:v>-152.458788</c:v>
                </c:pt>
                <c:pt idx="3820">
                  <c:v>-152.30083000000002</c:v>
                </c:pt>
                <c:pt idx="3821">
                  <c:v>-152.14296200000001</c:v>
                </c:pt>
                <c:pt idx="3822">
                  <c:v>-151.985004</c:v>
                </c:pt>
                <c:pt idx="3823">
                  <c:v>-151.82704699999999</c:v>
                </c:pt>
                <c:pt idx="3824">
                  <c:v>-151.66898899999998</c:v>
                </c:pt>
                <c:pt idx="3825">
                  <c:v>-151.511123</c:v>
                </c:pt>
                <c:pt idx="3826">
                  <c:v>-151.35316599999999</c:v>
                </c:pt>
                <c:pt idx="3827">
                  <c:v>-151.19531000000001</c:v>
                </c:pt>
                <c:pt idx="3828">
                  <c:v>-151.03724399999999</c:v>
                </c:pt>
                <c:pt idx="3829">
                  <c:v>-150.87938800000001</c:v>
                </c:pt>
                <c:pt idx="3830">
                  <c:v>-150.72133300000002</c:v>
                </c:pt>
                <c:pt idx="3831">
                  <c:v>-150.56347799999998</c:v>
                </c:pt>
                <c:pt idx="3832">
                  <c:v>-150.40551299999998</c:v>
                </c:pt>
                <c:pt idx="3833">
                  <c:v>-150.247659</c:v>
                </c:pt>
                <c:pt idx="3834">
                  <c:v>-150.08960499999998</c:v>
                </c:pt>
                <c:pt idx="3835">
                  <c:v>-149.93174099999999</c:v>
                </c:pt>
                <c:pt idx="3836">
                  <c:v>-149.773687</c:v>
                </c:pt>
                <c:pt idx="3837">
                  <c:v>-149.61593399999998</c:v>
                </c:pt>
                <c:pt idx="3838">
                  <c:v>-149.45787099999998</c:v>
                </c:pt>
                <c:pt idx="3839">
                  <c:v>-149.30001899999999</c:v>
                </c:pt>
                <c:pt idx="3840">
                  <c:v>-149.142056</c:v>
                </c:pt>
                <c:pt idx="3841">
                  <c:v>-148.984105</c:v>
                </c:pt>
                <c:pt idx="3842">
                  <c:v>-148.826053</c:v>
                </c:pt>
                <c:pt idx="3843">
                  <c:v>-148.668192</c:v>
                </c:pt>
                <c:pt idx="3844">
                  <c:v>-148.51024000000001</c:v>
                </c:pt>
                <c:pt idx="3845">
                  <c:v>-148.35228000000001</c:v>
                </c:pt>
                <c:pt idx="3846">
                  <c:v>-148.19442900000001</c:v>
                </c:pt>
                <c:pt idx="3847">
                  <c:v>-148.03647899999999</c:v>
                </c:pt>
                <c:pt idx="3848">
                  <c:v>-147.87841899999998</c:v>
                </c:pt>
                <c:pt idx="3849">
                  <c:v>-147.72057000000001</c:v>
                </c:pt>
                <c:pt idx="3850">
                  <c:v>-147.562511</c:v>
                </c:pt>
                <c:pt idx="3851">
                  <c:v>-147.40476200000001</c:v>
                </c:pt>
                <c:pt idx="3852">
                  <c:v>-147.246703</c:v>
                </c:pt>
                <c:pt idx="3853">
                  <c:v>-147.08885500000002</c:v>
                </c:pt>
                <c:pt idx="3854">
                  <c:v>-146.93089699999999</c:v>
                </c:pt>
                <c:pt idx="3855">
                  <c:v>-146.77294900000001</c:v>
                </c:pt>
                <c:pt idx="3856">
                  <c:v>-146.614892</c:v>
                </c:pt>
                <c:pt idx="3857">
                  <c:v>-146.45714500000003</c:v>
                </c:pt>
                <c:pt idx="3858">
                  <c:v>-146.29908800000001</c:v>
                </c:pt>
                <c:pt idx="3859">
                  <c:v>-146.141142</c:v>
                </c:pt>
                <c:pt idx="3860">
                  <c:v>-145.983285</c:v>
                </c:pt>
                <c:pt idx="3861">
                  <c:v>-145.82523999999998</c:v>
                </c:pt>
                <c:pt idx="3862">
                  <c:v>-145.667284</c:v>
                </c:pt>
                <c:pt idx="3863">
                  <c:v>-145.50943899999999</c:v>
                </c:pt>
                <c:pt idx="3864">
                  <c:v>-145.35138400000002</c:v>
                </c:pt>
                <c:pt idx="3865">
                  <c:v>-145.19363899999999</c:v>
                </c:pt>
                <c:pt idx="3866">
                  <c:v>-145.035585</c:v>
                </c:pt>
                <c:pt idx="3867">
                  <c:v>-144.87773099999998</c:v>
                </c:pt>
                <c:pt idx="3868">
                  <c:v>-144.71968699999999</c:v>
                </c:pt>
                <c:pt idx="3869">
                  <c:v>-144.561834</c:v>
                </c:pt>
                <c:pt idx="3870">
                  <c:v>-144.40379100000001</c:v>
                </c:pt>
                <c:pt idx="3871">
                  <c:v>-144.24583799999999</c:v>
                </c:pt>
                <c:pt idx="3872">
                  <c:v>-144.08798599999997</c:v>
                </c:pt>
                <c:pt idx="3873">
                  <c:v>-143.92994300000001</c:v>
                </c:pt>
                <c:pt idx="3874">
                  <c:v>-143.77209199999999</c:v>
                </c:pt>
                <c:pt idx="3875">
                  <c:v>-143.61404000000002</c:v>
                </c:pt>
                <c:pt idx="3876">
                  <c:v>-143.456199</c:v>
                </c:pt>
                <c:pt idx="3877">
                  <c:v>-143.298248</c:v>
                </c:pt>
                <c:pt idx="3878">
                  <c:v>-143.140297</c:v>
                </c:pt>
                <c:pt idx="3879">
                  <c:v>-142.98245700000001</c:v>
                </c:pt>
                <c:pt idx="3880">
                  <c:v>-142.82450699999998</c:v>
                </c:pt>
                <c:pt idx="3881">
                  <c:v>-142.666357</c:v>
                </c:pt>
                <c:pt idx="3882">
                  <c:v>-142.50861800000001</c:v>
                </c:pt>
                <c:pt idx="3883">
                  <c:v>-142.35056900000001</c:v>
                </c:pt>
                <c:pt idx="3884">
                  <c:v>-142.19262000000001</c:v>
                </c:pt>
                <c:pt idx="3885">
                  <c:v>-142.03478099999998</c:v>
                </c:pt>
                <c:pt idx="3886">
                  <c:v>-141.87673300000003</c:v>
                </c:pt>
                <c:pt idx="3887">
                  <c:v>-141.718785</c:v>
                </c:pt>
                <c:pt idx="3888">
                  <c:v>-141.56083799999999</c:v>
                </c:pt>
                <c:pt idx="3889">
                  <c:v>-141.40289999999999</c:v>
                </c:pt>
                <c:pt idx="3890">
                  <c:v>-141.24505299999998</c:v>
                </c:pt>
                <c:pt idx="3891">
                  <c:v>-141.08710699999997</c:v>
                </c:pt>
                <c:pt idx="3892">
                  <c:v>-140.92916</c:v>
                </c:pt>
                <c:pt idx="3893">
                  <c:v>-140.77132399999999</c:v>
                </c:pt>
                <c:pt idx="3894">
                  <c:v>-140.613179</c:v>
                </c:pt>
                <c:pt idx="3895">
                  <c:v>-140.455333</c:v>
                </c:pt>
                <c:pt idx="3896">
                  <c:v>-140.29738800000001</c:v>
                </c:pt>
                <c:pt idx="3897">
                  <c:v>-140.139343</c:v>
                </c:pt>
                <c:pt idx="3898">
                  <c:v>-139.98149900000001</c:v>
                </c:pt>
                <c:pt idx="3899">
                  <c:v>-139.823565</c:v>
                </c:pt>
                <c:pt idx="3900">
                  <c:v>-139.66552100000001</c:v>
                </c:pt>
                <c:pt idx="3901">
                  <c:v>-139.507677</c:v>
                </c:pt>
                <c:pt idx="3902">
                  <c:v>-139.34973399999998</c:v>
                </c:pt>
                <c:pt idx="3903">
                  <c:v>-139.19179099999999</c:v>
                </c:pt>
                <c:pt idx="3904">
                  <c:v>-139.03394800000001</c:v>
                </c:pt>
                <c:pt idx="3905">
                  <c:v>-138.87591600000002</c:v>
                </c:pt>
                <c:pt idx="3906">
                  <c:v>-138.71797399999997</c:v>
                </c:pt>
                <c:pt idx="3907">
                  <c:v>-138.56003199999998</c:v>
                </c:pt>
                <c:pt idx="3908">
                  <c:v>-138.40199000000001</c:v>
                </c:pt>
                <c:pt idx="3909">
                  <c:v>-138.24414899999999</c:v>
                </c:pt>
                <c:pt idx="3910">
                  <c:v>-138.086208</c:v>
                </c:pt>
                <c:pt idx="3911">
                  <c:v>-137.928268</c:v>
                </c:pt>
                <c:pt idx="3912">
                  <c:v>-137.77042800000001</c:v>
                </c:pt>
                <c:pt idx="3913">
                  <c:v>-137.61238800000001</c:v>
                </c:pt>
                <c:pt idx="3914">
                  <c:v>-137.45434800000001</c:v>
                </c:pt>
                <c:pt idx="3915">
                  <c:v>-137.29650899999999</c:v>
                </c:pt>
                <c:pt idx="3916">
                  <c:v>-137.1385698</c:v>
                </c:pt>
                <c:pt idx="3917">
                  <c:v>-136.98053109999998</c:v>
                </c:pt>
                <c:pt idx="3918">
                  <c:v>-136.82279270000001</c:v>
                </c:pt>
                <c:pt idx="3919">
                  <c:v>-136.66475459999998</c:v>
                </c:pt>
                <c:pt idx="3920">
                  <c:v>-136.50671679999999</c:v>
                </c:pt>
                <c:pt idx="3921">
                  <c:v>-136.34887939999999</c:v>
                </c:pt>
                <c:pt idx="3922">
                  <c:v>-136.19084220000002</c:v>
                </c:pt>
                <c:pt idx="3923">
                  <c:v>-136.03300529999999</c:v>
                </c:pt>
                <c:pt idx="3924">
                  <c:v>-135.87506880000001</c:v>
                </c:pt>
                <c:pt idx="3925">
                  <c:v>-135.71713249999999</c:v>
                </c:pt>
                <c:pt idx="3926">
                  <c:v>-135.55919660000001</c:v>
                </c:pt>
                <c:pt idx="3927">
                  <c:v>-135.40126100000001</c:v>
                </c:pt>
                <c:pt idx="3928">
                  <c:v>-135.24322560000002</c:v>
                </c:pt>
                <c:pt idx="3929">
                  <c:v>-135.08529060000001</c:v>
                </c:pt>
                <c:pt idx="3930">
                  <c:v>-134.92735590000001</c:v>
                </c:pt>
                <c:pt idx="3931">
                  <c:v>-134.76942150000002</c:v>
                </c:pt>
                <c:pt idx="3932">
                  <c:v>-134.61158739999999</c:v>
                </c:pt>
                <c:pt idx="3933">
                  <c:v>-134.45355359999999</c:v>
                </c:pt>
                <c:pt idx="3934">
                  <c:v>-134.29562009999998</c:v>
                </c:pt>
                <c:pt idx="3935">
                  <c:v>-134.13768690000001</c:v>
                </c:pt>
                <c:pt idx="3936">
                  <c:v>-133.97965399999998</c:v>
                </c:pt>
                <c:pt idx="3937">
                  <c:v>-133.8219114</c:v>
                </c:pt>
                <c:pt idx="3938">
                  <c:v>-133.6638792</c:v>
                </c:pt>
                <c:pt idx="3939">
                  <c:v>-133.50584720000001</c:v>
                </c:pt>
                <c:pt idx="3940">
                  <c:v>-133.3479155</c:v>
                </c:pt>
                <c:pt idx="3941">
                  <c:v>-133.18998419999997</c:v>
                </c:pt>
                <c:pt idx="3942">
                  <c:v>-133.03215309999999</c:v>
                </c:pt>
                <c:pt idx="3943">
                  <c:v>-132.8741224</c:v>
                </c:pt>
                <c:pt idx="3944">
                  <c:v>-132.71628200000001</c:v>
                </c:pt>
                <c:pt idx="3945">
                  <c:v>-132.5583518</c:v>
                </c:pt>
                <c:pt idx="3946">
                  <c:v>-132.40032199999999</c:v>
                </c:pt>
                <c:pt idx="3947">
                  <c:v>-132.24229249999999</c:v>
                </c:pt>
                <c:pt idx="3948">
                  <c:v>-132.08446330000001</c:v>
                </c:pt>
                <c:pt idx="3949">
                  <c:v>-131.92652440000001</c:v>
                </c:pt>
                <c:pt idx="3950">
                  <c:v>-131.76849580000001</c:v>
                </c:pt>
                <c:pt idx="3951">
                  <c:v>-131.61066749999998</c:v>
                </c:pt>
                <c:pt idx="3952">
                  <c:v>-131.45273950000001</c:v>
                </c:pt>
                <c:pt idx="3953">
                  <c:v>-131.29481190000001</c:v>
                </c:pt>
                <c:pt idx="3954">
                  <c:v>-131.13677450000003</c:v>
                </c:pt>
                <c:pt idx="3955">
                  <c:v>-130.97884740000001</c:v>
                </c:pt>
                <c:pt idx="3956">
                  <c:v>-130.82092070000002</c:v>
                </c:pt>
                <c:pt idx="3957">
                  <c:v>-130.66298420000001</c:v>
                </c:pt>
                <c:pt idx="3958">
                  <c:v>-130.50495810000001</c:v>
                </c:pt>
                <c:pt idx="3959">
                  <c:v>-130.3471322</c:v>
                </c:pt>
                <c:pt idx="3960">
                  <c:v>-130.18920669999997</c:v>
                </c:pt>
                <c:pt idx="3961">
                  <c:v>-130.0310715</c:v>
                </c:pt>
                <c:pt idx="3962">
                  <c:v>-129.87334659999999</c:v>
                </c:pt>
                <c:pt idx="3963">
                  <c:v>-129.71532189999999</c:v>
                </c:pt>
                <c:pt idx="3964">
                  <c:v>-129.5573876</c:v>
                </c:pt>
                <c:pt idx="3965">
                  <c:v>-129.39946359999999</c:v>
                </c:pt>
                <c:pt idx="3966">
                  <c:v>-129.24153989999999</c:v>
                </c:pt>
                <c:pt idx="3967">
                  <c:v>-129.0836065</c:v>
                </c:pt>
                <c:pt idx="3968">
                  <c:v>-128.92558349999999</c:v>
                </c:pt>
                <c:pt idx="3969">
                  <c:v>-128.76756069999999</c:v>
                </c:pt>
                <c:pt idx="3970">
                  <c:v>-128.60982820000001</c:v>
                </c:pt>
                <c:pt idx="3971">
                  <c:v>-128.451806</c:v>
                </c:pt>
                <c:pt idx="3972">
                  <c:v>-128.29397419999998</c:v>
                </c:pt>
                <c:pt idx="3973">
                  <c:v>-128.1359526</c:v>
                </c:pt>
                <c:pt idx="3974">
                  <c:v>-127.9778314</c:v>
                </c:pt>
                <c:pt idx="3975">
                  <c:v>-127.82010039999999</c:v>
                </c:pt>
                <c:pt idx="3976">
                  <c:v>-127.6620798</c:v>
                </c:pt>
                <c:pt idx="3977">
                  <c:v>-127.50404949999998</c:v>
                </c:pt>
                <c:pt idx="3978">
                  <c:v>-127.34622949999999</c:v>
                </c:pt>
                <c:pt idx="3979">
                  <c:v>-127.18829980000001</c:v>
                </c:pt>
                <c:pt idx="3980">
                  <c:v>-127.03048029999999</c:v>
                </c:pt>
                <c:pt idx="3981">
                  <c:v>-126.8723612</c:v>
                </c:pt>
                <c:pt idx="3982">
                  <c:v>-126.71433240000002</c:v>
                </c:pt>
                <c:pt idx="3983">
                  <c:v>-126.556614</c:v>
                </c:pt>
                <c:pt idx="3984">
                  <c:v>-126.39858580000001</c:v>
                </c:pt>
                <c:pt idx="3985">
                  <c:v>-126.2405679</c:v>
                </c:pt>
                <c:pt idx="3986">
                  <c:v>-126.0827403</c:v>
                </c:pt>
                <c:pt idx="3987">
                  <c:v>-125.92472310000001</c:v>
                </c:pt>
                <c:pt idx="3988">
                  <c:v>-125.76669609999999</c:v>
                </c:pt>
                <c:pt idx="3989">
                  <c:v>-125.60887939999999</c:v>
                </c:pt>
                <c:pt idx="3990">
                  <c:v>-125.4508531</c:v>
                </c:pt>
                <c:pt idx="3991">
                  <c:v>-125.29303709999999</c:v>
                </c:pt>
                <c:pt idx="3992">
                  <c:v>-125.13501129999999</c:v>
                </c:pt>
                <c:pt idx="3993">
                  <c:v>-124.97708590000001</c:v>
                </c:pt>
                <c:pt idx="3994">
                  <c:v>-124.8192708</c:v>
                </c:pt>
                <c:pt idx="3995">
                  <c:v>-124.661146</c:v>
                </c:pt>
                <c:pt idx="3996">
                  <c:v>-124.50313150000001</c:v>
                </c:pt>
                <c:pt idx="3997">
                  <c:v>-124.3453073</c:v>
                </c:pt>
                <c:pt idx="3998">
                  <c:v>-124.1873934</c:v>
                </c:pt>
                <c:pt idx="3999">
                  <c:v>-124.0294698</c:v>
                </c:pt>
                <c:pt idx="4000">
                  <c:v>-123.87154649999999</c:v>
                </c:pt>
                <c:pt idx="4001">
                  <c:v>-123.71353350000001</c:v>
                </c:pt>
                <c:pt idx="4002">
                  <c:v>-123.55551080000001</c:v>
                </c:pt>
                <c:pt idx="4003">
                  <c:v>-123.39769849999998</c:v>
                </c:pt>
                <c:pt idx="4004">
                  <c:v>-123.2396754</c:v>
                </c:pt>
                <c:pt idx="4005">
                  <c:v>-123.0818577</c:v>
                </c:pt>
                <c:pt idx="4006">
                  <c:v>-122.9238402</c:v>
                </c:pt>
                <c:pt idx="4007">
                  <c:v>-122.7659221</c:v>
                </c:pt>
                <c:pt idx="4008">
                  <c:v>-122.6081042</c:v>
                </c:pt>
                <c:pt idx="4009">
                  <c:v>-122.44998769999999</c:v>
                </c:pt>
                <c:pt idx="4010">
                  <c:v>-122.29207049999999</c:v>
                </c:pt>
                <c:pt idx="4011">
                  <c:v>-122.1341536</c:v>
                </c:pt>
                <c:pt idx="4012">
                  <c:v>-121.97613700000001</c:v>
                </c:pt>
                <c:pt idx="4013">
                  <c:v>-121.81822070000001</c:v>
                </c:pt>
                <c:pt idx="4014">
                  <c:v>-121.66040469999999</c:v>
                </c:pt>
                <c:pt idx="4015">
                  <c:v>-121.502489</c:v>
                </c:pt>
                <c:pt idx="4016">
                  <c:v>-121.3443726</c:v>
                </c:pt>
                <c:pt idx="4017">
                  <c:v>-121.18645749999999</c:v>
                </c:pt>
                <c:pt idx="4018">
                  <c:v>-121.02854269999999</c:v>
                </c:pt>
                <c:pt idx="4019">
                  <c:v>-120.87052730000001</c:v>
                </c:pt>
                <c:pt idx="4020">
                  <c:v>-120.7127131</c:v>
                </c:pt>
                <c:pt idx="4021">
                  <c:v>-120.5547983</c:v>
                </c:pt>
                <c:pt idx="4022">
                  <c:v>-120.39678369999999</c:v>
                </c:pt>
                <c:pt idx="4023">
                  <c:v>-120.23886950000001</c:v>
                </c:pt>
                <c:pt idx="4024">
                  <c:v>-120.0808565</c:v>
                </c:pt>
                <c:pt idx="4025">
                  <c:v>-119.92284250000002</c:v>
                </c:pt>
                <c:pt idx="4026">
                  <c:v>-119.7651292</c:v>
                </c:pt>
                <c:pt idx="4027">
                  <c:v>-119.60711610999999</c:v>
                </c:pt>
                <c:pt idx="4028">
                  <c:v>-119.4491032</c:v>
                </c:pt>
                <c:pt idx="4029">
                  <c:v>-119.2912906</c:v>
                </c:pt>
                <c:pt idx="4030">
                  <c:v>-119.13317839999999</c:v>
                </c:pt>
                <c:pt idx="4031">
                  <c:v>-118.97516560000001</c:v>
                </c:pt>
                <c:pt idx="4032">
                  <c:v>-118.8173541</c:v>
                </c:pt>
                <c:pt idx="4033">
                  <c:v>-118.6594419</c:v>
                </c:pt>
                <c:pt idx="4034">
                  <c:v>-118.50153105999999</c:v>
                </c:pt>
                <c:pt idx="4035">
                  <c:v>-118.3436195</c:v>
                </c:pt>
                <c:pt idx="4036">
                  <c:v>-118.18560824000001</c:v>
                </c:pt>
                <c:pt idx="4037">
                  <c:v>-118.02759729</c:v>
                </c:pt>
                <c:pt idx="4038">
                  <c:v>-117.86968664000001</c:v>
                </c:pt>
                <c:pt idx="4039">
                  <c:v>-117.71167630000002</c:v>
                </c:pt>
                <c:pt idx="4040">
                  <c:v>-117.55386626999999</c:v>
                </c:pt>
                <c:pt idx="4041">
                  <c:v>-117.39585653999998</c:v>
                </c:pt>
                <c:pt idx="4042">
                  <c:v>-117.23804711999998</c:v>
                </c:pt>
                <c:pt idx="4043">
                  <c:v>-117.08003701</c:v>
                </c:pt>
                <c:pt idx="4044">
                  <c:v>-116.9220282</c:v>
                </c:pt>
                <c:pt idx="4045">
                  <c:v>-116.76411970000001</c:v>
                </c:pt>
                <c:pt idx="4046">
                  <c:v>-116.60611050999999</c:v>
                </c:pt>
                <c:pt idx="4047">
                  <c:v>-116.44820162300002</c:v>
                </c:pt>
                <c:pt idx="4048">
                  <c:v>-116.29039403999998</c:v>
                </c:pt>
                <c:pt idx="4049">
                  <c:v>-116.13238576000001</c:v>
                </c:pt>
                <c:pt idx="4050">
                  <c:v>-115.9744778</c:v>
                </c:pt>
                <c:pt idx="4051">
                  <c:v>-115.81657513</c:v>
                </c:pt>
                <c:pt idx="4052">
                  <c:v>-115.65846778</c:v>
                </c:pt>
                <c:pt idx="4053">
                  <c:v>-115.50055072999999</c:v>
                </c:pt>
                <c:pt idx="4054">
                  <c:v>-115.34254397999999</c:v>
                </c:pt>
                <c:pt idx="4055">
                  <c:v>-115.18473754</c:v>
                </c:pt>
                <c:pt idx="4056">
                  <c:v>-115.02673141000001</c:v>
                </c:pt>
                <c:pt idx="4057">
                  <c:v>-114.86882558999999</c:v>
                </c:pt>
                <c:pt idx="4058">
                  <c:v>-114.71102007</c:v>
                </c:pt>
                <c:pt idx="4059">
                  <c:v>-114.55291486</c:v>
                </c:pt>
                <c:pt idx="4060">
                  <c:v>-114.39491</c:v>
                </c:pt>
                <c:pt idx="4061">
                  <c:v>-114.2371054</c:v>
                </c:pt>
                <c:pt idx="4062">
                  <c:v>-114.0791011</c:v>
                </c:pt>
                <c:pt idx="4063">
                  <c:v>-113.9211971</c:v>
                </c:pt>
                <c:pt idx="4064">
                  <c:v>-113.76319340000001</c:v>
                </c:pt>
                <c:pt idx="4065">
                  <c:v>-113.60529</c:v>
                </c:pt>
                <c:pt idx="4066">
                  <c:v>-113.44728699999999</c:v>
                </c:pt>
                <c:pt idx="4067">
                  <c:v>-113.2892842</c:v>
                </c:pt>
                <c:pt idx="4068">
                  <c:v>-113.13147169999999</c:v>
                </c:pt>
                <c:pt idx="4069">
                  <c:v>-112.97356959999999</c:v>
                </c:pt>
                <c:pt idx="4070">
                  <c:v>-112.81556769999999</c:v>
                </c:pt>
                <c:pt idx="4071">
                  <c:v>-112.65766619999999</c:v>
                </c:pt>
                <c:pt idx="4072">
                  <c:v>-112.499765</c:v>
                </c:pt>
                <c:pt idx="4073">
                  <c:v>-112.34176410000001</c:v>
                </c:pt>
                <c:pt idx="4074">
                  <c:v>-112.1837634</c:v>
                </c:pt>
                <c:pt idx="4075">
                  <c:v>-112.02585309999999</c:v>
                </c:pt>
                <c:pt idx="4076">
                  <c:v>-111.8678531</c:v>
                </c:pt>
                <c:pt idx="4077">
                  <c:v>-111.7099534</c:v>
                </c:pt>
                <c:pt idx="4078">
                  <c:v>-111.55195400000002</c:v>
                </c:pt>
                <c:pt idx="4079">
                  <c:v>-111.394155</c:v>
                </c:pt>
                <c:pt idx="4080">
                  <c:v>-111.23614619999999</c:v>
                </c:pt>
                <c:pt idx="4081">
                  <c:v>-111.07804769999998</c:v>
                </c:pt>
                <c:pt idx="4082">
                  <c:v>-110.9203495</c:v>
                </c:pt>
                <c:pt idx="4083">
                  <c:v>-110.7623517</c:v>
                </c:pt>
                <c:pt idx="4084">
                  <c:v>-110.60434410000001</c:v>
                </c:pt>
                <c:pt idx="4085">
                  <c:v>-110.44644689999998</c:v>
                </c:pt>
                <c:pt idx="4086">
                  <c:v>-110.28854989999999</c:v>
                </c:pt>
                <c:pt idx="4087">
                  <c:v>-110.13065330000001</c:v>
                </c:pt>
                <c:pt idx="4088">
                  <c:v>-109.97254700000001</c:v>
                </c:pt>
                <c:pt idx="4089">
                  <c:v>-109.81385999999999</c:v>
                </c:pt>
                <c:pt idx="4090">
                  <c:v>-109.6544602</c:v>
                </c:pt>
                <c:pt idx="4091">
                  <c:v>-109.49496070000001</c:v>
                </c:pt>
                <c:pt idx="4092">
                  <c:v>-109.33546150000001</c:v>
                </c:pt>
                <c:pt idx="4093">
                  <c:v>-109.1760527</c:v>
                </c:pt>
                <c:pt idx="4094">
                  <c:v>-109.01675420000002</c:v>
                </c:pt>
                <c:pt idx="4095">
                  <c:v>-108.857156</c:v>
                </c:pt>
                <c:pt idx="4096">
                  <c:v>-108.69775820000001</c:v>
                </c:pt>
                <c:pt idx="4097">
                  <c:v>-108.53836070000001</c:v>
                </c:pt>
                <c:pt idx="4098">
                  <c:v>-108.37876360000001</c:v>
                </c:pt>
                <c:pt idx="4099">
                  <c:v>-108.2193568</c:v>
                </c:pt>
                <c:pt idx="4100">
                  <c:v>-108.06006040000001</c:v>
                </c:pt>
                <c:pt idx="4101">
                  <c:v>-107.9005643</c:v>
                </c:pt>
                <c:pt idx="4102">
                  <c:v>-107.74105849999999</c:v>
                </c:pt>
                <c:pt idx="4103">
                  <c:v>-107.58166299999999</c:v>
                </c:pt>
                <c:pt idx="4104">
                  <c:v>-107.42216789999999</c:v>
                </c:pt>
                <c:pt idx="4105">
                  <c:v>-107.26266320000001</c:v>
                </c:pt>
                <c:pt idx="4106">
                  <c:v>-107.10326880000001</c:v>
                </c:pt>
                <c:pt idx="4107">
                  <c:v>-106.94386469999999</c:v>
                </c:pt>
                <c:pt idx="4108">
                  <c:v>-106.78447100000001</c:v>
                </c:pt>
                <c:pt idx="4109">
                  <c:v>-106.6248676</c:v>
                </c:pt>
                <c:pt idx="4110">
                  <c:v>-106.46547450000003</c:v>
                </c:pt>
                <c:pt idx="4111">
                  <c:v>-106.30607180000001</c:v>
                </c:pt>
                <c:pt idx="4112">
                  <c:v>-106.14667940000001</c:v>
                </c:pt>
                <c:pt idx="4113">
                  <c:v>-105.98717739999999</c:v>
                </c:pt>
                <c:pt idx="4114">
                  <c:v>-105.82778569999999</c:v>
                </c:pt>
                <c:pt idx="4115">
                  <c:v>-105.66828430000001</c:v>
                </c:pt>
                <c:pt idx="4116">
                  <c:v>-105.50878329999999</c:v>
                </c:pt>
                <c:pt idx="4117">
                  <c:v>-105.3492926</c:v>
                </c:pt>
                <c:pt idx="4118">
                  <c:v>-105.18989230000001</c:v>
                </c:pt>
                <c:pt idx="4119">
                  <c:v>-105.0305923</c:v>
                </c:pt>
                <c:pt idx="4120">
                  <c:v>-104.87099259999998</c:v>
                </c:pt>
                <c:pt idx="4121">
                  <c:v>-104.71160329999999</c:v>
                </c:pt>
                <c:pt idx="4122">
                  <c:v>-104.55220439999999</c:v>
                </c:pt>
                <c:pt idx="4123">
                  <c:v>-104.39270569999999</c:v>
                </c:pt>
                <c:pt idx="4124">
                  <c:v>-104.2332074</c:v>
                </c:pt>
                <c:pt idx="4125">
                  <c:v>-104.07390950000001</c:v>
                </c:pt>
                <c:pt idx="4126">
                  <c:v>-103.91441180000001</c:v>
                </c:pt>
                <c:pt idx="4127">
                  <c:v>-103.75492460000001</c:v>
                </c:pt>
                <c:pt idx="4128">
                  <c:v>-103.59542759999999</c:v>
                </c:pt>
                <c:pt idx="4129">
                  <c:v>-103.43603100000001</c:v>
                </c:pt>
                <c:pt idx="4130">
                  <c:v>-103.2766348</c:v>
                </c:pt>
                <c:pt idx="4131">
                  <c:v>-103.11703879999999</c:v>
                </c:pt>
                <c:pt idx="4132">
                  <c:v>-102.9576433</c:v>
                </c:pt>
                <c:pt idx="4133">
                  <c:v>-102.798348</c:v>
                </c:pt>
                <c:pt idx="4134">
                  <c:v>-102.63885309999998</c:v>
                </c:pt>
                <c:pt idx="4135">
                  <c:v>-102.47934860000001</c:v>
                </c:pt>
                <c:pt idx="4136">
                  <c:v>-102.3198543</c:v>
                </c:pt>
                <c:pt idx="4137">
                  <c:v>-102.1604605</c:v>
                </c:pt>
                <c:pt idx="4138">
                  <c:v>-102.00096690000001</c:v>
                </c:pt>
                <c:pt idx="4139">
                  <c:v>-101.84147369999999</c:v>
                </c:pt>
                <c:pt idx="4140">
                  <c:v>-101.68218090000001</c:v>
                </c:pt>
                <c:pt idx="4141">
                  <c:v>-101.52267829999998</c:v>
                </c:pt>
                <c:pt idx="4142">
                  <c:v>-101.3631862</c:v>
                </c:pt>
                <c:pt idx="4143">
                  <c:v>-101.20379430000001</c:v>
                </c:pt>
                <c:pt idx="4144">
                  <c:v>-101.0443028</c:v>
                </c:pt>
                <c:pt idx="4145">
                  <c:v>-100.88490160000001</c:v>
                </c:pt>
                <c:pt idx="4146">
                  <c:v>-100.72541079999999</c:v>
                </c:pt>
                <c:pt idx="4147">
                  <c:v>-100.5659203</c:v>
                </c:pt>
                <c:pt idx="4148">
                  <c:v>-100.40662019999999</c:v>
                </c:pt>
                <c:pt idx="4149">
                  <c:v>-100.24703039999999</c:v>
                </c:pt>
                <c:pt idx="4150">
                  <c:v>-100.08763089999999</c:v>
                </c:pt>
                <c:pt idx="4151">
                  <c:v>-99.928241799999995</c:v>
                </c:pt>
                <c:pt idx="4152">
                  <c:v>-99.768743000000001</c:v>
                </c:pt>
                <c:pt idx="4153">
                  <c:v>-99.609254600000014</c:v>
                </c:pt>
                <c:pt idx="4154">
                  <c:v>-99.449756499999992</c:v>
                </c:pt>
                <c:pt idx="4155">
                  <c:v>-99.290368700000002</c:v>
                </c:pt>
                <c:pt idx="4156">
                  <c:v>-99.130971299999999</c:v>
                </c:pt>
                <c:pt idx="4157">
                  <c:v>-98.971484200000006</c:v>
                </c:pt>
                <c:pt idx="4158">
                  <c:v>-98.812087500000018</c:v>
                </c:pt>
                <c:pt idx="4159">
                  <c:v>-98.652591099999995</c:v>
                </c:pt>
                <c:pt idx="4160">
                  <c:v>-98.493105</c:v>
                </c:pt>
                <c:pt idx="4161">
                  <c:v>-98.333709299999995</c:v>
                </c:pt>
                <c:pt idx="4162">
                  <c:v>-98.174213900000012</c:v>
                </c:pt>
                <c:pt idx="4163">
                  <c:v>-98.014828800000004</c:v>
                </c:pt>
                <c:pt idx="4164">
                  <c:v>-97.855234100000018</c:v>
                </c:pt>
                <c:pt idx="4165">
                  <c:v>-97.695939800000005</c:v>
                </c:pt>
                <c:pt idx="4166">
                  <c:v>-97.536545799999999</c:v>
                </c:pt>
                <c:pt idx="4167">
                  <c:v>-97.377152099999989</c:v>
                </c:pt>
                <c:pt idx="4168">
                  <c:v>-97.21766869999999</c:v>
                </c:pt>
                <c:pt idx="4169">
                  <c:v>-97.058175699999993</c:v>
                </c:pt>
                <c:pt idx="4170">
                  <c:v>-96.898783000000009</c:v>
                </c:pt>
                <c:pt idx="4171">
                  <c:v>-96.739290699999998</c:v>
                </c:pt>
                <c:pt idx="4172">
                  <c:v>-96.579798699999998</c:v>
                </c:pt>
                <c:pt idx="4173">
                  <c:v>-96.420407100000006</c:v>
                </c:pt>
                <c:pt idx="4174">
                  <c:v>-96.260915800000006</c:v>
                </c:pt>
                <c:pt idx="4175">
                  <c:v>-96.10142479999999</c:v>
                </c:pt>
                <c:pt idx="4176">
                  <c:v>-95.942034199999995</c:v>
                </c:pt>
                <c:pt idx="4177">
                  <c:v>-95.782643900000011</c:v>
                </c:pt>
                <c:pt idx="4178">
                  <c:v>-95.623253999999989</c:v>
                </c:pt>
                <c:pt idx="4179">
                  <c:v>-95.463664400000013</c:v>
                </c:pt>
                <c:pt idx="4180">
                  <c:v>-95.304265099999981</c:v>
                </c:pt>
                <c:pt idx="4181">
                  <c:v>-95.144876199999999</c:v>
                </c:pt>
                <c:pt idx="4182">
                  <c:v>-94.985387599999996</c:v>
                </c:pt>
                <c:pt idx="4183">
                  <c:v>-94.825899299999989</c:v>
                </c:pt>
                <c:pt idx="4184">
                  <c:v>-94.666205699999992</c:v>
                </c:pt>
                <c:pt idx="4185">
                  <c:v>-94.504976199999987</c:v>
                </c:pt>
                <c:pt idx="4186">
                  <c:v>-94.343757199999999</c:v>
                </c:pt>
                <c:pt idx="4187">
                  <c:v>-94.182438500000004</c:v>
                </c:pt>
                <c:pt idx="4188">
                  <c:v>-94.021210199999999</c:v>
                </c:pt>
                <c:pt idx="4189">
                  <c:v>-93.859892300000013</c:v>
                </c:pt>
                <c:pt idx="4190">
                  <c:v>-93.698764800000006</c:v>
                </c:pt>
                <c:pt idx="4191">
                  <c:v>-93.537447700000001</c:v>
                </c:pt>
                <c:pt idx="4192">
                  <c:v>-93.376220899999993</c:v>
                </c:pt>
                <c:pt idx="4193">
                  <c:v>-93.214994499999989</c:v>
                </c:pt>
                <c:pt idx="4194">
                  <c:v>-93.053678500000004</c:v>
                </c:pt>
                <c:pt idx="4195">
                  <c:v>-92.892552899999998</c:v>
                </c:pt>
                <c:pt idx="4196">
                  <c:v>-92.731327699999994</c:v>
                </c:pt>
                <c:pt idx="4197">
                  <c:v>-92.57011279999999</c:v>
                </c:pt>
                <c:pt idx="4198">
                  <c:v>-92.408788299999998</c:v>
                </c:pt>
                <c:pt idx="4199">
                  <c:v>-92.247564199999999</c:v>
                </c:pt>
                <c:pt idx="4200">
                  <c:v>-92.086240500000002</c:v>
                </c:pt>
                <c:pt idx="4201">
                  <c:v>-91.925017100000005</c:v>
                </c:pt>
                <c:pt idx="4202">
                  <c:v>-91.763904200000013</c:v>
                </c:pt>
                <c:pt idx="4203">
                  <c:v>-91.602581600000008</c:v>
                </c:pt>
                <c:pt idx="4204">
                  <c:v>-91.44135940000001</c:v>
                </c:pt>
                <c:pt idx="4205">
                  <c:v>-91.2800376</c:v>
                </c:pt>
                <c:pt idx="4206">
                  <c:v>-91.118816099999989</c:v>
                </c:pt>
                <c:pt idx="4207">
                  <c:v>-90.957495100000003</c:v>
                </c:pt>
                <c:pt idx="4208">
                  <c:v>-90.796374400000005</c:v>
                </c:pt>
                <c:pt idx="4209">
                  <c:v>-90.635054099999991</c:v>
                </c:pt>
                <c:pt idx="4210">
                  <c:v>-90.473834100000005</c:v>
                </c:pt>
                <c:pt idx="4211">
                  <c:v>-90.3125146</c:v>
                </c:pt>
                <c:pt idx="4212">
                  <c:v>-90.151295400000009</c:v>
                </c:pt>
                <c:pt idx="4213">
                  <c:v>-89.990066599999992</c:v>
                </c:pt>
                <c:pt idx="4214">
                  <c:v>-89.828948199999985</c:v>
                </c:pt>
                <c:pt idx="4215">
                  <c:v>-89.667730199999994</c:v>
                </c:pt>
                <c:pt idx="4216">
                  <c:v>-89.506412600000004</c:v>
                </c:pt>
                <c:pt idx="4217">
                  <c:v>-89.345185299999997</c:v>
                </c:pt>
                <c:pt idx="4218">
                  <c:v>-89.183968399999998</c:v>
                </c:pt>
                <c:pt idx="4219">
                  <c:v>-89.022491799999997</c:v>
                </c:pt>
                <c:pt idx="4220">
                  <c:v>-88.860349799999995</c:v>
                </c:pt>
                <c:pt idx="4221">
                  <c:v>-88.698108200000007</c:v>
                </c:pt>
                <c:pt idx="4222">
                  <c:v>-88.536166899999998</c:v>
                </c:pt>
                <c:pt idx="4223">
                  <c:v>-88.373916000000008</c:v>
                </c:pt>
                <c:pt idx="4224">
                  <c:v>-88.211975600000002</c:v>
                </c:pt>
                <c:pt idx="4225">
                  <c:v>-88.049835499999986</c:v>
                </c:pt>
                <c:pt idx="4226">
                  <c:v>-87.887785800000003</c:v>
                </c:pt>
                <c:pt idx="4227">
                  <c:v>-87.725646600000005</c:v>
                </c:pt>
                <c:pt idx="4228">
                  <c:v>-87.563497699999999</c:v>
                </c:pt>
                <c:pt idx="4229">
                  <c:v>-87.401359299999996</c:v>
                </c:pt>
                <c:pt idx="4230">
                  <c:v>-87.239311200000003</c:v>
                </c:pt>
                <c:pt idx="4231">
                  <c:v>-87.077273500000004</c:v>
                </c:pt>
                <c:pt idx="4232">
                  <c:v>-86.915126299999983</c:v>
                </c:pt>
                <c:pt idx="4233">
                  <c:v>-86.753089400000007</c:v>
                </c:pt>
                <c:pt idx="4234">
                  <c:v>-86.590942999999996</c:v>
                </c:pt>
                <c:pt idx="4235">
                  <c:v>-86.428806899999998</c:v>
                </c:pt>
                <c:pt idx="4236">
                  <c:v>-86.266761299999985</c:v>
                </c:pt>
                <c:pt idx="4237">
                  <c:v>-86.104616000000021</c:v>
                </c:pt>
                <c:pt idx="4238">
                  <c:v>-85.942681199999996</c:v>
                </c:pt>
                <c:pt idx="4239">
                  <c:v>-85.780436699999996</c:v>
                </c:pt>
                <c:pt idx="4240">
                  <c:v>-85.618392700000001</c:v>
                </c:pt>
                <c:pt idx="4241">
                  <c:v>-85.456249030000009</c:v>
                </c:pt>
                <c:pt idx="4242">
                  <c:v>-85.294115790000006</c:v>
                </c:pt>
                <c:pt idx="4243">
                  <c:v>-85.13207294</c:v>
                </c:pt>
                <c:pt idx="4244">
                  <c:v>-84.970030500000007</c:v>
                </c:pt>
                <c:pt idx="4245">
                  <c:v>-84.80798845999999</c:v>
                </c:pt>
                <c:pt idx="4246">
                  <c:v>-84.645746810000006</c:v>
                </c:pt>
                <c:pt idx="4247">
                  <c:v>-84.48360556999998</c:v>
                </c:pt>
                <c:pt idx="4248">
                  <c:v>-84.321664729999995</c:v>
                </c:pt>
                <c:pt idx="4249">
                  <c:v>-84.159524289999993</c:v>
                </c:pt>
                <c:pt idx="4250">
                  <c:v>-83.997484249999999</c:v>
                </c:pt>
                <c:pt idx="4251">
                  <c:v>-83.835344620000001</c:v>
                </c:pt>
                <c:pt idx="4252">
                  <c:v>-83.673205380000013</c:v>
                </c:pt>
                <c:pt idx="4253">
                  <c:v>-83.511066540000002</c:v>
                </c:pt>
                <c:pt idx="4254">
                  <c:v>-83.349028109999992</c:v>
                </c:pt>
                <c:pt idx="4255">
                  <c:v>-83.186990070000007</c:v>
                </c:pt>
                <c:pt idx="4256">
                  <c:v>-83.024952439999993</c:v>
                </c:pt>
                <c:pt idx="4257">
                  <c:v>-82.860176131000003</c:v>
                </c:pt>
                <c:pt idx="4258">
                  <c:v>-82.694479989999991</c:v>
                </c:pt>
                <c:pt idx="4259">
                  <c:v>-82.528757069999997</c:v>
                </c:pt>
                <c:pt idx="4260">
                  <c:v>-82.36323462</c:v>
                </c:pt>
                <c:pt idx="4261">
                  <c:v>-82.197612599999999</c:v>
                </c:pt>
                <c:pt idx="4262">
                  <c:v>-82.031891099999982</c:v>
                </c:pt>
                <c:pt idx="4263">
                  <c:v>-81.866270100000023</c:v>
                </c:pt>
                <c:pt idx="4264">
                  <c:v>-81.700749500000015</c:v>
                </c:pt>
                <c:pt idx="4265">
                  <c:v>-81.535229399999992</c:v>
                </c:pt>
                <c:pt idx="4266">
                  <c:v>-81.369509800000003</c:v>
                </c:pt>
                <c:pt idx="4267">
                  <c:v>-81.203890600000008</c:v>
                </c:pt>
                <c:pt idx="4268">
                  <c:v>-81.038291900000004</c:v>
                </c:pt>
                <c:pt idx="4269">
                  <c:v>-80.872583700000007</c:v>
                </c:pt>
                <c:pt idx="4270">
                  <c:v>-80.70717590000001</c:v>
                </c:pt>
                <c:pt idx="4271">
                  <c:v>-80.54146870000001</c:v>
                </c:pt>
                <c:pt idx="4272">
                  <c:v>-80.37577180000001</c:v>
                </c:pt>
                <c:pt idx="4273">
                  <c:v>-80.210175499999991</c:v>
                </c:pt>
                <c:pt idx="4274">
                  <c:v>-80.044559599999985</c:v>
                </c:pt>
                <c:pt idx="4275">
                  <c:v>-79.879064199999988</c:v>
                </c:pt>
                <c:pt idx="4276">
                  <c:v>-79.71334929999999</c:v>
                </c:pt>
                <c:pt idx="4277">
                  <c:v>-79.547754799999993</c:v>
                </c:pt>
                <c:pt idx="4278">
                  <c:v>-79.382150800000005</c:v>
                </c:pt>
                <c:pt idx="4279">
                  <c:v>-79.216447299999999</c:v>
                </c:pt>
                <c:pt idx="4280">
                  <c:v>-79.050844300000009</c:v>
                </c:pt>
                <c:pt idx="4281">
                  <c:v>-78.885341699999984</c:v>
                </c:pt>
                <c:pt idx="4282">
                  <c:v>-78.71962959999999</c:v>
                </c:pt>
                <c:pt idx="4283">
                  <c:v>-78.554037899999997</c:v>
                </c:pt>
                <c:pt idx="4284">
                  <c:v>-78.388426799999991</c:v>
                </c:pt>
                <c:pt idx="4285">
                  <c:v>-78.222826099999992</c:v>
                </c:pt>
                <c:pt idx="4286">
                  <c:v>-78.057225799999998</c:v>
                </c:pt>
                <c:pt idx="4287">
                  <c:v>-77.891626099999996</c:v>
                </c:pt>
                <c:pt idx="4288">
                  <c:v>-77.726016799999996</c:v>
                </c:pt>
                <c:pt idx="4289">
                  <c:v>-77.560317999999995</c:v>
                </c:pt>
                <c:pt idx="4290">
                  <c:v>-77.394719600000016</c:v>
                </c:pt>
                <c:pt idx="4291">
                  <c:v>-77.22902169999999</c:v>
                </c:pt>
                <c:pt idx="4292">
                  <c:v>-77.063614000000001</c:v>
                </c:pt>
                <c:pt idx="4293">
                  <c:v>-76.897906999999989</c:v>
                </c:pt>
                <c:pt idx="4294">
                  <c:v>-76.732310999999996</c:v>
                </c:pt>
                <c:pt idx="4295">
                  <c:v>-76.566604999999996</c:v>
                </c:pt>
                <c:pt idx="4296">
                  <c:v>-76.401109000000005</c:v>
                </c:pt>
                <c:pt idx="4297">
                  <c:v>-76.235503999999992</c:v>
                </c:pt>
                <c:pt idx="4298">
                  <c:v>-76.069799999999987</c:v>
                </c:pt>
                <c:pt idx="4299">
                  <c:v>-75.904205999999988</c:v>
                </c:pt>
                <c:pt idx="4300">
                  <c:v>-75.738602</c:v>
                </c:pt>
                <c:pt idx="4301">
                  <c:v>-75.572989000000007</c:v>
                </c:pt>
                <c:pt idx="4302">
                  <c:v>-75.407296000000002</c:v>
                </c:pt>
                <c:pt idx="4303">
                  <c:v>-75.241793999999985</c:v>
                </c:pt>
                <c:pt idx="4304">
                  <c:v>-75.076192000000006</c:v>
                </c:pt>
                <c:pt idx="4305">
                  <c:v>-74.910590999999997</c:v>
                </c:pt>
                <c:pt idx="4306">
                  <c:v>-74.744890000000012</c:v>
                </c:pt>
                <c:pt idx="4307">
                  <c:v>-74.57929</c:v>
                </c:pt>
                <c:pt idx="4308">
                  <c:v>-74.413689999999988</c:v>
                </c:pt>
                <c:pt idx="4309">
                  <c:v>-74.248190000000008</c:v>
                </c:pt>
                <c:pt idx="4310">
                  <c:v>-74.082481000000001</c:v>
                </c:pt>
                <c:pt idx="4311">
                  <c:v>-73.916893000000002</c:v>
                </c:pt>
                <c:pt idx="4312">
                  <c:v>-73.751184999999992</c:v>
                </c:pt>
                <c:pt idx="4313">
                  <c:v>-73.585687000000007</c:v>
                </c:pt>
                <c:pt idx="4314">
                  <c:v>-73.41998000000001</c:v>
                </c:pt>
                <c:pt idx="4315">
                  <c:v>-73.254393999999991</c:v>
                </c:pt>
                <c:pt idx="4316">
                  <c:v>-73.088787999999994</c:v>
                </c:pt>
                <c:pt idx="4317">
                  <c:v>-72.923082000000008</c:v>
                </c:pt>
                <c:pt idx="4318">
                  <c:v>-72.757587000000001</c:v>
                </c:pt>
                <c:pt idx="4319">
                  <c:v>-72.591892000000016</c:v>
                </c:pt>
                <c:pt idx="4320">
                  <c:v>-72.426288</c:v>
                </c:pt>
                <c:pt idx="4321">
                  <c:v>-72.260683999999998</c:v>
                </c:pt>
                <c:pt idx="4322">
                  <c:v>-72.095090999999996</c:v>
                </c:pt>
                <c:pt idx="4323">
                  <c:v>-71.929487999999992</c:v>
                </c:pt>
                <c:pt idx="4324">
                  <c:v>-71.763894999999991</c:v>
                </c:pt>
                <c:pt idx="4325">
                  <c:v>-71.598193999999992</c:v>
                </c:pt>
                <c:pt idx="4326">
                  <c:v>-71.432592</c:v>
                </c:pt>
                <c:pt idx="4327">
                  <c:v>-71.266890999999987</c:v>
                </c:pt>
                <c:pt idx="4328">
                  <c:v>-71.101490999999996</c:v>
                </c:pt>
                <c:pt idx="4329">
                  <c:v>-70.935790999999995</c:v>
                </c:pt>
                <c:pt idx="4330">
                  <c:v>-70.770190999999997</c:v>
                </c:pt>
                <c:pt idx="4331">
                  <c:v>-70.604502000000011</c:v>
                </c:pt>
                <c:pt idx="4332">
                  <c:v>-70.438902999999996</c:v>
                </c:pt>
                <c:pt idx="4333">
                  <c:v>-70.273295000000005</c:v>
                </c:pt>
                <c:pt idx="4334">
                  <c:v>-70.107798000000003</c:v>
                </c:pt>
                <c:pt idx="4335">
                  <c:v>-69.942200000000014</c:v>
                </c:pt>
                <c:pt idx="4336">
                  <c:v>-69.776504000000017</c:v>
                </c:pt>
                <c:pt idx="4337">
                  <c:v>-69.610898000000006</c:v>
                </c:pt>
                <c:pt idx="4338">
                  <c:v>-69.445201999999995</c:v>
                </c:pt>
                <c:pt idx="4339">
                  <c:v>-69.279606000000001</c:v>
                </c:pt>
                <c:pt idx="4340">
                  <c:v>-69.113951999999998</c:v>
                </c:pt>
                <c:pt idx="4341">
                  <c:v>-68.948476999999997</c:v>
                </c:pt>
                <c:pt idx="4342">
                  <c:v>-68.782792999999984</c:v>
                </c:pt>
                <c:pt idx="4343">
                  <c:v>-68.61721</c:v>
                </c:pt>
                <c:pt idx="4344">
                  <c:v>-68.451537000000002</c:v>
                </c:pt>
                <c:pt idx="4345">
                  <c:v>-68.28595399999999</c:v>
                </c:pt>
                <c:pt idx="4346">
                  <c:v>-68.120261999999997</c:v>
                </c:pt>
                <c:pt idx="4347">
                  <c:v>-67.954680999999994</c:v>
                </c:pt>
                <c:pt idx="4348">
                  <c:v>-67.789199999999994</c:v>
                </c:pt>
                <c:pt idx="4349">
                  <c:v>-67.623519000000002</c:v>
                </c:pt>
                <c:pt idx="4350">
                  <c:v>-67.457938999999996</c:v>
                </c:pt>
                <c:pt idx="4351">
                  <c:v>-67.292248999999984</c:v>
                </c:pt>
                <c:pt idx="4352">
                  <c:v>-67.126650000000012</c:v>
                </c:pt>
                <c:pt idx="4353">
                  <c:v>-66.960971000000001</c:v>
                </c:pt>
                <c:pt idx="4354">
                  <c:v>-66.79539299999999</c:v>
                </c:pt>
                <c:pt idx="4355">
                  <c:v>-66.629805000000005</c:v>
                </c:pt>
                <c:pt idx="4356">
                  <c:v>-66.464218000000002</c:v>
                </c:pt>
                <c:pt idx="4357">
                  <c:v>-66.298631</c:v>
                </c:pt>
                <c:pt idx="4358">
                  <c:v>-66.132945000000007</c:v>
                </c:pt>
                <c:pt idx="4359">
                  <c:v>-65.967358999999988</c:v>
                </c:pt>
                <c:pt idx="4360">
                  <c:v>-65.801674000000006</c:v>
                </c:pt>
                <c:pt idx="4361">
                  <c:v>-65.636099000000002</c:v>
                </c:pt>
                <c:pt idx="4362">
                  <c:v>-65.470513999999994</c:v>
                </c:pt>
                <c:pt idx="4363">
                  <c:v>-65.304929999999999</c:v>
                </c:pt>
                <c:pt idx="4364">
                  <c:v>-65.139336000000014</c:v>
                </c:pt>
                <c:pt idx="4365">
                  <c:v>-64.973652999999999</c:v>
                </c:pt>
                <c:pt idx="4366">
                  <c:v>-64.808071000000012</c:v>
                </c:pt>
                <c:pt idx="4367">
                  <c:v>-64.642378999999991</c:v>
                </c:pt>
                <c:pt idx="4368">
                  <c:v>-64.476787000000002</c:v>
                </c:pt>
                <c:pt idx="4369">
                  <c:v>-64.311306000000002</c:v>
                </c:pt>
                <c:pt idx="4370">
                  <c:v>-64.145624999999995</c:v>
                </c:pt>
                <c:pt idx="4371">
                  <c:v>-63.980024999999991</c:v>
                </c:pt>
                <c:pt idx="4372">
                  <c:v>-63.814345000000003</c:v>
                </c:pt>
                <c:pt idx="4373">
                  <c:v>-63.648755999999992</c:v>
                </c:pt>
                <c:pt idx="4374">
                  <c:v>-63.483176999999998</c:v>
                </c:pt>
                <c:pt idx="4375">
                  <c:v>-63.317478000000001</c:v>
                </c:pt>
                <c:pt idx="4376">
                  <c:v>-63.151890000000002</c:v>
                </c:pt>
                <c:pt idx="4377">
                  <c:v>-62.986303000000007</c:v>
                </c:pt>
                <c:pt idx="4378">
                  <c:v>-62.820726000000008</c:v>
                </c:pt>
                <c:pt idx="4379">
                  <c:v>-62.655130000000007</c:v>
                </c:pt>
                <c:pt idx="4380">
                  <c:v>-62.489443999999999</c:v>
                </c:pt>
                <c:pt idx="4381">
                  <c:v>-62.323858000000016</c:v>
                </c:pt>
                <c:pt idx="4382">
                  <c:v>-62.158163000000002</c:v>
                </c:pt>
                <c:pt idx="4383">
                  <c:v>-61.992587999999998</c:v>
                </c:pt>
                <c:pt idx="4384">
                  <c:v>-61.826984000000003</c:v>
                </c:pt>
                <c:pt idx="4385">
                  <c:v>-61.6614</c:v>
                </c:pt>
                <c:pt idx="4386">
                  <c:v>-61.495151999999997</c:v>
                </c:pt>
                <c:pt idx="4387">
                  <c:v>-61.327586000000011</c:v>
                </c:pt>
                <c:pt idx="4388">
                  <c:v>-61.158540999999992</c:v>
                </c:pt>
                <c:pt idx="4389">
                  <c:v>-60.989396999999997</c:v>
                </c:pt>
                <c:pt idx="4390">
                  <c:v>-60.820353999999995</c:v>
                </c:pt>
                <c:pt idx="4391">
                  <c:v>-60.651300999999997</c:v>
                </c:pt>
                <c:pt idx="4392">
                  <c:v>-60.482157999999998</c:v>
                </c:pt>
                <c:pt idx="4393">
                  <c:v>-60.313106000000005</c:v>
                </c:pt>
                <c:pt idx="4394">
                  <c:v>-60.144064999999998</c:v>
                </c:pt>
                <c:pt idx="4395">
                  <c:v>-59.975024000000005</c:v>
                </c:pt>
                <c:pt idx="4396">
                  <c:v>-59.805873999999996</c:v>
                </c:pt>
                <c:pt idx="4397">
                  <c:v>-59.636835000000005</c:v>
                </c:pt>
                <c:pt idx="4398">
                  <c:v>-59.467786000000004</c:v>
                </c:pt>
                <c:pt idx="4399">
                  <c:v>-59.298636999999999</c:v>
                </c:pt>
                <c:pt idx="4400">
                  <c:v>-59.129588999999996</c:v>
                </c:pt>
                <c:pt idx="4401">
                  <c:v>-58.960551999999993</c:v>
                </c:pt>
                <c:pt idx="4402">
                  <c:v>-58.791504999999994</c:v>
                </c:pt>
                <c:pt idx="4403">
                  <c:v>-58.622469000000002</c:v>
                </c:pt>
                <c:pt idx="4404">
                  <c:v>-58.453324000000009</c:v>
                </c:pt>
                <c:pt idx="4405">
                  <c:v>-58.284269000000002</c:v>
                </c:pt>
                <c:pt idx="4406">
                  <c:v>-58.115225000000002</c:v>
                </c:pt>
                <c:pt idx="4407">
                  <c:v>-57.946081</c:v>
                </c:pt>
                <c:pt idx="4408">
                  <c:v>-57.777036999999993</c:v>
                </c:pt>
                <c:pt idx="4409">
                  <c:v>-57.607975000000003</c:v>
                </c:pt>
                <c:pt idx="4410">
                  <c:v>-57.438842999999999</c:v>
                </c:pt>
                <c:pt idx="4411">
                  <c:v>-57.269800999999994</c:v>
                </c:pt>
                <c:pt idx="4412">
                  <c:v>-57.100749999999998</c:v>
                </c:pt>
                <c:pt idx="4413">
                  <c:v>-56.931599999999996</c:v>
                </c:pt>
                <c:pt idx="4414">
                  <c:v>-56.762650000000001</c:v>
                </c:pt>
                <c:pt idx="4415">
                  <c:v>-56.593521000000003</c:v>
                </c:pt>
                <c:pt idx="4416">
                  <c:v>-56.424362000000002</c:v>
                </c:pt>
                <c:pt idx="4417">
                  <c:v>-56.255424000000005</c:v>
                </c:pt>
                <c:pt idx="4418">
                  <c:v>-56.086266999999992</c:v>
                </c:pt>
                <c:pt idx="4419">
                  <c:v>-55.917230000000004</c:v>
                </c:pt>
                <c:pt idx="4420">
                  <c:v>-55.748173999999992</c:v>
                </c:pt>
                <c:pt idx="4421">
                  <c:v>-55.579048</c:v>
                </c:pt>
                <c:pt idx="4422">
                  <c:v>-55.409992999999993</c:v>
                </c:pt>
                <c:pt idx="4423">
                  <c:v>-55.240937999999993</c:v>
                </c:pt>
                <c:pt idx="4424">
                  <c:v>-55.071794000000004</c:v>
                </c:pt>
                <c:pt idx="4425">
                  <c:v>-54.902761000000005</c:v>
                </c:pt>
                <c:pt idx="4426">
                  <c:v>-54.733708</c:v>
                </c:pt>
                <c:pt idx="4427">
                  <c:v>-54.564655000000002</c:v>
                </c:pt>
                <c:pt idx="4428">
                  <c:v>-54.395514000000006</c:v>
                </c:pt>
                <c:pt idx="4429">
                  <c:v>-54.226461999999998</c:v>
                </c:pt>
                <c:pt idx="4430">
                  <c:v>-54.05742200000001</c:v>
                </c:pt>
                <c:pt idx="4431">
                  <c:v>-53.888271999999994</c:v>
                </c:pt>
                <c:pt idx="4432">
                  <c:v>-53.719221999999995</c:v>
                </c:pt>
                <c:pt idx="4433">
                  <c:v>-53.550173999999998</c:v>
                </c:pt>
                <c:pt idx="4434">
                  <c:v>-53.381034999999997</c:v>
                </c:pt>
                <c:pt idx="4435">
                  <c:v>-53.212088000000001</c:v>
                </c:pt>
                <c:pt idx="4436">
                  <c:v>-53.042940000000002</c:v>
                </c:pt>
                <c:pt idx="4437">
                  <c:v>-52.873793999999997</c:v>
                </c:pt>
                <c:pt idx="4438">
                  <c:v>-52.704848000000005</c:v>
                </c:pt>
                <c:pt idx="4439">
                  <c:v>-52.535702000000001</c:v>
                </c:pt>
                <c:pt idx="4440">
                  <c:v>-52.366658000000001</c:v>
                </c:pt>
                <c:pt idx="4441">
                  <c:v>-52.197612999999997</c:v>
                </c:pt>
                <c:pt idx="4442">
                  <c:v>-52.028470000000013</c:v>
                </c:pt>
                <c:pt idx="4443">
                  <c:v>-51.859407000000004</c:v>
                </c:pt>
                <c:pt idx="4444">
                  <c:v>-51.690363999999995</c:v>
                </c:pt>
                <c:pt idx="4445">
                  <c:v>-51.521321999999998</c:v>
                </c:pt>
                <c:pt idx="4446">
                  <c:v>-51.352180999999995</c:v>
                </c:pt>
                <c:pt idx="4447">
                  <c:v>-51.183120000000002</c:v>
                </c:pt>
                <c:pt idx="4448">
                  <c:v>-51.014090000000003</c:v>
                </c:pt>
                <c:pt idx="4449">
                  <c:v>-50.844940000000001</c:v>
                </c:pt>
                <c:pt idx="4450">
                  <c:v>-50.675980999999993</c:v>
                </c:pt>
                <c:pt idx="4451">
                  <c:v>-50.506841999999999</c:v>
                </c:pt>
                <c:pt idx="4452">
                  <c:v>-50.337703999999995</c:v>
                </c:pt>
                <c:pt idx="4453">
                  <c:v>-50.168747000000003</c:v>
                </c:pt>
                <c:pt idx="4454">
                  <c:v>-49.999609999999997</c:v>
                </c:pt>
                <c:pt idx="4455">
                  <c:v>-49.830553999999999</c:v>
                </c:pt>
                <c:pt idx="4456">
                  <c:v>-49.661507999999998</c:v>
                </c:pt>
                <c:pt idx="4457">
                  <c:v>-49.492362999999997</c:v>
                </c:pt>
                <c:pt idx="4458">
                  <c:v>-49.323308999999995</c:v>
                </c:pt>
                <c:pt idx="4459">
                  <c:v>-49.154265000000009</c:v>
                </c:pt>
                <c:pt idx="4460">
                  <c:v>-48.985222</c:v>
                </c:pt>
                <c:pt idx="4461">
                  <c:v>-48.816079000000002</c:v>
                </c:pt>
                <c:pt idx="4462">
                  <c:v>-48.647027000000001</c:v>
                </c:pt>
                <c:pt idx="4463">
                  <c:v>-48.477974999999994</c:v>
                </c:pt>
                <c:pt idx="4464">
                  <c:v>-48.308824000000001</c:v>
                </c:pt>
                <c:pt idx="4465">
                  <c:v>-48.139784000000006</c:v>
                </c:pt>
                <c:pt idx="4466">
                  <c:v>-47.970734</c:v>
                </c:pt>
                <c:pt idx="4467">
                  <c:v>-47.801684000000002</c:v>
                </c:pt>
                <c:pt idx="4468">
                  <c:v>-47.632545999999998</c:v>
                </c:pt>
                <c:pt idx="4469">
                  <c:v>-47.463487999999998</c:v>
                </c:pt>
                <c:pt idx="4470">
                  <c:v>-47.294440000000002</c:v>
                </c:pt>
                <c:pt idx="4471">
                  <c:v>-47.125303000000002</c:v>
                </c:pt>
                <c:pt idx="4472">
                  <c:v>-46.956357000000004</c:v>
                </c:pt>
                <c:pt idx="4473">
                  <c:v>-46.787201000000003</c:v>
                </c:pt>
                <c:pt idx="4474">
                  <c:v>-46.618155000000002</c:v>
                </c:pt>
                <c:pt idx="4475">
                  <c:v>-46.449111000000002</c:v>
                </c:pt>
                <c:pt idx="4476">
                  <c:v>-46.279966999999999</c:v>
                </c:pt>
                <c:pt idx="4477">
                  <c:v>-46.110903</c:v>
                </c:pt>
                <c:pt idx="4478">
                  <c:v>-45.941769999999998</c:v>
                </c:pt>
                <c:pt idx="4479">
                  <c:v>-45.772818000000001</c:v>
                </c:pt>
                <c:pt idx="4480">
                  <c:v>-45.603665999999997</c:v>
                </c:pt>
                <c:pt idx="4481">
                  <c:v>-45.434623999999999</c:v>
                </c:pt>
                <c:pt idx="4482">
                  <c:v>-45.265574000000001</c:v>
                </c:pt>
                <c:pt idx="4483">
                  <c:v>-45.096523999999995</c:v>
                </c:pt>
                <c:pt idx="4484">
                  <c:v>-44.927374</c:v>
                </c:pt>
                <c:pt idx="4485">
                  <c:v>-44.758334999999995</c:v>
                </c:pt>
                <c:pt idx="4486">
                  <c:v>-44.589286999999999</c:v>
                </c:pt>
                <c:pt idx="4487">
                  <c:v>-44.420128999999996</c:v>
                </c:pt>
                <c:pt idx="4488">
                  <c:v>-44.251092</c:v>
                </c:pt>
                <c:pt idx="4489">
                  <c:v>-44.082035000000005</c:v>
                </c:pt>
                <c:pt idx="4490">
                  <c:v>-43.912989000000003</c:v>
                </c:pt>
                <c:pt idx="4491">
                  <c:v>-43.743843000000005</c:v>
                </c:pt>
                <c:pt idx="4492">
                  <c:v>-43.574898999999995</c:v>
                </c:pt>
                <c:pt idx="4493">
                  <c:v>-43.405743999999991</c:v>
                </c:pt>
                <c:pt idx="4494">
                  <c:v>-43.236700000000006</c:v>
                </c:pt>
                <c:pt idx="4495">
                  <c:v>-43.067547000000005</c:v>
                </c:pt>
                <c:pt idx="4496">
                  <c:v>-42.898505</c:v>
                </c:pt>
                <c:pt idx="4497">
                  <c:v>-42.729452000000002</c:v>
                </c:pt>
                <c:pt idx="4498">
                  <c:v>-42.558656999999997</c:v>
                </c:pt>
                <c:pt idx="4499">
                  <c:v>-42.373894000000007</c:v>
                </c:pt>
                <c:pt idx="4500">
                  <c:v>-42.189132000000001</c:v>
                </c:pt>
                <c:pt idx="4501">
                  <c:v>-42.004270000000005</c:v>
                </c:pt>
                <c:pt idx="4502">
                  <c:v>-41.819528999999996</c:v>
                </c:pt>
                <c:pt idx="4503">
                  <c:v>-41.634659000000006</c:v>
                </c:pt>
                <c:pt idx="4504">
                  <c:v>-41.449910000000003</c:v>
                </c:pt>
                <c:pt idx="4505">
                  <c:v>-41.265042000000008</c:v>
                </c:pt>
                <c:pt idx="4506">
                  <c:v>-41.080283999999999</c:v>
                </c:pt>
                <c:pt idx="4507">
                  <c:v>-40.895517999999996</c:v>
                </c:pt>
                <c:pt idx="4508">
                  <c:v>-40.710661999999999</c:v>
                </c:pt>
                <c:pt idx="4509">
                  <c:v>-40.525807</c:v>
                </c:pt>
                <c:pt idx="4510">
                  <c:v>-40.34104</c:v>
                </c:pt>
                <c:pt idx="4511">
                  <c:v>-40.156280000000002</c:v>
                </c:pt>
                <c:pt idx="4512">
                  <c:v>-39.971519999999998</c:v>
                </c:pt>
                <c:pt idx="4513">
                  <c:v>-39.786759999999987</c:v>
                </c:pt>
                <c:pt idx="4514">
                  <c:v>-39.601789999999994</c:v>
                </c:pt>
                <c:pt idx="4515">
                  <c:v>-39.417019999999994</c:v>
                </c:pt>
                <c:pt idx="4516">
                  <c:v>-39.232269999999993</c:v>
                </c:pt>
                <c:pt idx="4517">
                  <c:v>-39.047499999999999</c:v>
                </c:pt>
                <c:pt idx="4518">
                  <c:v>-38.862729999999999</c:v>
                </c:pt>
                <c:pt idx="4519">
                  <c:v>-38.677760000000006</c:v>
                </c:pt>
                <c:pt idx="4520">
                  <c:v>-38.492999999999995</c:v>
                </c:pt>
                <c:pt idx="4521">
                  <c:v>-38.308219999999999</c:v>
                </c:pt>
                <c:pt idx="4522">
                  <c:v>-38.123469999999998</c:v>
                </c:pt>
                <c:pt idx="4523">
                  <c:v>-37.938690000000008</c:v>
                </c:pt>
                <c:pt idx="4524">
                  <c:v>-37.753830000000001</c:v>
                </c:pt>
                <c:pt idx="4525">
                  <c:v>-37.56906</c:v>
                </c:pt>
                <c:pt idx="4526">
                  <c:v>-37.384180000000001</c:v>
                </c:pt>
                <c:pt idx="4527">
                  <c:v>-37.19941</c:v>
                </c:pt>
                <c:pt idx="4528">
                  <c:v>-37.014649999999996</c:v>
                </c:pt>
                <c:pt idx="4529">
                  <c:v>-36.82978</c:v>
                </c:pt>
                <c:pt idx="4530">
                  <c:v>-36.645000000000003</c:v>
                </c:pt>
                <c:pt idx="4531">
                  <c:v>-36.460230000000003</c:v>
                </c:pt>
                <c:pt idx="4532">
                  <c:v>-36.275450000000006</c:v>
                </c:pt>
                <c:pt idx="4533">
                  <c:v>-36.090589999999999</c:v>
                </c:pt>
                <c:pt idx="4534">
                  <c:v>-35.905799999999999</c:v>
                </c:pt>
                <c:pt idx="4535">
                  <c:v>-35.720929999999996</c:v>
                </c:pt>
                <c:pt idx="4536">
                  <c:v>-35.536160000000002</c:v>
                </c:pt>
                <c:pt idx="4537">
                  <c:v>-35.351379999999999</c:v>
                </c:pt>
                <c:pt idx="4538">
                  <c:v>-35.166589999999999</c:v>
                </c:pt>
                <c:pt idx="4539">
                  <c:v>-34.981819999999999</c:v>
                </c:pt>
                <c:pt idx="4540">
                  <c:v>-34.797040000000003</c:v>
                </c:pt>
                <c:pt idx="4541">
                  <c:v>-34.610990000000001</c:v>
                </c:pt>
                <c:pt idx="4542">
                  <c:v>-34.424679999999995</c:v>
                </c:pt>
                <c:pt idx="4543">
                  <c:v>-34.238370000000003</c:v>
                </c:pt>
                <c:pt idx="4544">
                  <c:v>-34.052160000000008</c:v>
                </c:pt>
                <c:pt idx="4545">
                  <c:v>-33.865850000000002</c:v>
                </c:pt>
                <c:pt idx="4546">
                  <c:v>-33.679650000000002</c:v>
                </c:pt>
                <c:pt idx="4547">
                  <c:v>-33.49335</c:v>
                </c:pt>
                <c:pt idx="4548">
                  <c:v>-33.307040000000001</c:v>
                </c:pt>
                <c:pt idx="4549">
                  <c:v>-33.120709999999995</c:v>
                </c:pt>
                <c:pt idx="4550">
                  <c:v>-32.934520000000006</c:v>
                </c:pt>
                <c:pt idx="4551">
                  <c:v>-32.748200000000004</c:v>
                </c:pt>
                <c:pt idx="4552">
                  <c:v>-32.561900000000001</c:v>
                </c:pt>
                <c:pt idx="4553">
                  <c:v>-32.375579999999999</c:v>
                </c:pt>
                <c:pt idx="4554">
                  <c:v>-32.189269999999993</c:v>
                </c:pt>
                <c:pt idx="4555">
                  <c:v>-32.002960000000002</c:v>
                </c:pt>
                <c:pt idx="4556">
                  <c:v>-31.816739999999999</c:v>
                </c:pt>
                <c:pt idx="4557">
                  <c:v>-31.630429999999997</c:v>
                </c:pt>
                <c:pt idx="4558">
                  <c:v>-31.444119999999998</c:v>
                </c:pt>
                <c:pt idx="4559">
                  <c:v>-31.257819999999999</c:v>
                </c:pt>
                <c:pt idx="4560">
                  <c:v>-31.071600000000004</c:v>
                </c:pt>
                <c:pt idx="4561">
                  <c:v>-30.885289999999998</c:v>
                </c:pt>
                <c:pt idx="4562">
                  <c:v>-30.699079999999999</c:v>
                </c:pt>
                <c:pt idx="4563">
                  <c:v>-30.512749999999997</c:v>
                </c:pt>
                <c:pt idx="4564">
                  <c:v>-30.326449999999998</c:v>
                </c:pt>
                <c:pt idx="4565">
                  <c:v>-30.140130000000003</c:v>
                </c:pt>
                <c:pt idx="4566">
                  <c:v>-29.953810000000004</c:v>
                </c:pt>
                <c:pt idx="4567">
                  <c:v>-29.767510000000005</c:v>
                </c:pt>
                <c:pt idx="4568">
                  <c:v>-29.58128</c:v>
                </c:pt>
                <c:pt idx="4569">
                  <c:v>-29.39498</c:v>
                </c:pt>
                <c:pt idx="4570">
                  <c:v>-29.208749999999998</c:v>
                </c:pt>
                <c:pt idx="4571">
                  <c:v>-29.022429999999996</c:v>
                </c:pt>
                <c:pt idx="4572">
                  <c:v>-28.836129999999997</c:v>
                </c:pt>
                <c:pt idx="4573">
                  <c:v>-28.649810000000002</c:v>
                </c:pt>
                <c:pt idx="4574">
                  <c:v>-28.46359</c:v>
                </c:pt>
                <c:pt idx="4575">
                  <c:v>-28.277260000000002</c:v>
                </c:pt>
                <c:pt idx="4576">
                  <c:v>-28.090950000000003</c:v>
                </c:pt>
                <c:pt idx="4577">
                  <c:v>-27.904639999999993</c:v>
                </c:pt>
                <c:pt idx="4578">
                  <c:v>-27.718410000000002</c:v>
                </c:pt>
                <c:pt idx="4579">
                  <c:v>-27.532100000000003</c:v>
                </c:pt>
                <c:pt idx="4580">
                  <c:v>-27.345879999999998</c:v>
                </c:pt>
                <c:pt idx="4581">
                  <c:v>-27.159550000000003</c:v>
                </c:pt>
                <c:pt idx="4582">
                  <c:v>-26.973229999999997</c:v>
                </c:pt>
                <c:pt idx="4583">
                  <c:v>-26.786909999999999</c:v>
                </c:pt>
                <c:pt idx="4584">
                  <c:v>-26.600590000000004</c:v>
                </c:pt>
                <c:pt idx="4585">
                  <c:v>-26.414369999999998</c:v>
                </c:pt>
                <c:pt idx="4586">
                  <c:v>-26.228149999999999</c:v>
                </c:pt>
                <c:pt idx="4587">
                  <c:v>-26.041809999999998</c:v>
                </c:pt>
                <c:pt idx="4588">
                  <c:v>-25.855499999999999</c:v>
                </c:pt>
                <c:pt idx="4589">
                  <c:v>-25.669180000000001</c:v>
                </c:pt>
                <c:pt idx="4590">
                  <c:v>-25.482860000000002</c:v>
                </c:pt>
                <c:pt idx="4591">
                  <c:v>-25.288080000000004</c:v>
                </c:pt>
                <c:pt idx="4592">
                  <c:v>-25.092759999999998</c:v>
                </c:pt>
                <c:pt idx="4593">
                  <c:v>-24.89733</c:v>
                </c:pt>
                <c:pt idx="4594">
                  <c:v>-24.701889999999999</c:v>
                </c:pt>
                <c:pt idx="4595">
                  <c:v>-24.50647</c:v>
                </c:pt>
                <c:pt idx="4596">
                  <c:v>-24.311039999999995</c:v>
                </c:pt>
                <c:pt idx="4597">
                  <c:v>-24.1157</c:v>
                </c:pt>
                <c:pt idx="4598">
                  <c:v>-23.920179999999995</c:v>
                </c:pt>
                <c:pt idx="4599">
                  <c:v>-23.72485</c:v>
                </c:pt>
                <c:pt idx="4600">
                  <c:v>-23.529409999999995</c:v>
                </c:pt>
                <c:pt idx="4601">
                  <c:v>-23.333880000000001</c:v>
                </c:pt>
                <c:pt idx="4602">
                  <c:v>-23.138549999999999</c:v>
                </c:pt>
                <c:pt idx="4603">
                  <c:v>-22.943100000000001</c:v>
                </c:pt>
                <c:pt idx="4604">
                  <c:v>-22.747640000000001</c:v>
                </c:pt>
                <c:pt idx="4605">
                  <c:v>-22.552279999999996</c:v>
                </c:pt>
                <c:pt idx="4606">
                  <c:v>-22.356820000000003</c:v>
                </c:pt>
                <c:pt idx="4607">
                  <c:v>-22.161479999999997</c:v>
                </c:pt>
                <c:pt idx="4608">
                  <c:v>-21.966000000000001</c:v>
                </c:pt>
                <c:pt idx="4609">
                  <c:v>-21.77055</c:v>
                </c:pt>
                <c:pt idx="4610">
                  <c:v>-21.575180000000003</c:v>
                </c:pt>
                <c:pt idx="4611">
                  <c:v>-21.379719999999999</c:v>
                </c:pt>
                <c:pt idx="4612">
                  <c:v>-21.184370000000001</c:v>
                </c:pt>
                <c:pt idx="4613">
                  <c:v>-20.988910000000001</c:v>
                </c:pt>
                <c:pt idx="4614">
                  <c:v>-20.79345</c:v>
                </c:pt>
                <c:pt idx="4615">
                  <c:v>-20.598089999999999</c:v>
                </c:pt>
                <c:pt idx="4616">
                  <c:v>-20.402629999999995</c:v>
                </c:pt>
                <c:pt idx="4617">
                  <c:v>-20.207170000000001</c:v>
                </c:pt>
                <c:pt idx="4618">
                  <c:v>-20.011810000000001</c:v>
                </c:pt>
                <c:pt idx="4619">
                  <c:v>-19.816359999999996</c:v>
                </c:pt>
                <c:pt idx="4620">
                  <c:v>-19.620990000000003</c:v>
                </c:pt>
                <c:pt idx="4621">
                  <c:v>-19.425540000000002</c:v>
                </c:pt>
                <c:pt idx="4622">
                  <c:v>-19.230080000000001</c:v>
                </c:pt>
                <c:pt idx="4623">
                  <c:v>-19.03472</c:v>
                </c:pt>
                <c:pt idx="4624">
                  <c:v>-18.839260000000003</c:v>
                </c:pt>
                <c:pt idx="4625">
                  <c:v>-18.643799999999999</c:v>
                </c:pt>
                <c:pt idx="4626">
                  <c:v>-18.448460000000001</c:v>
                </c:pt>
                <c:pt idx="4627">
                  <c:v>-18.253</c:v>
                </c:pt>
                <c:pt idx="4628">
                  <c:v>-18.057530000000003</c:v>
                </c:pt>
                <c:pt idx="4629">
                  <c:v>-17.862159999999999</c:v>
                </c:pt>
                <c:pt idx="4630">
                  <c:v>-17.666709999999998</c:v>
                </c:pt>
                <c:pt idx="4631">
                  <c:v>-17.471250000000001</c:v>
                </c:pt>
                <c:pt idx="4632">
                  <c:v>-17.275889999999997</c:v>
                </c:pt>
                <c:pt idx="4633">
                  <c:v>-17.080440000000003</c:v>
                </c:pt>
                <c:pt idx="4634">
                  <c:v>-16.884980000000002</c:v>
                </c:pt>
                <c:pt idx="4635">
                  <c:v>-16.689620000000001</c:v>
                </c:pt>
                <c:pt idx="4636">
                  <c:v>-16.494169999999997</c:v>
                </c:pt>
                <c:pt idx="4637">
                  <c:v>-16.29871</c:v>
                </c:pt>
                <c:pt idx="4638">
                  <c:v>-16.103359999999999</c:v>
                </c:pt>
                <c:pt idx="4639">
                  <c:v>-15.9079</c:v>
                </c:pt>
                <c:pt idx="4640">
                  <c:v>-15.712440000000004</c:v>
                </c:pt>
                <c:pt idx="4641">
                  <c:v>-15.517079999999996</c:v>
                </c:pt>
                <c:pt idx="4642">
                  <c:v>-15.321630000000003</c:v>
                </c:pt>
                <c:pt idx="4643">
                  <c:v>-15.104179999999999</c:v>
                </c:pt>
                <c:pt idx="4644">
                  <c:v>-14.850859999999999</c:v>
                </c:pt>
                <c:pt idx="4645">
                  <c:v>-14.597639000000001</c:v>
                </c:pt>
                <c:pt idx="4646">
                  <c:v>-14.344411000000004</c:v>
                </c:pt>
                <c:pt idx="4647">
                  <c:v>-14.091180999999999</c:v>
                </c:pt>
                <c:pt idx="4648">
                  <c:v>-13.837959999999997</c:v>
                </c:pt>
                <c:pt idx="4649">
                  <c:v>-13.584747</c:v>
                </c:pt>
                <c:pt idx="4650">
                  <c:v>-13.331513999999999</c:v>
                </c:pt>
                <c:pt idx="4651">
                  <c:v>-13.078279000000004</c:v>
                </c:pt>
                <c:pt idx="4652">
                  <c:v>-12.825053</c:v>
                </c:pt>
                <c:pt idx="4653">
                  <c:v>-12.571825999999998</c:v>
                </c:pt>
                <c:pt idx="4654">
                  <c:v>-12.318587000000001</c:v>
                </c:pt>
                <c:pt idx="4655">
                  <c:v>-12.065358</c:v>
                </c:pt>
                <c:pt idx="4656">
                  <c:v>-11.812116999999999</c:v>
                </c:pt>
                <c:pt idx="4657">
                  <c:v>-11.558894000000002</c:v>
                </c:pt>
                <c:pt idx="4658">
                  <c:v>-11.305651000000001</c:v>
                </c:pt>
                <c:pt idx="4659">
                  <c:v>-11.052505999999997</c:v>
                </c:pt>
                <c:pt idx="4660">
                  <c:v>-10.79928</c:v>
                </c:pt>
                <c:pt idx="4661">
                  <c:v>-10.546033000000001</c:v>
                </c:pt>
                <c:pt idx="4662">
                  <c:v>-10.292803999999999</c:v>
                </c:pt>
                <c:pt idx="4663">
                  <c:v>-10.039564300000002</c:v>
                </c:pt>
                <c:pt idx="4664">
                  <c:v>-9.7863233000000029</c:v>
                </c:pt>
                <c:pt idx="4665">
                  <c:v>-9.5330611000000012</c:v>
                </c:pt>
                <c:pt idx="4666">
                  <c:v>-9.2828016999999985</c:v>
                </c:pt>
                <c:pt idx="4667">
                  <c:v>-9.0357239999999983</c:v>
                </c:pt>
                <c:pt idx="4668">
                  <c:v>-8.7886660000000028</c:v>
                </c:pt>
                <c:pt idx="4669">
                  <c:v>-8.5415970000000012</c:v>
                </c:pt>
                <c:pt idx="4670">
                  <c:v>-8.2944260000000014</c:v>
                </c:pt>
                <c:pt idx="4671">
                  <c:v>-8.0473600000000012</c:v>
                </c:pt>
                <c:pt idx="4672">
                  <c:v>-7.8002870000000009</c:v>
                </c:pt>
                <c:pt idx="4673">
                  <c:v>-7.5532119999999994</c:v>
                </c:pt>
                <c:pt idx="4674">
                  <c:v>-7.3084850000000001</c:v>
                </c:pt>
                <c:pt idx="4675">
                  <c:v>-7.0664130000000007</c:v>
                </c:pt>
                <c:pt idx="4676">
                  <c:v>-6.8243609999999997</c:v>
                </c:pt>
                <c:pt idx="4677">
                  <c:v>-6.5822859999999999</c:v>
                </c:pt>
                <c:pt idx="4678">
                  <c:v>-6.340228999999999</c:v>
                </c:pt>
                <c:pt idx="4679">
                  <c:v>-6.0981699999999988</c:v>
                </c:pt>
                <c:pt idx="4680">
                  <c:v>-5.8562090000000007</c:v>
                </c:pt>
                <c:pt idx="4681">
                  <c:v>-5.6141359999999993</c:v>
                </c:pt>
                <c:pt idx="4682">
                  <c:v>-5.372071</c:v>
                </c:pt>
                <c:pt idx="4683">
                  <c:v>-5.1300040000000013</c:v>
                </c:pt>
                <c:pt idx="4684">
                  <c:v>-4.8879340000000004</c:v>
                </c:pt>
                <c:pt idx="4685">
                  <c:v>-4.6458629999999994</c:v>
                </c:pt>
                <c:pt idx="4686">
                  <c:v>-4.4038289999999991</c:v>
                </c:pt>
                <c:pt idx="4687">
                  <c:v>-4.1617739999999994</c:v>
                </c:pt>
                <c:pt idx="4688">
                  <c:v>-3.9197270000000017</c:v>
                </c:pt>
                <c:pt idx="4689">
                  <c:v>-3.6776670000000005</c:v>
                </c:pt>
                <c:pt idx="4690">
                  <c:v>-3.4356109999999997</c:v>
                </c:pt>
                <c:pt idx="4691">
                  <c:v>-3.1935739999999999</c:v>
                </c:pt>
                <c:pt idx="4692">
                  <c:v>-2.9515059999999993</c:v>
                </c:pt>
                <c:pt idx="4693">
                  <c:v>-2.7094570000000013</c:v>
                </c:pt>
                <c:pt idx="4694">
                  <c:v>-2.4673969999999983</c:v>
                </c:pt>
                <c:pt idx="4695">
                  <c:v>-2.2253459999999992</c:v>
                </c:pt>
                <c:pt idx="4696">
                  <c:v>-1.9881971999999992</c:v>
                </c:pt>
                <c:pt idx="4697">
                  <c:v>-1.754264</c:v>
                </c:pt>
                <c:pt idx="4698">
                  <c:v>-1.5203400999999985</c:v>
                </c:pt>
                <c:pt idx="4699">
                  <c:v>-1.2864052899999985</c:v>
                </c:pt>
                <c:pt idx="4700">
                  <c:v>-1.0524998000000014</c:v>
                </c:pt>
                <c:pt idx="4701">
                  <c:v>-0.8185633999999995</c:v>
                </c:pt>
                <c:pt idx="4702">
                  <c:v>-0.58462630000000182</c:v>
                </c:pt>
                <c:pt idx="4703">
                  <c:v>-0.35070800000000002</c:v>
                </c:pt>
                <c:pt idx="4704">
                  <c:v>-0.11678000000000033</c:v>
                </c:pt>
                <c:pt idx="4705">
                  <c:v>0.11712999999999951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4E-4D68-983C-4C004AC43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0.1999780221407951</c:v>
                </c:pt>
                <c:pt idx="1">
                  <c:v>0.19823164791419445</c:v>
                </c:pt>
                <c:pt idx="2">
                  <c:v>0.19495296100534013</c:v>
                </c:pt>
                <c:pt idx="3">
                  <c:v>0.19055801413647183</c:v>
                </c:pt>
                <c:pt idx="4">
                  <c:v>0.18096083143711678</c:v>
                </c:pt>
                <c:pt idx="5">
                  <c:v>9.8852218293109598E-3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0.19055801413697479</c:v>
                      </c:pt>
                      <c:pt idx="1">
                        <c:v>0.18096083143761921</c:v>
                      </c:pt>
                      <c:pt idx="2">
                        <c:v>9.8852218293109598E-3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1.5860753197291258E-2</c:v>
                      </c:pt>
                      <c:pt idx="1">
                        <c:v>1.0568440129819121E-2</c:v>
                      </c:pt>
                      <c:pt idx="2">
                        <c:v>5.1380735964596949E-3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2.1709703910177975E-2</c:v>
                      </c:pt>
                      <c:pt idx="1">
                        <c:v>1.5867499955462678E-2</c:v>
                      </c:pt>
                      <c:pt idx="2">
                        <c:v>7.4413654595920364E-3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3.7617550892389731E-2</c:v>
                      </c:pt>
                      <c:pt idx="1">
                        <c:v>2.6070912370622916E-2</c:v>
                      </c:pt>
                      <c:pt idx="2">
                        <c:v>1.1748521602302428E-2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4.2289679131657251E-2</c:v>
                      </c:pt>
                      <c:pt idx="1">
                        <c:v>3.0920601303418581E-2</c:v>
                      </c:pt>
                      <c:pt idx="2">
                        <c:v>1.1587941369104465E-2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0.19055801413647183</c:v>
                      </c:pt>
                      <c:pt idx="1">
                        <c:v>0.18096083143711678</c:v>
                      </c:pt>
                      <c:pt idx="2">
                        <c:v>9.8852218293109598E-3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0.99126716922237035</c:v>
                </c:pt>
                <c:pt idx="2">
                  <c:v>0.97487193301713393</c:v>
                </c:pt>
                <c:pt idx="3">
                  <c:v>0.95289478361931645</c:v>
                </c:pt>
                <c:pt idx="4">
                  <c:v>0.90490359640476281</c:v>
                </c:pt>
                <c:pt idx="5">
                  <c:v>4.9431541143812499E-2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5bay/Galli_6st_5bay_Strong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-2.2868750000000002</v>
          </cell>
        </row>
        <row r="5">
          <cell r="J5">
            <v>-4.5735680000000016</v>
          </cell>
        </row>
        <row r="6">
          <cell r="J6">
            <v>-6.8603575000000001</v>
          </cell>
        </row>
        <row r="7">
          <cell r="J7">
            <v>-9.147037000000001</v>
          </cell>
        </row>
        <row r="8">
          <cell r="J8">
            <v>-11.406984000000001</v>
          </cell>
        </row>
        <row r="9">
          <cell r="J9">
            <v>-13.651620000000001</v>
          </cell>
        </row>
        <row r="10">
          <cell r="J10">
            <v>-15.89617</v>
          </cell>
        </row>
        <row r="11">
          <cell r="J11">
            <v>-18.140819</v>
          </cell>
        </row>
        <row r="12">
          <cell r="J12">
            <v>-20.385548999999997</v>
          </cell>
        </row>
        <row r="13">
          <cell r="J13">
            <v>-22.6300907</v>
          </cell>
        </row>
        <row r="14">
          <cell r="J14">
            <v>-24.874774000000002</v>
          </cell>
        </row>
        <row r="15">
          <cell r="J15">
            <v>-27.119339</v>
          </cell>
        </row>
        <row r="16">
          <cell r="J16">
            <v>-29.364039999999999</v>
          </cell>
        </row>
        <row r="17">
          <cell r="J17">
            <v>-31.608629999999998</v>
          </cell>
        </row>
        <row r="18">
          <cell r="J18">
            <v>-33.853269999999995</v>
          </cell>
        </row>
        <row r="19">
          <cell r="J19">
            <v>-36.097920000000002</v>
          </cell>
        </row>
        <row r="20">
          <cell r="J20">
            <v>-38.342569999999995</v>
          </cell>
        </row>
        <row r="21">
          <cell r="J21">
            <v>-40.587130000000002</v>
          </cell>
        </row>
        <row r="22">
          <cell r="J22">
            <v>-42.831800000000001</v>
          </cell>
        </row>
        <row r="23">
          <cell r="J23">
            <v>-45.076390000000004</v>
          </cell>
        </row>
        <row r="24">
          <cell r="J24">
            <v>-47.321080000000002</v>
          </cell>
        </row>
        <row r="25">
          <cell r="J25">
            <v>-49.543689999999998</v>
          </cell>
        </row>
        <row r="26">
          <cell r="J26">
            <v>-51.739930000000001</v>
          </cell>
        </row>
        <row r="27">
          <cell r="J27">
            <v>-53.936059999999998</v>
          </cell>
        </row>
        <row r="28">
          <cell r="J28">
            <v>-56.132219999999997</v>
          </cell>
        </row>
        <row r="29">
          <cell r="J29">
            <v>-58.328270000000003</v>
          </cell>
        </row>
        <row r="30">
          <cell r="J30">
            <v>-60.524430000000002</v>
          </cell>
        </row>
        <row r="31">
          <cell r="J31">
            <v>-62.720649999999999</v>
          </cell>
        </row>
        <row r="32">
          <cell r="J32">
            <v>-64.916780000000003</v>
          </cell>
        </row>
        <row r="33">
          <cell r="J33">
            <v>-67.105670000000003</v>
          </cell>
        </row>
        <row r="34">
          <cell r="J34">
            <v>-69.261079999999993</v>
          </cell>
        </row>
        <row r="35">
          <cell r="J35">
            <v>-71.416409999999985</v>
          </cell>
        </row>
        <row r="36">
          <cell r="J36">
            <v>-73.571740000000005</v>
          </cell>
        </row>
        <row r="37">
          <cell r="J37">
            <v>-75.726990000000001</v>
          </cell>
        </row>
        <row r="38">
          <cell r="J38">
            <v>-77.882319999999993</v>
          </cell>
        </row>
        <row r="39">
          <cell r="J39">
            <v>-80.037630000000007</v>
          </cell>
        </row>
        <row r="40">
          <cell r="J40">
            <v>-82.192840000000004</v>
          </cell>
        </row>
        <row r="41">
          <cell r="J41">
            <v>-84.34826000000001</v>
          </cell>
        </row>
        <row r="42">
          <cell r="J42">
            <v>-86.466039999999992</v>
          </cell>
        </row>
        <row r="43">
          <cell r="J43">
            <v>-88.572890000000001</v>
          </cell>
        </row>
        <row r="44">
          <cell r="J44">
            <v>-90.679637</v>
          </cell>
        </row>
        <row r="45">
          <cell r="J45">
            <v>-92.760336999999993</v>
          </cell>
        </row>
        <row r="46">
          <cell r="J46">
            <v>-94.783670999999998</v>
          </cell>
        </row>
        <row r="47">
          <cell r="J47">
            <v>-96.766547000000003</v>
          </cell>
        </row>
        <row r="48">
          <cell r="J48">
            <v>-98.749431000000001</v>
          </cell>
        </row>
        <row r="49">
          <cell r="J49">
            <v>-100.723124</v>
          </cell>
        </row>
        <row r="50">
          <cell r="J50">
            <v>-102.589477</v>
          </cell>
        </row>
        <row r="51">
          <cell r="J51">
            <v>-104.43370300000001</v>
          </cell>
        </row>
        <row r="52">
          <cell r="J52">
            <v>-106.27803999999999</v>
          </cell>
        </row>
        <row r="53">
          <cell r="J53">
            <v>-108.12248</v>
          </cell>
        </row>
        <row r="54">
          <cell r="J54">
            <v>-109.91558000000001</v>
          </cell>
        </row>
        <row r="55">
          <cell r="J55">
            <v>-111.62975</v>
          </cell>
        </row>
        <row r="56">
          <cell r="J56">
            <v>-113.34392</v>
          </cell>
        </row>
        <row r="57">
          <cell r="J57">
            <v>-115.05808999999999</v>
          </cell>
        </row>
        <row r="58">
          <cell r="J58">
            <v>-116.77208</v>
          </cell>
        </row>
        <row r="59">
          <cell r="J59">
            <v>-118.48647</v>
          </cell>
        </row>
        <row r="60">
          <cell r="J60">
            <v>-120.20057</v>
          </cell>
        </row>
        <row r="61">
          <cell r="J61">
            <v>-121.91467</v>
          </cell>
        </row>
        <row r="62">
          <cell r="J62">
            <v>-123.62888999999998</v>
          </cell>
        </row>
        <row r="63">
          <cell r="J63">
            <v>-125.34291</v>
          </cell>
        </row>
        <row r="64">
          <cell r="J64">
            <v>-127.02319</v>
          </cell>
        </row>
        <row r="65">
          <cell r="J65">
            <v>-128.67166999999998</v>
          </cell>
        </row>
        <row r="66">
          <cell r="J66">
            <v>-130.32005000000001</v>
          </cell>
        </row>
        <row r="67">
          <cell r="J67">
            <v>-131.96843999999999</v>
          </cell>
        </row>
        <row r="68">
          <cell r="J68">
            <v>-133.56934000000001</v>
          </cell>
        </row>
        <row r="69">
          <cell r="J69">
            <v>-135.16884000000002</v>
          </cell>
        </row>
        <row r="70">
          <cell r="J70">
            <v>-136.76824999999999</v>
          </cell>
        </row>
        <row r="71">
          <cell r="J71">
            <v>-138.36757</v>
          </cell>
        </row>
        <row r="72">
          <cell r="J72">
            <v>-139.96708999999998</v>
          </cell>
        </row>
        <row r="73">
          <cell r="J73">
            <v>-141.56650999999999</v>
          </cell>
        </row>
        <row r="74">
          <cell r="J74">
            <v>-143.16594000000001</v>
          </cell>
        </row>
        <row r="75">
          <cell r="J75">
            <v>-144.76548</v>
          </cell>
        </row>
        <row r="76">
          <cell r="J76">
            <v>-146.36491999999998</v>
          </cell>
        </row>
        <row r="77">
          <cell r="J77">
            <v>-147.96436</v>
          </cell>
        </row>
        <row r="78">
          <cell r="J78">
            <v>-149.56380999999999</v>
          </cell>
        </row>
        <row r="79">
          <cell r="J79">
            <v>-151.16317000000001</v>
          </cell>
        </row>
        <row r="80">
          <cell r="J80">
            <v>-152.76272999999998</v>
          </cell>
        </row>
        <row r="81">
          <cell r="J81">
            <v>-154.36208999999999</v>
          </cell>
        </row>
        <row r="82">
          <cell r="J82">
            <v>-155.96176</v>
          </cell>
        </row>
        <row r="83">
          <cell r="J83">
            <v>-157.56113999999999</v>
          </cell>
        </row>
        <row r="84">
          <cell r="J84">
            <v>-159.16072</v>
          </cell>
        </row>
        <row r="85">
          <cell r="J85">
            <v>-160.76</v>
          </cell>
        </row>
        <row r="86">
          <cell r="J86">
            <v>-162.35959</v>
          </cell>
        </row>
        <row r="87">
          <cell r="J87">
            <v>-163.95898</v>
          </cell>
        </row>
        <row r="88">
          <cell r="J88">
            <v>-165.55848</v>
          </cell>
        </row>
        <row r="89">
          <cell r="J89">
            <v>-167.15798999999998</v>
          </cell>
        </row>
        <row r="90">
          <cell r="J90">
            <v>-168.75739999999999</v>
          </cell>
        </row>
        <row r="91">
          <cell r="J91">
            <v>-170.35691</v>
          </cell>
        </row>
        <row r="92">
          <cell r="J92">
            <v>-171.95643000000001</v>
          </cell>
        </row>
        <row r="93">
          <cell r="J93">
            <v>-173.55596</v>
          </cell>
        </row>
        <row r="94">
          <cell r="J94">
            <v>-175.15528</v>
          </cell>
        </row>
        <row r="95">
          <cell r="J95">
            <v>-176.75492000000003</v>
          </cell>
        </row>
        <row r="96">
          <cell r="J96">
            <v>-178.33101000000002</v>
          </cell>
        </row>
        <row r="97">
          <cell r="J97">
            <v>-179.87299000000002</v>
          </cell>
        </row>
        <row r="98">
          <cell r="J98">
            <v>-181.41498000000001</v>
          </cell>
        </row>
        <row r="99">
          <cell r="J99">
            <v>-182.95677000000001</v>
          </cell>
        </row>
        <row r="100">
          <cell r="J100">
            <v>-184.49885999999998</v>
          </cell>
        </row>
        <row r="101">
          <cell r="J101">
            <v>-186.04075999999998</v>
          </cell>
        </row>
        <row r="102">
          <cell r="J102">
            <v>-187.55826000000002</v>
          </cell>
        </row>
        <row r="103">
          <cell r="J103">
            <v>-189.05107999999998</v>
          </cell>
        </row>
        <row r="104">
          <cell r="J104">
            <v>-190.5318</v>
          </cell>
        </row>
        <row r="105">
          <cell r="J105">
            <v>-192.01233000000002</v>
          </cell>
        </row>
        <row r="106">
          <cell r="J106">
            <v>-193.48625999999999</v>
          </cell>
        </row>
        <row r="107">
          <cell r="J107">
            <v>-194.94709</v>
          </cell>
        </row>
        <row r="108">
          <cell r="J108">
            <v>-196.40803</v>
          </cell>
        </row>
        <row r="109">
          <cell r="J109">
            <v>-197.86887000000002</v>
          </cell>
        </row>
        <row r="110">
          <cell r="J110">
            <v>-199.32972000000001</v>
          </cell>
        </row>
        <row r="111">
          <cell r="J111">
            <v>-200.79047</v>
          </cell>
        </row>
        <row r="112">
          <cell r="J112">
            <v>-202.25020000000001</v>
          </cell>
        </row>
        <row r="113">
          <cell r="J113">
            <v>-203.70026000000001</v>
          </cell>
        </row>
        <row r="114">
          <cell r="J114">
            <v>-205.15042</v>
          </cell>
        </row>
        <row r="115">
          <cell r="J115">
            <v>-206.60039</v>
          </cell>
        </row>
        <row r="116">
          <cell r="J116">
            <v>-208.05066000000002</v>
          </cell>
        </row>
        <row r="117">
          <cell r="J117">
            <v>-209.50084000000001</v>
          </cell>
        </row>
        <row r="118">
          <cell r="J118">
            <v>-210.941</v>
          </cell>
        </row>
        <row r="119">
          <cell r="J119">
            <v>-212.3699</v>
          </cell>
        </row>
        <row r="120">
          <cell r="J120">
            <v>-213.79830999999999</v>
          </cell>
        </row>
        <row r="121">
          <cell r="J121">
            <v>-215.22692999999998</v>
          </cell>
        </row>
        <row r="122">
          <cell r="J122">
            <v>-216.65545000000003</v>
          </cell>
        </row>
        <row r="123">
          <cell r="J123">
            <v>-218.08418</v>
          </cell>
        </row>
        <row r="124">
          <cell r="J124">
            <v>-219.51271</v>
          </cell>
        </row>
        <row r="125">
          <cell r="J125">
            <v>-220.93978999999999</v>
          </cell>
        </row>
        <row r="126">
          <cell r="J126">
            <v>-222.34379999999999</v>
          </cell>
        </row>
        <row r="127">
          <cell r="J127">
            <v>-223.74791999999999</v>
          </cell>
        </row>
        <row r="128">
          <cell r="J128">
            <v>-225.15204</v>
          </cell>
        </row>
        <row r="129">
          <cell r="J129">
            <v>-226.54002999999997</v>
          </cell>
        </row>
        <row r="130">
          <cell r="J130">
            <v>-227.91684999999998</v>
          </cell>
        </row>
        <row r="131">
          <cell r="J131">
            <v>-229.29349000000002</v>
          </cell>
        </row>
        <row r="132">
          <cell r="J132">
            <v>-230.67022</v>
          </cell>
        </row>
        <row r="133">
          <cell r="J133">
            <v>-232.04696000000001</v>
          </cell>
        </row>
        <row r="134">
          <cell r="J134">
            <v>-233.41101</v>
          </cell>
        </row>
        <row r="135">
          <cell r="J135">
            <v>-234.75593000000001</v>
          </cell>
        </row>
        <row r="136">
          <cell r="J136">
            <v>-236.08557999999999</v>
          </cell>
        </row>
        <row r="137">
          <cell r="J137">
            <v>-237.41513</v>
          </cell>
        </row>
        <row r="138">
          <cell r="J138">
            <v>-238.74467999999996</v>
          </cell>
        </row>
        <row r="139">
          <cell r="J139">
            <v>-240.07434000000001</v>
          </cell>
        </row>
        <row r="140">
          <cell r="J140">
            <v>-241.404</v>
          </cell>
        </row>
        <row r="141">
          <cell r="J141">
            <v>-242.73356000000001</v>
          </cell>
        </row>
        <row r="142">
          <cell r="J142">
            <v>-244.06323000000003</v>
          </cell>
        </row>
        <row r="143">
          <cell r="J143">
            <v>-245.39279999999999</v>
          </cell>
        </row>
        <row r="144">
          <cell r="J144">
            <v>-246.72248000000002</v>
          </cell>
        </row>
        <row r="145">
          <cell r="J145">
            <v>-248.05206000000001</v>
          </cell>
        </row>
        <row r="146">
          <cell r="J146">
            <v>-249.38165000000001</v>
          </cell>
        </row>
        <row r="147">
          <cell r="J147">
            <v>-250.71133</v>
          </cell>
        </row>
        <row r="148">
          <cell r="J148">
            <v>-252.04103000000001</v>
          </cell>
        </row>
        <row r="149">
          <cell r="J149">
            <v>-253.37062</v>
          </cell>
        </row>
        <row r="150">
          <cell r="J150">
            <v>-254.70031999999998</v>
          </cell>
        </row>
        <row r="151">
          <cell r="J151">
            <v>-256.03003000000001</v>
          </cell>
        </row>
        <row r="152">
          <cell r="J152">
            <v>-257.35973000000001</v>
          </cell>
        </row>
        <row r="153">
          <cell r="J153">
            <v>-258.68934000000002</v>
          </cell>
        </row>
        <row r="154">
          <cell r="J154">
            <v>-260.01070000000004</v>
          </cell>
        </row>
        <row r="155">
          <cell r="J155">
            <v>-261.32686999999999</v>
          </cell>
        </row>
        <row r="156">
          <cell r="J156">
            <v>-262.64312999999999</v>
          </cell>
        </row>
        <row r="157">
          <cell r="J157">
            <v>-263.95931000000002</v>
          </cell>
        </row>
        <row r="158">
          <cell r="J158">
            <v>-265.27557999999999</v>
          </cell>
        </row>
        <row r="159">
          <cell r="J159">
            <v>-266.59176000000002</v>
          </cell>
        </row>
        <row r="160">
          <cell r="J160">
            <v>-267.89015999999998</v>
          </cell>
        </row>
        <row r="161">
          <cell r="J161">
            <v>-269.18651</v>
          </cell>
        </row>
        <row r="162">
          <cell r="J162">
            <v>-270.48276999999996</v>
          </cell>
        </row>
        <row r="163">
          <cell r="J163">
            <v>-271.77902999999998</v>
          </cell>
        </row>
        <row r="164">
          <cell r="J164">
            <v>-273.07529</v>
          </cell>
        </row>
        <row r="165">
          <cell r="J165">
            <v>-274.37165999999996</v>
          </cell>
        </row>
        <row r="166">
          <cell r="J166">
            <v>-275.66793000000001</v>
          </cell>
        </row>
        <row r="167">
          <cell r="J167">
            <v>-276.96420000000001</v>
          </cell>
        </row>
        <row r="168">
          <cell r="J168">
            <v>-278.26067999999998</v>
          </cell>
        </row>
        <row r="169">
          <cell r="J169">
            <v>-279.55696</v>
          </cell>
        </row>
        <row r="170">
          <cell r="J170">
            <v>-280.85315000000003</v>
          </cell>
        </row>
        <row r="171">
          <cell r="J171">
            <v>-282.14943999999997</v>
          </cell>
        </row>
        <row r="172">
          <cell r="J172">
            <v>-283.44572999999997</v>
          </cell>
        </row>
        <row r="173">
          <cell r="J173">
            <v>-284.74203</v>
          </cell>
        </row>
        <row r="174">
          <cell r="J174">
            <v>-286.03843000000001</v>
          </cell>
        </row>
        <row r="175">
          <cell r="J175">
            <v>-287.33483999999999</v>
          </cell>
        </row>
        <row r="176">
          <cell r="J176">
            <v>-288.63125000000002</v>
          </cell>
        </row>
        <row r="177">
          <cell r="J177">
            <v>-289.92755999999997</v>
          </cell>
        </row>
        <row r="178">
          <cell r="J178">
            <v>-291.22397999999998</v>
          </cell>
        </row>
        <row r="179">
          <cell r="J179">
            <v>-292.52019999999999</v>
          </cell>
        </row>
        <row r="180">
          <cell r="J180">
            <v>-293.81662</v>
          </cell>
        </row>
        <row r="181">
          <cell r="J181">
            <v>-295.11304999999999</v>
          </cell>
        </row>
        <row r="182">
          <cell r="J182">
            <v>-296.40938</v>
          </cell>
        </row>
        <row r="183">
          <cell r="J183">
            <v>-297.70571000000001</v>
          </cell>
        </row>
        <row r="184">
          <cell r="J184">
            <v>-299.00215000000003</v>
          </cell>
        </row>
        <row r="185">
          <cell r="J185">
            <v>-300.29850000000005</v>
          </cell>
        </row>
        <row r="186">
          <cell r="J186">
            <v>-301.59503999999998</v>
          </cell>
        </row>
        <row r="187">
          <cell r="J187">
            <v>-302.89129000000003</v>
          </cell>
        </row>
        <row r="188">
          <cell r="J188">
            <v>-304.18754999999999</v>
          </cell>
        </row>
        <row r="189">
          <cell r="J189">
            <v>-305.48410000000001</v>
          </cell>
        </row>
        <row r="190">
          <cell r="J190">
            <v>-306.78055999999998</v>
          </cell>
        </row>
        <row r="191">
          <cell r="J191">
            <v>-308.07693</v>
          </cell>
        </row>
        <row r="192">
          <cell r="J192">
            <v>-309.37329999999997</v>
          </cell>
        </row>
        <row r="193">
          <cell r="J193">
            <v>-310.66967</v>
          </cell>
        </row>
        <row r="194">
          <cell r="J194">
            <v>-311.96625</v>
          </cell>
        </row>
        <row r="195">
          <cell r="J195">
            <v>-313.26445999999999</v>
          </cell>
        </row>
        <row r="196">
          <cell r="J196">
            <v>-314.56653</v>
          </cell>
        </row>
        <row r="197">
          <cell r="J197">
            <v>-315.86840999999998</v>
          </cell>
        </row>
        <row r="198">
          <cell r="J198">
            <v>-317.17039</v>
          </cell>
        </row>
        <row r="199">
          <cell r="J199">
            <v>-318.47248000000002</v>
          </cell>
        </row>
        <row r="200">
          <cell r="J200">
            <v>-319.77447000000001</v>
          </cell>
        </row>
        <row r="201">
          <cell r="J201">
            <v>-321.07646</v>
          </cell>
        </row>
        <row r="202">
          <cell r="J202">
            <v>-322.37855999999999</v>
          </cell>
        </row>
        <row r="203">
          <cell r="J203">
            <v>-323.68065999999999</v>
          </cell>
        </row>
        <row r="204">
          <cell r="J204">
            <v>-324.98277000000002</v>
          </cell>
        </row>
        <row r="205">
          <cell r="J205">
            <v>-326.28487999999999</v>
          </cell>
        </row>
        <row r="206">
          <cell r="J206">
            <v>-327.58678999999995</v>
          </cell>
        </row>
        <row r="207">
          <cell r="J207">
            <v>-328.88880999999998</v>
          </cell>
        </row>
        <row r="208">
          <cell r="J208">
            <v>-330.19092999999998</v>
          </cell>
        </row>
        <row r="209">
          <cell r="J209">
            <v>-331.49304999999998</v>
          </cell>
        </row>
        <row r="210">
          <cell r="J210">
            <v>-332.79507999999998</v>
          </cell>
        </row>
        <row r="211">
          <cell r="J211">
            <v>-334.09721000000002</v>
          </cell>
        </row>
        <row r="212">
          <cell r="J212">
            <v>-335.40341999999998</v>
          </cell>
        </row>
        <row r="213">
          <cell r="J213">
            <v>-336.7133</v>
          </cell>
        </row>
        <row r="214">
          <cell r="J214">
            <v>-338.02306999999996</v>
          </cell>
        </row>
        <row r="215">
          <cell r="J215">
            <v>-339.33276000000001</v>
          </cell>
        </row>
        <row r="216">
          <cell r="J216">
            <v>-340.64254</v>
          </cell>
        </row>
        <row r="217">
          <cell r="J217">
            <v>-341.95232999999996</v>
          </cell>
        </row>
        <row r="218">
          <cell r="J218">
            <v>-343.26213000000001</v>
          </cell>
        </row>
        <row r="219">
          <cell r="J219">
            <v>-344.57193000000001</v>
          </cell>
        </row>
        <row r="220">
          <cell r="J220">
            <v>-345.88182999999998</v>
          </cell>
        </row>
        <row r="221">
          <cell r="J221">
            <v>-347.19174000000004</v>
          </cell>
        </row>
        <row r="222">
          <cell r="J222">
            <v>-348.50155000000001</v>
          </cell>
        </row>
        <row r="223">
          <cell r="J223">
            <v>-349.81146000000001</v>
          </cell>
        </row>
        <row r="224">
          <cell r="J224">
            <v>-351.12127999999996</v>
          </cell>
        </row>
        <row r="225">
          <cell r="J225">
            <v>-352.43110000000001</v>
          </cell>
        </row>
        <row r="226">
          <cell r="J226">
            <v>-353.74092999999999</v>
          </cell>
        </row>
        <row r="227">
          <cell r="J227">
            <v>-355.05074999999999</v>
          </cell>
        </row>
        <row r="228">
          <cell r="J228">
            <v>-356.36068999999998</v>
          </cell>
        </row>
        <row r="229">
          <cell r="J229">
            <v>-357.67052999999999</v>
          </cell>
        </row>
        <row r="230">
          <cell r="J230">
            <v>-358.98036999999999</v>
          </cell>
        </row>
        <row r="231">
          <cell r="J231">
            <v>-360.29021</v>
          </cell>
        </row>
        <row r="232">
          <cell r="J232">
            <v>-361.60025999999993</v>
          </cell>
        </row>
        <row r="233">
          <cell r="J233">
            <v>-362.91010999999997</v>
          </cell>
        </row>
        <row r="234">
          <cell r="J234">
            <v>-364.21987000000001</v>
          </cell>
        </row>
        <row r="235">
          <cell r="J235">
            <v>-365.52993000000004</v>
          </cell>
        </row>
        <row r="236">
          <cell r="J236">
            <v>-366.83970000000005</v>
          </cell>
        </row>
        <row r="237">
          <cell r="J237">
            <v>-368.14965999999998</v>
          </cell>
        </row>
        <row r="238">
          <cell r="J238">
            <v>-369.45954</v>
          </cell>
        </row>
        <row r="239">
          <cell r="J239">
            <v>-370.76950999999997</v>
          </cell>
        </row>
        <row r="240">
          <cell r="J240">
            <v>-372.07938999999999</v>
          </cell>
        </row>
        <row r="241">
          <cell r="J241">
            <v>-373.38918000000001</v>
          </cell>
        </row>
        <row r="242">
          <cell r="J242">
            <v>-374.69735000000003</v>
          </cell>
        </row>
        <row r="243">
          <cell r="J243">
            <v>-376.00423999999998</v>
          </cell>
        </row>
        <row r="244">
          <cell r="J244">
            <v>-377.31113000000005</v>
          </cell>
        </row>
        <row r="245">
          <cell r="J245">
            <v>-378.61813000000001</v>
          </cell>
        </row>
        <row r="246">
          <cell r="J246">
            <v>-379.92503999999997</v>
          </cell>
        </row>
        <row r="247">
          <cell r="J247">
            <v>-381.23203999999998</v>
          </cell>
        </row>
        <row r="248">
          <cell r="J248">
            <v>-382.53886</v>
          </cell>
        </row>
        <row r="249">
          <cell r="J249">
            <v>-383.84586999999999</v>
          </cell>
        </row>
        <row r="250">
          <cell r="J250">
            <v>-385.15289000000001</v>
          </cell>
        </row>
        <row r="251">
          <cell r="J251">
            <v>-386.45981000000006</v>
          </cell>
        </row>
        <row r="252">
          <cell r="J252">
            <v>-387.76683999999995</v>
          </cell>
        </row>
        <row r="253">
          <cell r="J253">
            <v>-389.07387</v>
          </cell>
        </row>
        <row r="254">
          <cell r="J254">
            <v>-390.38069999999993</v>
          </cell>
        </row>
        <row r="255">
          <cell r="J255">
            <v>-391.68763999999999</v>
          </cell>
        </row>
        <row r="256">
          <cell r="J256">
            <v>-392.99467999999996</v>
          </cell>
        </row>
        <row r="257">
          <cell r="J257">
            <v>-394.30162999999999</v>
          </cell>
        </row>
        <row r="258">
          <cell r="J258">
            <v>-395.60868000000005</v>
          </cell>
        </row>
        <row r="259">
          <cell r="J259">
            <v>-396.91582999999997</v>
          </cell>
        </row>
        <row r="260">
          <cell r="J260">
            <v>-398.22258999999997</v>
          </cell>
        </row>
        <row r="261">
          <cell r="J261">
            <v>-399.52965</v>
          </cell>
        </row>
        <row r="262">
          <cell r="J262">
            <v>-400.83662000000004</v>
          </cell>
        </row>
        <row r="263">
          <cell r="J263">
            <v>-402.14368999999999</v>
          </cell>
        </row>
        <row r="264">
          <cell r="J264">
            <v>-403.45065999999997</v>
          </cell>
        </row>
        <row r="265">
          <cell r="J265">
            <v>-404.75783999999999</v>
          </cell>
        </row>
        <row r="266">
          <cell r="J266">
            <v>-406.06481999999994</v>
          </cell>
        </row>
        <row r="267">
          <cell r="J267">
            <v>-407.37180999999998</v>
          </cell>
        </row>
        <row r="268">
          <cell r="J268">
            <v>-408.67879999999997</v>
          </cell>
        </row>
        <row r="269">
          <cell r="J269">
            <v>-409.98549000000003</v>
          </cell>
        </row>
        <row r="270">
          <cell r="J270">
            <v>-411.29328999999996</v>
          </cell>
        </row>
        <row r="271">
          <cell r="J271">
            <v>-412.60019</v>
          </cell>
        </row>
        <row r="272">
          <cell r="J272">
            <v>-413.90708999999998</v>
          </cell>
        </row>
        <row r="273">
          <cell r="J273">
            <v>-415.21390000000002</v>
          </cell>
        </row>
        <row r="274">
          <cell r="J274">
            <v>-416.52071999999998</v>
          </cell>
        </row>
        <row r="275">
          <cell r="J275">
            <v>-417.82822999999996</v>
          </cell>
        </row>
        <row r="276">
          <cell r="J276">
            <v>-419.13545000000005</v>
          </cell>
        </row>
        <row r="277">
          <cell r="J277">
            <v>-420.44187999999997</v>
          </cell>
        </row>
        <row r="278">
          <cell r="J278">
            <v>-421.74901</v>
          </cell>
        </row>
        <row r="279">
          <cell r="J279">
            <v>-423.05723999999998</v>
          </cell>
        </row>
        <row r="280">
          <cell r="J280">
            <v>-424.36347999999992</v>
          </cell>
        </row>
        <row r="281">
          <cell r="J281">
            <v>-425.67072000000002</v>
          </cell>
        </row>
        <row r="282">
          <cell r="J282">
            <v>-426.97796</v>
          </cell>
        </row>
        <row r="283">
          <cell r="J283">
            <v>-428.28531000000004</v>
          </cell>
        </row>
        <row r="284">
          <cell r="J284">
            <v>-429.59255999999999</v>
          </cell>
        </row>
        <row r="285">
          <cell r="J285">
            <v>-430.89882</v>
          </cell>
        </row>
        <row r="286">
          <cell r="J286">
            <v>-432.20608000000004</v>
          </cell>
        </row>
        <row r="287">
          <cell r="J287">
            <v>-433.51334000000008</v>
          </cell>
        </row>
        <row r="288">
          <cell r="J288">
            <v>-434.82080999999999</v>
          </cell>
        </row>
        <row r="289">
          <cell r="J289">
            <v>-436.12798000000004</v>
          </cell>
        </row>
        <row r="290">
          <cell r="J290">
            <v>-437.43436000000003</v>
          </cell>
        </row>
        <row r="291">
          <cell r="J291">
            <v>-438.74164000000002</v>
          </cell>
        </row>
        <row r="292">
          <cell r="J292">
            <v>-440.04982000000001</v>
          </cell>
        </row>
        <row r="293">
          <cell r="J293">
            <v>-441.35651000000007</v>
          </cell>
        </row>
        <row r="294">
          <cell r="J294">
            <v>-442.66319999999996</v>
          </cell>
        </row>
        <row r="295">
          <cell r="J295">
            <v>-443.96988999999996</v>
          </cell>
        </row>
        <row r="296">
          <cell r="J296">
            <v>-445.27848999999998</v>
          </cell>
        </row>
        <row r="297">
          <cell r="J297">
            <v>-446.58420000000001</v>
          </cell>
        </row>
        <row r="298">
          <cell r="J298">
            <v>-447.89189999999996</v>
          </cell>
        </row>
        <row r="299">
          <cell r="J299">
            <v>-449.19970999999998</v>
          </cell>
        </row>
        <row r="300">
          <cell r="J300">
            <v>-450.50733000000002</v>
          </cell>
        </row>
        <row r="301">
          <cell r="J301">
            <v>-451.81404999999995</v>
          </cell>
        </row>
        <row r="302">
          <cell r="J302">
            <v>-453.12076999999999</v>
          </cell>
        </row>
        <row r="303">
          <cell r="J303">
            <v>-454.42849999999999</v>
          </cell>
        </row>
        <row r="304">
          <cell r="J304">
            <v>-455.73523</v>
          </cell>
        </row>
        <row r="305">
          <cell r="J305">
            <v>-457.04295999999999</v>
          </cell>
        </row>
        <row r="306">
          <cell r="J306">
            <v>-458.34969999999998</v>
          </cell>
        </row>
        <row r="307">
          <cell r="J307">
            <v>-459.65644000000009</v>
          </cell>
        </row>
        <row r="308">
          <cell r="J308">
            <v>-460.96409</v>
          </cell>
        </row>
        <row r="309">
          <cell r="J309">
            <v>-462.27194000000003</v>
          </cell>
        </row>
        <row r="310">
          <cell r="J310">
            <v>-463.57868999999999</v>
          </cell>
        </row>
        <row r="311">
          <cell r="J311">
            <v>-464.88544999999999</v>
          </cell>
        </row>
        <row r="312">
          <cell r="J312">
            <v>-466.19421</v>
          </cell>
        </row>
        <row r="313">
          <cell r="J313">
            <v>-467.49997999999994</v>
          </cell>
        </row>
        <row r="314">
          <cell r="J314">
            <v>-468.80775000000006</v>
          </cell>
        </row>
        <row r="315">
          <cell r="J315">
            <v>-470.11451999999997</v>
          </cell>
        </row>
        <row r="316">
          <cell r="J316">
            <v>-471.42329999999998</v>
          </cell>
        </row>
        <row r="317">
          <cell r="J317">
            <v>-472.72908000000001</v>
          </cell>
        </row>
        <row r="318">
          <cell r="J318">
            <v>-474.03687000000002</v>
          </cell>
        </row>
        <row r="319">
          <cell r="J319">
            <v>-475.34375999999997</v>
          </cell>
        </row>
        <row r="320">
          <cell r="J320">
            <v>-476.65145000000007</v>
          </cell>
        </row>
        <row r="321">
          <cell r="J321">
            <v>-477.95825000000002</v>
          </cell>
        </row>
        <row r="322">
          <cell r="J322">
            <v>-479.26604999999995</v>
          </cell>
        </row>
        <row r="323">
          <cell r="J323">
            <v>-480.57395000000002</v>
          </cell>
        </row>
        <row r="324">
          <cell r="J324">
            <v>-481.88075999999995</v>
          </cell>
        </row>
        <row r="325">
          <cell r="J325">
            <v>-483.18757000000005</v>
          </cell>
        </row>
        <row r="326">
          <cell r="J326">
            <v>-484.49539000000004</v>
          </cell>
        </row>
        <row r="327">
          <cell r="J327">
            <v>-485.80221000000006</v>
          </cell>
        </row>
        <row r="328">
          <cell r="J328">
            <v>-487.10904000000005</v>
          </cell>
        </row>
        <row r="329">
          <cell r="J329">
            <v>-488.41687000000002</v>
          </cell>
        </row>
        <row r="330">
          <cell r="J330">
            <v>-489.72370000000001</v>
          </cell>
        </row>
        <row r="331">
          <cell r="J331">
            <v>-491.03152999999998</v>
          </cell>
        </row>
        <row r="332">
          <cell r="J332">
            <v>-492.33837</v>
          </cell>
        </row>
        <row r="333">
          <cell r="J333">
            <v>-493.64632</v>
          </cell>
        </row>
        <row r="334">
          <cell r="J334">
            <v>-494.95416999999998</v>
          </cell>
        </row>
        <row r="335">
          <cell r="J335">
            <v>-496.26102000000003</v>
          </cell>
        </row>
        <row r="336">
          <cell r="J336">
            <v>-497.56788000000006</v>
          </cell>
        </row>
        <row r="337">
          <cell r="J337">
            <v>-498.87584000000004</v>
          </cell>
        </row>
        <row r="338">
          <cell r="J338">
            <v>-500.18369999999999</v>
          </cell>
        </row>
        <row r="339">
          <cell r="J339">
            <v>-501.48957000000001</v>
          </cell>
        </row>
        <row r="340">
          <cell r="J340">
            <v>-502.79744000000005</v>
          </cell>
        </row>
        <row r="341">
          <cell r="J341">
            <v>-504.10541000000001</v>
          </cell>
        </row>
        <row r="342">
          <cell r="J342">
            <v>-505.41328999999996</v>
          </cell>
        </row>
        <row r="343">
          <cell r="J343">
            <v>-506.71917999999999</v>
          </cell>
        </row>
        <row r="344">
          <cell r="J344">
            <v>-508.02705999999995</v>
          </cell>
        </row>
        <row r="345">
          <cell r="J345">
            <v>-509.33496000000002</v>
          </cell>
        </row>
        <row r="346">
          <cell r="J346">
            <v>-510.64194999999995</v>
          </cell>
        </row>
        <row r="347">
          <cell r="J347">
            <v>-511.94984999999997</v>
          </cell>
        </row>
        <row r="348">
          <cell r="J348">
            <v>-513.25675000000001</v>
          </cell>
        </row>
        <row r="349">
          <cell r="J349">
            <v>-514.56466</v>
          </cell>
        </row>
        <row r="350">
          <cell r="J350">
            <v>-515.87166999999999</v>
          </cell>
        </row>
        <row r="351">
          <cell r="J351">
            <v>-517.17958999999996</v>
          </cell>
        </row>
        <row r="352">
          <cell r="J352">
            <v>-518.48650000000009</v>
          </cell>
        </row>
        <row r="353">
          <cell r="J353">
            <v>-519.79342999999994</v>
          </cell>
        </row>
        <row r="354">
          <cell r="J354">
            <v>-521.10145</v>
          </cell>
        </row>
        <row r="355">
          <cell r="J355">
            <v>-522.40938000000006</v>
          </cell>
        </row>
        <row r="356">
          <cell r="J356">
            <v>-523.71632</v>
          </cell>
        </row>
        <row r="357">
          <cell r="J357">
            <v>-525.02326000000005</v>
          </cell>
        </row>
        <row r="358">
          <cell r="J358">
            <v>-526.33129999999994</v>
          </cell>
        </row>
        <row r="359">
          <cell r="J359">
            <v>-527.63824999999997</v>
          </cell>
        </row>
        <row r="360">
          <cell r="J360">
            <v>-528.94619999999998</v>
          </cell>
        </row>
        <row r="361">
          <cell r="J361">
            <v>-530.2541500000001</v>
          </cell>
        </row>
        <row r="362">
          <cell r="J362">
            <v>-531.56131000000005</v>
          </cell>
        </row>
        <row r="363">
          <cell r="J363">
            <v>-532.86827000000005</v>
          </cell>
        </row>
        <row r="364">
          <cell r="J364">
            <v>-534.17624000000001</v>
          </cell>
        </row>
        <row r="365">
          <cell r="J365">
            <v>-535.48420999999996</v>
          </cell>
        </row>
        <row r="366">
          <cell r="J366">
            <v>-536.79128000000003</v>
          </cell>
        </row>
        <row r="367">
          <cell r="J367">
            <v>-538.09726000000001</v>
          </cell>
        </row>
        <row r="368">
          <cell r="J368">
            <v>-539.40624000000003</v>
          </cell>
        </row>
        <row r="369">
          <cell r="J369">
            <v>-540.71321999999998</v>
          </cell>
        </row>
        <row r="370">
          <cell r="J370">
            <v>-542.02030999999999</v>
          </cell>
        </row>
        <row r="371">
          <cell r="J371">
            <v>-543.32941000000005</v>
          </cell>
        </row>
        <row r="372">
          <cell r="J372">
            <v>-544.6354</v>
          </cell>
        </row>
        <row r="373">
          <cell r="J373">
            <v>-545.94240000000002</v>
          </cell>
        </row>
        <row r="374">
          <cell r="J374">
            <v>-547.25150999999994</v>
          </cell>
        </row>
        <row r="375">
          <cell r="J375">
            <v>-548.55852000000004</v>
          </cell>
        </row>
        <row r="376">
          <cell r="J376">
            <v>-549.86553000000004</v>
          </cell>
        </row>
        <row r="377">
          <cell r="J377">
            <v>-551.17464999999993</v>
          </cell>
        </row>
        <row r="378">
          <cell r="J378">
            <v>-552.48077000000001</v>
          </cell>
        </row>
        <row r="379">
          <cell r="J379">
            <v>-553.78778999999997</v>
          </cell>
        </row>
        <row r="380">
          <cell r="J380">
            <v>-555.09681999999998</v>
          </cell>
        </row>
        <row r="381">
          <cell r="J381">
            <v>-556.40385000000003</v>
          </cell>
        </row>
        <row r="382">
          <cell r="J382">
            <v>-557.71109000000001</v>
          </cell>
        </row>
        <row r="383">
          <cell r="J383">
            <v>-559.01913000000013</v>
          </cell>
        </row>
        <row r="384">
          <cell r="J384">
            <v>-560.32718</v>
          </cell>
        </row>
        <row r="385">
          <cell r="J385">
            <v>-561.63322000000005</v>
          </cell>
        </row>
        <row r="386">
          <cell r="J386">
            <v>-562.94147999999996</v>
          </cell>
        </row>
        <row r="387">
          <cell r="J387">
            <v>-564.24953000000005</v>
          </cell>
        </row>
        <row r="388">
          <cell r="J388">
            <v>-565.55595000000005</v>
          </cell>
        </row>
        <row r="389">
          <cell r="J389">
            <v>-566.86156000000005</v>
          </cell>
        </row>
        <row r="390">
          <cell r="J390">
            <v>-568.16706999999997</v>
          </cell>
        </row>
        <row r="391">
          <cell r="J391">
            <v>-569.47468000000003</v>
          </cell>
        </row>
        <row r="392">
          <cell r="J392">
            <v>-570.78019999999992</v>
          </cell>
        </row>
        <row r="393">
          <cell r="J393">
            <v>-572.08681999999999</v>
          </cell>
        </row>
        <row r="394">
          <cell r="J394">
            <v>-573.39244999999994</v>
          </cell>
        </row>
        <row r="395">
          <cell r="J395">
            <v>-574.69898000000001</v>
          </cell>
        </row>
        <row r="396">
          <cell r="J396">
            <v>-576.00560999999993</v>
          </cell>
        </row>
        <row r="397">
          <cell r="J397">
            <v>-577.31115</v>
          </cell>
        </row>
        <row r="398">
          <cell r="J398">
            <v>-578.61779000000001</v>
          </cell>
        </row>
        <row r="399">
          <cell r="J399">
            <v>-579.92434000000003</v>
          </cell>
        </row>
        <row r="400">
          <cell r="J400">
            <v>-581.23108999999999</v>
          </cell>
        </row>
        <row r="401">
          <cell r="J401">
            <v>-582.53773999999999</v>
          </cell>
        </row>
        <row r="402">
          <cell r="J402">
            <v>-583.84230000000002</v>
          </cell>
        </row>
        <row r="403">
          <cell r="J403">
            <v>-585.14895999999999</v>
          </cell>
        </row>
        <row r="404">
          <cell r="J404">
            <v>-586.45561999999995</v>
          </cell>
        </row>
        <row r="405">
          <cell r="J405">
            <v>-587.76219000000003</v>
          </cell>
        </row>
        <row r="406">
          <cell r="J406">
            <v>-589.06815000000006</v>
          </cell>
        </row>
        <row r="407">
          <cell r="J407">
            <v>-590.37167999999997</v>
          </cell>
        </row>
        <row r="408">
          <cell r="J408">
            <v>-591.67511999999999</v>
          </cell>
        </row>
        <row r="409">
          <cell r="J409">
            <v>-592.97956999999997</v>
          </cell>
        </row>
        <row r="410">
          <cell r="J410">
            <v>-594.28102000000001</v>
          </cell>
        </row>
        <row r="411">
          <cell r="J411">
            <v>-595.58556999999996</v>
          </cell>
        </row>
        <row r="412">
          <cell r="J412">
            <v>-596.88903000000005</v>
          </cell>
        </row>
        <row r="413">
          <cell r="J413">
            <v>-598.19248999999991</v>
          </cell>
        </row>
        <row r="414">
          <cell r="J414">
            <v>-599.49605999999994</v>
          </cell>
        </row>
        <row r="415">
          <cell r="J415">
            <v>-600.79953</v>
          </cell>
        </row>
        <row r="416">
          <cell r="J416">
            <v>-602.10299999999995</v>
          </cell>
        </row>
        <row r="417">
          <cell r="J417">
            <v>-603.40660000000003</v>
          </cell>
        </row>
        <row r="418">
          <cell r="J418">
            <v>-604.7111000000001</v>
          </cell>
        </row>
        <row r="419">
          <cell r="J419">
            <v>-606.01350000000002</v>
          </cell>
        </row>
        <row r="420">
          <cell r="J420">
            <v>-607.31799999999998</v>
          </cell>
        </row>
        <row r="421">
          <cell r="J421">
            <v>-608.62160000000006</v>
          </cell>
        </row>
        <row r="422">
          <cell r="J422">
            <v>-609.92420000000004</v>
          </cell>
        </row>
        <row r="423">
          <cell r="J423">
            <v>-611.22760000000005</v>
          </cell>
        </row>
        <row r="424">
          <cell r="J424">
            <v>-612.5322000000001</v>
          </cell>
        </row>
        <row r="425">
          <cell r="J425">
            <v>-613.83469999999988</v>
          </cell>
        </row>
        <row r="426">
          <cell r="J426">
            <v>-615.13940000000002</v>
          </cell>
        </row>
        <row r="427">
          <cell r="J427">
            <v>-616.44299999999998</v>
          </cell>
        </row>
        <row r="428">
          <cell r="J428">
            <v>-617.74450000000002</v>
          </cell>
        </row>
        <row r="429">
          <cell r="J429">
            <v>-619.0447999999999</v>
          </cell>
        </row>
        <row r="430">
          <cell r="J430">
            <v>-620.34619999999995</v>
          </cell>
        </row>
        <row r="431">
          <cell r="J431">
            <v>-621.64760000000001</v>
          </cell>
        </row>
        <row r="432">
          <cell r="J432">
            <v>-622.94910000000004</v>
          </cell>
        </row>
        <row r="433">
          <cell r="J433">
            <v>-624.25139999999999</v>
          </cell>
        </row>
        <row r="434">
          <cell r="J434">
            <v>-625.55079999999998</v>
          </cell>
        </row>
        <row r="435">
          <cell r="J435">
            <v>-626.85230000000001</v>
          </cell>
        </row>
        <row r="436">
          <cell r="J436">
            <v>-628.15470000000005</v>
          </cell>
        </row>
        <row r="437">
          <cell r="J437">
            <v>-629.45619999999997</v>
          </cell>
        </row>
        <row r="438">
          <cell r="J438">
            <v>-630.75559999999996</v>
          </cell>
        </row>
        <row r="439">
          <cell r="J439">
            <v>-632.05709999999999</v>
          </cell>
        </row>
        <row r="440">
          <cell r="J440">
            <v>-633.35940000000005</v>
          </cell>
        </row>
        <row r="441">
          <cell r="J441">
            <v>-634.66090000000008</v>
          </cell>
        </row>
        <row r="442">
          <cell r="J442">
            <v>-635.96050000000002</v>
          </cell>
        </row>
        <row r="443">
          <cell r="J443">
            <v>-637.26279999999997</v>
          </cell>
        </row>
        <row r="444">
          <cell r="J444">
            <v>-638.5643</v>
          </cell>
        </row>
        <row r="445">
          <cell r="J445">
            <v>-639.86480000000006</v>
          </cell>
        </row>
        <row r="446">
          <cell r="J446">
            <v>-641.16629999999998</v>
          </cell>
        </row>
        <row r="447">
          <cell r="J447">
            <v>-642.46769999999992</v>
          </cell>
        </row>
        <row r="448">
          <cell r="J448">
            <v>-643.76909999999998</v>
          </cell>
        </row>
        <row r="449">
          <cell r="J449">
            <v>-645.07069999999999</v>
          </cell>
        </row>
        <row r="450">
          <cell r="J450">
            <v>-646.37220000000002</v>
          </cell>
        </row>
        <row r="451">
          <cell r="J451">
            <v>-647.67259999999999</v>
          </cell>
        </row>
        <row r="452">
          <cell r="J452">
            <v>-648.9742</v>
          </cell>
        </row>
        <row r="453">
          <cell r="J453">
            <v>-650.27579999999989</v>
          </cell>
        </row>
        <row r="454">
          <cell r="J454">
            <v>-651.57719999999995</v>
          </cell>
        </row>
        <row r="455">
          <cell r="J455">
            <v>-652.8777</v>
          </cell>
        </row>
        <row r="456">
          <cell r="J456">
            <v>-654.17930000000001</v>
          </cell>
        </row>
        <row r="457">
          <cell r="J457">
            <v>-655.48080000000004</v>
          </cell>
        </row>
        <row r="458">
          <cell r="J458">
            <v>-656.78330000000005</v>
          </cell>
        </row>
        <row r="459">
          <cell r="J459">
            <v>-658.08389999999997</v>
          </cell>
        </row>
        <row r="460">
          <cell r="J460">
            <v>-659.38440000000003</v>
          </cell>
        </row>
        <row r="461">
          <cell r="J461">
            <v>-660.68689999999992</v>
          </cell>
        </row>
        <row r="462">
          <cell r="J462">
            <v>-661.98749999999995</v>
          </cell>
        </row>
        <row r="463">
          <cell r="J463">
            <v>-663.29009999999994</v>
          </cell>
        </row>
        <row r="464">
          <cell r="J464">
            <v>-664.59159999999997</v>
          </cell>
        </row>
        <row r="465">
          <cell r="J465">
            <v>-665.89110000000005</v>
          </cell>
        </row>
        <row r="466">
          <cell r="J466">
            <v>-667.19380000000001</v>
          </cell>
        </row>
        <row r="467">
          <cell r="J467">
            <v>-668.49530000000004</v>
          </cell>
        </row>
        <row r="468">
          <cell r="J468">
            <v>-669.79590000000007</v>
          </cell>
        </row>
        <row r="469">
          <cell r="J469">
            <v>-671.09750000000008</v>
          </cell>
        </row>
        <row r="470">
          <cell r="J470">
            <v>-672.3981</v>
          </cell>
        </row>
        <row r="471">
          <cell r="J471">
            <v>-673.70060000000001</v>
          </cell>
        </row>
        <row r="472">
          <cell r="J472">
            <v>-675.00229999999999</v>
          </cell>
        </row>
        <row r="473">
          <cell r="J473">
            <v>-676.30290000000002</v>
          </cell>
        </row>
        <row r="474">
          <cell r="J474">
            <v>-677.60450000000003</v>
          </cell>
        </row>
        <row r="475">
          <cell r="J475">
            <v>-678.90609999999992</v>
          </cell>
        </row>
        <row r="476">
          <cell r="J476">
            <v>-680.20670000000007</v>
          </cell>
        </row>
        <row r="477">
          <cell r="J477">
            <v>-681.50929999999994</v>
          </cell>
        </row>
        <row r="478">
          <cell r="J478">
            <v>-682.81000000000006</v>
          </cell>
        </row>
        <row r="479">
          <cell r="J479">
            <v>-684.11159999999995</v>
          </cell>
        </row>
        <row r="480">
          <cell r="J480">
            <v>-685.41330000000005</v>
          </cell>
        </row>
        <row r="481">
          <cell r="J481">
            <v>-686.71389999999997</v>
          </cell>
        </row>
        <row r="482">
          <cell r="J482">
            <v>-688.01479999999992</v>
          </cell>
        </row>
        <row r="483">
          <cell r="J483">
            <v>-689.31470000000013</v>
          </cell>
        </row>
        <row r="484">
          <cell r="J484">
            <v>-690.61559999999997</v>
          </cell>
        </row>
        <row r="485">
          <cell r="J485">
            <v>-691.91539999999998</v>
          </cell>
        </row>
        <row r="486">
          <cell r="J486">
            <v>-693.21519999999987</v>
          </cell>
        </row>
        <row r="487">
          <cell r="J487">
            <v>-694.51610000000005</v>
          </cell>
        </row>
        <row r="488">
          <cell r="J488">
            <v>-695.81590000000006</v>
          </cell>
        </row>
        <row r="489">
          <cell r="J489">
            <v>-697.11680000000001</v>
          </cell>
        </row>
        <row r="490">
          <cell r="J490">
            <v>-698.41669999999999</v>
          </cell>
        </row>
        <row r="491">
          <cell r="J491">
            <v>-699.71659999999997</v>
          </cell>
        </row>
        <row r="492">
          <cell r="J492">
            <v>-701.01850000000002</v>
          </cell>
        </row>
        <row r="493">
          <cell r="J493">
            <v>-702.31740000000002</v>
          </cell>
        </row>
        <row r="494">
          <cell r="J494">
            <v>-703.61829999999998</v>
          </cell>
        </row>
        <row r="495">
          <cell r="J495">
            <v>-704.91920000000005</v>
          </cell>
        </row>
        <row r="496">
          <cell r="J496">
            <v>-706.21910000000003</v>
          </cell>
        </row>
        <row r="497">
          <cell r="J497">
            <v>-707.52009999999996</v>
          </cell>
        </row>
        <row r="498">
          <cell r="J498">
            <v>-708.81889999999999</v>
          </cell>
        </row>
        <row r="499">
          <cell r="J499">
            <v>-710.12080000000014</v>
          </cell>
        </row>
        <row r="500">
          <cell r="J500">
            <v>-711.42070000000001</v>
          </cell>
        </row>
        <row r="501">
          <cell r="J501">
            <v>-712.72070000000008</v>
          </cell>
        </row>
        <row r="502">
          <cell r="J502">
            <v>-714.02060000000006</v>
          </cell>
        </row>
        <row r="503">
          <cell r="J503">
            <v>-715.32259999999997</v>
          </cell>
        </row>
        <row r="504">
          <cell r="J504">
            <v>-716.62249999999995</v>
          </cell>
        </row>
        <row r="505">
          <cell r="J505">
            <v>-717.92250000000001</v>
          </cell>
        </row>
        <row r="506">
          <cell r="J506">
            <v>-719.22239999999988</v>
          </cell>
        </row>
        <row r="507">
          <cell r="J507">
            <v>-720.52239999999995</v>
          </cell>
        </row>
        <row r="508">
          <cell r="J508">
            <v>-721.82439999999997</v>
          </cell>
        </row>
        <row r="509">
          <cell r="J509">
            <v>-723.12439999999992</v>
          </cell>
        </row>
        <row r="510">
          <cell r="J510">
            <v>-724.42420000000004</v>
          </cell>
        </row>
        <row r="511">
          <cell r="J511">
            <v>-725.72519999999986</v>
          </cell>
        </row>
        <row r="512">
          <cell r="J512">
            <v>-727.02419999999995</v>
          </cell>
        </row>
        <row r="513">
          <cell r="J513">
            <v>-728.32619999999997</v>
          </cell>
        </row>
        <row r="514">
          <cell r="J514">
            <v>-729.62619999999993</v>
          </cell>
        </row>
        <row r="515">
          <cell r="J515">
            <v>-730.92619999999999</v>
          </cell>
        </row>
        <row r="516">
          <cell r="J516">
            <v>-732.22720000000004</v>
          </cell>
        </row>
        <row r="517">
          <cell r="J517">
            <v>-733.52699999999993</v>
          </cell>
        </row>
        <row r="518">
          <cell r="J518">
            <v>-734.82580000000007</v>
          </cell>
        </row>
        <row r="519">
          <cell r="J519">
            <v>-736.1253999999999</v>
          </cell>
        </row>
        <row r="520">
          <cell r="J520">
            <v>-737.42520000000002</v>
          </cell>
        </row>
        <row r="521">
          <cell r="J521">
            <v>-738.72489999999993</v>
          </cell>
        </row>
        <row r="522">
          <cell r="J522">
            <v>-740.02480000000003</v>
          </cell>
        </row>
        <row r="523">
          <cell r="J523">
            <v>-741.32449999999994</v>
          </cell>
        </row>
        <row r="524">
          <cell r="J524">
            <v>-742.62419999999997</v>
          </cell>
        </row>
        <row r="525">
          <cell r="J525">
            <v>-743.92409999999995</v>
          </cell>
        </row>
        <row r="526">
          <cell r="J526">
            <v>-745.22280000000001</v>
          </cell>
        </row>
        <row r="527">
          <cell r="J527">
            <v>-746.52350000000001</v>
          </cell>
        </row>
        <row r="528">
          <cell r="J528">
            <v>-747.82240000000002</v>
          </cell>
        </row>
        <row r="529">
          <cell r="J529">
            <v>-749.12220000000002</v>
          </cell>
        </row>
        <row r="530">
          <cell r="J530">
            <v>-750.42190000000005</v>
          </cell>
        </row>
        <row r="531">
          <cell r="J531">
            <v>-751.72180000000003</v>
          </cell>
        </row>
        <row r="532">
          <cell r="J532">
            <v>-753.02160000000003</v>
          </cell>
        </row>
        <row r="533">
          <cell r="J533">
            <v>-754.32039999999995</v>
          </cell>
        </row>
        <row r="534">
          <cell r="J534">
            <v>-755.61920000000009</v>
          </cell>
        </row>
        <row r="535">
          <cell r="J535">
            <v>-756.92010000000005</v>
          </cell>
        </row>
        <row r="536">
          <cell r="J536">
            <v>-758.21890000000008</v>
          </cell>
        </row>
        <row r="537">
          <cell r="J537">
            <v>-759.51869999999997</v>
          </cell>
        </row>
        <row r="538">
          <cell r="J538">
            <v>-760.81860000000006</v>
          </cell>
        </row>
        <row r="539">
          <cell r="J539">
            <v>-762.11829999999998</v>
          </cell>
        </row>
        <row r="540">
          <cell r="J540">
            <v>-763.41800000000001</v>
          </cell>
        </row>
        <row r="541">
          <cell r="J541">
            <v>-764.71759999999995</v>
          </cell>
        </row>
        <row r="542">
          <cell r="J542">
            <v>-766.01790000000005</v>
          </cell>
        </row>
        <row r="543">
          <cell r="J543">
            <v>-767.31819999999993</v>
          </cell>
        </row>
        <row r="544">
          <cell r="J544">
            <v>-768.61650000000009</v>
          </cell>
        </row>
        <row r="545">
          <cell r="J545">
            <v>-769.91579999999999</v>
          </cell>
        </row>
        <row r="546">
          <cell r="J546">
            <v>-771.21489999999994</v>
          </cell>
        </row>
        <row r="547">
          <cell r="J547">
            <v>-772.51479999999992</v>
          </cell>
        </row>
        <row r="548">
          <cell r="J548">
            <v>-773.81169999999997</v>
          </cell>
        </row>
        <row r="549">
          <cell r="J549">
            <v>-775.11069999999995</v>
          </cell>
        </row>
        <row r="550">
          <cell r="J550">
            <v>-776.40959999999995</v>
          </cell>
        </row>
        <row r="551">
          <cell r="J551">
            <v>-777.70960000000002</v>
          </cell>
        </row>
        <row r="552">
          <cell r="J552">
            <v>-779.00649999999996</v>
          </cell>
        </row>
        <row r="553">
          <cell r="J553">
            <v>-780.30550000000005</v>
          </cell>
        </row>
        <row r="554">
          <cell r="J554">
            <v>-781.60449999999992</v>
          </cell>
        </row>
        <row r="555">
          <cell r="J555">
            <v>-782.90239999999994</v>
          </cell>
        </row>
        <row r="556">
          <cell r="J556">
            <v>-784.20339999999999</v>
          </cell>
        </row>
        <row r="557">
          <cell r="J557">
            <v>-785.50040000000001</v>
          </cell>
        </row>
        <row r="558">
          <cell r="J558">
            <v>-786.79840000000013</v>
          </cell>
        </row>
        <row r="559">
          <cell r="J559">
            <v>-788.09840000000008</v>
          </cell>
        </row>
        <row r="560">
          <cell r="J560">
            <v>-789.39629999999988</v>
          </cell>
        </row>
        <row r="561">
          <cell r="J561">
            <v>-790.6943</v>
          </cell>
        </row>
        <row r="562">
          <cell r="J562">
            <v>-791.99430000000007</v>
          </cell>
        </row>
        <row r="563">
          <cell r="J563">
            <v>-793.29230000000007</v>
          </cell>
        </row>
        <row r="564">
          <cell r="J564">
            <v>-794.59230000000002</v>
          </cell>
        </row>
        <row r="565">
          <cell r="J565">
            <v>-795.8913</v>
          </cell>
        </row>
        <row r="566">
          <cell r="J566">
            <v>-797.1884</v>
          </cell>
        </row>
        <row r="567">
          <cell r="J567">
            <v>-798.48739999999998</v>
          </cell>
        </row>
        <row r="568">
          <cell r="J568">
            <v>-799.78639999999996</v>
          </cell>
        </row>
        <row r="569">
          <cell r="J569">
            <v>-801.07100000000003</v>
          </cell>
        </row>
        <row r="570">
          <cell r="J570">
            <v>-802.34209999999996</v>
          </cell>
        </row>
        <row r="571">
          <cell r="J571">
            <v>-803.61320000000001</v>
          </cell>
        </row>
        <row r="572">
          <cell r="J572">
            <v>-804.88339999999994</v>
          </cell>
        </row>
        <row r="573">
          <cell r="J573">
            <v>-806.15550000000007</v>
          </cell>
        </row>
        <row r="574">
          <cell r="J574">
            <v>-807.42560000000003</v>
          </cell>
        </row>
        <row r="575">
          <cell r="J575">
            <v>-808.69780000000003</v>
          </cell>
        </row>
        <row r="576">
          <cell r="J576">
            <v>-809.96890000000008</v>
          </cell>
        </row>
        <row r="577">
          <cell r="J577">
            <v>-811.24009999999998</v>
          </cell>
        </row>
        <row r="578">
          <cell r="J578">
            <v>-812.51130000000001</v>
          </cell>
        </row>
        <row r="579">
          <cell r="J579">
            <v>-813.78340000000003</v>
          </cell>
        </row>
        <row r="580">
          <cell r="J580">
            <v>-815.05359999999996</v>
          </cell>
        </row>
        <row r="581">
          <cell r="J581">
            <v>-816.32579999999996</v>
          </cell>
        </row>
        <row r="582">
          <cell r="J582">
            <v>-817.59789999999998</v>
          </cell>
        </row>
        <row r="583">
          <cell r="J583">
            <v>-818.86709999999994</v>
          </cell>
        </row>
        <row r="584">
          <cell r="J584">
            <v>-820.13930000000005</v>
          </cell>
        </row>
        <row r="585">
          <cell r="J585">
            <v>-821.41049999999996</v>
          </cell>
        </row>
        <row r="586">
          <cell r="J586">
            <v>-822.68370000000004</v>
          </cell>
        </row>
        <row r="587">
          <cell r="J587">
            <v>-823.9529</v>
          </cell>
        </row>
        <row r="588">
          <cell r="J588">
            <v>-825.22509999999988</v>
          </cell>
        </row>
        <row r="589">
          <cell r="J589">
            <v>-826.49630000000002</v>
          </cell>
        </row>
        <row r="590">
          <cell r="J590">
            <v>-827.76649999999995</v>
          </cell>
        </row>
        <row r="591">
          <cell r="J591">
            <v>-829.03770000000009</v>
          </cell>
        </row>
        <row r="592">
          <cell r="J592">
            <v>-830.30989999999997</v>
          </cell>
        </row>
        <row r="593">
          <cell r="J593">
            <v>-831.58119999999997</v>
          </cell>
        </row>
        <row r="594">
          <cell r="J594">
            <v>-832.85140000000001</v>
          </cell>
        </row>
        <row r="595">
          <cell r="J595">
            <v>-834.12360000000001</v>
          </cell>
        </row>
        <row r="596">
          <cell r="J596">
            <v>-835.39379999999994</v>
          </cell>
        </row>
        <row r="597">
          <cell r="J597">
            <v>-836.6671</v>
          </cell>
        </row>
        <row r="598">
          <cell r="J598">
            <v>-837.93730000000005</v>
          </cell>
        </row>
        <row r="599">
          <cell r="J599">
            <v>-839.20960000000002</v>
          </cell>
        </row>
        <row r="600">
          <cell r="J600">
            <v>-840.47980000000007</v>
          </cell>
        </row>
        <row r="601">
          <cell r="J601">
            <v>-841.75109999999995</v>
          </cell>
        </row>
        <row r="602">
          <cell r="J602">
            <v>-843.02230000000009</v>
          </cell>
        </row>
        <row r="603">
          <cell r="J603">
            <v>-844.29459999999995</v>
          </cell>
        </row>
        <row r="604">
          <cell r="J604">
            <v>-845.56680000000006</v>
          </cell>
        </row>
        <row r="605">
          <cell r="J605">
            <v>-846.83609999999999</v>
          </cell>
        </row>
        <row r="606">
          <cell r="J606">
            <v>-848.10839999999996</v>
          </cell>
        </row>
        <row r="607">
          <cell r="J607">
            <v>-849.37970000000007</v>
          </cell>
        </row>
        <row r="608">
          <cell r="J608">
            <v>-850.65189999999996</v>
          </cell>
        </row>
        <row r="609">
          <cell r="J609">
            <v>-851.92219999999998</v>
          </cell>
        </row>
        <row r="610">
          <cell r="J610">
            <v>-853.17770000000007</v>
          </cell>
        </row>
        <row r="611">
          <cell r="J611">
            <v>-854.42259999999987</v>
          </cell>
        </row>
        <row r="612">
          <cell r="J612">
            <v>-855.66740000000004</v>
          </cell>
        </row>
        <row r="613">
          <cell r="J613">
            <v>-856.91229999999996</v>
          </cell>
        </row>
        <row r="614">
          <cell r="J614">
            <v>-858.15819999999997</v>
          </cell>
        </row>
        <row r="615">
          <cell r="J615">
            <v>-859.40110000000004</v>
          </cell>
        </row>
        <row r="616">
          <cell r="J616">
            <v>-860.64499999999998</v>
          </cell>
        </row>
        <row r="617">
          <cell r="J617">
            <v>-861.88920000000007</v>
          </cell>
        </row>
        <row r="618">
          <cell r="J618">
            <v>-863.13330000000008</v>
          </cell>
        </row>
        <row r="619">
          <cell r="J619">
            <v>-864.37750000000005</v>
          </cell>
        </row>
        <row r="620">
          <cell r="J620">
            <v>-865.61790000000008</v>
          </cell>
        </row>
        <row r="621">
          <cell r="J621">
            <v>-866.84249999999986</v>
          </cell>
        </row>
        <row r="622">
          <cell r="J622">
            <v>-868.06719999999996</v>
          </cell>
        </row>
        <row r="623">
          <cell r="J623">
            <v>-869.28989999999999</v>
          </cell>
        </row>
        <row r="624">
          <cell r="J624">
            <v>-870.49699999999996</v>
          </cell>
        </row>
        <row r="625">
          <cell r="J625">
            <v>-871.63270000000011</v>
          </cell>
        </row>
        <row r="626">
          <cell r="J626">
            <v>-872.76949999999988</v>
          </cell>
        </row>
        <row r="627">
          <cell r="J627">
            <v>-873.90629999999999</v>
          </cell>
        </row>
        <row r="628">
          <cell r="J628">
            <v>-875.04309999999998</v>
          </cell>
        </row>
        <row r="629">
          <cell r="J629">
            <v>-876.1789</v>
          </cell>
        </row>
        <row r="630">
          <cell r="J630">
            <v>-877.31470000000013</v>
          </cell>
        </row>
        <row r="631">
          <cell r="J631">
            <v>-878.4514999999999</v>
          </cell>
        </row>
        <row r="632">
          <cell r="J632">
            <v>-879.58730000000003</v>
          </cell>
        </row>
        <row r="633">
          <cell r="J633">
            <v>-880.72410000000002</v>
          </cell>
        </row>
        <row r="634">
          <cell r="J634">
            <v>-881.8608999999999</v>
          </cell>
        </row>
        <row r="635">
          <cell r="J635">
            <v>-882.99670000000003</v>
          </cell>
        </row>
        <row r="636">
          <cell r="J636">
            <v>-884.13350000000014</v>
          </cell>
        </row>
        <row r="637">
          <cell r="J637">
            <v>-885.2684999999999</v>
          </cell>
        </row>
        <row r="638">
          <cell r="J638">
            <v>-886.28690000000006</v>
          </cell>
        </row>
        <row r="639">
          <cell r="J639">
            <v>-887.28989999999999</v>
          </cell>
        </row>
        <row r="640">
          <cell r="J640">
            <v>-888.29090000000008</v>
          </cell>
        </row>
        <row r="641">
          <cell r="J641">
            <v>-889.29279999999994</v>
          </cell>
        </row>
        <row r="642">
          <cell r="J642">
            <v>-890.29579999999999</v>
          </cell>
        </row>
        <row r="643">
          <cell r="J643">
            <v>-891.29679999999996</v>
          </cell>
        </row>
        <row r="644">
          <cell r="J644">
            <v>-892.29880000000003</v>
          </cell>
        </row>
        <row r="645">
          <cell r="J645">
            <v>-893.30080000000009</v>
          </cell>
        </row>
        <row r="646">
          <cell r="J646">
            <v>-894.30270000000007</v>
          </cell>
        </row>
        <row r="647">
          <cell r="J647">
            <v>-895.30470000000003</v>
          </cell>
        </row>
        <row r="648">
          <cell r="J648">
            <v>-896.30470000000003</v>
          </cell>
        </row>
        <row r="649">
          <cell r="J649">
            <v>-897.29060000000004</v>
          </cell>
        </row>
        <row r="650">
          <cell r="J650">
            <v>-898.27639999999997</v>
          </cell>
        </row>
        <row r="651">
          <cell r="J651">
            <v>-899.2623000000001</v>
          </cell>
        </row>
        <row r="652">
          <cell r="J652">
            <v>-900.24719999999991</v>
          </cell>
        </row>
        <row r="653">
          <cell r="J653">
            <v>-901.23299999999995</v>
          </cell>
        </row>
        <row r="654">
          <cell r="J654">
            <v>-902.21889999999996</v>
          </cell>
        </row>
        <row r="655">
          <cell r="J655">
            <v>-903.20370000000014</v>
          </cell>
        </row>
        <row r="656">
          <cell r="J656">
            <v>-904.18940000000009</v>
          </cell>
        </row>
        <row r="657">
          <cell r="J657">
            <v>-905.17400000000009</v>
          </cell>
        </row>
        <row r="658">
          <cell r="J658">
            <v>-906.15970000000004</v>
          </cell>
        </row>
        <row r="659">
          <cell r="J659">
            <v>-907.12080000000003</v>
          </cell>
        </row>
        <row r="660">
          <cell r="J660">
            <v>-908.06669999999997</v>
          </cell>
        </row>
        <row r="661">
          <cell r="J661">
            <v>-909.01160000000004</v>
          </cell>
        </row>
        <row r="662">
          <cell r="J662">
            <v>-909.95749999999998</v>
          </cell>
        </row>
        <row r="663">
          <cell r="J663">
            <v>-910.90340000000003</v>
          </cell>
        </row>
        <row r="664">
          <cell r="J664">
            <v>-911.84829999999999</v>
          </cell>
        </row>
        <row r="665">
          <cell r="J665">
            <v>-912.79419999999993</v>
          </cell>
        </row>
        <row r="666">
          <cell r="J666">
            <v>-913.73909999999989</v>
          </cell>
        </row>
        <row r="667">
          <cell r="J667">
            <v>-914.68509999999992</v>
          </cell>
        </row>
        <row r="668">
          <cell r="J668">
            <v>-915.63000000000011</v>
          </cell>
        </row>
        <row r="669">
          <cell r="J669">
            <v>-916.57490000000007</v>
          </cell>
        </row>
        <row r="670">
          <cell r="J670">
            <v>-917.51980000000003</v>
          </cell>
        </row>
        <row r="671">
          <cell r="J671">
            <v>-918.46679999999992</v>
          </cell>
        </row>
        <row r="672">
          <cell r="J672">
            <v>-919.41069999999991</v>
          </cell>
        </row>
        <row r="673">
          <cell r="J673">
            <v>-920.35670000000005</v>
          </cell>
        </row>
        <row r="674">
          <cell r="J674">
            <v>-921.30359999999996</v>
          </cell>
        </row>
        <row r="675">
          <cell r="J675">
            <v>-922.24760000000003</v>
          </cell>
        </row>
        <row r="676">
          <cell r="J676">
            <v>-923.19349999999997</v>
          </cell>
        </row>
        <row r="677">
          <cell r="J677">
            <v>-924.13949999999988</v>
          </cell>
        </row>
        <row r="678">
          <cell r="J678">
            <v>-925.08219999999994</v>
          </cell>
        </row>
        <row r="679">
          <cell r="J679">
            <v>-926.02379999999994</v>
          </cell>
        </row>
        <row r="680">
          <cell r="J680">
            <v>-926.9665</v>
          </cell>
        </row>
        <row r="681">
          <cell r="J681">
            <v>-927.90170000000001</v>
          </cell>
        </row>
        <row r="682">
          <cell r="J682">
            <v>-928.82569999999998</v>
          </cell>
        </row>
        <row r="683">
          <cell r="J683">
            <v>-929.74770000000012</v>
          </cell>
        </row>
        <row r="684">
          <cell r="J684">
            <v>-930.6706999999999</v>
          </cell>
        </row>
        <row r="685">
          <cell r="J685">
            <v>-931.5927999999999</v>
          </cell>
        </row>
        <row r="686">
          <cell r="J686">
            <v>-932.51480000000004</v>
          </cell>
        </row>
        <row r="687">
          <cell r="J687">
            <v>-933.43680000000006</v>
          </cell>
        </row>
        <row r="688">
          <cell r="J688">
            <v>-934.35889999999995</v>
          </cell>
        </row>
        <row r="689">
          <cell r="J689">
            <v>-935.28189999999995</v>
          </cell>
        </row>
        <row r="690">
          <cell r="J690">
            <v>-936.12549999999999</v>
          </cell>
        </row>
        <row r="691">
          <cell r="J691">
            <v>-936.86940000000004</v>
          </cell>
        </row>
        <row r="692">
          <cell r="J692">
            <v>-937.61339999999996</v>
          </cell>
        </row>
        <row r="693">
          <cell r="J693">
            <v>-938.35739999999998</v>
          </cell>
        </row>
        <row r="694">
          <cell r="J694">
            <v>-939.10220000000004</v>
          </cell>
        </row>
        <row r="695">
          <cell r="J695">
            <v>-939.84339999999997</v>
          </cell>
        </row>
        <row r="696">
          <cell r="J696">
            <v>-940.5548</v>
          </cell>
        </row>
        <row r="697">
          <cell r="J697">
            <v>-941.24450000000002</v>
          </cell>
        </row>
        <row r="698">
          <cell r="J698">
            <v>-941.93419999999992</v>
          </cell>
        </row>
        <row r="699">
          <cell r="J699">
            <v>-942.62189999999998</v>
          </cell>
        </row>
        <row r="700">
          <cell r="J700">
            <v>-943.31150000000002</v>
          </cell>
        </row>
        <row r="701">
          <cell r="J701">
            <v>-944.00019999999995</v>
          </cell>
        </row>
        <row r="702">
          <cell r="J702">
            <v>-944.68990000000008</v>
          </cell>
        </row>
        <row r="703">
          <cell r="J703">
            <v>-945.37959999999998</v>
          </cell>
        </row>
        <row r="704">
          <cell r="J704">
            <v>-946.06830000000002</v>
          </cell>
        </row>
        <row r="705">
          <cell r="J705">
            <v>-946.75699999999995</v>
          </cell>
        </row>
        <row r="706">
          <cell r="J706">
            <v>-947.44669999999996</v>
          </cell>
        </row>
        <row r="707">
          <cell r="J707">
            <v>-948.13639999999998</v>
          </cell>
        </row>
        <row r="708">
          <cell r="J708">
            <v>-948.8261</v>
          </cell>
        </row>
        <row r="709">
          <cell r="J709">
            <v>-949.51389999999992</v>
          </cell>
        </row>
        <row r="710">
          <cell r="J710">
            <v>-950.20259999999996</v>
          </cell>
        </row>
        <row r="711">
          <cell r="J711">
            <v>-950.89229999999998</v>
          </cell>
        </row>
        <row r="712">
          <cell r="J712">
            <v>-951.55460000000005</v>
          </cell>
        </row>
        <row r="713">
          <cell r="J713">
            <v>-952.21789999999999</v>
          </cell>
        </row>
        <row r="714">
          <cell r="J714">
            <v>-952.87689999999998</v>
          </cell>
        </row>
        <row r="715">
          <cell r="J715">
            <v>-953.53489999999988</v>
          </cell>
        </row>
        <row r="716">
          <cell r="J716">
            <v>-954.1948000000001</v>
          </cell>
        </row>
        <row r="717">
          <cell r="J717">
            <v>-954.85280000000012</v>
          </cell>
        </row>
        <row r="718">
          <cell r="J718">
            <v>-955.51279999999997</v>
          </cell>
        </row>
        <row r="719">
          <cell r="J719">
            <v>-956.16980000000001</v>
          </cell>
        </row>
        <row r="720">
          <cell r="J720">
            <v>-956.82780000000002</v>
          </cell>
        </row>
        <row r="721">
          <cell r="J721">
            <v>-957.48779999999999</v>
          </cell>
        </row>
        <row r="722">
          <cell r="J722">
            <v>-958.14580000000001</v>
          </cell>
        </row>
        <row r="723">
          <cell r="J723">
            <v>-958.80480000000011</v>
          </cell>
        </row>
        <row r="724">
          <cell r="J724">
            <v>-959.46180000000004</v>
          </cell>
        </row>
        <row r="725">
          <cell r="J725">
            <v>-960.12289999999996</v>
          </cell>
        </row>
        <row r="726">
          <cell r="J726">
            <v>-960.78089999999997</v>
          </cell>
        </row>
        <row r="727">
          <cell r="J727">
            <v>-961.43889999999999</v>
          </cell>
        </row>
        <row r="728">
          <cell r="J728">
            <v>-962.09889999999996</v>
          </cell>
        </row>
        <row r="729">
          <cell r="J729">
            <v>-962.75589999999988</v>
          </cell>
        </row>
        <row r="730">
          <cell r="J730">
            <v>-963.41600000000005</v>
          </cell>
        </row>
        <row r="731">
          <cell r="J731">
            <v>-964.07300000000009</v>
          </cell>
        </row>
        <row r="732">
          <cell r="J732">
            <v>-964.73199999999997</v>
          </cell>
        </row>
        <row r="733">
          <cell r="J733">
            <v>-965.39009999999996</v>
          </cell>
        </row>
        <row r="734">
          <cell r="J734">
            <v>-966.03800000000001</v>
          </cell>
        </row>
        <row r="735">
          <cell r="J735">
            <v>-966.68389999999999</v>
          </cell>
        </row>
        <row r="736">
          <cell r="J736">
            <v>-967.3297</v>
          </cell>
        </row>
        <row r="737">
          <cell r="J737">
            <v>-967.9745999999999</v>
          </cell>
        </row>
        <row r="738">
          <cell r="J738">
            <v>-968.62249999999995</v>
          </cell>
        </row>
        <row r="739">
          <cell r="J739">
            <v>-969.26939999999991</v>
          </cell>
        </row>
        <row r="740">
          <cell r="J740">
            <v>-969.91529999999989</v>
          </cell>
        </row>
        <row r="741">
          <cell r="J741">
            <v>-970.56020000000001</v>
          </cell>
        </row>
        <row r="742">
          <cell r="J742">
            <v>-971.20600000000002</v>
          </cell>
        </row>
        <row r="743">
          <cell r="J743">
            <v>-971.85289999999998</v>
          </cell>
        </row>
        <row r="744">
          <cell r="J744">
            <v>-972.49679999999989</v>
          </cell>
        </row>
        <row r="745">
          <cell r="J745">
            <v>-973.1427000000001</v>
          </cell>
        </row>
        <row r="746">
          <cell r="J746">
            <v>-973.78859999999997</v>
          </cell>
        </row>
        <row r="747">
          <cell r="J747">
            <v>-974.43229999999994</v>
          </cell>
        </row>
        <row r="748">
          <cell r="J748">
            <v>-975.07590000000016</v>
          </cell>
        </row>
        <row r="749">
          <cell r="J749">
            <v>-975.71760000000006</v>
          </cell>
        </row>
        <row r="750">
          <cell r="J750">
            <v>-976.36019999999996</v>
          </cell>
        </row>
        <row r="751">
          <cell r="J751">
            <v>-977.00389999999993</v>
          </cell>
        </row>
        <row r="752">
          <cell r="J752">
            <v>-977.64560000000006</v>
          </cell>
        </row>
        <row r="753">
          <cell r="J753">
            <v>-978.28820000000007</v>
          </cell>
        </row>
        <row r="754">
          <cell r="J754">
            <v>-978.93090000000007</v>
          </cell>
        </row>
        <row r="755">
          <cell r="J755">
            <v>-979.57360000000006</v>
          </cell>
        </row>
        <row r="756">
          <cell r="J756">
            <v>-980.21629999999993</v>
          </cell>
        </row>
        <row r="757">
          <cell r="J757">
            <v>-980.85989999999993</v>
          </cell>
        </row>
        <row r="758">
          <cell r="J758">
            <v>-981.50260000000003</v>
          </cell>
        </row>
        <row r="759">
          <cell r="J759">
            <v>-982.14530000000002</v>
          </cell>
        </row>
        <row r="760">
          <cell r="J760">
            <v>-982.78800000000001</v>
          </cell>
        </row>
        <row r="761">
          <cell r="J761">
            <v>-983.4307</v>
          </cell>
        </row>
        <row r="762">
          <cell r="J762">
            <v>-984.0723999999999</v>
          </cell>
        </row>
        <row r="763">
          <cell r="J763">
            <v>-984.71509999999989</v>
          </cell>
        </row>
        <row r="764">
          <cell r="J764">
            <v>-985.35979999999995</v>
          </cell>
        </row>
        <row r="765">
          <cell r="J765">
            <v>-986.00150000000008</v>
          </cell>
        </row>
        <row r="766">
          <cell r="J766">
            <v>-986.64419999999996</v>
          </cell>
        </row>
        <row r="767">
          <cell r="J767">
            <v>-987.28689999999995</v>
          </cell>
        </row>
        <row r="768">
          <cell r="J768">
            <v>-987.93059999999991</v>
          </cell>
        </row>
        <row r="769">
          <cell r="J769">
            <v>-988.57129999999995</v>
          </cell>
        </row>
        <row r="770">
          <cell r="J770">
            <v>-989.21500000000003</v>
          </cell>
        </row>
        <row r="771">
          <cell r="J771">
            <v>-989.85680000000002</v>
          </cell>
        </row>
        <row r="772">
          <cell r="J772">
            <v>-990.50049999999999</v>
          </cell>
        </row>
        <row r="773">
          <cell r="J773">
            <v>-991.14319999999998</v>
          </cell>
        </row>
        <row r="774">
          <cell r="J774">
            <v>-991.78690000000006</v>
          </cell>
        </row>
        <row r="775">
          <cell r="J775">
            <v>-992.42869999999994</v>
          </cell>
        </row>
        <row r="776">
          <cell r="J776">
            <v>-993.07139999999993</v>
          </cell>
        </row>
        <row r="777">
          <cell r="J777">
            <v>-993.71309999999994</v>
          </cell>
        </row>
        <row r="778">
          <cell r="J778">
            <v>-994.3569</v>
          </cell>
        </row>
        <row r="779">
          <cell r="J779">
            <v>-994.9996000000001</v>
          </cell>
        </row>
        <row r="780">
          <cell r="J780">
            <v>-995.64240000000007</v>
          </cell>
        </row>
        <row r="781">
          <cell r="J781">
            <v>-996.28509999999994</v>
          </cell>
        </row>
        <row r="782">
          <cell r="J782">
            <v>-996.92790000000002</v>
          </cell>
        </row>
        <row r="783">
          <cell r="J783">
            <v>-997.52140000000009</v>
          </cell>
        </row>
        <row r="784">
          <cell r="J784">
            <v>-998.09900000000005</v>
          </cell>
        </row>
        <row r="785">
          <cell r="J785">
            <v>-998.6767000000001</v>
          </cell>
        </row>
        <row r="786">
          <cell r="J786">
            <v>-999.22320000000002</v>
          </cell>
        </row>
        <row r="787">
          <cell r="J787">
            <v>-999.76229999999987</v>
          </cell>
        </row>
        <row r="788">
          <cell r="J788">
            <v>-1000.3015</v>
          </cell>
        </row>
        <row r="789">
          <cell r="J789">
            <v>-1000.8416999999999</v>
          </cell>
        </row>
        <row r="790">
          <cell r="J790">
            <v>-1001.3808</v>
          </cell>
        </row>
        <row r="791">
          <cell r="J791">
            <v>-1001.921</v>
          </cell>
        </row>
        <row r="792">
          <cell r="J792">
            <v>-1002.4602</v>
          </cell>
        </row>
        <row r="793">
          <cell r="J793">
            <v>-1003.0003999999999</v>
          </cell>
        </row>
        <row r="794">
          <cell r="J794">
            <v>-1003.5406</v>
          </cell>
        </row>
        <row r="795">
          <cell r="J795">
            <v>-1004.0808</v>
          </cell>
        </row>
        <row r="796">
          <cell r="J796">
            <v>-1004.6190000000001</v>
          </cell>
        </row>
        <row r="797">
          <cell r="J797">
            <v>-1005.1580999999999</v>
          </cell>
        </row>
        <row r="798">
          <cell r="J798">
            <v>-1005.6973</v>
          </cell>
        </row>
        <row r="799">
          <cell r="J799">
            <v>-1006.2354999999999</v>
          </cell>
        </row>
        <row r="800">
          <cell r="J800">
            <v>-1006.7737</v>
          </cell>
        </row>
        <row r="801">
          <cell r="J801">
            <v>-1007.3129000000001</v>
          </cell>
        </row>
        <row r="802">
          <cell r="J802">
            <v>-1007.8521000000001</v>
          </cell>
        </row>
        <row r="803">
          <cell r="J803">
            <v>-1008.3913</v>
          </cell>
        </row>
        <row r="804">
          <cell r="J804">
            <v>-1008.9306</v>
          </cell>
        </row>
        <row r="805">
          <cell r="J805">
            <v>-1009.4688000000001</v>
          </cell>
        </row>
        <row r="806">
          <cell r="J806">
            <v>-1010.0081</v>
          </cell>
        </row>
        <row r="807">
          <cell r="J807">
            <v>-1010.5463999999999</v>
          </cell>
        </row>
        <row r="808">
          <cell r="J808">
            <v>-1011.0846000000001</v>
          </cell>
        </row>
        <row r="809">
          <cell r="J809">
            <v>-1011.6228999999998</v>
          </cell>
        </row>
        <row r="810">
          <cell r="J810">
            <v>-1012.1612</v>
          </cell>
        </row>
        <row r="811">
          <cell r="J811">
            <v>-1012.6994999999999</v>
          </cell>
        </row>
        <row r="812">
          <cell r="J812">
            <v>-1013.2378000000001</v>
          </cell>
        </row>
        <row r="813">
          <cell r="J813">
            <v>-1013.7770999999999</v>
          </cell>
        </row>
        <row r="814">
          <cell r="J814">
            <v>-1014.3154</v>
          </cell>
        </row>
        <row r="815">
          <cell r="J815">
            <v>-1014.8537000000001</v>
          </cell>
        </row>
        <row r="816">
          <cell r="J816">
            <v>-1015.3920000000001</v>
          </cell>
        </row>
        <row r="817">
          <cell r="J817">
            <v>-1015.9313</v>
          </cell>
        </row>
        <row r="818">
          <cell r="J818">
            <v>-1016.4696</v>
          </cell>
        </row>
        <row r="819">
          <cell r="J819">
            <v>-1017.0078999999999</v>
          </cell>
        </row>
        <row r="820">
          <cell r="J820">
            <v>-1017.5462</v>
          </cell>
        </row>
        <row r="821">
          <cell r="J821">
            <v>-1018.0855</v>
          </cell>
        </row>
        <row r="822">
          <cell r="J822">
            <v>-1018.6248000000001</v>
          </cell>
        </row>
        <row r="823">
          <cell r="J823">
            <v>-1019.1622</v>
          </cell>
        </row>
        <row r="824">
          <cell r="J824">
            <v>-1019.7005</v>
          </cell>
        </row>
        <row r="825">
          <cell r="J825">
            <v>-1020.2398000000001</v>
          </cell>
        </row>
        <row r="826">
          <cell r="J826">
            <v>-1020.7781</v>
          </cell>
        </row>
        <row r="827">
          <cell r="J827">
            <v>-1021.3113</v>
          </cell>
        </row>
        <row r="828">
          <cell r="J828">
            <v>-1021.8464</v>
          </cell>
        </row>
        <row r="829">
          <cell r="J829">
            <v>-1022.3806</v>
          </cell>
        </row>
        <row r="830">
          <cell r="J830">
            <v>-1022.9157</v>
          </cell>
        </row>
        <row r="831">
          <cell r="J831">
            <v>-1023.4489</v>
          </cell>
        </row>
        <row r="832">
          <cell r="J832">
            <v>-1023.9841</v>
          </cell>
        </row>
        <row r="833">
          <cell r="J833">
            <v>-1024.5183</v>
          </cell>
        </row>
        <row r="834">
          <cell r="J834">
            <v>-1025.0525</v>
          </cell>
        </row>
        <row r="835">
          <cell r="J835">
            <v>-1025.5865999999999</v>
          </cell>
        </row>
        <row r="836">
          <cell r="J836">
            <v>-1026.1208000000001</v>
          </cell>
        </row>
        <row r="837">
          <cell r="J837">
            <v>-1026.654</v>
          </cell>
        </row>
        <row r="838">
          <cell r="J838">
            <v>-1027.1892</v>
          </cell>
        </row>
        <row r="839">
          <cell r="J839">
            <v>-1027.7233999999999</v>
          </cell>
        </row>
        <row r="840">
          <cell r="J840">
            <v>-1028.2585999999999</v>
          </cell>
        </row>
        <row r="841">
          <cell r="J841">
            <v>-1028.7938000000001</v>
          </cell>
        </row>
        <row r="842">
          <cell r="J842">
            <v>-1029.327</v>
          </cell>
        </row>
        <row r="843">
          <cell r="J843">
            <v>-1029.8622</v>
          </cell>
        </row>
        <row r="844">
          <cell r="J844">
            <v>-1030.3964000000001</v>
          </cell>
        </row>
        <row r="845">
          <cell r="J845">
            <v>-1030.9315999999999</v>
          </cell>
        </row>
        <row r="846">
          <cell r="J846">
            <v>-1031.4648999999999</v>
          </cell>
        </row>
        <row r="847">
          <cell r="J847">
            <v>-1032.0001</v>
          </cell>
        </row>
        <row r="848">
          <cell r="J848">
            <v>-1032.5343</v>
          </cell>
        </row>
        <row r="849">
          <cell r="J849">
            <v>-1033.0675000000001</v>
          </cell>
        </row>
        <row r="850">
          <cell r="J850">
            <v>-1033.6027999999999</v>
          </cell>
        </row>
        <row r="851">
          <cell r="J851">
            <v>-1034.1370000000002</v>
          </cell>
        </row>
        <row r="852">
          <cell r="J852">
            <v>-1034.6712</v>
          </cell>
        </row>
        <row r="853">
          <cell r="J853">
            <v>-1035.2065</v>
          </cell>
        </row>
        <row r="854">
          <cell r="J854">
            <v>-1035.7417</v>
          </cell>
        </row>
        <row r="855">
          <cell r="J855">
            <v>-1036.2759999999998</v>
          </cell>
        </row>
        <row r="856">
          <cell r="J856">
            <v>-1036.8112000000001</v>
          </cell>
        </row>
        <row r="857">
          <cell r="J857">
            <v>-1037.3444999999999</v>
          </cell>
        </row>
        <row r="858">
          <cell r="J858">
            <v>-1037.8797</v>
          </cell>
        </row>
        <row r="859">
          <cell r="J859">
            <v>-1038.413</v>
          </cell>
        </row>
        <row r="860">
          <cell r="J860">
            <v>-1038.9461999999999</v>
          </cell>
        </row>
        <row r="861">
          <cell r="J861">
            <v>-1039.4825000000001</v>
          </cell>
        </row>
        <row r="862">
          <cell r="J862">
            <v>-1040.0158000000001</v>
          </cell>
        </row>
        <row r="863">
          <cell r="J863">
            <v>-1040.5510999999999</v>
          </cell>
        </row>
        <row r="864">
          <cell r="J864">
            <v>-1041.0853</v>
          </cell>
        </row>
        <row r="865">
          <cell r="J865">
            <v>-1041.6206</v>
          </cell>
        </row>
        <row r="866">
          <cell r="J866">
            <v>-1042.1549</v>
          </cell>
        </row>
        <row r="867">
          <cell r="J867">
            <v>-1042.6902</v>
          </cell>
        </row>
        <row r="868">
          <cell r="J868">
            <v>-1043.2235000000001</v>
          </cell>
        </row>
        <row r="869">
          <cell r="J869">
            <v>-1043.7576999999999</v>
          </cell>
        </row>
        <row r="870">
          <cell r="J870">
            <v>-1044.2929999999999</v>
          </cell>
        </row>
        <row r="871">
          <cell r="J871">
            <v>-1044.8272999999999</v>
          </cell>
        </row>
        <row r="872">
          <cell r="J872">
            <v>-1045.3606</v>
          </cell>
        </row>
        <row r="873">
          <cell r="J873">
            <v>-1045.8949</v>
          </cell>
        </row>
        <row r="874">
          <cell r="J874">
            <v>-1046.4302</v>
          </cell>
        </row>
        <row r="875">
          <cell r="J875">
            <v>-1046.9646</v>
          </cell>
        </row>
        <row r="876">
          <cell r="J876">
            <v>-1047.4999</v>
          </cell>
        </row>
        <row r="877">
          <cell r="J877">
            <v>-1048.0342000000001</v>
          </cell>
        </row>
        <row r="878">
          <cell r="J878">
            <v>-1048.5684999999999</v>
          </cell>
        </row>
        <row r="879">
          <cell r="J879">
            <v>-1049.1037999999999</v>
          </cell>
        </row>
        <row r="880">
          <cell r="J880">
            <v>-1049.6370999999999</v>
          </cell>
        </row>
        <row r="881">
          <cell r="J881">
            <v>-1050.1704</v>
          </cell>
        </row>
        <row r="882">
          <cell r="J882">
            <v>-1050.6380999999999</v>
          </cell>
        </row>
        <row r="883">
          <cell r="J883">
            <v>-1051.1069</v>
          </cell>
        </row>
        <row r="884">
          <cell r="J884">
            <v>-1051.5745999999999</v>
          </cell>
        </row>
        <row r="885">
          <cell r="J885">
            <v>-1052.0412999999999</v>
          </cell>
        </row>
        <row r="886">
          <cell r="J886">
            <v>-1052.51</v>
          </cell>
        </row>
        <row r="887">
          <cell r="J887">
            <v>-1052.9766999999999</v>
          </cell>
        </row>
        <row r="888">
          <cell r="J888">
            <v>-1053.4455000000003</v>
          </cell>
        </row>
        <row r="889">
          <cell r="J889">
            <v>-1053.9122</v>
          </cell>
        </row>
        <row r="890">
          <cell r="J890">
            <v>-1054.3808999999999</v>
          </cell>
        </row>
        <row r="891">
          <cell r="J891">
            <v>-1054.8487</v>
          </cell>
        </row>
        <row r="892">
          <cell r="J892">
            <v>-1055.3163999999999</v>
          </cell>
        </row>
        <row r="893">
          <cell r="J893">
            <v>-1055.7831000000001</v>
          </cell>
        </row>
        <row r="894">
          <cell r="J894">
            <v>-1056.2509</v>
          </cell>
        </row>
        <row r="895">
          <cell r="J895">
            <v>-1056.7195999999999</v>
          </cell>
        </row>
        <row r="896">
          <cell r="J896">
            <v>-1057.1884</v>
          </cell>
        </row>
        <row r="897">
          <cell r="J897">
            <v>-1057.6550999999999</v>
          </cell>
        </row>
        <row r="898">
          <cell r="J898">
            <v>-1058.1238999999998</v>
          </cell>
        </row>
        <row r="899">
          <cell r="J899">
            <v>-1058.5906</v>
          </cell>
        </row>
        <row r="900">
          <cell r="J900">
            <v>-1059.0594000000001</v>
          </cell>
        </row>
        <row r="901">
          <cell r="J901">
            <v>-1059.5271</v>
          </cell>
        </row>
        <row r="902">
          <cell r="J902">
            <v>-1059.9949000000001</v>
          </cell>
        </row>
        <row r="903">
          <cell r="J903">
            <v>-1060.4608000000001</v>
          </cell>
        </row>
        <row r="904">
          <cell r="J904">
            <v>-1060.9296999999999</v>
          </cell>
        </row>
        <row r="905">
          <cell r="J905">
            <v>-1061.3956000000001</v>
          </cell>
        </row>
        <row r="906">
          <cell r="J906">
            <v>-1061.8625</v>
          </cell>
        </row>
        <row r="907">
          <cell r="J907">
            <v>-1062.3294000000001</v>
          </cell>
        </row>
        <row r="908">
          <cell r="J908">
            <v>-1062.7953</v>
          </cell>
        </row>
        <row r="909">
          <cell r="J909">
            <v>-1063.2642999999998</v>
          </cell>
        </row>
        <row r="910">
          <cell r="J910">
            <v>-1063.7302</v>
          </cell>
        </row>
        <row r="911">
          <cell r="J911">
            <v>-1064.1991</v>
          </cell>
        </row>
        <row r="912">
          <cell r="J912">
            <v>-1064.665</v>
          </cell>
        </row>
        <row r="913">
          <cell r="J913">
            <v>-1065.1329000000001</v>
          </cell>
        </row>
        <row r="914">
          <cell r="J914">
            <v>-1065.5998</v>
          </cell>
        </row>
        <row r="915">
          <cell r="J915">
            <v>-1066.0666999999999</v>
          </cell>
        </row>
        <row r="916">
          <cell r="J916">
            <v>-1066.5337000000002</v>
          </cell>
        </row>
        <row r="917">
          <cell r="J917">
            <v>-1067.0006000000001</v>
          </cell>
        </row>
        <row r="918">
          <cell r="J918">
            <v>-1067.4684999999999</v>
          </cell>
        </row>
        <row r="919">
          <cell r="J919">
            <v>-1067.9354000000001</v>
          </cell>
        </row>
        <row r="920">
          <cell r="J920">
            <v>-1068.4023999999999</v>
          </cell>
        </row>
        <row r="921">
          <cell r="J921">
            <v>-1068.8683000000001</v>
          </cell>
        </row>
        <row r="922">
          <cell r="J922">
            <v>-1069.3371999999999</v>
          </cell>
        </row>
        <row r="923">
          <cell r="J923">
            <v>-1069.8022000000001</v>
          </cell>
        </row>
        <row r="924">
          <cell r="J924">
            <v>-1070.2710999999999</v>
          </cell>
        </row>
        <row r="925">
          <cell r="J925">
            <v>-1070.7370999999998</v>
          </cell>
        </row>
        <row r="926">
          <cell r="J926">
            <v>-1071.204</v>
          </cell>
        </row>
        <row r="927">
          <cell r="J927">
            <v>-1071.6719000000001</v>
          </cell>
        </row>
        <row r="928">
          <cell r="J928">
            <v>-1072.1388999999999</v>
          </cell>
        </row>
        <row r="929">
          <cell r="J929">
            <v>-1072.6078</v>
          </cell>
        </row>
        <row r="930">
          <cell r="J930">
            <v>-1073.0737999999999</v>
          </cell>
        </row>
        <row r="931">
          <cell r="J931">
            <v>-1073.5407</v>
          </cell>
        </row>
        <row r="932">
          <cell r="J932">
            <v>-1074.0067000000001</v>
          </cell>
        </row>
        <row r="933">
          <cell r="J933">
            <v>-1074.4746</v>
          </cell>
        </row>
        <row r="934">
          <cell r="J934">
            <v>-1074.9415999999999</v>
          </cell>
        </row>
        <row r="935">
          <cell r="J935">
            <v>-1075.4096000000002</v>
          </cell>
        </row>
        <row r="936">
          <cell r="J936">
            <v>-1075.8755000000001</v>
          </cell>
        </row>
        <row r="937">
          <cell r="J937">
            <v>-1076.3445000000002</v>
          </cell>
        </row>
        <row r="938">
          <cell r="J938">
            <v>-1076.8105</v>
          </cell>
        </row>
        <row r="939">
          <cell r="J939">
            <v>-1077.2793999999999</v>
          </cell>
        </row>
        <row r="940">
          <cell r="J940">
            <v>-1077.7444</v>
          </cell>
        </row>
        <row r="941">
          <cell r="J941">
            <v>-1078.2134000000001</v>
          </cell>
        </row>
        <row r="942">
          <cell r="J942">
            <v>-1078.6793</v>
          </cell>
        </row>
        <row r="943">
          <cell r="J943">
            <v>-1079.1462999999999</v>
          </cell>
        </row>
        <row r="944">
          <cell r="J944">
            <v>-1079.6143</v>
          </cell>
        </row>
        <row r="945">
          <cell r="J945">
            <v>-1080.0802999999999</v>
          </cell>
        </row>
        <row r="946">
          <cell r="J946">
            <v>-1080.5482000000002</v>
          </cell>
        </row>
        <row r="947">
          <cell r="J947">
            <v>-1081.0142000000001</v>
          </cell>
        </row>
        <row r="948">
          <cell r="J948">
            <v>-1081.4801</v>
          </cell>
        </row>
        <row r="949">
          <cell r="J949">
            <v>-1081.9481000000001</v>
          </cell>
        </row>
        <row r="950">
          <cell r="J950">
            <v>-1082.4141</v>
          </cell>
        </row>
        <row r="951">
          <cell r="J951">
            <v>-1082.8809999999999</v>
          </cell>
        </row>
        <row r="952">
          <cell r="J952">
            <v>-1083.348</v>
          </cell>
        </row>
        <row r="953">
          <cell r="J953">
            <v>-1083.8149000000001</v>
          </cell>
        </row>
        <row r="954">
          <cell r="J954">
            <v>-1084.2809</v>
          </cell>
        </row>
        <row r="955">
          <cell r="J955">
            <v>-1084.7478999999998</v>
          </cell>
        </row>
        <row r="956">
          <cell r="J956">
            <v>-1085.2148</v>
          </cell>
        </row>
        <row r="957">
          <cell r="J957">
            <v>-1085.6818000000001</v>
          </cell>
        </row>
        <row r="958">
          <cell r="J958">
            <v>-1086.1478</v>
          </cell>
        </row>
        <row r="959">
          <cell r="J959">
            <v>-1086.6148000000001</v>
          </cell>
        </row>
        <row r="960">
          <cell r="J960">
            <v>-1087.0817</v>
          </cell>
        </row>
        <row r="961">
          <cell r="J961">
            <v>-1087.5477000000001</v>
          </cell>
        </row>
        <row r="962">
          <cell r="J962">
            <v>-1088.0147000000002</v>
          </cell>
        </row>
        <row r="963">
          <cell r="J963">
            <v>-1088.4797000000001</v>
          </cell>
        </row>
        <row r="964">
          <cell r="J964">
            <v>-1088.9476</v>
          </cell>
        </row>
        <row r="965">
          <cell r="J965">
            <v>-1089.4031</v>
          </cell>
        </row>
        <row r="966">
          <cell r="J966">
            <v>-1089.8587</v>
          </cell>
        </row>
        <row r="967">
          <cell r="J967">
            <v>-1090.3142</v>
          </cell>
        </row>
        <row r="968">
          <cell r="J968">
            <v>-1090.7697000000001</v>
          </cell>
        </row>
        <row r="969">
          <cell r="J969">
            <v>-1091.2252000000001</v>
          </cell>
        </row>
        <row r="970">
          <cell r="J970">
            <v>-1091.6797000000001</v>
          </cell>
        </row>
        <row r="971">
          <cell r="J971">
            <v>-1092.1362999999999</v>
          </cell>
        </row>
        <row r="972">
          <cell r="J972">
            <v>-1092.5917999999999</v>
          </cell>
        </row>
        <row r="973">
          <cell r="J973">
            <v>-1093.0463</v>
          </cell>
        </row>
        <row r="974">
          <cell r="J974">
            <v>-1093.5029000000002</v>
          </cell>
        </row>
        <row r="975">
          <cell r="J975">
            <v>-1093.9584000000002</v>
          </cell>
        </row>
        <row r="976">
          <cell r="J976">
            <v>-1094.4129</v>
          </cell>
        </row>
        <row r="977">
          <cell r="J977">
            <v>-1094.8685</v>
          </cell>
        </row>
        <row r="978">
          <cell r="J978">
            <v>-1095.325</v>
          </cell>
        </row>
        <row r="979">
          <cell r="J979">
            <v>-1095.7784999999999</v>
          </cell>
        </row>
        <row r="980">
          <cell r="J980">
            <v>-1096.2350999999999</v>
          </cell>
        </row>
        <row r="981">
          <cell r="J981">
            <v>-1096.6916000000001</v>
          </cell>
        </row>
        <row r="982">
          <cell r="J982">
            <v>-1097.1461999999999</v>
          </cell>
        </row>
        <row r="983">
          <cell r="J983">
            <v>-1097.6016999999999</v>
          </cell>
        </row>
        <row r="984">
          <cell r="J984">
            <v>-1098.0573000000002</v>
          </cell>
        </row>
        <row r="985">
          <cell r="J985">
            <v>-1098.5137999999999</v>
          </cell>
        </row>
        <row r="986">
          <cell r="J986">
            <v>-1098.9674</v>
          </cell>
        </row>
        <row r="987">
          <cell r="J987">
            <v>-1099.4229</v>
          </cell>
        </row>
        <row r="988">
          <cell r="J988">
            <v>-1099.8795</v>
          </cell>
        </row>
        <row r="989">
          <cell r="J989">
            <v>-1100.3341</v>
          </cell>
        </row>
        <row r="990">
          <cell r="J990">
            <v>-1100.7906</v>
          </cell>
        </row>
        <row r="991">
          <cell r="J991">
            <v>-1101.2463</v>
          </cell>
        </row>
        <row r="992">
          <cell r="J992">
            <v>-1101.6994</v>
          </cell>
        </row>
        <row r="993">
          <cell r="J993">
            <v>-1102.1555000000001</v>
          </cell>
        </row>
        <row r="994">
          <cell r="J994">
            <v>-1102.6106</v>
          </cell>
        </row>
        <row r="995">
          <cell r="J995">
            <v>-1103.0657000000001</v>
          </cell>
        </row>
        <row r="996">
          <cell r="J996">
            <v>-1103.5207999999998</v>
          </cell>
        </row>
        <row r="997">
          <cell r="J997">
            <v>-1103.9769000000001</v>
          </cell>
        </row>
        <row r="998">
          <cell r="J998">
            <v>-1104.431</v>
          </cell>
        </row>
        <row r="999">
          <cell r="J999">
            <v>-1104.8860999999999</v>
          </cell>
        </row>
        <row r="1000">
          <cell r="J1000">
            <v>-1105.3401999999999</v>
          </cell>
        </row>
        <row r="1001">
          <cell r="J1001">
            <v>-1105.7973</v>
          </cell>
        </row>
        <row r="1002">
          <cell r="J1002">
            <v>-1106.2514000000001</v>
          </cell>
        </row>
        <row r="1003">
          <cell r="J1003">
            <v>-1106.7055</v>
          </cell>
        </row>
        <row r="1004">
          <cell r="J1004">
            <v>-1107.1596</v>
          </cell>
        </row>
        <row r="1005">
          <cell r="J1005">
            <v>-1107.6167</v>
          </cell>
        </row>
        <row r="1006">
          <cell r="J1006">
            <v>-1108.0717999999999</v>
          </cell>
        </row>
        <row r="1007">
          <cell r="J1007">
            <v>-1108.5258999999999</v>
          </cell>
        </row>
        <row r="1008">
          <cell r="J1008">
            <v>-1108.9820000000002</v>
          </cell>
        </row>
        <row r="1009">
          <cell r="J1009">
            <v>-1109.4362000000001</v>
          </cell>
        </row>
        <row r="1010">
          <cell r="J1010">
            <v>-1109.8923000000002</v>
          </cell>
        </row>
        <row r="1011">
          <cell r="J1011">
            <v>-1110.3463999999999</v>
          </cell>
        </row>
        <row r="1012">
          <cell r="J1012">
            <v>-1110.7974000000002</v>
          </cell>
        </row>
        <row r="1013">
          <cell r="J1013">
            <v>-1111.2438000000002</v>
          </cell>
        </row>
        <row r="1014">
          <cell r="J1014">
            <v>-1111.6942000000001</v>
          </cell>
        </row>
        <row r="1015">
          <cell r="J1015">
            <v>-1112.1405999999999</v>
          </cell>
        </row>
        <row r="1016">
          <cell r="J1016">
            <v>-1112.5914</v>
          </cell>
        </row>
        <row r="1017">
          <cell r="J1017">
            <v>-1113.0364999999999</v>
          </cell>
        </row>
        <row r="1018">
          <cell r="J1018">
            <v>-1113.4856</v>
          </cell>
        </row>
        <row r="1019">
          <cell r="J1019">
            <v>-1113.9306999999999</v>
          </cell>
        </row>
        <row r="1020">
          <cell r="J1020">
            <v>-1114.3797999999999</v>
          </cell>
        </row>
        <row r="1021">
          <cell r="J1021">
            <v>-1114.8269</v>
          </cell>
        </row>
        <row r="1022">
          <cell r="J1022">
            <v>-1115.2750000000001</v>
          </cell>
        </row>
        <row r="1023">
          <cell r="J1023">
            <v>-1115.7231999999999</v>
          </cell>
        </row>
        <row r="1024">
          <cell r="J1024">
            <v>-1116.1683</v>
          </cell>
        </row>
        <row r="1025">
          <cell r="J1025">
            <v>-1116.6173999999999</v>
          </cell>
        </row>
        <row r="1026">
          <cell r="J1026">
            <v>-1117.0645</v>
          </cell>
        </row>
        <row r="1027">
          <cell r="J1027">
            <v>-1117.5126</v>
          </cell>
        </row>
        <row r="1028">
          <cell r="J1028">
            <v>-1117.9588000000001</v>
          </cell>
        </row>
        <row r="1029">
          <cell r="J1029">
            <v>-1118.4079000000002</v>
          </cell>
        </row>
        <row r="1030">
          <cell r="J1030">
            <v>-1118.855</v>
          </cell>
        </row>
        <row r="1031">
          <cell r="J1031">
            <v>-1119.3032000000001</v>
          </cell>
        </row>
        <row r="1032">
          <cell r="J1032">
            <v>-1119.7502999999999</v>
          </cell>
        </row>
        <row r="1033">
          <cell r="J1033">
            <v>-1120.1974</v>
          </cell>
        </row>
        <row r="1034">
          <cell r="J1034">
            <v>-1120.6456000000001</v>
          </cell>
        </row>
        <row r="1035">
          <cell r="J1035">
            <v>-1121.0926999999999</v>
          </cell>
        </row>
        <row r="1036">
          <cell r="J1036">
            <v>-1121.5409</v>
          </cell>
        </row>
        <row r="1037">
          <cell r="J1037">
            <v>-1121.9880000000001</v>
          </cell>
        </row>
        <row r="1038">
          <cell r="J1038">
            <v>-1122.4351999999999</v>
          </cell>
        </row>
        <row r="1039">
          <cell r="J1039">
            <v>-1122.8833000000002</v>
          </cell>
        </row>
        <row r="1040">
          <cell r="J1040">
            <v>-1123.3304000000001</v>
          </cell>
        </row>
        <row r="1041">
          <cell r="J1041">
            <v>-1123.7785999999999</v>
          </cell>
        </row>
        <row r="1042">
          <cell r="J1042">
            <v>-1124.2257999999999</v>
          </cell>
        </row>
        <row r="1043">
          <cell r="J1043">
            <v>-1124.6729</v>
          </cell>
        </row>
        <row r="1044">
          <cell r="J1044">
            <v>-1125.1201000000001</v>
          </cell>
        </row>
        <row r="1045">
          <cell r="J1045">
            <v>-1125.5692000000001</v>
          </cell>
        </row>
        <row r="1046">
          <cell r="J1046">
            <v>-1126.0154</v>
          </cell>
        </row>
        <row r="1047">
          <cell r="J1047">
            <v>-1126.4636</v>
          </cell>
        </row>
        <row r="1048">
          <cell r="J1048">
            <v>-1126.9107000000001</v>
          </cell>
        </row>
        <row r="1049">
          <cell r="J1049">
            <v>-1127.3579</v>
          </cell>
        </row>
        <row r="1050">
          <cell r="J1050">
            <v>-1127.8071</v>
          </cell>
        </row>
        <row r="1051">
          <cell r="J1051">
            <v>-1128.2531999999999</v>
          </cell>
        </row>
        <row r="1052">
          <cell r="J1052">
            <v>-1128.7013999999999</v>
          </cell>
        </row>
        <row r="1053">
          <cell r="J1053">
            <v>-1129.1486</v>
          </cell>
        </row>
        <row r="1054">
          <cell r="J1054">
            <v>-1129.5958000000001</v>
          </cell>
        </row>
        <row r="1055">
          <cell r="J1055">
            <v>-1130.0438999999999</v>
          </cell>
        </row>
        <row r="1056">
          <cell r="J1056">
            <v>-1130.4920999999999</v>
          </cell>
        </row>
        <row r="1057">
          <cell r="J1057">
            <v>-1130.9383</v>
          </cell>
        </row>
        <row r="1058">
          <cell r="J1058">
            <v>-1131.3865000000001</v>
          </cell>
        </row>
        <row r="1059">
          <cell r="J1059">
            <v>-1131.8346999999999</v>
          </cell>
        </row>
        <row r="1060">
          <cell r="J1060">
            <v>-1132.2819000000002</v>
          </cell>
        </row>
        <row r="1061">
          <cell r="J1061">
            <v>-1132.7301</v>
          </cell>
        </row>
        <row r="1062">
          <cell r="J1062">
            <v>-1133.1773000000001</v>
          </cell>
        </row>
        <row r="1063">
          <cell r="J1063">
            <v>-1133.6244999999999</v>
          </cell>
        </row>
        <row r="1064">
          <cell r="J1064">
            <v>-1134.0726999999999</v>
          </cell>
        </row>
        <row r="1065">
          <cell r="J1065">
            <v>-1134.5209</v>
          </cell>
        </row>
        <row r="1066">
          <cell r="J1066">
            <v>-1134.9670000000001</v>
          </cell>
        </row>
        <row r="1067">
          <cell r="J1067">
            <v>-1135.4100000000001</v>
          </cell>
        </row>
        <row r="1068">
          <cell r="J1068">
            <v>-1135.8530000000001</v>
          </cell>
        </row>
        <row r="1069">
          <cell r="J1069">
            <v>-1136.2949000000001</v>
          </cell>
        </row>
        <row r="1070">
          <cell r="J1070">
            <v>-1136.7379000000001</v>
          </cell>
        </row>
        <row r="1071">
          <cell r="J1071">
            <v>-1137.1809000000001</v>
          </cell>
        </row>
        <row r="1072">
          <cell r="J1072">
            <v>-1137.6239</v>
          </cell>
        </row>
        <row r="1073">
          <cell r="J1073">
            <v>-1138.0658000000001</v>
          </cell>
        </row>
        <row r="1074">
          <cell r="J1074">
            <v>-1138.5098</v>
          </cell>
        </row>
        <row r="1075">
          <cell r="J1075">
            <v>-1138.9528</v>
          </cell>
        </row>
        <row r="1076">
          <cell r="J1076">
            <v>-1139.3928000000001</v>
          </cell>
        </row>
        <row r="1077">
          <cell r="J1077">
            <v>-1139.8378</v>
          </cell>
        </row>
        <row r="1078">
          <cell r="J1078">
            <v>-1140.2808</v>
          </cell>
        </row>
        <row r="1079">
          <cell r="J1079">
            <v>-1140.7238000000002</v>
          </cell>
        </row>
        <row r="1080">
          <cell r="J1080">
            <v>-1141.1657</v>
          </cell>
        </row>
        <row r="1081">
          <cell r="J1081">
            <v>-1141.6077</v>
          </cell>
        </row>
        <row r="1082">
          <cell r="J1082">
            <v>-1142.0527</v>
          </cell>
        </row>
        <row r="1083">
          <cell r="J1083">
            <v>-1142.4947</v>
          </cell>
        </row>
        <row r="1084">
          <cell r="J1084">
            <v>-1142.9357</v>
          </cell>
        </row>
        <row r="1085">
          <cell r="J1085">
            <v>-1143.3807000000002</v>
          </cell>
        </row>
        <row r="1086">
          <cell r="J1086">
            <v>-1143.8226999999999</v>
          </cell>
        </row>
        <row r="1087">
          <cell r="J1087">
            <v>-1144.2646999999999</v>
          </cell>
        </row>
        <row r="1088">
          <cell r="J1088">
            <v>-1144.7087999999999</v>
          </cell>
        </row>
        <row r="1089">
          <cell r="J1089">
            <v>-1145.1507999999999</v>
          </cell>
        </row>
        <row r="1090">
          <cell r="J1090">
            <v>-1145.5937999999999</v>
          </cell>
        </row>
        <row r="1091">
          <cell r="J1091">
            <v>-1146.0368000000001</v>
          </cell>
        </row>
        <row r="1092">
          <cell r="J1092">
            <v>-1146.4798000000001</v>
          </cell>
        </row>
        <row r="1093">
          <cell r="J1093">
            <v>-1146.9218000000001</v>
          </cell>
        </row>
        <row r="1094">
          <cell r="J1094">
            <v>-1147.3647999999998</v>
          </cell>
        </row>
        <row r="1095">
          <cell r="J1095">
            <v>-1147.8089</v>
          </cell>
        </row>
        <row r="1096">
          <cell r="J1096">
            <v>-1148.2519</v>
          </cell>
        </row>
        <row r="1097">
          <cell r="J1097">
            <v>-1148.6929</v>
          </cell>
        </row>
        <row r="1098">
          <cell r="J1098">
            <v>-1149.1359</v>
          </cell>
        </row>
        <row r="1099">
          <cell r="J1099">
            <v>-1149.58</v>
          </cell>
        </row>
        <row r="1100">
          <cell r="J1100">
            <v>-1150.021</v>
          </cell>
        </row>
        <row r="1101">
          <cell r="J1101">
            <v>-1150.4650000000001</v>
          </cell>
        </row>
        <row r="1102">
          <cell r="J1102">
            <v>-1150.9081000000001</v>
          </cell>
        </row>
        <row r="1103">
          <cell r="J1103">
            <v>-1151.3511000000001</v>
          </cell>
        </row>
        <row r="1104">
          <cell r="J1104">
            <v>-1151.7941000000001</v>
          </cell>
        </row>
        <row r="1105">
          <cell r="J1105">
            <v>-1152.2352000000001</v>
          </cell>
        </row>
        <row r="1106">
          <cell r="J1106">
            <v>-1152.6792</v>
          </cell>
        </row>
        <row r="1107">
          <cell r="J1107">
            <v>-1153.1212999999998</v>
          </cell>
        </row>
        <row r="1108">
          <cell r="J1108">
            <v>-1153.5652999999998</v>
          </cell>
        </row>
        <row r="1109">
          <cell r="J1109">
            <v>-1154.0074</v>
          </cell>
        </row>
        <row r="1110">
          <cell r="J1110">
            <v>-1154.4413</v>
          </cell>
        </row>
        <row r="1111">
          <cell r="J1111">
            <v>-1154.8751999999999</v>
          </cell>
        </row>
        <row r="1112">
          <cell r="J1112">
            <v>-1155.3081</v>
          </cell>
        </row>
        <row r="1113">
          <cell r="J1113">
            <v>-1155.741</v>
          </cell>
        </row>
        <row r="1114">
          <cell r="J1114">
            <v>-1156.1759</v>
          </cell>
        </row>
        <row r="1115">
          <cell r="J1115">
            <v>-1156.6079</v>
          </cell>
        </row>
        <row r="1116">
          <cell r="J1116">
            <v>-1157.0427999999999</v>
          </cell>
        </row>
        <row r="1117">
          <cell r="J1117">
            <v>-1157.4757</v>
          </cell>
        </row>
        <row r="1118">
          <cell r="J1118">
            <v>-1157.9086</v>
          </cell>
        </row>
        <row r="1119">
          <cell r="J1119">
            <v>-1158.3416</v>
          </cell>
        </row>
        <row r="1120">
          <cell r="J1120">
            <v>-1158.7764999999999</v>
          </cell>
        </row>
        <row r="1121">
          <cell r="J1121">
            <v>-1159.2084</v>
          </cell>
        </row>
        <row r="1122">
          <cell r="J1122">
            <v>-1159.6424</v>
          </cell>
        </row>
        <row r="1123">
          <cell r="J1123">
            <v>-1160.0762999999999</v>
          </cell>
        </row>
        <row r="1124">
          <cell r="J1124">
            <v>-1160.5073</v>
          </cell>
        </row>
        <row r="1125">
          <cell r="J1125">
            <v>-1160.9413</v>
          </cell>
        </row>
        <row r="1126">
          <cell r="J1126">
            <v>-1161.3723</v>
          </cell>
        </row>
        <row r="1127">
          <cell r="J1127">
            <v>-1161.8082999999999</v>
          </cell>
        </row>
        <row r="1128">
          <cell r="J1128">
            <v>-1162.2393000000002</v>
          </cell>
        </row>
        <row r="1129">
          <cell r="J1129">
            <v>-1162.6732999999999</v>
          </cell>
        </row>
        <row r="1130">
          <cell r="J1130">
            <v>-1163.1043</v>
          </cell>
        </row>
        <row r="1131">
          <cell r="J1131">
            <v>-1163.5382999999999</v>
          </cell>
        </row>
        <row r="1132">
          <cell r="J1132">
            <v>-1163.9724000000001</v>
          </cell>
        </row>
        <row r="1133">
          <cell r="J1133">
            <v>-1164.4043999999999</v>
          </cell>
        </row>
        <row r="1134">
          <cell r="J1134">
            <v>-1164.8373999999999</v>
          </cell>
        </row>
        <row r="1135">
          <cell r="J1135">
            <v>-1165.2694000000001</v>
          </cell>
        </row>
        <row r="1136">
          <cell r="J1136">
            <v>-1165.7034000000001</v>
          </cell>
        </row>
        <row r="1137">
          <cell r="J1137">
            <v>-1166.1363999999999</v>
          </cell>
        </row>
        <row r="1138">
          <cell r="J1138">
            <v>-1166.5685000000001</v>
          </cell>
        </row>
        <row r="1139">
          <cell r="J1139">
            <v>-1167.0015000000001</v>
          </cell>
        </row>
        <row r="1140">
          <cell r="J1140">
            <v>-1167.4345000000001</v>
          </cell>
        </row>
        <row r="1141">
          <cell r="J1141">
            <v>-1167.8685</v>
          </cell>
        </row>
        <row r="1142">
          <cell r="J1142">
            <v>-1168.3006</v>
          </cell>
        </row>
        <row r="1143">
          <cell r="J1143">
            <v>-1168.7345999999998</v>
          </cell>
        </row>
        <row r="1144">
          <cell r="J1144">
            <v>-1169.1655999999998</v>
          </cell>
        </row>
        <row r="1145">
          <cell r="J1145">
            <v>-1169.5997</v>
          </cell>
        </row>
        <row r="1146">
          <cell r="J1146">
            <v>-1170.0327</v>
          </cell>
        </row>
        <row r="1147">
          <cell r="J1147">
            <v>-1170.4657</v>
          </cell>
        </row>
        <row r="1148">
          <cell r="J1148">
            <v>-1170.8978</v>
          </cell>
        </row>
        <row r="1149">
          <cell r="J1149">
            <v>-1171.3308</v>
          </cell>
        </row>
        <row r="1150">
          <cell r="J1150">
            <v>-1171.7649000000001</v>
          </cell>
        </row>
        <row r="1151">
          <cell r="J1151">
            <v>-1172.1979000000001</v>
          </cell>
        </row>
        <row r="1152">
          <cell r="J1152">
            <v>-1172.6300000000001</v>
          </cell>
        </row>
        <row r="1153">
          <cell r="J1153">
            <v>-1173.0629999999999</v>
          </cell>
        </row>
        <row r="1154">
          <cell r="J1154">
            <v>-1173.4951000000001</v>
          </cell>
        </row>
        <row r="1155">
          <cell r="J1155">
            <v>-1173.9301</v>
          </cell>
        </row>
        <row r="1156">
          <cell r="J1156">
            <v>-1174.3622</v>
          </cell>
        </row>
        <row r="1157">
          <cell r="J1157">
            <v>-1174.7951999999998</v>
          </cell>
        </row>
        <row r="1158">
          <cell r="J1158">
            <v>-1175.2273</v>
          </cell>
        </row>
        <row r="1159">
          <cell r="J1159">
            <v>-1175.6613</v>
          </cell>
        </row>
        <row r="1160">
          <cell r="J1160">
            <v>-1176.0944</v>
          </cell>
        </row>
        <row r="1161">
          <cell r="J1161">
            <v>-1176.5264999999999</v>
          </cell>
        </row>
        <row r="1162">
          <cell r="J1162">
            <v>-1176.9594999999999</v>
          </cell>
        </row>
        <row r="1163">
          <cell r="J1163">
            <v>-1177.3926000000001</v>
          </cell>
        </row>
        <row r="1164">
          <cell r="J1164">
            <v>-1177.8267000000001</v>
          </cell>
        </row>
        <row r="1165">
          <cell r="J1165">
            <v>-1178.2588000000001</v>
          </cell>
        </row>
        <row r="1166">
          <cell r="J1166">
            <v>-1178.6928</v>
          </cell>
        </row>
        <row r="1167">
          <cell r="J1167">
            <v>-1179.1249</v>
          </cell>
        </row>
        <row r="1168">
          <cell r="J1168">
            <v>-1179.558</v>
          </cell>
        </row>
        <row r="1169">
          <cell r="J1169">
            <v>-1179.9911</v>
          </cell>
        </row>
        <row r="1170">
          <cell r="J1170">
            <v>-1180.4232000000002</v>
          </cell>
        </row>
        <row r="1171">
          <cell r="J1171">
            <v>-1180.8562000000002</v>
          </cell>
        </row>
        <row r="1172">
          <cell r="J1172">
            <v>-1181.2903000000001</v>
          </cell>
        </row>
        <row r="1173">
          <cell r="J1173">
            <v>-1181.7233999999999</v>
          </cell>
        </row>
        <row r="1174">
          <cell r="J1174">
            <v>-1182.1554999999998</v>
          </cell>
        </row>
        <row r="1175">
          <cell r="J1175">
            <v>-1182.5876000000001</v>
          </cell>
        </row>
        <row r="1176">
          <cell r="J1176">
            <v>-1183.0227000000002</v>
          </cell>
        </row>
        <row r="1177">
          <cell r="J1177">
            <v>-1183.4538</v>
          </cell>
        </row>
        <row r="1178">
          <cell r="J1178">
            <v>-1183.8888999999999</v>
          </cell>
        </row>
        <row r="1179">
          <cell r="J1179">
            <v>-1184.3189</v>
          </cell>
        </row>
        <row r="1180">
          <cell r="J1180">
            <v>-1184.7330999999999</v>
          </cell>
        </row>
        <row r="1181">
          <cell r="J1181">
            <v>-1185.1482999999998</v>
          </cell>
        </row>
        <row r="1182">
          <cell r="J1182">
            <v>-1185.5614</v>
          </cell>
        </row>
        <row r="1183">
          <cell r="J1183">
            <v>-1185.9746</v>
          </cell>
        </row>
        <row r="1184">
          <cell r="J1184">
            <v>-1186.3907999999999</v>
          </cell>
        </row>
        <row r="1185">
          <cell r="J1185">
            <v>-1186.8049999999998</v>
          </cell>
        </row>
        <row r="1186">
          <cell r="J1186">
            <v>-1187.2181</v>
          </cell>
        </row>
        <row r="1187">
          <cell r="J1187">
            <v>-1187.6333</v>
          </cell>
        </row>
        <row r="1188">
          <cell r="J1188">
            <v>-1188.0464999999999</v>
          </cell>
        </row>
        <row r="1189">
          <cell r="J1189">
            <v>-1188.4478999999999</v>
          </cell>
        </row>
        <row r="1190">
          <cell r="J1190">
            <v>-1188.8406</v>
          </cell>
        </row>
        <row r="1191">
          <cell r="J1191">
            <v>-1189.2324000000001</v>
          </cell>
        </row>
        <row r="1192">
          <cell r="J1192">
            <v>-1189.6232</v>
          </cell>
        </row>
        <row r="1193">
          <cell r="J1193">
            <v>-1190.0159999999998</v>
          </cell>
        </row>
        <row r="1194">
          <cell r="J1194">
            <v>-1190.4078</v>
          </cell>
        </row>
        <row r="1195">
          <cell r="J1195">
            <v>-1190.7984999999999</v>
          </cell>
        </row>
        <row r="1196">
          <cell r="J1196">
            <v>-1191.1903</v>
          </cell>
        </row>
        <row r="1197">
          <cell r="J1197">
            <v>-1191.5831000000001</v>
          </cell>
        </row>
        <row r="1198">
          <cell r="J1198">
            <v>-1191.9748999999999</v>
          </cell>
        </row>
        <row r="1199">
          <cell r="J1199">
            <v>-1192.3667</v>
          </cell>
        </row>
        <row r="1200">
          <cell r="J1200">
            <v>-1192.7574999999999</v>
          </cell>
        </row>
        <row r="1201">
          <cell r="J1201">
            <v>-1193.1502</v>
          </cell>
        </row>
        <row r="1202">
          <cell r="J1202">
            <v>-1193.5409999999999</v>
          </cell>
        </row>
        <row r="1203">
          <cell r="J1203">
            <v>-1193.9318000000001</v>
          </cell>
        </row>
        <row r="1204">
          <cell r="J1204">
            <v>-1194.3245999999999</v>
          </cell>
        </row>
        <row r="1205">
          <cell r="J1205">
            <v>-1194.7144000000001</v>
          </cell>
        </row>
        <row r="1206">
          <cell r="J1206">
            <v>-1195.1071999999999</v>
          </cell>
        </row>
        <row r="1207">
          <cell r="J1207">
            <v>-1195.4979000000001</v>
          </cell>
        </row>
        <row r="1208">
          <cell r="J1208">
            <v>-1195.8897000000002</v>
          </cell>
        </row>
        <row r="1209">
          <cell r="J1209">
            <v>-1196.2805000000001</v>
          </cell>
        </row>
        <row r="1210">
          <cell r="J1210">
            <v>-1196.6723000000002</v>
          </cell>
        </row>
        <row r="1211">
          <cell r="J1211">
            <v>-1197.0650999999998</v>
          </cell>
        </row>
        <row r="1212">
          <cell r="J1212">
            <v>-1197.4549000000002</v>
          </cell>
        </row>
        <row r="1213">
          <cell r="J1213">
            <v>-1197.8487</v>
          </cell>
        </row>
        <row r="1214">
          <cell r="J1214">
            <v>-1198.2394999999999</v>
          </cell>
        </row>
        <row r="1215">
          <cell r="J1215">
            <v>-1198.6313</v>
          </cell>
        </row>
        <row r="1216">
          <cell r="J1216">
            <v>-1199.0220999999999</v>
          </cell>
        </row>
        <row r="1217">
          <cell r="J1217">
            <v>-1199.4140000000002</v>
          </cell>
        </row>
        <row r="1218">
          <cell r="J1218">
            <v>-1199.8047999999999</v>
          </cell>
        </row>
        <row r="1219">
          <cell r="J1219">
            <v>-1200.1966</v>
          </cell>
        </row>
        <row r="1220">
          <cell r="J1220">
            <v>-1200.5775999999998</v>
          </cell>
        </row>
        <row r="1221">
          <cell r="J1221">
            <v>-1200.8482999999999</v>
          </cell>
        </row>
        <row r="1222">
          <cell r="J1222">
            <v>-1201.1189999999999</v>
          </cell>
        </row>
        <row r="1223">
          <cell r="J1223">
            <v>-1201.3896999999999</v>
          </cell>
        </row>
        <row r="1224">
          <cell r="J1224">
            <v>-1201.6604</v>
          </cell>
        </row>
        <row r="1225">
          <cell r="J1225">
            <v>-1201.9301</v>
          </cell>
        </row>
        <row r="1226">
          <cell r="J1226">
            <v>-1202.2019</v>
          </cell>
        </row>
        <row r="1227">
          <cell r="J1227">
            <v>-1202.4726000000001</v>
          </cell>
        </row>
        <row r="1228">
          <cell r="J1228">
            <v>-1202.7422999999999</v>
          </cell>
        </row>
        <row r="1229">
          <cell r="J1229">
            <v>-1203.0129999999999</v>
          </cell>
        </row>
        <row r="1230">
          <cell r="J1230">
            <v>-1203.2846999999999</v>
          </cell>
        </row>
        <row r="1231">
          <cell r="J1231">
            <v>-1203.5554</v>
          </cell>
        </row>
        <row r="1232">
          <cell r="J1232">
            <v>-1203.8251</v>
          </cell>
        </row>
        <row r="1233">
          <cell r="J1233">
            <v>-1204.0969</v>
          </cell>
        </row>
        <row r="1234">
          <cell r="J1234">
            <v>-1204.2864</v>
          </cell>
        </row>
        <row r="1235">
          <cell r="J1235">
            <v>-1204.3706999999999</v>
          </cell>
        </row>
        <row r="1236">
          <cell r="J1236">
            <v>-1204.4550000000002</v>
          </cell>
        </row>
        <row r="1237">
          <cell r="J1237">
            <v>-1204.5392999999999</v>
          </cell>
        </row>
        <row r="1238">
          <cell r="J1238">
            <v>-1204.6226000000001</v>
          </cell>
        </row>
        <row r="1239">
          <cell r="J1239">
            <v>-1204.7069000000001</v>
          </cell>
        </row>
        <row r="1240">
          <cell r="J1240">
            <v>-1204.7912000000001</v>
          </cell>
        </row>
        <row r="1241">
          <cell r="J1241">
            <v>-1204.8755000000001</v>
          </cell>
        </row>
        <row r="1242">
          <cell r="J1242">
            <v>-1204.9598000000001</v>
          </cell>
        </row>
        <row r="1243">
          <cell r="J1243">
            <v>-1205.0441000000001</v>
          </cell>
        </row>
        <row r="1244">
          <cell r="J1244">
            <v>-1205.1284000000001</v>
          </cell>
        </row>
        <row r="1245">
          <cell r="J1245">
            <v>-1205.2126999999998</v>
          </cell>
        </row>
        <row r="1246">
          <cell r="J1246">
            <v>-1205.297</v>
          </cell>
        </row>
        <row r="1247">
          <cell r="J1247">
            <v>-1205.3813</v>
          </cell>
        </row>
        <row r="1248">
          <cell r="J1248">
            <v>-1205.4656</v>
          </cell>
        </row>
        <row r="1249">
          <cell r="J1249">
            <v>-1205.5509</v>
          </cell>
        </row>
        <row r="1250">
          <cell r="J1250">
            <v>-1205.6332</v>
          </cell>
        </row>
        <row r="1251">
          <cell r="J1251">
            <v>-1205.7184999999999</v>
          </cell>
        </row>
        <row r="1252">
          <cell r="J1252">
            <v>-1205.8027999999999</v>
          </cell>
        </row>
        <row r="1253">
          <cell r="J1253">
            <v>-1205.8870999999999</v>
          </cell>
        </row>
        <row r="1254">
          <cell r="J1254">
            <v>-1205.9713999999999</v>
          </cell>
        </row>
        <row r="1255">
          <cell r="J1255">
            <v>-1206.0546999999999</v>
          </cell>
        </row>
        <row r="1256">
          <cell r="J1256">
            <v>-1206.1390000000001</v>
          </cell>
        </row>
        <row r="1257">
          <cell r="J1257">
            <v>-1206.2233000000001</v>
          </cell>
        </row>
        <row r="1258">
          <cell r="J1258">
            <v>-1206.3066000000001</v>
          </cell>
        </row>
        <row r="1259">
          <cell r="J1259">
            <v>-1206.3919000000001</v>
          </cell>
        </row>
        <row r="1260">
          <cell r="J1260">
            <v>-1206.4762000000001</v>
          </cell>
        </row>
        <row r="1261">
          <cell r="J1261">
            <v>-1206.5605</v>
          </cell>
        </row>
        <row r="1262">
          <cell r="J1262">
            <v>-1206.6438000000001</v>
          </cell>
        </row>
        <row r="1263">
          <cell r="J1263">
            <v>-1206.7280999999998</v>
          </cell>
        </row>
        <row r="1264">
          <cell r="J1264">
            <v>-1206.8134</v>
          </cell>
        </row>
        <row r="1265">
          <cell r="J1265">
            <v>-1206.7013999999999</v>
          </cell>
        </row>
        <row r="1266">
          <cell r="J1266">
            <v>-1206.3471</v>
          </cell>
        </row>
        <row r="1267">
          <cell r="J1267">
            <v>-1205.9939000000002</v>
          </cell>
        </row>
        <row r="1268">
          <cell r="J1268">
            <v>-1205.6405999999999</v>
          </cell>
        </row>
        <row r="1269">
          <cell r="J1269">
            <v>-1205.2873</v>
          </cell>
        </row>
        <row r="1270">
          <cell r="J1270">
            <v>-1204.9340999999999</v>
          </cell>
        </row>
        <row r="1271">
          <cell r="J1271">
            <v>-1204.5798</v>
          </cell>
        </row>
        <row r="1272">
          <cell r="J1272">
            <v>-1204.2265000000002</v>
          </cell>
        </row>
        <row r="1273">
          <cell r="J1273">
            <v>-1203.8712</v>
          </cell>
        </row>
        <row r="1274">
          <cell r="J1274">
            <v>-1203.519</v>
          </cell>
        </row>
        <row r="1275">
          <cell r="J1275">
            <v>-1203.1647</v>
          </cell>
        </row>
        <row r="1276">
          <cell r="J1276">
            <v>-1202.8114</v>
          </cell>
        </row>
        <row r="1277">
          <cell r="J1277">
            <v>-1202.4580999999998</v>
          </cell>
        </row>
        <row r="1278">
          <cell r="J1278">
            <v>-1202.1039000000001</v>
          </cell>
        </row>
        <row r="1279">
          <cell r="J1279">
            <v>-1201.7505999999998</v>
          </cell>
        </row>
        <row r="1280">
          <cell r="J1280">
            <v>-1201.3973000000001</v>
          </cell>
        </row>
        <row r="1281">
          <cell r="J1281">
            <v>-1201.0430000000001</v>
          </cell>
        </row>
        <row r="1282">
          <cell r="J1282">
            <v>-1200.6898000000001</v>
          </cell>
        </row>
        <row r="1283">
          <cell r="J1283">
            <v>-1200.3344999999999</v>
          </cell>
        </row>
        <row r="1284">
          <cell r="J1284">
            <v>-1199.9812000000002</v>
          </cell>
        </row>
        <row r="1285">
          <cell r="J1285">
            <v>-1199.6269</v>
          </cell>
        </row>
        <row r="1286">
          <cell r="J1286">
            <v>-1199.2717000000002</v>
          </cell>
        </row>
        <row r="1287">
          <cell r="J1287">
            <v>-1198.9194</v>
          </cell>
        </row>
        <row r="1288">
          <cell r="J1288">
            <v>-1198.5650999999998</v>
          </cell>
        </row>
        <row r="1289">
          <cell r="J1289">
            <v>-1198.2087999999999</v>
          </cell>
        </row>
        <row r="1290">
          <cell r="J1290">
            <v>-1197.8554999999999</v>
          </cell>
        </row>
        <row r="1291">
          <cell r="J1291">
            <v>-1197.5022999999999</v>
          </cell>
        </row>
        <row r="1292">
          <cell r="J1292">
            <v>-1197.1479999999999</v>
          </cell>
        </row>
        <row r="1293">
          <cell r="J1293">
            <v>-1196.7927</v>
          </cell>
        </row>
        <row r="1294">
          <cell r="J1294">
            <v>-1196.4384</v>
          </cell>
        </row>
        <row r="1295">
          <cell r="J1295">
            <v>-1196.0851000000002</v>
          </cell>
        </row>
        <row r="1296">
          <cell r="J1296">
            <v>-1195.7298000000001</v>
          </cell>
        </row>
        <row r="1297">
          <cell r="J1297">
            <v>-1195.3746000000001</v>
          </cell>
        </row>
        <row r="1298">
          <cell r="J1298">
            <v>-1195.0203000000001</v>
          </cell>
        </row>
        <row r="1299">
          <cell r="J1299">
            <v>-1194.6670000000001</v>
          </cell>
        </row>
        <row r="1300">
          <cell r="J1300">
            <v>-1194.3117</v>
          </cell>
        </row>
        <row r="1301">
          <cell r="J1301">
            <v>-1193.9574</v>
          </cell>
        </row>
        <row r="1302">
          <cell r="J1302">
            <v>-1193.6021000000001</v>
          </cell>
        </row>
        <row r="1303">
          <cell r="J1303">
            <v>-1193.2478000000001</v>
          </cell>
        </row>
        <row r="1304">
          <cell r="J1304">
            <v>-1192.8926000000001</v>
          </cell>
        </row>
        <row r="1305">
          <cell r="J1305">
            <v>-1192.5392999999999</v>
          </cell>
        </row>
        <row r="1306">
          <cell r="J1306">
            <v>-1192.1849999999999</v>
          </cell>
        </row>
        <row r="1307">
          <cell r="J1307">
            <v>-1191.8296999999998</v>
          </cell>
        </row>
        <row r="1308">
          <cell r="J1308">
            <v>-1191.4743999999998</v>
          </cell>
        </row>
        <row r="1309">
          <cell r="J1309">
            <v>-1191.1201000000001</v>
          </cell>
        </row>
        <row r="1310">
          <cell r="J1310">
            <v>-1190.7637999999999</v>
          </cell>
        </row>
        <row r="1311">
          <cell r="J1311">
            <v>-1190.4095</v>
          </cell>
        </row>
        <row r="1312">
          <cell r="J1312">
            <v>-1190.0542</v>
          </cell>
        </row>
        <row r="1313">
          <cell r="J1313">
            <v>-1189.6999000000001</v>
          </cell>
        </row>
        <row r="1314">
          <cell r="J1314">
            <v>-1189.3445999999999</v>
          </cell>
        </row>
        <row r="1315">
          <cell r="J1315">
            <v>-1188.9902999999999</v>
          </cell>
        </row>
        <row r="1316">
          <cell r="J1316">
            <v>-1188.6350000000002</v>
          </cell>
        </row>
        <row r="1317">
          <cell r="J1317">
            <v>-1188.2808</v>
          </cell>
        </row>
        <row r="1318">
          <cell r="J1318">
            <v>-1187.9254999999998</v>
          </cell>
        </row>
        <row r="1319">
          <cell r="J1319">
            <v>-1187.5691999999999</v>
          </cell>
        </row>
        <row r="1320">
          <cell r="J1320">
            <v>-1187.2148999999999</v>
          </cell>
        </row>
        <row r="1321">
          <cell r="J1321">
            <v>-1186.8578</v>
          </cell>
        </row>
        <row r="1322">
          <cell r="J1322">
            <v>-1186.5018</v>
          </cell>
        </row>
        <row r="1323">
          <cell r="J1323">
            <v>-1186.1448</v>
          </cell>
        </row>
        <row r="1324">
          <cell r="J1324">
            <v>-1185.7888</v>
          </cell>
        </row>
        <row r="1325">
          <cell r="J1325">
            <v>-1185.4319</v>
          </cell>
        </row>
        <row r="1326">
          <cell r="J1326">
            <v>-1185.0739000000001</v>
          </cell>
        </row>
        <row r="1327">
          <cell r="J1327">
            <v>-1184.7179000000001</v>
          </cell>
        </row>
        <row r="1328">
          <cell r="J1328">
            <v>-1184.3608999999999</v>
          </cell>
        </row>
        <row r="1329">
          <cell r="J1329">
            <v>-1184.0038999999999</v>
          </cell>
        </row>
        <row r="1330">
          <cell r="J1330">
            <v>-1183.6469999999999</v>
          </cell>
        </row>
        <row r="1331">
          <cell r="J1331">
            <v>-1183.29</v>
          </cell>
        </row>
        <row r="1332">
          <cell r="J1332">
            <v>-1182.9330000000002</v>
          </cell>
        </row>
        <row r="1333">
          <cell r="J1333">
            <v>-1182.576</v>
          </cell>
        </row>
        <row r="1334">
          <cell r="J1334">
            <v>-1182.2189999999998</v>
          </cell>
        </row>
        <row r="1335">
          <cell r="J1335">
            <v>-1181.8620000000001</v>
          </cell>
        </row>
        <row r="1336">
          <cell r="J1336">
            <v>-1181.5060000000001</v>
          </cell>
        </row>
        <row r="1337">
          <cell r="J1337">
            <v>-1181.1480000000001</v>
          </cell>
        </row>
        <row r="1338">
          <cell r="J1338">
            <v>-1180.7910999999999</v>
          </cell>
        </row>
        <row r="1339">
          <cell r="J1339">
            <v>-1180.4331000000002</v>
          </cell>
        </row>
        <row r="1340">
          <cell r="J1340">
            <v>-1180.0751</v>
          </cell>
        </row>
        <row r="1341">
          <cell r="J1341">
            <v>-1179.7191</v>
          </cell>
        </row>
        <row r="1342">
          <cell r="J1342">
            <v>-1179.3621000000001</v>
          </cell>
        </row>
        <row r="1343">
          <cell r="J1343">
            <v>-1179.0041000000001</v>
          </cell>
        </row>
        <row r="1344">
          <cell r="J1344">
            <v>-1178.6471000000001</v>
          </cell>
        </row>
        <row r="1345">
          <cell r="J1345">
            <v>-1178.2753</v>
          </cell>
        </row>
        <row r="1346">
          <cell r="J1346">
            <v>-1177.8993</v>
          </cell>
        </row>
        <row r="1347">
          <cell r="J1347">
            <v>-1177.5234</v>
          </cell>
        </row>
        <row r="1348">
          <cell r="J1348">
            <v>-1177.1484</v>
          </cell>
        </row>
        <row r="1349">
          <cell r="J1349">
            <v>-1176.7723999999998</v>
          </cell>
        </row>
        <row r="1350">
          <cell r="J1350">
            <v>-1176.3973999999998</v>
          </cell>
        </row>
        <row r="1351">
          <cell r="J1351">
            <v>-1176.0234999999998</v>
          </cell>
        </row>
        <row r="1352">
          <cell r="J1352">
            <v>-1175.6475</v>
          </cell>
        </row>
        <row r="1353">
          <cell r="J1353">
            <v>-1175.2705000000001</v>
          </cell>
        </row>
        <row r="1354">
          <cell r="J1354">
            <v>-1174.8944999999999</v>
          </cell>
        </row>
        <row r="1355">
          <cell r="J1355">
            <v>-1174.5196000000001</v>
          </cell>
        </row>
        <row r="1356">
          <cell r="J1356">
            <v>-1174.1435999999999</v>
          </cell>
        </row>
        <row r="1357">
          <cell r="J1357">
            <v>-1173.7665999999999</v>
          </cell>
        </row>
        <row r="1358">
          <cell r="J1358">
            <v>-1173.3916000000002</v>
          </cell>
        </row>
        <row r="1359">
          <cell r="J1359">
            <v>-1173.0165999999999</v>
          </cell>
        </row>
        <row r="1360">
          <cell r="J1360">
            <v>-1172.6406999999999</v>
          </cell>
        </row>
        <row r="1361">
          <cell r="J1361">
            <v>-1172.2637</v>
          </cell>
        </row>
        <row r="1362">
          <cell r="J1362">
            <v>-1171.8887</v>
          </cell>
        </row>
        <row r="1363">
          <cell r="J1363">
            <v>-1171.5127</v>
          </cell>
        </row>
        <row r="1364">
          <cell r="J1364">
            <v>-1171.1356999999998</v>
          </cell>
        </row>
        <row r="1365">
          <cell r="J1365">
            <v>-1170.7598</v>
          </cell>
        </row>
        <row r="1366">
          <cell r="J1366">
            <v>-1170.3848</v>
          </cell>
        </row>
        <row r="1367">
          <cell r="J1367">
            <v>-1170.0067999999999</v>
          </cell>
        </row>
        <row r="1368">
          <cell r="J1368">
            <v>-1169.6308000000001</v>
          </cell>
        </row>
        <row r="1369">
          <cell r="J1369">
            <v>-1169.2548000000002</v>
          </cell>
        </row>
        <row r="1370">
          <cell r="J1370">
            <v>-1168.8788999999999</v>
          </cell>
        </row>
        <row r="1371">
          <cell r="J1371">
            <v>-1168.5029</v>
          </cell>
        </row>
        <row r="1372">
          <cell r="J1372">
            <v>-1168.1259</v>
          </cell>
        </row>
        <row r="1373">
          <cell r="J1373">
            <v>-1167.7498999999998</v>
          </cell>
        </row>
        <row r="1374">
          <cell r="J1374">
            <v>-1167.3739</v>
          </cell>
        </row>
        <row r="1375">
          <cell r="J1375">
            <v>-1166.9875999999999</v>
          </cell>
        </row>
        <row r="1376">
          <cell r="J1376">
            <v>-1166.5878000000002</v>
          </cell>
        </row>
        <row r="1377">
          <cell r="J1377">
            <v>-1166.1880000000001</v>
          </cell>
        </row>
        <row r="1378">
          <cell r="J1378">
            <v>-1165.7872</v>
          </cell>
        </row>
        <row r="1379">
          <cell r="J1379">
            <v>-1165.3874000000001</v>
          </cell>
        </row>
        <row r="1380">
          <cell r="J1380">
            <v>-1164.9866</v>
          </cell>
        </row>
        <row r="1381">
          <cell r="J1381">
            <v>-1164.5869</v>
          </cell>
        </row>
        <row r="1382">
          <cell r="J1382">
            <v>-1164.1840999999999</v>
          </cell>
        </row>
        <row r="1383">
          <cell r="J1383">
            <v>-1163.7843</v>
          </cell>
        </row>
        <row r="1384">
          <cell r="J1384">
            <v>-1163.3834999999999</v>
          </cell>
        </row>
        <row r="1385">
          <cell r="J1385">
            <v>-1162.9827</v>
          </cell>
        </row>
        <row r="1386">
          <cell r="J1386">
            <v>-1162.5818999999999</v>
          </cell>
        </row>
        <row r="1387">
          <cell r="J1387">
            <v>-1162.1821</v>
          </cell>
        </row>
        <row r="1388">
          <cell r="J1388">
            <v>-1161.7823000000001</v>
          </cell>
        </row>
        <row r="1389">
          <cell r="J1389">
            <v>-1161.3805</v>
          </cell>
        </row>
        <row r="1390">
          <cell r="J1390">
            <v>-1160.9796999999999</v>
          </cell>
        </row>
        <row r="1391">
          <cell r="J1391">
            <v>-1160.5789</v>
          </cell>
        </row>
        <row r="1392">
          <cell r="J1392">
            <v>-1160.1791000000001</v>
          </cell>
        </row>
        <row r="1393">
          <cell r="J1393">
            <v>-1159.7792999999999</v>
          </cell>
        </row>
        <row r="1394">
          <cell r="J1394">
            <v>-1159.3774999999998</v>
          </cell>
        </row>
        <row r="1395">
          <cell r="J1395">
            <v>-1158.9747</v>
          </cell>
        </row>
        <row r="1396">
          <cell r="J1396">
            <v>-1158.5739000000001</v>
          </cell>
        </row>
        <row r="1397">
          <cell r="J1397">
            <v>-1158.1731000000002</v>
          </cell>
        </row>
        <row r="1398">
          <cell r="J1398">
            <v>-1157.7723000000001</v>
          </cell>
        </row>
        <row r="1399">
          <cell r="J1399">
            <v>-1157.3724999999999</v>
          </cell>
        </row>
        <row r="1400">
          <cell r="J1400">
            <v>-1156.9717000000001</v>
          </cell>
        </row>
        <row r="1401">
          <cell r="J1401">
            <v>-1156.5699</v>
          </cell>
        </row>
        <row r="1402">
          <cell r="J1402">
            <v>-1156.1691000000001</v>
          </cell>
        </row>
        <row r="1403">
          <cell r="J1403">
            <v>-1155.7663</v>
          </cell>
        </row>
        <row r="1404">
          <cell r="J1404">
            <v>-1155.3654999999999</v>
          </cell>
        </row>
        <row r="1405">
          <cell r="J1405">
            <v>-1154.9637</v>
          </cell>
        </row>
        <row r="1406">
          <cell r="J1406">
            <v>-1154.5638999999999</v>
          </cell>
        </row>
        <row r="1407">
          <cell r="J1407">
            <v>-1154.1621</v>
          </cell>
        </row>
        <row r="1408">
          <cell r="J1408">
            <v>-1153.7602999999999</v>
          </cell>
        </row>
        <row r="1409">
          <cell r="J1409">
            <v>-1153.3575000000001</v>
          </cell>
        </row>
        <row r="1410">
          <cell r="J1410">
            <v>-1152.9576999999999</v>
          </cell>
        </row>
        <row r="1411">
          <cell r="J1411">
            <v>-1152.5559000000001</v>
          </cell>
        </row>
        <row r="1412">
          <cell r="J1412">
            <v>-1152.1550999999999</v>
          </cell>
        </row>
        <row r="1413">
          <cell r="J1413">
            <v>-1151.7532999999999</v>
          </cell>
        </row>
        <row r="1414">
          <cell r="J1414">
            <v>-1151.3505</v>
          </cell>
        </row>
        <row r="1415">
          <cell r="J1415">
            <v>-1150.9497000000001</v>
          </cell>
        </row>
        <row r="1416">
          <cell r="J1416">
            <v>-1150.5489</v>
          </cell>
        </row>
        <row r="1417">
          <cell r="J1417">
            <v>-1150.1470999999999</v>
          </cell>
        </row>
        <row r="1418">
          <cell r="J1418">
            <v>-1149.7442999999998</v>
          </cell>
        </row>
        <row r="1419">
          <cell r="J1419">
            <v>-1149.3425</v>
          </cell>
        </row>
        <row r="1420">
          <cell r="J1420">
            <v>-1148.9406999999999</v>
          </cell>
        </row>
        <row r="1421">
          <cell r="J1421">
            <v>-1148.5399</v>
          </cell>
        </row>
        <row r="1422">
          <cell r="J1422">
            <v>-1148.1390999999999</v>
          </cell>
        </row>
        <row r="1423">
          <cell r="J1423">
            <v>-1147.7363</v>
          </cell>
        </row>
        <row r="1424">
          <cell r="J1424">
            <v>-1147.3345000000002</v>
          </cell>
        </row>
        <row r="1425">
          <cell r="J1425">
            <v>-1146.9326000000001</v>
          </cell>
        </row>
        <row r="1426">
          <cell r="J1426">
            <v>-1146.5318</v>
          </cell>
        </row>
        <row r="1427">
          <cell r="J1427">
            <v>-1146.1289999999999</v>
          </cell>
        </row>
        <row r="1428">
          <cell r="J1428">
            <v>-1145.7262000000001</v>
          </cell>
        </row>
        <row r="1429">
          <cell r="J1429">
            <v>-1145.3244000000002</v>
          </cell>
        </row>
        <row r="1430">
          <cell r="J1430">
            <v>-1144.9216000000001</v>
          </cell>
        </row>
        <row r="1431">
          <cell r="J1431">
            <v>-1144.5188000000001</v>
          </cell>
        </row>
        <row r="1432">
          <cell r="J1432">
            <v>-1144.1179999999999</v>
          </cell>
        </row>
        <row r="1433">
          <cell r="J1433">
            <v>-1143.7162000000001</v>
          </cell>
        </row>
        <row r="1434">
          <cell r="J1434">
            <v>-1143.3134</v>
          </cell>
        </row>
        <row r="1435">
          <cell r="J1435">
            <v>-1142.9105999999999</v>
          </cell>
        </row>
        <row r="1436">
          <cell r="J1436">
            <v>-1142.5088000000001</v>
          </cell>
        </row>
        <row r="1437">
          <cell r="J1437">
            <v>-1142.1059</v>
          </cell>
        </row>
        <row r="1438">
          <cell r="J1438">
            <v>-1141.7030999999999</v>
          </cell>
        </row>
        <row r="1439">
          <cell r="J1439">
            <v>-1141.3013000000001</v>
          </cell>
        </row>
        <row r="1440">
          <cell r="J1440">
            <v>-1140.9005000000002</v>
          </cell>
        </row>
        <row r="1441">
          <cell r="J1441">
            <v>-1140.4966999999999</v>
          </cell>
        </row>
        <row r="1442">
          <cell r="J1442">
            <v>-1140.0938999999998</v>
          </cell>
        </row>
        <row r="1443">
          <cell r="J1443">
            <v>-1139.6921</v>
          </cell>
        </row>
        <row r="1444">
          <cell r="J1444">
            <v>-1139.2903000000001</v>
          </cell>
        </row>
        <row r="1445">
          <cell r="J1445">
            <v>-1138.8865000000001</v>
          </cell>
        </row>
        <row r="1446">
          <cell r="J1446">
            <v>-1138.4846000000002</v>
          </cell>
        </row>
        <row r="1447">
          <cell r="J1447">
            <v>-1138.0817999999999</v>
          </cell>
        </row>
        <row r="1448">
          <cell r="J1448">
            <v>-1137.6178</v>
          </cell>
        </row>
        <row r="1449">
          <cell r="J1449">
            <v>-1137.0831000000001</v>
          </cell>
        </row>
        <row r="1450">
          <cell r="J1450">
            <v>-1136.5484999999999</v>
          </cell>
        </row>
        <row r="1451">
          <cell r="J1451">
            <v>-1135.9780999999998</v>
          </cell>
        </row>
        <row r="1452">
          <cell r="J1452">
            <v>-1135.3089</v>
          </cell>
        </row>
        <row r="1453">
          <cell r="J1453">
            <v>-1134.6396</v>
          </cell>
        </row>
        <row r="1454">
          <cell r="J1454">
            <v>-1133.9714000000001</v>
          </cell>
        </row>
        <row r="1455">
          <cell r="J1455">
            <v>-1133.3031000000001</v>
          </cell>
        </row>
        <row r="1456">
          <cell r="J1456">
            <v>-1132.6349</v>
          </cell>
        </row>
        <row r="1457">
          <cell r="J1457">
            <v>-1131.9657</v>
          </cell>
        </row>
        <row r="1458">
          <cell r="J1458">
            <v>-1131.2964000000002</v>
          </cell>
        </row>
        <row r="1459">
          <cell r="J1459">
            <v>-1130.6271999999999</v>
          </cell>
        </row>
        <row r="1460">
          <cell r="J1460">
            <v>-1129.9590000000001</v>
          </cell>
        </row>
        <row r="1461">
          <cell r="J1461">
            <v>-1129.2897</v>
          </cell>
        </row>
        <row r="1462">
          <cell r="J1462">
            <v>-1128.6194999999998</v>
          </cell>
        </row>
        <row r="1463">
          <cell r="J1463">
            <v>-1127.9493</v>
          </cell>
        </row>
        <row r="1464">
          <cell r="J1464">
            <v>-1127.2809999999999</v>
          </cell>
        </row>
        <row r="1465">
          <cell r="J1465">
            <v>-1126.6118000000001</v>
          </cell>
        </row>
        <row r="1466">
          <cell r="J1466">
            <v>-1125.9425999999999</v>
          </cell>
        </row>
        <row r="1467">
          <cell r="J1467">
            <v>-1125.2723000000001</v>
          </cell>
        </row>
        <row r="1468">
          <cell r="J1468">
            <v>-1124.5268000000001</v>
          </cell>
        </row>
        <row r="1469">
          <cell r="J1469">
            <v>-1123.7420999999999</v>
          </cell>
        </row>
        <row r="1470">
          <cell r="J1470">
            <v>-1122.9043000000001</v>
          </cell>
        </row>
        <row r="1471">
          <cell r="J1471">
            <v>-1122.0645000000002</v>
          </cell>
        </row>
        <row r="1472">
          <cell r="J1472">
            <v>-1121.2257</v>
          </cell>
        </row>
        <row r="1473">
          <cell r="J1473">
            <v>-1120.3868</v>
          </cell>
        </row>
        <row r="1474">
          <cell r="J1474">
            <v>-1119.549</v>
          </cell>
        </row>
        <row r="1475">
          <cell r="J1475">
            <v>-1118.7092</v>
          </cell>
        </row>
        <row r="1476">
          <cell r="J1476">
            <v>-1117.8684000000001</v>
          </cell>
        </row>
        <row r="1477">
          <cell r="J1477">
            <v>-1117.0306</v>
          </cell>
        </row>
        <row r="1478">
          <cell r="J1478">
            <v>-1116.1793</v>
          </cell>
        </row>
        <row r="1479">
          <cell r="J1479">
            <v>-1115.1715000000002</v>
          </cell>
        </row>
        <row r="1480">
          <cell r="J1480">
            <v>-1114.1627000000001</v>
          </cell>
        </row>
        <row r="1481">
          <cell r="J1481">
            <v>-1113.1569</v>
          </cell>
        </row>
        <row r="1482">
          <cell r="J1482">
            <v>-1112.1491000000001</v>
          </cell>
        </row>
        <row r="1483">
          <cell r="J1483">
            <v>-1111.1413</v>
          </cell>
        </row>
        <row r="1484">
          <cell r="J1484">
            <v>-1110.1324999999999</v>
          </cell>
        </row>
        <row r="1485">
          <cell r="J1485">
            <v>-1109.1237000000001</v>
          </cell>
        </row>
        <row r="1486">
          <cell r="J1486">
            <v>-1108.116</v>
          </cell>
        </row>
        <row r="1487">
          <cell r="J1487">
            <v>-1107.1071999999999</v>
          </cell>
        </row>
        <row r="1488">
          <cell r="J1488">
            <v>-1106.0984000000001</v>
          </cell>
        </row>
        <row r="1489">
          <cell r="J1489">
            <v>-1105.0906</v>
          </cell>
        </row>
        <row r="1490">
          <cell r="J1490">
            <v>-1104.0798</v>
          </cell>
        </row>
        <row r="1491">
          <cell r="J1491">
            <v>-1103.0711000000001</v>
          </cell>
        </row>
        <row r="1492">
          <cell r="J1492">
            <v>-1101.9533000000001</v>
          </cell>
        </row>
        <row r="1493">
          <cell r="J1493">
            <v>-1100.7824000000001</v>
          </cell>
        </row>
        <row r="1494">
          <cell r="J1494">
            <v>-1099.6124</v>
          </cell>
        </row>
        <row r="1495">
          <cell r="J1495">
            <v>-1098.4423999999999</v>
          </cell>
        </row>
        <row r="1496">
          <cell r="J1496">
            <v>-1097.2705000000001</v>
          </cell>
        </row>
        <row r="1497">
          <cell r="J1497">
            <v>-1096.1005</v>
          </cell>
        </row>
        <row r="1498">
          <cell r="J1498">
            <v>-1094.9304999999999</v>
          </cell>
        </row>
        <row r="1499">
          <cell r="J1499">
            <v>-1093.7586000000001</v>
          </cell>
        </row>
        <row r="1500">
          <cell r="J1500">
            <v>-1092.4607999999998</v>
          </cell>
        </row>
        <row r="1501">
          <cell r="J1501">
            <v>-1091.1621</v>
          </cell>
        </row>
        <row r="1502">
          <cell r="J1502">
            <v>-1089.8603000000001</v>
          </cell>
        </row>
        <row r="1503">
          <cell r="J1503">
            <v>-1088.5615</v>
          </cell>
        </row>
        <row r="1504">
          <cell r="J1504">
            <v>-1087.2617</v>
          </cell>
        </row>
        <row r="1505">
          <cell r="J1505">
            <v>-1085.963</v>
          </cell>
        </row>
        <row r="1506">
          <cell r="J1506">
            <v>-1084.6612</v>
          </cell>
        </row>
        <row r="1507">
          <cell r="J1507">
            <v>-1083.3624</v>
          </cell>
        </row>
        <row r="1508">
          <cell r="J1508">
            <v>-1082.0626999999999</v>
          </cell>
        </row>
        <row r="1509">
          <cell r="J1509">
            <v>-1080.7609</v>
          </cell>
        </row>
        <row r="1510">
          <cell r="J1510">
            <v>-1079.4621999999999</v>
          </cell>
        </row>
        <row r="1511">
          <cell r="J1511">
            <v>-1078.1499000000001</v>
          </cell>
        </row>
        <row r="1512">
          <cell r="J1512">
            <v>-1076.7216000000001</v>
          </cell>
        </row>
        <row r="1513">
          <cell r="J1513">
            <v>-1075.2934</v>
          </cell>
        </row>
        <row r="1514">
          <cell r="J1514">
            <v>-1073.8652</v>
          </cell>
        </row>
        <row r="1515">
          <cell r="J1515">
            <v>-1072.4370000000001</v>
          </cell>
        </row>
        <row r="1516">
          <cell r="J1516">
            <v>-1071.0088000000001</v>
          </cell>
        </row>
        <row r="1517">
          <cell r="J1517">
            <v>-1069.5797</v>
          </cell>
        </row>
        <row r="1518">
          <cell r="J1518">
            <v>-1068.1505</v>
          </cell>
        </row>
        <row r="1519">
          <cell r="J1519">
            <v>-1066.7222999999999</v>
          </cell>
        </row>
        <row r="1520">
          <cell r="J1520">
            <v>-1065.2931000000001</v>
          </cell>
        </row>
        <row r="1521">
          <cell r="J1521">
            <v>-1063.8649</v>
          </cell>
        </row>
        <row r="1522">
          <cell r="J1522">
            <v>-1062.4347</v>
          </cell>
        </row>
        <row r="1523">
          <cell r="J1523">
            <v>-1061.0046</v>
          </cell>
        </row>
        <row r="1524">
          <cell r="J1524">
            <v>-1059.5753999999999</v>
          </cell>
        </row>
        <row r="1525">
          <cell r="J1525">
            <v>-1058.1442</v>
          </cell>
        </row>
        <row r="1526">
          <cell r="J1526">
            <v>-1056.7161000000001</v>
          </cell>
        </row>
        <row r="1527">
          <cell r="J1527">
            <v>-1055.2858999999999</v>
          </cell>
        </row>
        <row r="1528">
          <cell r="J1528">
            <v>-1053.8558</v>
          </cell>
        </row>
        <row r="1529">
          <cell r="J1529">
            <v>-1052.4246000000001</v>
          </cell>
        </row>
        <row r="1530">
          <cell r="J1530">
            <v>-1050.9954</v>
          </cell>
        </row>
        <row r="1531">
          <cell r="J1531">
            <v>-1049.5643</v>
          </cell>
        </row>
        <row r="1532">
          <cell r="J1532">
            <v>-1048.1332</v>
          </cell>
        </row>
        <row r="1533">
          <cell r="J1533">
            <v>-1046.7040000000002</v>
          </cell>
        </row>
        <row r="1534">
          <cell r="J1534">
            <v>-1045.2709</v>
          </cell>
        </row>
        <row r="1535">
          <cell r="J1535">
            <v>-1043.8407</v>
          </cell>
        </row>
        <row r="1536">
          <cell r="J1536">
            <v>-1042.4086</v>
          </cell>
        </row>
        <row r="1537">
          <cell r="J1537">
            <v>-1040.9785000000002</v>
          </cell>
        </row>
        <row r="1538">
          <cell r="J1538">
            <v>-1039.5473999999999</v>
          </cell>
        </row>
        <row r="1539">
          <cell r="J1539">
            <v>-1038.1171999999999</v>
          </cell>
        </row>
        <row r="1540">
          <cell r="J1540">
            <v>-1036.6840999999999</v>
          </cell>
        </row>
        <row r="1541">
          <cell r="J1541">
            <v>-1035.2520000000002</v>
          </cell>
        </row>
        <row r="1542">
          <cell r="J1542">
            <v>-1033.8208999999999</v>
          </cell>
        </row>
        <row r="1543">
          <cell r="J1543">
            <v>-1032.3887999999999</v>
          </cell>
        </row>
        <row r="1544">
          <cell r="J1544">
            <v>-1030.9557</v>
          </cell>
        </row>
        <row r="1545">
          <cell r="J1545">
            <v>-1029.5226</v>
          </cell>
        </row>
        <row r="1546">
          <cell r="J1546">
            <v>-1028.0905</v>
          </cell>
        </row>
        <row r="1547">
          <cell r="J1547">
            <v>-1026.6584</v>
          </cell>
        </row>
        <row r="1548">
          <cell r="J1548">
            <v>-1025.2263</v>
          </cell>
        </row>
        <row r="1549">
          <cell r="J1549">
            <v>-1023.7932</v>
          </cell>
        </row>
        <row r="1550">
          <cell r="J1550">
            <v>-1022.3600999999999</v>
          </cell>
        </row>
        <row r="1551">
          <cell r="J1551">
            <v>-1020.9271</v>
          </cell>
        </row>
        <row r="1552">
          <cell r="J1552">
            <v>-1019.4930000000001</v>
          </cell>
        </row>
        <row r="1553">
          <cell r="J1553">
            <v>-1018.0599000000001</v>
          </cell>
        </row>
        <row r="1554">
          <cell r="J1554">
            <v>-1016.6258</v>
          </cell>
        </row>
        <row r="1555">
          <cell r="J1555">
            <v>-1015.1938</v>
          </cell>
        </row>
        <row r="1556">
          <cell r="J1556">
            <v>-1013.7597000000001</v>
          </cell>
        </row>
        <row r="1557">
          <cell r="J1557">
            <v>-1012.3256000000001</v>
          </cell>
        </row>
        <row r="1558">
          <cell r="J1558">
            <v>-1010.8905999999999</v>
          </cell>
        </row>
        <row r="1559">
          <cell r="J1559">
            <v>-1009.4564999999999</v>
          </cell>
        </row>
        <row r="1560">
          <cell r="J1560">
            <v>-1008.0235</v>
          </cell>
        </row>
        <row r="1561">
          <cell r="J1561">
            <v>-1006.5873999999999</v>
          </cell>
        </row>
        <row r="1562">
          <cell r="J1562">
            <v>-1005.1534</v>
          </cell>
        </row>
        <row r="1563">
          <cell r="J1563">
            <v>-1003.7193</v>
          </cell>
        </row>
        <row r="1564">
          <cell r="J1564">
            <v>-1002.2832999999999</v>
          </cell>
        </row>
        <row r="1565">
          <cell r="J1565">
            <v>-1000.8503000000001</v>
          </cell>
        </row>
        <row r="1566">
          <cell r="J1566">
            <v>-999.41519999999991</v>
          </cell>
        </row>
        <row r="1567">
          <cell r="J1567">
            <v>-997.98019999999997</v>
          </cell>
        </row>
        <row r="1568">
          <cell r="J1568">
            <v>-996.54420000000005</v>
          </cell>
        </row>
        <row r="1569">
          <cell r="J1569">
            <v>-995.10810000000004</v>
          </cell>
        </row>
        <row r="1570">
          <cell r="J1570">
            <v>-993.6721</v>
          </cell>
        </row>
        <row r="1571">
          <cell r="J1571">
            <v>-992.23609999999996</v>
          </cell>
        </row>
        <row r="1572">
          <cell r="J1572">
            <v>-990.80010000000016</v>
          </cell>
        </row>
        <row r="1573">
          <cell r="J1573">
            <v>-989.36410000000001</v>
          </cell>
        </row>
        <row r="1574">
          <cell r="J1574">
            <v>-987.92910000000006</v>
          </cell>
        </row>
        <row r="1575">
          <cell r="J1575">
            <v>-986.49209999999994</v>
          </cell>
        </row>
        <row r="1576">
          <cell r="J1576">
            <v>-985.05509999999981</v>
          </cell>
        </row>
        <row r="1577">
          <cell r="J1577">
            <v>-983.6191</v>
          </cell>
        </row>
        <row r="1578">
          <cell r="J1578">
            <v>-982.18209999999999</v>
          </cell>
        </row>
        <row r="1579">
          <cell r="J1579">
            <v>-980.74610000000007</v>
          </cell>
        </row>
        <row r="1580">
          <cell r="J1580">
            <v>-979.30809999999997</v>
          </cell>
        </row>
        <row r="1581">
          <cell r="J1581">
            <v>-977.87209999999993</v>
          </cell>
        </row>
        <row r="1582">
          <cell r="J1582">
            <v>-976.43420000000003</v>
          </cell>
        </row>
        <row r="1583">
          <cell r="J1583">
            <v>-974.9982</v>
          </cell>
        </row>
        <row r="1584">
          <cell r="J1584">
            <v>-973.56020000000001</v>
          </cell>
        </row>
        <row r="1585">
          <cell r="J1585">
            <v>-972.12220000000002</v>
          </cell>
        </row>
        <row r="1586">
          <cell r="J1586">
            <v>-970.6853000000001</v>
          </cell>
        </row>
        <row r="1587">
          <cell r="J1587">
            <v>-969.2473</v>
          </cell>
        </row>
        <row r="1588">
          <cell r="J1588">
            <v>-967.8094000000001</v>
          </cell>
        </row>
        <row r="1589">
          <cell r="J1589">
            <v>-966.37139999999999</v>
          </cell>
        </row>
        <row r="1590">
          <cell r="J1590">
            <v>-964.9316</v>
          </cell>
        </row>
        <row r="1591">
          <cell r="J1591">
            <v>-963.36939999999993</v>
          </cell>
        </row>
        <row r="1592">
          <cell r="J1592">
            <v>-961.75489999999991</v>
          </cell>
        </row>
        <row r="1593">
          <cell r="J1593">
            <v>-959.95600000000002</v>
          </cell>
        </row>
        <row r="1594">
          <cell r="J1594">
            <v>-958.09049999999991</v>
          </cell>
        </row>
        <row r="1595">
          <cell r="J1595">
            <v>-956.22500000000002</v>
          </cell>
        </row>
        <row r="1596">
          <cell r="J1596">
            <v>-954.35860000000002</v>
          </cell>
        </row>
        <row r="1597">
          <cell r="J1597">
            <v>-952.49110000000007</v>
          </cell>
        </row>
        <row r="1598">
          <cell r="J1598">
            <v>-950.62469999999996</v>
          </cell>
        </row>
        <row r="1599">
          <cell r="J1599">
            <v>-948.7573000000001</v>
          </cell>
        </row>
        <row r="1600">
          <cell r="J1600">
            <v>-946.88990000000001</v>
          </cell>
        </row>
        <row r="1601">
          <cell r="J1601">
            <v>-945.02150000000006</v>
          </cell>
        </row>
        <row r="1602">
          <cell r="J1602">
            <v>-943.15510000000006</v>
          </cell>
        </row>
        <row r="1603">
          <cell r="J1603">
            <v>-941.28769999999997</v>
          </cell>
        </row>
        <row r="1604">
          <cell r="J1604">
            <v>-939.41930000000002</v>
          </cell>
        </row>
        <row r="1605">
          <cell r="J1605">
            <v>-937.54899999999998</v>
          </cell>
        </row>
        <row r="1606">
          <cell r="J1606">
            <v>-935.68159999999989</v>
          </cell>
        </row>
        <row r="1607">
          <cell r="J1607">
            <v>-933.8143</v>
          </cell>
        </row>
        <row r="1608">
          <cell r="J1608">
            <v>-931.94399999999996</v>
          </cell>
        </row>
        <row r="1609">
          <cell r="J1609">
            <v>-930.07569999999998</v>
          </cell>
        </row>
        <row r="1610">
          <cell r="J1610">
            <v>-928.20429999999999</v>
          </cell>
        </row>
        <row r="1611">
          <cell r="J1611">
            <v>-926.33699999999999</v>
          </cell>
        </row>
        <row r="1612">
          <cell r="J1612">
            <v>-924.46579999999994</v>
          </cell>
        </row>
        <row r="1613">
          <cell r="J1613">
            <v>-922.59550000000013</v>
          </cell>
        </row>
        <row r="1614">
          <cell r="J1614">
            <v>-920.72523000000001</v>
          </cell>
        </row>
        <row r="1615">
          <cell r="J1615">
            <v>-918.85597000000007</v>
          </cell>
        </row>
        <row r="1616">
          <cell r="J1616">
            <v>-916.98373000000015</v>
          </cell>
        </row>
        <row r="1617">
          <cell r="J1617">
            <v>-915.11349999999993</v>
          </cell>
        </row>
        <row r="1618">
          <cell r="J1618">
            <v>-913.24227999999994</v>
          </cell>
        </row>
        <row r="1619">
          <cell r="J1619">
            <v>-911.37106000000017</v>
          </cell>
        </row>
        <row r="1620">
          <cell r="J1620">
            <v>-909.50085999999988</v>
          </cell>
        </row>
        <row r="1621">
          <cell r="J1621">
            <v>-907.62867000000006</v>
          </cell>
        </row>
        <row r="1622">
          <cell r="J1622">
            <v>-905.7564900000001</v>
          </cell>
        </row>
        <row r="1623">
          <cell r="J1623">
            <v>-903.88332000000003</v>
          </cell>
        </row>
        <row r="1624">
          <cell r="J1624">
            <v>-902.01215999999999</v>
          </cell>
        </row>
        <row r="1625">
          <cell r="J1625">
            <v>-900.14001000000007</v>
          </cell>
        </row>
        <row r="1626">
          <cell r="J1626">
            <v>-898.26688000000013</v>
          </cell>
        </row>
        <row r="1627">
          <cell r="J1627">
            <v>-896.39375000000007</v>
          </cell>
        </row>
        <row r="1628">
          <cell r="J1628">
            <v>-894.52062999999998</v>
          </cell>
        </row>
        <row r="1629">
          <cell r="J1629">
            <v>-892.64753000000007</v>
          </cell>
        </row>
        <row r="1630">
          <cell r="J1630">
            <v>-890.77442999999994</v>
          </cell>
        </row>
        <row r="1631">
          <cell r="J1631">
            <v>-888.90035</v>
          </cell>
        </row>
        <row r="1632">
          <cell r="J1632">
            <v>-887.02626999999995</v>
          </cell>
        </row>
        <row r="1633">
          <cell r="J1633">
            <v>-885.15120999999999</v>
          </cell>
        </row>
        <row r="1634">
          <cell r="J1634">
            <v>-883.27814999999998</v>
          </cell>
        </row>
        <row r="1635">
          <cell r="J1635">
            <v>-881.40310999999997</v>
          </cell>
        </row>
        <row r="1636">
          <cell r="J1636">
            <v>-879.52908000000002</v>
          </cell>
        </row>
        <row r="1637">
          <cell r="J1637">
            <v>-877.6530600000001</v>
          </cell>
        </row>
        <row r="1638">
          <cell r="J1638">
            <v>-875.77803999999992</v>
          </cell>
        </row>
        <row r="1639">
          <cell r="J1639">
            <v>-873.90404000000001</v>
          </cell>
        </row>
        <row r="1640">
          <cell r="J1640">
            <v>-872.02804999999989</v>
          </cell>
        </row>
        <row r="1641">
          <cell r="J1641">
            <v>-870.15206999999987</v>
          </cell>
        </row>
        <row r="1642">
          <cell r="J1642">
            <v>-868.27710999999999</v>
          </cell>
        </row>
        <row r="1643">
          <cell r="J1643">
            <v>-866.39915000000008</v>
          </cell>
        </row>
        <row r="1644">
          <cell r="J1644">
            <v>-864.52319999999997</v>
          </cell>
        </row>
        <row r="1645">
          <cell r="J1645">
            <v>-862.64725999999996</v>
          </cell>
        </row>
        <row r="1646">
          <cell r="J1646">
            <v>-860.77034000000003</v>
          </cell>
        </row>
        <row r="1647">
          <cell r="J1647">
            <v>-858.89242000000013</v>
          </cell>
        </row>
        <row r="1648">
          <cell r="J1648">
            <v>-857.01551000000006</v>
          </cell>
        </row>
        <row r="1649">
          <cell r="J1649">
            <v>-855.13861999999995</v>
          </cell>
        </row>
        <row r="1650">
          <cell r="J1650">
            <v>-853.26073999999994</v>
          </cell>
        </row>
        <row r="1651">
          <cell r="J1651">
            <v>-851.38285999999994</v>
          </cell>
        </row>
        <row r="1652">
          <cell r="J1652">
            <v>-849.505</v>
          </cell>
        </row>
        <row r="1653">
          <cell r="J1653">
            <v>-847.62715000000003</v>
          </cell>
        </row>
        <row r="1654">
          <cell r="J1654">
            <v>-845.74830000000009</v>
          </cell>
        </row>
        <row r="1655">
          <cell r="J1655">
            <v>-843.86847000000012</v>
          </cell>
        </row>
        <row r="1656">
          <cell r="J1656">
            <v>-841.98964999999998</v>
          </cell>
        </row>
        <row r="1657">
          <cell r="J1657">
            <v>-840.11084000000005</v>
          </cell>
        </row>
        <row r="1658">
          <cell r="J1658">
            <v>-838.23303999999996</v>
          </cell>
        </row>
        <row r="1659">
          <cell r="J1659">
            <v>-836.35326000000009</v>
          </cell>
        </row>
        <row r="1660">
          <cell r="J1660">
            <v>-834.47348</v>
          </cell>
        </row>
        <row r="1661">
          <cell r="J1661">
            <v>-832.5927099999999</v>
          </cell>
        </row>
        <row r="1662">
          <cell r="J1662">
            <v>-830.71295999999995</v>
          </cell>
        </row>
        <row r="1663">
          <cell r="J1663">
            <v>-828.83321000000001</v>
          </cell>
        </row>
        <row r="1664">
          <cell r="J1664">
            <v>-826.95257000000004</v>
          </cell>
        </row>
        <row r="1665">
          <cell r="J1665">
            <v>-825.07164999999998</v>
          </cell>
        </row>
        <row r="1666">
          <cell r="J1666">
            <v>-823.19064000000003</v>
          </cell>
        </row>
        <row r="1667">
          <cell r="J1667">
            <v>-821.30953000000011</v>
          </cell>
        </row>
        <row r="1668">
          <cell r="J1668">
            <v>-819.42843999999991</v>
          </cell>
        </row>
        <row r="1669">
          <cell r="J1669">
            <v>-817.54636000000005</v>
          </cell>
        </row>
        <row r="1670">
          <cell r="J1670">
            <v>-815.66418999999996</v>
          </cell>
        </row>
        <row r="1671">
          <cell r="J1671">
            <v>-813.78392999999994</v>
          </cell>
        </row>
        <row r="1672">
          <cell r="J1672">
            <v>-811.90178000000003</v>
          </cell>
        </row>
        <row r="1673">
          <cell r="J1673">
            <v>-810.01844000000006</v>
          </cell>
        </row>
        <row r="1674">
          <cell r="J1674">
            <v>-808.13611000000003</v>
          </cell>
        </row>
        <row r="1675">
          <cell r="J1675">
            <v>-806.25369000000001</v>
          </cell>
        </row>
        <row r="1676">
          <cell r="J1676">
            <v>-804.37029000000007</v>
          </cell>
        </row>
        <row r="1677">
          <cell r="J1677">
            <v>-802.48679000000004</v>
          </cell>
        </row>
        <row r="1678">
          <cell r="J1678">
            <v>-800.60340999999994</v>
          </cell>
        </row>
        <row r="1679">
          <cell r="J1679">
            <v>-798.71983</v>
          </cell>
        </row>
        <row r="1680">
          <cell r="J1680">
            <v>-796.83726999999988</v>
          </cell>
        </row>
        <row r="1681">
          <cell r="J1681">
            <v>-794.95161000000007</v>
          </cell>
        </row>
        <row r="1682">
          <cell r="J1682">
            <v>-793.06786999999997</v>
          </cell>
        </row>
        <row r="1683">
          <cell r="J1683">
            <v>-791.18313999999998</v>
          </cell>
        </row>
        <row r="1684">
          <cell r="J1684">
            <v>-789.29841999999996</v>
          </cell>
        </row>
        <row r="1685">
          <cell r="J1685">
            <v>-787.41371000000004</v>
          </cell>
        </row>
        <row r="1686">
          <cell r="J1686">
            <v>-785.52891</v>
          </cell>
        </row>
        <row r="1687">
          <cell r="J1687">
            <v>-783.64402000000007</v>
          </cell>
        </row>
        <row r="1688">
          <cell r="J1688">
            <v>-781.75814000000003</v>
          </cell>
        </row>
        <row r="1689">
          <cell r="J1689">
            <v>-779.87108000000012</v>
          </cell>
        </row>
        <row r="1690">
          <cell r="J1690">
            <v>-777.98612000000003</v>
          </cell>
        </row>
        <row r="1691">
          <cell r="J1691">
            <v>-776.10106999999994</v>
          </cell>
        </row>
        <row r="1692">
          <cell r="J1692">
            <v>-774.21403999999995</v>
          </cell>
        </row>
        <row r="1693">
          <cell r="J1693">
            <v>-772.32790999999997</v>
          </cell>
        </row>
        <row r="1694">
          <cell r="J1694">
            <v>-770.4396999999999</v>
          </cell>
        </row>
        <row r="1695">
          <cell r="J1695">
            <v>-768.55349999999999</v>
          </cell>
        </row>
        <row r="1696">
          <cell r="J1696">
            <v>-766.66620999999986</v>
          </cell>
        </row>
        <row r="1697">
          <cell r="J1697">
            <v>-764.77902999999992</v>
          </cell>
        </row>
        <row r="1698">
          <cell r="J1698">
            <v>-762.89265999999998</v>
          </cell>
        </row>
        <row r="1699">
          <cell r="J1699">
            <v>-761.00429999999994</v>
          </cell>
        </row>
        <row r="1700">
          <cell r="J1700">
            <v>-759.11584999999991</v>
          </cell>
        </row>
        <row r="1701">
          <cell r="J1701">
            <v>-757.22740999999996</v>
          </cell>
        </row>
        <row r="1702">
          <cell r="J1702">
            <v>-755.33987999999988</v>
          </cell>
        </row>
        <row r="1703">
          <cell r="J1703">
            <v>-753.45036999999991</v>
          </cell>
        </row>
        <row r="1704">
          <cell r="J1704">
            <v>-751.56286</v>
          </cell>
        </row>
        <row r="1705">
          <cell r="J1705">
            <v>-749.67317000000003</v>
          </cell>
        </row>
        <row r="1706">
          <cell r="J1706">
            <v>-747.78348000000005</v>
          </cell>
        </row>
        <row r="1707">
          <cell r="J1707">
            <v>-745.89381000000003</v>
          </cell>
        </row>
        <row r="1708">
          <cell r="J1708">
            <v>-744.00504999999998</v>
          </cell>
        </row>
        <row r="1709">
          <cell r="J1709">
            <v>-742.11529999999993</v>
          </cell>
        </row>
        <row r="1710">
          <cell r="J1710">
            <v>-740.22546</v>
          </cell>
        </row>
        <row r="1711">
          <cell r="J1711">
            <v>-738.33463000000006</v>
          </cell>
        </row>
        <row r="1712">
          <cell r="J1712">
            <v>-736.44461000000001</v>
          </cell>
        </row>
        <row r="1713">
          <cell r="J1713">
            <v>-734.55370000000005</v>
          </cell>
        </row>
        <row r="1714">
          <cell r="J1714">
            <v>-732.66181000000006</v>
          </cell>
        </row>
        <row r="1715">
          <cell r="J1715">
            <v>-730.77161999999998</v>
          </cell>
        </row>
        <row r="1716">
          <cell r="J1716">
            <v>-728.88064000000008</v>
          </cell>
        </row>
        <row r="1717">
          <cell r="J1717">
            <v>-726.9884800000001</v>
          </cell>
        </row>
        <row r="1718">
          <cell r="J1718">
            <v>-725.09733000000006</v>
          </cell>
        </row>
        <row r="1719">
          <cell r="J1719">
            <v>-723.20507999999995</v>
          </cell>
        </row>
        <row r="1720">
          <cell r="J1720">
            <v>-721.31285000000003</v>
          </cell>
        </row>
        <row r="1721">
          <cell r="J1721">
            <v>-719.42163000000005</v>
          </cell>
        </row>
        <row r="1722">
          <cell r="J1722">
            <v>-717.52731999999992</v>
          </cell>
        </row>
        <row r="1723">
          <cell r="J1723">
            <v>-715.63481999999999</v>
          </cell>
        </row>
        <row r="1724">
          <cell r="J1724">
            <v>-713.74252999999999</v>
          </cell>
        </row>
        <row r="1725">
          <cell r="J1725">
            <v>-711.84906000000001</v>
          </cell>
        </row>
        <row r="1726">
          <cell r="J1726">
            <v>-709.95558999999992</v>
          </cell>
        </row>
        <row r="1727">
          <cell r="J1727">
            <v>-708.06203000000005</v>
          </cell>
        </row>
        <row r="1728">
          <cell r="J1728">
            <v>-706.16738999999995</v>
          </cell>
        </row>
        <row r="1729">
          <cell r="J1729">
            <v>-704.27476000000001</v>
          </cell>
        </row>
        <row r="1730">
          <cell r="J1730">
            <v>-702.38013000000001</v>
          </cell>
        </row>
        <row r="1731">
          <cell r="J1731">
            <v>-700.48541999999998</v>
          </cell>
        </row>
        <row r="1732">
          <cell r="J1732">
            <v>-698.59072000000003</v>
          </cell>
        </row>
        <row r="1733">
          <cell r="J1733">
            <v>-696.69682999999986</v>
          </cell>
        </row>
        <row r="1734">
          <cell r="J1734">
            <v>-694.80105000000003</v>
          </cell>
        </row>
        <row r="1735">
          <cell r="J1735">
            <v>-692.90627999999992</v>
          </cell>
        </row>
        <row r="1736">
          <cell r="J1736">
            <v>-691.01033000000007</v>
          </cell>
        </row>
        <row r="1737">
          <cell r="J1737">
            <v>-689.11428000000001</v>
          </cell>
        </row>
        <row r="1738">
          <cell r="J1738">
            <v>-687.21834999999999</v>
          </cell>
        </row>
        <row r="1739">
          <cell r="J1739">
            <v>-685.3222199999999</v>
          </cell>
        </row>
        <row r="1740">
          <cell r="J1740">
            <v>-683.42621000000008</v>
          </cell>
        </row>
        <row r="1741">
          <cell r="J1741">
            <v>-681.53010999999992</v>
          </cell>
        </row>
        <row r="1742">
          <cell r="J1742">
            <v>-679.63201000000004</v>
          </cell>
        </row>
        <row r="1743">
          <cell r="J1743">
            <v>-677.73572999999999</v>
          </cell>
        </row>
        <row r="1744">
          <cell r="J1744">
            <v>-675.83845999999994</v>
          </cell>
        </row>
        <row r="1745">
          <cell r="J1745">
            <v>-673.94120999999996</v>
          </cell>
        </row>
        <row r="1746">
          <cell r="J1746">
            <v>-672.04386</v>
          </cell>
        </row>
        <row r="1747">
          <cell r="J1747">
            <v>-670.14652000000001</v>
          </cell>
        </row>
        <row r="1748">
          <cell r="J1748">
            <v>-668.24810000000002</v>
          </cell>
        </row>
        <row r="1749">
          <cell r="J1749">
            <v>-666.34968000000003</v>
          </cell>
        </row>
        <row r="1750">
          <cell r="J1750">
            <v>-664.45018000000005</v>
          </cell>
        </row>
        <row r="1751">
          <cell r="J1751">
            <v>-662.55158999999992</v>
          </cell>
        </row>
        <row r="1752">
          <cell r="J1752">
            <v>-660.65300000000002</v>
          </cell>
        </row>
        <row r="1753">
          <cell r="J1753">
            <v>-658.75432999999998</v>
          </cell>
        </row>
        <row r="1754">
          <cell r="J1754">
            <v>-656.85476999999992</v>
          </cell>
        </row>
        <row r="1755">
          <cell r="J1755">
            <v>-654.95603000000006</v>
          </cell>
        </row>
        <row r="1756">
          <cell r="J1756">
            <v>-653.05619000000002</v>
          </cell>
        </row>
        <row r="1757">
          <cell r="J1757">
            <v>-651.15646000000004</v>
          </cell>
        </row>
        <row r="1758">
          <cell r="J1758">
            <v>-649.25564999999995</v>
          </cell>
        </row>
        <row r="1759">
          <cell r="J1759">
            <v>-647.35573999999997</v>
          </cell>
        </row>
        <row r="1760">
          <cell r="J1760">
            <v>-645.45485000000008</v>
          </cell>
        </row>
        <row r="1761">
          <cell r="J1761">
            <v>-643.55386999999996</v>
          </cell>
        </row>
        <row r="1762">
          <cell r="J1762">
            <v>-641.65289000000007</v>
          </cell>
        </row>
        <row r="1763">
          <cell r="J1763">
            <v>-639.75183000000015</v>
          </cell>
        </row>
        <row r="1764">
          <cell r="J1764">
            <v>-637.85077999999999</v>
          </cell>
        </row>
        <row r="1765">
          <cell r="J1765">
            <v>-635.94865000000004</v>
          </cell>
        </row>
        <row r="1766">
          <cell r="J1766">
            <v>-634.04642000000001</v>
          </cell>
        </row>
        <row r="1767">
          <cell r="J1767">
            <v>-632.14529999999991</v>
          </cell>
        </row>
        <row r="1768">
          <cell r="J1768">
            <v>-630.24299999999994</v>
          </cell>
        </row>
        <row r="1769">
          <cell r="J1769">
            <v>-628.34069999999997</v>
          </cell>
        </row>
        <row r="1770">
          <cell r="J1770">
            <v>-626.43841999999995</v>
          </cell>
        </row>
        <row r="1771">
          <cell r="J1771">
            <v>-624.53494999999998</v>
          </cell>
        </row>
        <row r="1772">
          <cell r="J1772">
            <v>-622.63158999999996</v>
          </cell>
        </row>
        <row r="1773">
          <cell r="J1773">
            <v>-620.72914000000014</v>
          </cell>
        </row>
        <row r="1774">
          <cell r="J1774">
            <v>-618.82560000000001</v>
          </cell>
        </row>
        <row r="1775">
          <cell r="J1775">
            <v>-616.92307000000005</v>
          </cell>
        </row>
        <row r="1776">
          <cell r="J1776">
            <v>-615.01746000000003</v>
          </cell>
        </row>
        <row r="1777">
          <cell r="J1777">
            <v>-613.11384999999996</v>
          </cell>
        </row>
        <row r="1778">
          <cell r="J1778">
            <v>-611.20925999999997</v>
          </cell>
        </row>
        <row r="1779">
          <cell r="J1779">
            <v>-609.30547000000001</v>
          </cell>
        </row>
        <row r="1780">
          <cell r="J1780">
            <v>-607.39970000000005</v>
          </cell>
        </row>
        <row r="1781">
          <cell r="J1781">
            <v>-605.49484000000007</v>
          </cell>
        </row>
        <row r="1782">
          <cell r="J1782">
            <v>-603.58998999999994</v>
          </cell>
        </row>
        <row r="1783">
          <cell r="J1783">
            <v>-601.68425000000002</v>
          </cell>
        </row>
        <row r="1784">
          <cell r="J1784">
            <v>-599.77922000000001</v>
          </cell>
        </row>
        <row r="1785">
          <cell r="J1785">
            <v>-597.87330999999995</v>
          </cell>
        </row>
        <row r="1786">
          <cell r="J1786">
            <v>-595.96720000000005</v>
          </cell>
        </row>
        <row r="1787">
          <cell r="J1787">
            <v>-594.06120999999996</v>
          </cell>
        </row>
        <row r="1788">
          <cell r="J1788">
            <v>-592.15512000000001</v>
          </cell>
        </row>
        <row r="1789">
          <cell r="J1789">
            <v>-590.24805000000003</v>
          </cell>
        </row>
        <row r="1790">
          <cell r="J1790">
            <v>-588.34078999999997</v>
          </cell>
        </row>
        <row r="1791">
          <cell r="J1791">
            <v>-586.43363999999997</v>
          </cell>
        </row>
        <row r="1792">
          <cell r="J1792">
            <v>-584.52740000000006</v>
          </cell>
        </row>
        <row r="1793">
          <cell r="J1793">
            <v>-582.61797999999999</v>
          </cell>
        </row>
        <row r="1794">
          <cell r="J1794">
            <v>-580.71165999999994</v>
          </cell>
        </row>
        <row r="1795">
          <cell r="J1795">
            <v>-578.80325000000005</v>
          </cell>
        </row>
        <row r="1796">
          <cell r="J1796">
            <v>-576.89485999999999</v>
          </cell>
        </row>
        <row r="1797">
          <cell r="J1797">
            <v>-574.98738000000003</v>
          </cell>
        </row>
        <row r="1798">
          <cell r="J1798">
            <v>-573.07790999999997</v>
          </cell>
        </row>
        <row r="1799">
          <cell r="J1799">
            <v>-571.16924999999992</v>
          </cell>
        </row>
        <row r="1800">
          <cell r="J1800">
            <v>-569.26070000000004</v>
          </cell>
        </row>
        <row r="1801">
          <cell r="J1801">
            <v>-567.35105999999996</v>
          </cell>
        </row>
        <row r="1802">
          <cell r="J1802">
            <v>-565.44242999999994</v>
          </cell>
        </row>
        <row r="1803">
          <cell r="J1803">
            <v>-563.53262000000007</v>
          </cell>
        </row>
        <row r="1804">
          <cell r="J1804">
            <v>-561.62291000000005</v>
          </cell>
        </row>
        <row r="1805">
          <cell r="J1805">
            <v>-559.71201999999994</v>
          </cell>
        </row>
        <row r="1806">
          <cell r="J1806">
            <v>-557.80124000000001</v>
          </cell>
        </row>
        <row r="1807">
          <cell r="J1807">
            <v>-555.89136999999994</v>
          </cell>
        </row>
        <row r="1808">
          <cell r="J1808">
            <v>-553.98140999999998</v>
          </cell>
        </row>
        <row r="1809">
          <cell r="J1809">
            <v>-552.06946000000005</v>
          </cell>
        </row>
        <row r="1810">
          <cell r="J1810">
            <v>-550.15941999999995</v>
          </cell>
        </row>
        <row r="1811">
          <cell r="J1811">
            <v>-548.24740000000008</v>
          </cell>
        </row>
        <row r="1812">
          <cell r="J1812">
            <v>-546.33618000000001</v>
          </cell>
        </row>
        <row r="1813">
          <cell r="J1813">
            <v>-544.42408</v>
          </cell>
        </row>
        <row r="1814">
          <cell r="J1814">
            <v>-542.51188999999999</v>
          </cell>
        </row>
        <row r="1815">
          <cell r="J1815">
            <v>-540.59971000000007</v>
          </cell>
        </row>
        <row r="1816">
          <cell r="J1816">
            <v>-538.68834000000004</v>
          </cell>
        </row>
        <row r="1817">
          <cell r="J1817">
            <v>-536.77508</v>
          </cell>
        </row>
        <row r="1818">
          <cell r="J1818">
            <v>-534.86262999999997</v>
          </cell>
        </row>
        <row r="1819">
          <cell r="J1819">
            <v>-532.94929000000002</v>
          </cell>
        </row>
        <row r="1820">
          <cell r="J1820">
            <v>-531.03577000000007</v>
          </cell>
        </row>
        <row r="1821">
          <cell r="J1821">
            <v>-529.12346000000002</v>
          </cell>
        </row>
        <row r="1822">
          <cell r="J1822">
            <v>-527.20974999999999</v>
          </cell>
        </row>
        <row r="1823">
          <cell r="J1823">
            <v>-525.29525999999998</v>
          </cell>
        </row>
        <row r="1824">
          <cell r="J1824">
            <v>-523.38058000000001</v>
          </cell>
        </row>
        <row r="1825">
          <cell r="J1825">
            <v>-521.46702000000005</v>
          </cell>
        </row>
        <row r="1826">
          <cell r="J1826">
            <v>-519.55225999999993</v>
          </cell>
        </row>
        <row r="1827">
          <cell r="J1827">
            <v>-517.63761</v>
          </cell>
        </row>
        <row r="1828">
          <cell r="J1828">
            <v>-515.72278000000006</v>
          </cell>
        </row>
        <row r="1829">
          <cell r="J1829">
            <v>-513.80795999999998</v>
          </cell>
        </row>
        <row r="1830">
          <cell r="J1830">
            <v>-511.89114000000001</v>
          </cell>
        </row>
        <row r="1831">
          <cell r="J1831">
            <v>-509.97713999999996</v>
          </cell>
        </row>
        <row r="1832">
          <cell r="J1832">
            <v>-508.06115</v>
          </cell>
        </row>
        <row r="1833">
          <cell r="J1833">
            <v>-506.14418000000001</v>
          </cell>
        </row>
        <row r="1834">
          <cell r="J1834">
            <v>-504.22820999999999</v>
          </cell>
        </row>
        <row r="1835">
          <cell r="J1835">
            <v>-502.31104999999991</v>
          </cell>
        </row>
        <row r="1836">
          <cell r="J1836">
            <v>-500.39510999999999</v>
          </cell>
        </row>
        <row r="1837">
          <cell r="J1837">
            <v>-498.47787999999997</v>
          </cell>
        </row>
        <row r="1838">
          <cell r="J1838">
            <v>-496.56055999999995</v>
          </cell>
        </row>
        <row r="1839">
          <cell r="J1839">
            <v>-494.64404999999999</v>
          </cell>
        </row>
        <row r="1840">
          <cell r="J1840">
            <v>-492.72654999999997</v>
          </cell>
        </row>
        <row r="1841">
          <cell r="J1841">
            <v>-490.80885999999992</v>
          </cell>
        </row>
        <row r="1842">
          <cell r="J1842">
            <v>-488.89118000000002</v>
          </cell>
        </row>
        <row r="1843">
          <cell r="J1843">
            <v>-486.97221999999999</v>
          </cell>
        </row>
        <row r="1844">
          <cell r="J1844">
            <v>-485.05436999999995</v>
          </cell>
        </row>
        <row r="1845">
          <cell r="J1845">
            <v>-483.13532999999995</v>
          </cell>
        </row>
        <row r="1846">
          <cell r="J1846">
            <v>-481.21708999999998</v>
          </cell>
        </row>
        <row r="1847">
          <cell r="J1847">
            <v>-479.29777999999999</v>
          </cell>
        </row>
        <row r="1848">
          <cell r="J1848">
            <v>-477.37837000000002</v>
          </cell>
        </row>
        <row r="1849">
          <cell r="J1849">
            <v>-475.45887000000005</v>
          </cell>
        </row>
        <row r="1850">
          <cell r="J1850">
            <v>-473.53929000000005</v>
          </cell>
        </row>
        <row r="1851">
          <cell r="J1851">
            <v>-471.61961000000002</v>
          </cell>
        </row>
        <row r="1852">
          <cell r="J1852">
            <v>-469.69985000000008</v>
          </cell>
        </row>
        <row r="1853">
          <cell r="J1853">
            <v>-467.779</v>
          </cell>
        </row>
        <row r="1854">
          <cell r="J1854">
            <v>-465.85896000000002</v>
          </cell>
        </row>
        <row r="1855">
          <cell r="J1855">
            <v>-463.93792999999999</v>
          </cell>
        </row>
        <row r="1856">
          <cell r="J1856">
            <v>-462.01762000000002</v>
          </cell>
        </row>
        <row r="1857">
          <cell r="J1857">
            <v>-460.09631100000001</v>
          </cell>
        </row>
        <row r="1858">
          <cell r="J1858">
            <v>-458.17491700000005</v>
          </cell>
        </row>
        <row r="1859">
          <cell r="J1859">
            <v>-456.25243499999999</v>
          </cell>
        </row>
        <row r="1860">
          <cell r="J1860">
            <v>-454.33086400000002</v>
          </cell>
        </row>
        <row r="1861">
          <cell r="J1861">
            <v>-452.40920399999999</v>
          </cell>
        </row>
        <row r="1862">
          <cell r="J1862">
            <v>-450.486356</v>
          </cell>
        </row>
        <row r="1863">
          <cell r="J1863">
            <v>-448.56441899999999</v>
          </cell>
        </row>
        <row r="1864">
          <cell r="J1864">
            <v>-446.64129400000002</v>
          </cell>
        </row>
        <row r="1865">
          <cell r="J1865">
            <v>-444.71918000000005</v>
          </cell>
        </row>
        <row r="1866">
          <cell r="J1866">
            <v>-442.79597799999993</v>
          </cell>
        </row>
        <row r="1867">
          <cell r="J1867">
            <v>-440.87268699999998</v>
          </cell>
        </row>
        <row r="1868">
          <cell r="J1868">
            <v>-438.949208</v>
          </cell>
        </row>
        <row r="1869">
          <cell r="J1869">
            <v>-437.02564000000007</v>
          </cell>
        </row>
        <row r="1870">
          <cell r="J1870">
            <v>-435.10098300000004</v>
          </cell>
        </row>
        <row r="1871">
          <cell r="J1871">
            <v>-433.17723800000005</v>
          </cell>
        </row>
        <row r="1872">
          <cell r="J1872">
            <v>-431.25230500000004</v>
          </cell>
        </row>
        <row r="1873">
          <cell r="J1873">
            <v>-429.32838200000003</v>
          </cell>
        </row>
        <row r="1874">
          <cell r="J1874">
            <v>-427.40337199999999</v>
          </cell>
        </row>
        <row r="1875">
          <cell r="J1875">
            <v>-425.69789700000001</v>
          </cell>
        </row>
        <row r="1876">
          <cell r="J1876">
            <v>-424.141434</v>
          </cell>
        </row>
        <row r="1877">
          <cell r="J1877">
            <v>-422.82226600000001</v>
          </cell>
        </row>
        <row r="1878">
          <cell r="J1878">
            <v>-421.57658599999996</v>
          </cell>
        </row>
        <row r="1879">
          <cell r="J1879">
            <v>-420.33091200000001</v>
          </cell>
        </row>
        <row r="1880">
          <cell r="J1880">
            <v>-419.08414400000004</v>
          </cell>
        </row>
        <row r="1881">
          <cell r="J1881">
            <v>-417.83828299999999</v>
          </cell>
        </row>
        <row r="1882">
          <cell r="J1882">
            <v>-416.59142700000001</v>
          </cell>
        </row>
        <row r="1883">
          <cell r="J1883">
            <v>-415.34457800000007</v>
          </cell>
        </row>
        <row r="1884">
          <cell r="J1884">
            <v>-414.098635</v>
          </cell>
        </row>
        <row r="1885">
          <cell r="J1885">
            <v>-412.85179900000003</v>
          </cell>
        </row>
        <row r="1886">
          <cell r="J1886">
            <v>-411.80755099999999</v>
          </cell>
        </row>
        <row r="1887">
          <cell r="J1887">
            <v>-411.105234</v>
          </cell>
        </row>
        <row r="1888">
          <cell r="J1888">
            <v>-410.66054399999996</v>
          </cell>
        </row>
        <row r="1889">
          <cell r="J1889">
            <v>-410.34334249999995</v>
          </cell>
        </row>
        <row r="1890">
          <cell r="J1890">
            <v>-410.02614220000004</v>
          </cell>
        </row>
        <row r="1891">
          <cell r="J1891">
            <v>-409.70894320000002</v>
          </cell>
        </row>
        <row r="1892">
          <cell r="J1892">
            <v>-409.39174530000003</v>
          </cell>
        </row>
        <row r="1893">
          <cell r="J1893">
            <v>-409.07444869999995</v>
          </cell>
        </row>
        <row r="1894">
          <cell r="J1894">
            <v>-408.75725320000004</v>
          </cell>
        </row>
        <row r="1895">
          <cell r="J1895">
            <v>-408.44105899999994</v>
          </cell>
        </row>
        <row r="1896">
          <cell r="J1896">
            <v>-408.12376599999999</v>
          </cell>
        </row>
        <row r="1897">
          <cell r="J1897">
            <v>-408.08519050000001</v>
          </cell>
        </row>
        <row r="1898">
          <cell r="J1898">
            <v>-408.05669999999998</v>
          </cell>
        </row>
        <row r="1899">
          <cell r="J1899">
            <v>-408.02810969999996</v>
          </cell>
        </row>
        <row r="1900">
          <cell r="J1900">
            <v>-408.00061949999997</v>
          </cell>
        </row>
        <row r="1901">
          <cell r="J1901">
            <v>-407.97212920000004</v>
          </cell>
        </row>
        <row r="1902">
          <cell r="J1902">
            <v>-407.94363900000002</v>
          </cell>
        </row>
        <row r="1903">
          <cell r="J1903">
            <v>-407.91604880000006</v>
          </cell>
        </row>
        <row r="1904">
          <cell r="J1904">
            <v>-407.8875587</v>
          </cell>
        </row>
        <row r="1905">
          <cell r="J1905">
            <v>-407.8599686</v>
          </cell>
        </row>
        <row r="1906">
          <cell r="J1906">
            <v>-407.8305785</v>
          </cell>
        </row>
        <row r="1907">
          <cell r="J1907">
            <v>-407.80208849999997</v>
          </cell>
        </row>
        <row r="1908">
          <cell r="J1908">
            <v>-407.77459847</v>
          </cell>
        </row>
        <row r="1909">
          <cell r="J1909">
            <v>-407.74610848000003</v>
          </cell>
        </row>
        <row r="1910">
          <cell r="J1910">
            <v>-407.71751855999997</v>
          </cell>
        </row>
        <row r="1911">
          <cell r="J1911">
            <v>-407.69002866</v>
          </cell>
        </row>
        <row r="1912">
          <cell r="J1912">
            <v>-407.66153881999998</v>
          </cell>
        </row>
        <row r="1913">
          <cell r="J1913">
            <v>-407.63304893000003</v>
          </cell>
        </row>
        <row r="1914">
          <cell r="J1914">
            <v>-407.60545916299998</v>
          </cell>
        </row>
        <row r="1915">
          <cell r="J1915">
            <v>-407.57696938999993</v>
          </cell>
        </row>
        <row r="1916">
          <cell r="J1916">
            <v>-407.54937964999999</v>
          </cell>
        </row>
        <row r="1917">
          <cell r="J1917">
            <v>-407.52098993999999</v>
          </cell>
        </row>
        <row r="1918">
          <cell r="J1918">
            <v>-407.49240027000008</v>
          </cell>
        </row>
        <row r="1919">
          <cell r="J1919">
            <v>-407.46501062999999</v>
          </cell>
        </row>
        <row r="1920">
          <cell r="J1920">
            <v>-407.43542100000002</v>
          </cell>
        </row>
        <row r="1921">
          <cell r="J1921">
            <v>-407.40693140000002</v>
          </cell>
        </row>
        <row r="1922">
          <cell r="J1922">
            <v>-407.37934189999999</v>
          </cell>
        </row>
        <row r="1923">
          <cell r="J1923">
            <v>-407.35095240000004</v>
          </cell>
        </row>
        <row r="1924">
          <cell r="J1924">
            <v>-407.32236290000003</v>
          </cell>
        </row>
        <row r="1925">
          <cell r="J1925">
            <v>-407.29487349999999</v>
          </cell>
        </row>
        <row r="1926">
          <cell r="J1926">
            <v>-407.26628399999993</v>
          </cell>
        </row>
        <row r="1927">
          <cell r="J1927">
            <v>-407.23879460000001</v>
          </cell>
        </row>
        <row r="1928">
          <cell r="J1928">
            <v>-407.21030530000007</v>
          </cell>
        </row>
        <row r="1929">
          <cell r="J1929">
            <v>-407.18181599999997</v>
          </cell>
        </row>
        <row r="1930">
          <cell r="J1930">
            <v>-407.15432669999996</v>
          </cell>
        </row>
        <row r="1931">
          <cell r="J1931">
            <v>-407.12583750000005</v>
          </cell>
        </row>
        <row r="1932">
          <cell r="J1932">
            <v>-407.09724819999997</v>
          </cell>
        </row>
        <row r="1933">
          <cell r="J1933">
            <v>-407.06985900000001</v>
          </cell>
        </row>
        <row r="1934">
          <cell r="J1934">
            <v>-407.04136990000001</v>
          </cell>
        </row>
        <row r="1935">
          <cell r="J1935">
            <v>-407.01278079999997</v>
          </cell>
        </row>
        <row r="1936">
          <cell r="J1936">
            <v>-406.98429170000003</v>
          </cell>
        </row>
        <row r="1937">
          <cell r="J1937">
            <v>-406.9557026</v>
          </cell>
        </row>
        <row r="1938">
          <cell r="J1938">
            <v>-406.92821360000005</v>
          </cell>
        </row>
        <row r="1939">
          <cell r="J1939">
            <v>-406.89972460000001</v>
          </cell>
        </row>
        <row r="1940">
          <cell r="J1940">
            <v>-406.87133560000001</v>
          </cell>
        </row>
        <row r="1941">
          <cell r="J1941">
            <v>-406.84374670000005</v>
          </cell>
        </row>
        <row r="1942">
          <cell r="J1942">
            <v>-406.81525780000004</v>
          </cell>
        </row>
        <row r="1943">
          <cell r="J1943">
            <v>-406.7866689</v>
          </cell>
        </row>
        <row r="1944">
          <cell r="J1944">
            <v>-406.75928010000001</v>
          </cell>
        </row>
        <row r="1945">
          <cell r="J1945">
            <v>-406.73069129999999</v>
          </cell>
        </row>
        <row r="1946">
          <cell r="J1946">
            <v>-406.70320250000003</v>
          </cell>
        </row>
        <row r="1947">
          <cell r="J1947">
            <v>-406.67461380000003</v>
          </cell>
        </row>
        <row r="1948">
          <cell r="J1948">
            <v>-406.64612510000001</v>
          </cell>
        </row>
        <row r="1949">
          <cell r="J1949">
            <v>-406.61753640000001</v>
          </cell>
        </row>
        <row r="1950">
          <cell r="J1950">
            <v>-406.58914780000003</v>
          </cell>
        </row>
        <row r="1951">
          <cell r="J1951">
            <v>-406.56065919999998</v>
          </cell>
        </row>
        <row r="1952">
          <cell r="J1952">
            <v>-406.53317059999995</v>
          </cell>
        </row>
        <row r="1953">
          <cell r="J1953">
            <v>-406.50458210000005</v>
          </cell>
        </row>
        <row r="1954">
          <cell r="J1954">
            <v>-406.47609359999996</v>
          </cell>
        </row>
        <row r="1955">
          <cell r="J1955">
            <v>-406.44860510000001</v>
          </cell>
        </row>
        <row r="1956">
          <cell r="J1956">
            <v>-406.42011669999999</v>
          </cell>
        </row>
        <row r="1957">
          <cell r="J1957">
            <v>-406.39252820000002</v>
          </cell>
        </row>
        <row r="1958">
          <cell r="J1958">
            <v>-406.36403989999997</v>
          </cell>
        </row>
        <row r="1959">
          <cell r="J1959">
            <v>-406.33545149999998</v>
          </cell>
        </row>
        <row r="1960">
          <cell r="J1960">
            <v>-406.30806319999999</v>
          </cell>
        </row>
        <row r="1961">
          <cell r="J1961">
            <v>-406.2795749</v>
          </cell>
        </row>
        <row r="1962">
          <cell r="J1962">
            <v>-406.25108669999997</v>
          </cell>
        </row>
        <row r="1963">
          <cell r="J1963">
            <v>-406.2225985</v>
          </cell>
        </row>
        <row r="1964">
          <cell r="J1964">
            <v>-406.1940103</v>
          </cell>
        </row>
        <row r="1965">
          <cell r="J1965">
            <v>-406.16552209999998</v>
          </cell>
        </row>
        <row r="1966">
          <cell r="J1966">
            <v>-406.138034</v>
          </cell>
        </row>
        <row r="1967">
          <cell r="J1967">
            <v>-406.1095459</v>
          </cell>
        </row>
        <row r="1968">
          <cell r="J1968">
            <v>-406.08195790000002</v>
          </cell>
        </row>
        <row r="1969">
          <cell r="J1969">
            <v>-406.05346989999998</v>
          </cell>
        </row>
        <row r="1970">
          <cell r="J1970">
            <v>-406.02488190000003</v>
          </cell>
        </row>
        <row r="1971">
          <cell r="J1971">
            <v>-405.99759390000003</v>
          </cell>
        </row>
        <row r="1972">
          <cell r="J1972">
            <v>-405.96900600000004</v>
          </cell>
        </row>
        <row r="1973">
          <cell r="J1973">
            <v>-405.94051810000002</v>
          </cell>
        </row>
        <row r="1974">
          <cell r="J1974">
            <v>-405.91293030000003</v>
          </cell>
        </row>
        <row r="1975">
          <cell r="J1975">
            <v>-405.88444240000001</v>
          </cell>
        </row>
        <row r="1976">
          <cell r="J1976">
            <v>-405.85685459999996</v>
          </cell>
        </row>
        <row r="1977">
          <cell r="J1977">
            <v>-405.82846699999999</v>
          </cell>
        </row>
        <row r="1978">
          <cell r="J1978">
            <v>-405.798879</v>
          </cell>
        </row>
        <row r="1979">
          <cell r="J1979">
            <v>-405.77139099999999</v>
          </cell>
        </row>
        <row r="1980">
          <cell r="J1980">
            <v>-405.74280400000004</v>
          </cell>
        </row>
        <row r="1981">
          <cell r="J1981">
            <v>-405.71441599999997</v>
          </cell>
        </row>
        <row r="1982">
          <cell r="J1982">
            <v>-405.68692899999996</v>
          </cell>
        </row>
        <row r="1983">
          <cell r="J1983">
            <v>-405.65844099999998</v>
          </cell>
        </row>
        <row r="1984">
          <cell r="J1984">
            <v>-405.62985299999997</v>
          </cell>
        </row>
        <row r="1985">
          <cell r="J1985">
            <v>-405.60236600000002</v>
          </cell>
        </row>
        <row r="1986">
          <cell r="J1986">
            <v>-405.573778</v>
          </cell>
        </row>
        <row r="1987">
          <cell r="J1987">
            <v>-405.546291</v>
          </cell>
        </row>
        <row r="1988">
          <cell r="J1988">
            <v>-405.51780400000001</v>
          </cell>
        </row>
        <row r="1989">
          <cell r="J1989">
            <v>-405.48931600000003</v>
          </cell>
        </row>
        <row r="1990">
          <cell r="J1990">
            <v>-405.46172900000005</v>
          </cell>
        </row>
        <row r="1991">
          <cell r="J1991">
            <v>-405.43324200000001</v>
          </cell>
        </row>
        <row r="1992">
          <cell r="J1992">
            <v>-405.40385400000002</v>
          </cell>
        </row>
        <row r="1993">
          <cell r="J1993">
            <v>-405.37636699999996</v>
          </cell>
        </row>
        <row r="1994">
          <cell r="J1994">
            <v>-405.34787999999998</v>
          </cell>
        </row>
        <row r="1995">
          <cell r="J1995">
            <v>-405.31929300000002</v>
          </cell>
        </row>
        <row r="1996">
          <cell r="J1996">
            <v>-405.29180600000007</v>
          </cell>
        </row>
        <row r="1997">
          <cell r="J1997">
            <v>-405.26321800000005</v>
          </cell>
        </row>
        <row r="1998">
          <cell r="J1998">
            <v>-405.23573099999993</v>
          </cell>
        </row>
        <row r="1999">
          <cell r="J1999">
            <v>-405.20724399999995</v>
          </cell>
        </row>
        <row r="2000">
          <cell r="J2000">
            <v>-405.17875700000002</v>
          </cell>
        </row>
        <row r="2001">
          <cell r="J2001">
            <v>-405.15126999999995</v>
          </cell>
        </row>
        <row r="2002">
          <cell r="J2002">
            <v>-405.12278300000003</v>
          </cell>
        </row>
        <row r="2003">
          <cell r="J2003">
            <v>-405.09419600000001</v>
          </cell>
        </row>
        <row r="2004">
          <cell r="J2004">
            <v>-405.06680999999998</v>
          </cell>
        </row>
        <row r="2005">
          <cell r="J2005">
            <v>-405.03822300000002</v>
          </cell>
        </row>
        <row r="2006">
          <cell r="J2006">
            <v>-405.00973599999998</v>
          </cell>
        </row>
        <row r="2007">
          <cell r="J2007">
            <v>-404.98114900000002</v>
          </cell>
        </row>
        <row r="2008">
          <cell r="J2008">
            <v>-404.95266200000003</v>
          </cell>
        </row>
        <row r="2009">
          <cell r="J2009">
            <v>-404.92507599999999</v>
          </cell>
        </row>
        <row r="2010">
          <cell r="J2010">
            <v>-404.89668899999998</v>
          </cell>
        </row>
        <row r="2011">
          <cell r="J2011">
            <v>-404.86820199999994</v>
          </cell>
        </row>
        <row r="2012">
          <cell r="J2012">
            <v>-404.84071599999999</v>
          </cell>
        </row>
        <row r="2013">
          <cell r="J2013">
            <v>-404.81212900000003</v>
          </cell>
        </row>
        <row r="2014">
          <cell r="J2014">
            <v>-404.78364200000004</v>
          </cell>
        </row>
        <row r="2015">
          <cell r="J2015">
            <v>-404.75615599999998</v>
          </cell>
        </row>
        <row r="2016">
          <cell r="J2016">
            <v>-404.72766899999999</v>
          </cell>
        </row>
        <row r="2017">
          <cell r="J2017">
            <v>-404.70008300000001</v>
          </cell>
        </row>
        <row r="2018">
          <cell r="J2018">
            <v>-404.67159700000002</v>
          </cell>
        </row>
        <row r="2019">
          <cell r="J2019">
            <v>-404.64301</v>
          </cell>
        </row>
        <row r="2020">
          <cell r="J2020">
            <v>-404.61452399999996</v>
          </cell>
        </row>
        <row r="2021">
          <cell r="J2021">
            <v>-404.58613700000001</v>
          </cell>
        </row>
        <row r="2022">
          <cell r="J2022">
            <v>-404.55765100000002</v>
          </cell>
        </row>
        <row r="2023">
          <cell r="J2023">
            <v>-404.53006500000004</v>
          </cell>
        </row>
        <row r="2024">
          <cell r="J2024">
            <v>-404.50157899999999</v>
          </cell>
        </row>
        <row r="2025">
          <cell r="J2025">
            <v>-404.47309200000001</v>
          </cell>
        </row>
        <row r="2026">
          <cell r="J2026">
            <v>-404.445606</v>
          </cell>
        </row>
        <row r="2027">
          <cell r="J2027">
            <v>-404.41711999999995</v>
          </cell>
        </row>
        <row r="2028">
          <cell r="J2028">
            <v>-404.38953399999997</v>
          </cell>
        </row>
        <row r="2029">
          <cell r="J2029">
            <v>-404.36104800000004</v>
          </cell>
        </row>
        <row r="2030">
          <cell r="J2030">
            <v>-404.33246200000002</v>
          </cell>
        </row>
        <row r="2031">
          <cell r="J2031">
            <v>-404.30507600000004</v>
          </cell>
        </row>
        <row r="2032">
          <cell r="J2032">
            <v>-404.27659000000006</v>
          </cell>
        </row>
        <row r="2033">
          <cell r="J2033">
            <v>-404.24810400000001</v>
          </cell>
        </row>
        <row r="2034">
          <cell r="J2034">
            <v>-404.21951799999999</v>
          </cell>
        </row>
        <row r="2035">
          <cell r="J2035">
            <v>-404.19103200000001</v>
          </cell>
        </row>
        <row r="2036">
          <cell r="J2036">
            <v>-404.16244600000005</v>
          </cell>
        </row>
        <row r="2037">
          <cell r="J2037">
            <v>-404.13495999999998</v>
          </cell>
        </row>
        <row r="2038">
          <cell r="J2038">
            <v>-404.10647499999999</v>
          </cell>
        </row>
        <row r="2039">
          <cell r="J2039">
            <v>-404.07898899999998</v>
          </cell>
        </row>
        <row r="2040">
          <cell r="J2040">
            <v>-404.05050299999999</v>
          </cell>
        </row>
        <row r="2041">
          <cell r="J2041">
            <v>-404.02201800000006</v>
          </cell>
        </row>
        <row r="2042">
          <cell r="J2042">
            <v>-403.99443200000002</v>
          </cell>
        </row>
        <row r="2043">
          <cell r="J2043">
            <v>-403.96604600000001</v>
          </cell>
        </row>
        <row r="2044">
          <cell r="J2044">
            <v>-403.93746099999998</v>
          </cell>
        </row>
        <row r="2045">
          <cell r="J2045">
            <v>-403.90997499999997</v>
          </cell>
        </row>
        <row r="2046">
          <cell r="J2046">
            <v>-403.88139000000001</v>
          </cell>
        </row>
        <row r="2047">
          <cell r="J2047">
            <v>-403.853904</v>
          </cell>
        </row>
        <row r="2048">
          <cell r="J2048">
            <v>-403.82431899999995</v>
          </cell>
        </row>
        <row r="2049">
          <cell r="J2049">
            <v>-403.79593299999999</v>
          </cell>
        </row>
        <row r="2050">
          <cell r="J2050">
            <v>-403.76844799999998</v>
          </cell>
        </row>
        <row r="2051">
          <cell r="J2051">
            <v>-403.73996199999999</v>
          </cell>
        </row>
        <row r="2052">
          <cell r="J2052">
            <v>-403.71137700000003</v>
          </cell>
        </row>
        <row r="2053">
          <cell r="J2053">
            <v>-403.68389200000001</v>
          </cell>
        </row>
        <row r="2054">
          <cell r="J2054">
            <v>-403.65540700000003</v>
          </cell>
        </row>
        <row r="2055">
          <cell r="J2055">
            <v>-403.62692099999998</v>
          </cell>
        </row>
        <row r="2056">
          <cell r="J2056">
            <v>-403.59933599999999</v>
          </cell>
        </row>
        <row r="2057">
          <cell r="J2057">
            <v>-403.570851</v>
          </cell>
        </row>
        <row r="2058">
          <cell r="J2058">
            <v>-403.54326599999996</v>
          </cell>
        </row>
        <row r="2059">
          <cell r="J2059">
            <v>-403.514881</v>
          </cell>
        </row>
        <row r="2060">
          <cell r="J2060">
            <v>-403.48649599999999</v>
          </cell>
        </row>
        <row r="2061">
          <cell r="J2061">
            <v>-403.45791100000008</v>
          </cell>
        </row>
        <row r="2062">
          <cell r="J2062">
            <v>-403.42942599999998</v>
          </cell>
        </row>
        <row r="2063">
          <cell r="J2063">
            <v>-403.40084100000001</v>
          </cell>
        </row>
        <row r="2064">
          <cell r="J2064">
            <v>-403.373356</v>
          </cell>
        </row>
        <row r="2065">
          <cell r="J2065">
            <v>-403.34487100000001</v>
          </cell>
        </row>
        <row r="2066">
          <cell r="J2066">
            <v>-403.31638600000002</v>
          </cell>
        </row>
        <row r="2067">
          <cell r="J2067">
            <v>-403.28880099999998</v>
          </cell>
        </row>
        <row r="2068">
          <cell r="J2068">
            <v>-403.26041599999996</v>
          </cell>
        </row>
        <row r="2069">
          <cell r="J2069">
            <v>-403.23283199999997</v>
          </cell>
        </row>
        <row r="2070">
          <cell r="J2070">
            <v>-403.20434699999998</v>
          </cell>
        </row>
        <row r="2071">
          <cell r="J2071">
            <v>-403.17586200000005</v>
          </cell>
        </row>
        <row r="2072">
          <cell r="J2072">
            <v>-403.14837699999998</v>
          </cell>
        </row>
        <row r="2073">
          <cell r="J2073">
            <v>-403.11979299999996</v>
          </cell>
        </row>
        <row r="2074">
          <cell r="J2074">
            <v>-403.09130799999997</v>
          </cell>
        </row>
        <row r="2075">
          <cell r="J2075">
            <v>-403.062724</v>
          </cell>
        </row>
        <row r="2076">
          <cell r="J2076">
            <v>-403.03423899999996</v>
          </cell>
        </row>
        <row r="2077">
          <cell r="J2077">
            <v>-403.00575399999997</v>
          </cell>
        </row>
        <row r="2078">
          <cell r="J2078">
            <v>-402.97836999999998</v>
          </cell>
        </row>
        <row r="2079">
          <cell r="J2079">
            <v>-402.94978500000002</v>
          </cell>
        </row>
        <row r="2080">
          <cell r="J2080">
            <v>-402.92230099999995</v>
          </cell>
        </row>
        <row r="2081">
          <cell r="J2081">
            <v>-402.89371700000004</v>
          </cell>
        </row>
        <row r="2082">
          <cell r="J2082">
            <v>-402.86533199999997</v>
          </cell>
        </row>
        <row r="2083">
          <cell r="J2083">
            <v>-402.83774799999992</v>
          </cell>
        </row>
        <row r="2084">
          <cell r="J2084">
            <v>-402.80926399999998</v>
          </cell>
        </row>
        <row r="2085">
          <cell r="J2085">
            <v>-402.78067899999996</v>
          </cell>
        </row>
        <row r="2086">
          <cell r="J2086">
            <v>-402.75319500000001</v>
          </cell>
        </row>
        <row r="2087">
          <cell r="J2087">
            <v>-402.72471100000001</v>
          </cell>
        </row>
        <row r="2088">
          <cell r="J2088">
            <v>-402.69732700000003</v>
          </cell>
        </row>
        <row r="2089">
          <cell r="J2089">
            <v>-402.66774300000003</v>
          </cell>
        </row>
        <row r="2090">
          <cell r="J2090">
            <v>-402.63925899999992</v>
          </cell>
        </row>
        <row r="2091">
          <cell r="J2091">
            <v>-402.61167499999999</v>
          </cell>
        </row>
        <row r="2092">
          <cell r="J2092">
            <v>-402.583191</v>
          </cell>
        </row>
        <row r="2093">
          <cell r="J2093">
            <v>-402.55460700000003</v>
          </cell>
        </row>
        <row r="2094">
          <cell r="J2094">
            <v>-402.52722299999999</v>
          </cell>
        </row>
        <row r="2095">
          <cell r="J2095">
            <v>-402.49863899999997</v>
          </cell>
        </row>
        <row r="2096">
          <cell r="J2096">
            <v>-402.47025500000001</v>
          </cell>
        </row>
        <row r="2097">
          <cell r="J2097">
            <v>-402.44277099999999</v>
          </cell>
        </row>
        <row r="2098">
          <cell r="J2098">
            <v>-402.41418700000003</v>
          </cell>
        </row>
        <row r="2099">
          <cell r="J2099">
            <v>-402.38680299999999</v>
          </cell>
        </row>
        <row r="2100">
          <cell r="J2100">
            <v>-402.35821899999996</v>
          </cell>
        </row>
        <row r="2101">
          <cell r="J2101">
            <v>-402.32973599999997</v>
          </cell>
        </row>
        <row r="2102">
          <cell r="J2102">
            <v>-402.30115199999995</v>
          </cell>
        </row>
        <row r="2103">
          <cell r="J2103">
            <v>-402.27266800000001</v>
          </cell>
        </row>
        <row r="2104">
          <cell r="J2104">
            <v>-402.24408500000004</v>
          </cell>
        </row>
        <row r="2105">
          <cell r="J2105">
            <v>-402.21680100000003</v>
          </cell>
        </row>
        <row r="2106">
          <cell r="J2106">
            <v>-402.18821800000001</v>
          </cell>
        </row>
        <row r="2107">
          <cell r="J2107">
            <v>-402.15973399999996</v>
          </cell>
        </row>
        <row r="2108">
          <cell r="J2108">
            <v>-402.13215000000002</v>
          </cell>
        </row>
        <row r="2109">
          <cell r="J2109">
            <v>-402.10366699999997</v>
          </cell>
        </row>
        <row r="2110">
          <cell r="J2110">
            <v>-402.07608400000004</v>
          </cell>
        </row>
        <row r="2111">
          <cell r="J2111">
            <v>-402.04769999999996</v>
          </cell>
        </row>
        <row r="2112">
          <cell r="J2112">
            <v>-402.01911699999999</v>
          </cell>
        </row>
        <row r="2113">
          <cell r="J2113">
            <v>-401.99163300000004</v>
          </cell>
        </row>
        <row r="2114">
          <cell r="J2114">
            <v>-401.96314999999998</v>
          </cell>
        </row>
        <row r="2115">
          <cell r="J2115">
            <v>-401.93466699999999</v>
          </cell>
        </row>
        <row r="2116">
          <cell r="J2116">
            <v>-401.906184</v>
          </cell>
        </row>
        <row r="2117">
          <cell r="J2117">
            <v>-401.8777</v>
          </cell>
        </row>
        <row r="2118">
          <cell r="J2118">
            <v>-401.84911700000004</v>
          </cell>
        </row>
        <row r="2119">
          <cell r="J2119">
            <v>-401.82163399999996</v>
          </cell>
        </row>
        <row r="2120">
          <cell r="J2120">
            <v>-401.79305099999999</v>
          </cell>
        </row>
        <row r="2121">
          <cell r="J2121">
            <v>-401.76556799999997</v>
          </cell>
        </row>
        <row r="2122">
          <cell r="J2122">
            <v>-401.73708499999998</v>
          </cell>
        </row>
        <row r="2123">
          <cell r="J2123">
            <v>-401.70870200000002</v>
          </cell>
        </row>
        <row r="2124">
          <cell r="J2124">
            <v>-401.68111900000002</v>
          </cell>
        </row>
        <row r="2125">
          <cell r="J2125">
            <v>-401.65263599999997</v>
          </cell>
        </row>
        <row r="2126">
          <cell r="J2126">
            <v>-401.624053</v>
          </cell>
        </row>
        <row r="2127">
          <cell r="J2127">
            <v>-401.59656999999993</v>
          </cell>
        </row>
        <row r="2128">
          <cell r="J2128">
            <v>-401.56808699999999</v>
          </cell>
        </row>
        <row r="2129">
          <cell r="J2129">
            <v>-401.53960399999994</v>
          </cell>
        </row>
        <row r="2130">
          <cell r="J2130">
            <v>-401.51102100000003</v>
          </cell>
        </row>
        <row r="2131">
          <cell r="J2131">
            <v>-401.48253900000003</v>
          </cell>
        </row>
        <row r="2132">
          <cell r="J2132">
            <v>-401.45505599999996</v>
          </cell>
        </row>
        <row r="2133">
          <cell r="J2133">
            <v>-401.42657300000002</v>
          </cell>
        </row>
        <row r="2134">
          <cell r="J2134">
            <v>-401.39809100000002</v>
          </cell>
        </row>
        <row r="2135">
          <cell r="J2135">
            <v>-401.37060800000006</v>
          </cell>
        </row>
        <row r="2136">
          <cell r="J2136">
            <v>-401.34202499999998</v>
          </cell>
        </row>
        <row r="2137">
          <cell r="J2137">
            <v>-401.31354299999998</v>
          </cell>
        </row>
        <row r="2138">
          <cell r="J2138">
            <v>-401.28596000000005</v>
          </cell>
        </row>
        <row r="2139">
          <cell r="J2139">
            <v>-401.25757800000002</v>
          </cell>
        </row>
        <row r="2140">
          <cell r="J2140">
            <v>-401.23019500000004</v>
          </cell>
        </row>
        <row r="2141">
          <cell r="J2141">
            <v>-401.20161300000001</v>
          </cell>
        </row>
        <row r="2142">
          <cell r="J2142">
            <v>-401.17212999999998</v>
          </cell>
        </row>
        <row r="2143">
          <cell r="J2143">
            <v>-401.14454799999999</v>
          </cell>
        </row>
        <row r="2144">
          <cell r="J2144">
            <v>-401.11606600000005</v>
          </cell>
        </row>
        <row r="2145">
          <cell r="J2145">
            <v>-401.08758300000005</v>
          </cell>
        </row>
        <row r="2146">
          <cell r="J2146">
            <v>-401.06010100000003</v>
          </cell>
        </row>
        <row r="2147">
          <cell r="J2147">
            <v>-401.031519</v>
          </cell>
        </row>
        <row r="2148">
          <cell r="J2148">
            <v>-401.00303700000001</v>
          </cell>
        </row>
        <row r="2149">
          <cell r="J2149">
            <v>-400.97555399999999</v>
          </cell>
        </row>
        <row r="2150">
          <cell r="J2150">
            <v>-400.94707199999999</v>
          </cell>
        </row>
        <row r="2151">
          <cell r="J2151">
            <v>-400.91958999999997</v>
          </cell>
        </row>
        <row r="2152">
          <cell r="J2152">
            <v>-400.89110800000003</v>
          </cell>
        </row>
        <row r="2153">
          <cell r="J2153">
            <v>-400.862526</v>
          </cell>
        </row>
        <row r="2154">
          <cell r="J2154">
            <v>-400.83504400000004</v>
          </cell>
        </row>
        <row r="2155">
          <cell r="J2155">
            <v>-400.80646200000001</v>
          </cell>
        </row>
        <row r="2156">
          <cell r="J2156">
            <v>-400.77697999999998</v>
          </cell>
        </row>
        <row r="2157">
          <cell r="J2157">
            <v>-400.7494979999999</v>
          </cell>
        </row>
        <row r="2158">
          <cell r="J2158">
            <v>-400.72111599999999</v>
          </cell>
        </row>
        <row r="2159">
          <cell r="J2159">
            <v>-400.69253399999997</v>
          </cell>
        </row>
        <row r="2160">
          <cell r="J2160">
            <v>-400.665052</v>
          </cell>
        </row>
        <row r="2161">
          <cell r="J2161">
            <v>-400.63647100000003</v>
          </cell>
        </row>
        <row r="2162">
          <cell r="J2162">
            <v>-400.60908900000004</v>
          </cell>
        </row>
        <row r="2163">
          <cell r="J2163">
            <v>-400.58050700000001</v>
          </cell>
        </row>
        <row r="2164">
          <cell r="J2164">
            <v>-400.55202599999996</v>
          </cell>
        </row>
        <row r="2165">
          <cell r="J2165">
            <v>-400.52444399999996</v>
          </cell>
        </row>
        <row r="2166">
          <cell r="J2166">
            <v>-400.49606199999994</v>
          </cell>
        </row>
        <row r="2167">
          <cell r="J2167">
            <v>-400.46748100000002</v>
          </cell>
        </row>
        <row r="2168">
          <cell r="J2168">
            <v>-400.44009899999998</v>
          </cell>
        </row>
        <row r="2169">
          <cell r="J2169">
            <v>-400.41051699999997</v>
          </cell>
        </row>
        <row r="2170">
          <cell r="J2170">
            <v>-400.38203599999997</v>
          </cell>
        </row>
        <row r="2171">
          <cell r="J2171">
            <v>-400.35445499999997</v>
          </cell>
        </row>
        <row r="2172">
          <cell r="J2172">
            <v>-400.32597299999998</v>
          </cell>
        </row>
        <row r="2173">
          <cell r="J2173">
            <v>-400.29839199999998</v>
          </cell>
        </row>
        <row r="2174">
          <cell r="J2174">
            <v>-400.27000999999996</v>
          </cell>
        </row>
        <row r="2175">
          <cell r="J2175">
            <v>-400.24152900000001</v>
          </cell>
        </row>
        <row r="2176">
          <cell r="J2176">
            <v>-400.21404799999999</v>
          </cell>
        </row>
        <row r="2177">
          <cell r="J2177">
            <v>-400.18546600000002</v>
          </cell>
        </row>
        <row r="2178">
          <cell r="J2178">
            <v>-400.15698499999996</v>
          </cell>
        </row>
        <row r="2179">
          <cell r="J2179">
            <v>-400.12940399999997</v>
          </cell>
        </row>
        <row r="2180">
          <cell r="J2180">
            <v>-400.10102300000005</v>
          </cell>
        </row>
        <row r="2181">
          <cell r="J2181">
            <v>-400.073442</v>
          </cell>
        </row>
        <row r="2182">
          <cell r="J2182">
            <v>-400.04395999999997</v>
          </cell>
        </row>
        <row r="2183">
          <cell r="J2183">
            <v>-400.01547899999997</v>
          </cell>
        </row>
        <row r="2184">
          <cell r="J2184">
            <v>-399.98799799999995</v>
          </cell>
        </row>
        <row r="2185">
          <cell r="J2185">
            <v>-399.95951700000001</v>
          </cell>
        </row>
        <row r="2186">
          <cell r="J2186">
            <v>-399.93103600000001</v>
          </cell>
        </row>
        <row r="2187">
          <cell r="J2187">
            <v>-399.90355500000004</v>
          </cell>
        </row>
        <row r="2188">
          <cell r="J2188">
            <v>-399.87497500000001</v>
          </cell>
        </row>
        <row r="2189">
          <cell r="J2189">
            <v>-399.84649400000001</v>
          </cell>
        </row>
        <row r="2190">
          <cell r="J2190">
            <v>-399.81891300000001</v>
          </cell>
        </row>
        <row r="2191">
          <cell r="J2191">
            <v>-399.79053199999998</v>
          </cell>
        </row>
        <row r="2192">
          <cell r="J2192">
            <v>-399.76305100000002</v>
          </cell>
        </row>
        <row r="2193">
          <cell r="J2193">
            <v>-399.73456999999996</v>
          </cell>
        </row>
        <row r="2194">
          <cell r="J2194">
            <v>-399.70599000000004</v>
          </cell>
        </row>
        <row r="2195">
          <cell r="J2195">
            <v>-399.67750899999999</v>
          </cell>
        </row>
        <row r="2196">
          <cell r="J2196">
            <v>-399.64892799999996</v>
          </cell>
        </row>
        <row r="2197">
          <cell r="J2197">
            <v>-399.62054800000004</v>
          </cell>
        </row>
        <row r="2198">
          <cell r="J2198">
            <v>-399.59296700000004</v>
          </cell>
        </row>
        <row r="2199">
          <cell r="J2199">
            <v>-399.56448699999999</v>
          </cell>
        </row>
        <row r="2200">
          <cell r="J2200">
            <v>-399.53600600000004</v>
          </cell>
        </row>
        <row r="2201">
          <cell r="J2201">
            <v>-399.50852599999996</v>
          </cell>
        </row>
        <row r="2202">
          <cell r="J2202">
            <v>-399.47994499999999</v>
          </cell>
        </row>
        <row r="2203">
          <cell r="J2203">
            <v>-399.45256500000005</v>
          </cell>
        </row>
        <row r="2204">
          <cell r="J2204">
            <v>-399.42398400000002</v>
          </cell>
        </row>
        <row r="2205">
          <cell r="J2205">
            <v>-399.39550399999996</v>
          </cell>
        </row>
        <row r="2206">
          <cell r="J2206">
            <v>-399.36792399999996</v>
          </cell>
        </row>
        <row r="2207">
          <cell r="J2207">
            <v>-399.33944300000002</v>
          </cell>
        </row>
        <row r="2208">
          <cell r="J2208">
            <v>-399.30996299999993</v>
          </cell>
        </row>
        <row r="2209">
          <cell r="J2209">
            <v>-399.28258300000005</v>
          </cell>
        </row>
        <row r="2210">
          <cell r="J2210">
            <v>-399.25400300000001</v>
          </cell>
        </row>
        <row r="2211">
          <cell r="J2211">
            <v>-399.22552200000007</v>
          </cell>
        </row>
        <row r="2212">
          <cell r="J2212">
            <v>-399.19794200000001</v>
          </cell>
        </row>
        <row r="2213">
          <cell r="J2213">
            <v>-399.16946199999995</v>
          </cell>
        </row>
        <row r="2214">
          <cell r="J2214">
            <v>-399.14188200000001</v>
          </cell>
        </row>
        <row r="2215">
          <cell r="J2215">
            <v>-399.11350199999998</v>
          </cell>
        </row>
        <row r="2216">
          <cell r="J2216">
            <v>-399.08502199999998</v>
          </cell>
        </row>
        <row r="2217">
          <cell r="J2217">
            <v>-399.05417099999994</v>
          </cell>
        </row>
        <row r="2218">
          <cell r="J2218">
            <v>-399.01197999999999</v>
          </cell>
        </row>
        <row r="2219">
          <cell r="J2219">
            <v>-398.96988800000003</v>
          </cell>
        </row>
        <row r="2220">
          <cell r="J2220">
            <v>-398.92669599999999</v>
          </cell>
        </row>
        <row r="2221">
          <cell r="J2221">
            <v>-398.88360500000005</v>
          </cell>
        </row>
        <row r="2222">
          <cell r="J2222">
            <v>-398.84141399999993</v>
          </cell>
        </row>
        <row r="2223">
          <cell r="J2223">
            <v>-398.79922199999999</v>
          </cell>
        </row>
        <row r="2224">
          <cell r="J2224">
            <v>-398.75623100000001</v>
          </cell>
        </row>
        <row r="2225">
          <cell r="J2225">
            <v>-398.71403999999995</v>
          </cell>
        </row>
        <row r="2226">
          <cell r="J2226">
            <v>-398.67194900000004</v>
          </cell>
        </row>
        <row r="2227">
          <cell r="J2227">
            <v>-398.62885699999998</v>
          </cell>
        </row>
        <row r="2228">
          <cell r="J2228">
            <v>-398.585666</v>
          </cell>
        </row>
        <row r="2229">
          <cell r="J2229">
            <v>-398.54357500000003</v>
          </cell>
        </row>
        <row r="2230">
          <cell r="J2230">
            <v>-398.50138400000003</v>
          </cell>
        </row>
        <row r="2231">
          <cell r="J2231">
            <v>-398.44893100000002</v>
          </cell>
        </row>
        <row r="2232">
          <cell r="J2232">
            <v>-398.39247499999999</v>
          </cell>
        </row>
        <row r="2233">
          <cell r="J2233">
            <v>-398.33491900000001</v>
          </cell>
        </row>
        <row r="2234">
          <cell r="J2234">
            <v>-398.27836300000001</v>
          </cell>
        </row>
        <row r="2235">
          <cell r="J2235">
            <v>-398.22080699999998</v>
          </cell>
        </row>
        <row r="2236">
          <cell r="J2236">
            <v>-398.16335199999997</v>
          </cell>
        </row>
        <row r="2237">
          <cell r="J2237">
            <v>-398.10669599999994</v>
          </cell>
        </row>
        <row r="2238">
          <cell r="J2238">
            <v>-398.04914100000002</v>
          </cell>
        </row>
        <row r="2239">
          <cell r="J2239">
            <v>-397.99258500000002</v>
          </cell>
        </row>
        <row r="2240">
          <cell r="J2240">
            <v>-397.93502999999998</v>
          </cell>
        </row>
        <row r="2241">
          <cell r="J2241">
            <v>-397.87757499999998</v>
          </cell>
        </row>
        <row r="2242">
          <cell r="J2242">
            <v>-397.82001899999995</v>
          </cell>
        </row>
        <row r="2243">
          <cell r="J2243">
            <v>-397.763464</v>
          </cell>
        </row>
        <row r="2244">
          <cell r="J2244">
            <v>-397.70580900000004</v>
          </cell>
        </row>
        <row r="2245">
          <cell r="J2245">
            <v>-397.64605700000004</v>
          </cell>
        </row>
        <row r="2246">
          <cell r="J2246">
            <v>-397.57720899999993</v>
          </cell>
        </row>
        <row r="2247">
          <cell r="J2247">
            <v>-397.50826200000006</v>
          </cell>
        </row>
        <row r="2248">
          <cell r="J2248">
            <v>-397.43643399999996</v>
          </cell>
        </row>
        <row r="2249">
          <cell r="J2249">
            <v>-397.35635699999995</v>
          </cell>
        </row>
        <row r="2250">
          <cell r="J2250">
            <v>-397.27537999999998</v>
          </cell>
        </row>
        <row r="2251">
          <cell r="J2251">
            <v>-397.19430299999999</v>
          </cell>
        </row>
        <row r="2252">
          <cell r="J2252">
            <v>-397.11332700000003</v>
          </cell>
        </row>
        <row r="2253">
          <cell r="J2253">
            <v>-397.03234999999995</v>
          </cell>
        </row>
        <row r="2254">
          <cell r="J2254">
            <v>-396.95227399999999</v>
          </cell>
        </row>
        <row r="2255">
          <cell r="J2255">
            <v>-396.86090200000001</v>
          </cell>
        </row>
        <row r="2256">
          <cell r="J2256">
            <v>-396.76575300000002</v>
          </cell>
        </row>
        <row r="2257">
          <cell r="J2257">
            <v>-396.66930500000001</v>
          </cell>
        </row>
        <row r="2258">
          <cell r="J2258">
            <v>-396.57405800000004</v>
          </cell>
        </row>
        <row r="2259">
          <cell r="J2259">
            <v>-396.47971000000001</v>
          </cell>
        </row>
        <row r="2260">
          <cell r="J2260">
            <v>-396.38436200000001</v>
          </cell>
        </row>
        <row r="2261">
          <cell r="J2261">
            <v>-396.288115</v>
          </cell>
        </row>
        <row r="2262">
          <cell r="J2262">
            <v>-396.192768</v>
          </cell>
        </row>
        <row r="2263">
          <cell r="J2263">
            <v>-396.09751999999997</v>
          </cell>
        </row>
        <row r="2264">
          <cell r="J2264">
            <v>-396.00217399999997</v>
          </cell>
        </row>
        <row r="2265">
          <cell r="J2265">
            <v>-395.90582699999993</v>
          </cell>
        </row>
        <row r="2266">
          <cell r="J2266">
            <v>-395.81157999999994</v>
          </cell>
        </row>
        <row r="2267">
          <cell r="J2267">
            <v>-395.71623399999999</v>
          </cell>
        </row>
        <row r="2268">
          <cell r="J2268">
            <v>-395.62088700000004</v>
          </cell>
        </row>
        <row r="2269">
          <cell r="J2269">
            <v>-395.52464099999997</v>
          </cell>
        </row>
        <row r="2270">
          <cell r="J2270">
            <v>-395.42929500000002</v>
          </cell>
        </row>
        <row r="2271">
          <cell r="J2271">
            <v>-395.33394900000002</v>
          </cell>
        </row>
        <row r="2272">
          <cell r="J2272">
            <v>-395.23970300000008</v>
          </cell>
        </row>
        <row r="2273">
          <cell r="J2273">
            <v>-395.14335800000003</v>
          </cell>
        </row>
        <row r="2274">
          <cell r="J2274">
            <v>-395.04801200000003</v>
          </cell>
        </row>
        <row r="2275">
          <cell r="J2275">
            <v>-394.95276699999999</v>
          </cell>
        </row>
        <row r="2276">
          <cell r="J2276">
            <v>-394.85752200000002</v>
          </cell>
        </row>
        <row r="2277">
          <cell r="J2277">
            <v>-394.761077</v>
          </cell>
        </row>
        <row r="2278">
          <cell r="J2278">
            <v>-394.66583200000002</v>
          </cell>
        </row>
        <row r="2279">
          <cell r="J2279">
            <v>-394.57158700000002</v>
          </cell>
        </row>
        <row r="2280">
          <cell r="J2280">
            <v>-394.47614200000004</v>
          </cell>
        </row>
        <row r="2281">
          <cell r="J2281">
            <v>-394.37989800000003</v>
          </cell>
        </row>
        <row r="2282">
          <cell r="J2282">
            <v>-394.28455400000001</v>
          </cell>
        </row>
        <row r="2283">
          <cell r="J2283">
            <v>-394.18602199999998</v>
          </cell>
        </row>
        <row r="2284">
          <cell r="J2284">
            <v>-394.06786199999999</v>
          </cell>
        </row>
        <row r="2285">
          <cell r="J2285">
            <v>-393.94581399999993</v>
          </cell>
        </row>
        <row r="2286">
          <cell r="J2286">
            <v>-393.82266700000002</v>
          </cell>
        </row>
        <row r="2287">
          <cell r="J2287">
            <v>-393.70062000000001</v>
          </cell>
        </row>
        <row r="2288">
          <cell r="J2288">
            <v>-393.577473</v>
          </cell>
        </row>
        <row r="2289">
          <cell r="J2289">
            <v>-393.45542599999999</v>
          </cell>
        </row>
        <row r="2290">
          <cell r="J2290">
            <v>-393.33237899999995</v>
          </cell>
        </row>
        <row r="2291">
          <cell r="J2291">
            <v>-393.21033299999999</v>
          </cell>
        </row>
        <row r="2292">
          <cell r="J2292">
            <v>-393.08728599999995</v>
          </cell>
        </row>
        <row r="2293">
          <cell r="J2293">
            <v>-392.96514000000002</v>
          </cell>
        </row>
        <row r="2294">
          <cell r="J2294">
            <v>-392.84209500000003</v>
          </cell>
        </row>
        <row r="2295">
          <cell r="J2295">
            <v>-392.71994899999993</v>
          </cell>
        </row>
        <row r="2296">
          <cell r="J2296">
            <v>-392.59790399999997</v>
          </cell>
        </row>
        <row r="2297">
          <cell r="J2297">
            <v>-392.47485799999998</v>
          </cell>
        </row>
        <row r="2298">
          <cell r="J2298">
            <v>-392.35281300000003</v>
          </cell>
        </row>
        <row r="2299">
          <cell r="J2299">
            <v>-392.22976900000003</v>
          </cell>
        </row>
        <row r="2300">
          <cell r="J2300">
            <v>-392.10762399999999</v>
          </cell>
        </row>
        <row r="2301">
          <cell r="J2301">
            <v>-391.98174000000006</v>
          </cell>
        </row>
        <row r="2302">
          <cell r="J2302">
            <v>-391.846765</v>
          </cell>
        </row>
        <row r="2303">
          <cell r="J2303">
            <v>-391.71159</v>
          </cell>
        </row>
        <row r="2304">
          <cell r="J2304">
            <v>-391.57651600000008</v>
          </cell>
        </row>
        <row r="2305">
          <cell r="J2305">
            <v>-391.44244100000003</v>
          </cell>
        </row>
        <row r="2306">
          <cell r="J2306">
            <v>-391.306467</v>
          </cell>
        </row>
        <row r="2307">
          <cell r="J2307">
            <v>-391.17139300000002</v>
          </cell>
        </row>
        <row r="2308">
          <cell r="J2308">
            <v>-391.03611999999998</v>
          </cell>
        </row>
        <row r="2309">
          <cell r="J2309">
            <v>-390.90104600000001</v>
          </cell>
        </row>
        <row r="2310">
          <cell r="J2310">
            <v>-390.76697300000001</v>
          </cell>
        </row>
        <row r="2311">
          <cell r="J2311">
            <v>-390.63099999999997</v>
          </cell>
        </row>
        <row r="2312">
          <cell r="J2312">
            <v>-390.49692699999997</v>
          </cell>
        </row>
        <row r="2313">
          <cell r="J2313">
            <v>-390.36085500000002</v>
          </cell>
        </row>
        <row r="2314">
          <cell r="J2314">
            <v>-390.22668300000004</v>
          </cell>
        </row>
        <row r="2315">
          <cell r="J2315">
            <v>-390.091611</v>
          </cell>
        </row>
        <row r="2316">
          <cell r="J2316">
            <v>-389.95653900000002</v>
          </cell>
        </row>
        <row r="2317">
          <cell r="J2317">
            <v>-389.82146699999998</v>
          </cell>
        </row>
        <row r="2318">
          <cell r="J2318">
            <v>-389.68739600000004</v>
          </cell>
        </row>
        <row r="2319">
          <cell r="J2319">
            <v>-389.55122500000004</v>
          </cell>
        </row>
        <row r="2320">
          <cell r="J2320">
            <v>-389.41725399999996</v>
          </cell>
        </row>
        <row r="2321">
          <cell r="J2321">
            <v>-389.28118300000006</v>
          </cell>
        </row>
        <row r="2322">
          <cell r="J2322">
            <v>-389.14522600000004</v>
          </cell>
        </row>
        <row r="2323">
          <cell r="J2323">
            <v>-389.00386600000007</v>
          </cell>
        </row>
        <row r="2324">
          <cell r="J2324">
            <v>-388.86240599999996</v>
          </cell>
        </row>
        <row r="2325">
          <cell r="J2325">
            <v>-388.72104700000006</v>
          </cell>
        </row>
        <row r="2326">
          <cell r="J2326">
            <v>-388.58068800000001</v>
          </cell>
        </row>
        <row r="2327">
          <cell r="J2327">
            <v>-388.43420900000001</v>
          </cell>
        </row>
        <row r="2328">
          <cell r="J2328">
            <v>-388.28748600000006</v>
          </cell>
        </row>
        <row r="2329">
          <cell r="J2329">
            <v>-388.13976300000002</v>
          </cell>
        </row>
        <row r="2330">
          <cell r="J2330">
            <v>-387.99204000000003</v>
          </cell>
        </row>
        <row r="2331">
          <cell r="J2331">
            <v>-387.84421800000001</v>
          </cell>
        </row>
        <row r="2332">
          <cell r="J2332">
            <v>-387.69649600000002</v>
          </cell>
        </row>
        <row r="2333">
          <cell r="J2333">
            <v>-387.54977399999996</v>
          </cell>
        </row>
        <row r="2334">
          <cell r="J2334">
            <v>-387.402153</v>
          </cell>
        </row>
        <row r="2335">
          <cell r="J2335">
            <v>-387.25443200000001</v>
          </cell>
        </row>
        <row r="2336">
          <cell r="J2336">
            <v>-387.10771100000005</v>
          </cell>
        </row>
        <row r="2337">
          <cell r="J2337">
            <v>-386.95989000000003</v>
          </cell>
        </row>
        <row r="2338">
          <cell r="J2338">
            <v>-386.81216999999998</v>
          </cell>
        </row>
        <row r="2339">
          <cell r="J2339">
            <v>-386.66544900000002</v>
          </cell>
        </row>
        <row r="2340">
          <cell r="J2340">
            <v>-386.51783</v>
          </cell>
        </row>
        <row r="2341">
          <cell r="J2341">
            <v>-386.37010999999995</v>
          </cell>
        </row>
        <row r="2342">
          <cell r="J2342">
            <v>-386.22239100000002</v>
          </cell>
        </row>
        <row r="2343">
          <cell r="J2343">
            <v>-386.07457199999999</v>
          </cell>
        </row>
        <row r="2344">
          <cell r="J2344">
            <v>-385.92685299999994</v>
          </cell>
        </row>
        <row r="2345">
          <cell r="J2345">
            <v>-385.78113400000001</v>
          </cell>
        </row>
        <row r="2346">
          <cell r="J2346">
            <v>-385.63341599999995</v>
          </cell>
        </row>
        <row r="2347">
          <cell r="J2347">
            <v>-385.48579800000005</v>
          </cell>
        </row>
        <row r="2348">
          <cell r="J2348">
            <v>-385.33808099999999</v>
          </cell>
        </row>
        <row r="2349">
          <cell r="J2349">
            <v>-385.19026299999996</v>
          </cell>
        </row>
        <row r="2350">
          <cell r="J2350">
            <v>-385.04244599999998</v>
          </cell>
        </row>
        <row r="2351">
          <cell r="J2351">
            <v>-384.892267</v>
          </cell>
        </row>
        <row r="2352">
          <cell r="J2352">
            <v>-384.740206</v>
          </cell>
        </row>
        <row r="2353">
          <cell r="J2353">
            <v>-384.58614699999998</v>
          </cell>
        </row>
        <row r="2354">
          <cell r="J2354">
            <v>-384.43398700000006</v>
          </cell>
        </row>
        <row r="2355">
          <cell r="J2355">
            <v>-384.28182699999996</v>
          </cell>
        </row>
        <row r="2356">
          <cell r="J2356">
            <v>-384.12876800000004</v>
          </cell>
        </row>
        <row r="2357">
          <cell r="J2357">
            <v>-383.97670899999991</v>
          </cell>
        </row>
        <row r="2358">
          <cell r="J2358">
            <v>-383.82365099999998</v>
          </cell>
        </row>
        <row r="2359">
          <cell r="J2359">
            <v>-383.670592</v>
          </cell>
        </row>
        <row r="2360">
          <cell r="J2360">
            <v>-383.51843399999996</v>
          </cell>
        </row>
        <row r="2361">
          <cell r="J2361">
            <v>-383.36070399999994</v>
          </cell>
        </row>
        <row r="2362">
          <cell r="J2362">
            <v>-383.20196899999991</v>
          </cell>
        </row>
        <row r="2363">
          <cell r="J2363">
            <v>-383.04523599999999</v>
          </cell>
        </row>
        <row r="2364">
          <cell r="J2364">
            <v>-382.88650200000001</v>
          </cell>
        </row>
        <row r="2365">
          <cell r="J2365">
            <v>-382.72966900000006</v>
          </cell>
        </row>
        <row r="2366">
          <cell r="J2366">
            <v>-382.57083599999999</v>
          </cell>
        </row>
        <row r="2367">
          <cell r="J2367">
            <v>-382.413003</v>
          </cell>
        </row>
        <row r="2368">
          <cell r="J2368">
            <v>-382.25527099999999</v>
          </cell>
        </row>
        <row r="2369">
          <cell r="J2369">
            <v>-382.09743899999995</v>
          </cell>
        </row>
        <row r="2370">
          <cell r="J2370">
            <v>-381.93870699999997</v>
          </cell>
        </row>
        <row r="2371">
          <cell r="J2371">
            <v>-381.78187500000001</v>
          </cell>
        </row>
        <row r="2372">
          <cell r="J2372">
            <v>-381.62314400000002</v>
          </cell>
        </row>
        <row r="2373">
          <cell r="J2373">
            <v>-381.46531299999998</v>
          </cell>
        </row>
        <row r="2374">
          <cell r="J2374">
            <v>-381.30748299999999</v>
          </cell>
        </row>
        <row r="2375">
          <cell r="J2375">
            <v>-381.148753</v>
          </cell>
        </row>
        <row r="2376">
          <cell r="J2376">
            <v>-380.99192299999999</v>
          </cell>
        </row>
        <row r="2377">
          <cell r="J2377">
            <v>-380.83319300000005</v>
          </cell>
        </row>
        <row r="2378">
          <cell r="J2378">
            <v>-380.67646399999995</v>
          </cell>
        </row>
        <row r="2379">
          <cell r="J2379">
            <v>-380.51763500000004</v>
          </cell>
        </row>
        <row r="2380">
          <cell r="J2380">
            <v>-380.35980599999999</v>
          </cell>
        </row>
        <row r="2381">
          <cell r="J2381">
            <v>-380.201978</v>
          </cell>
        </row>
        <row r="2382">
          <cell r="J2382">
            <v>-380.04425000000003</v>
          </cell>
        </row>
        <row r="2383">
          <cell r="J2383">
            <v>-379.88552199999998</v>
          </cell>
        </row>
        <row r="2384">
          <cell r="J2384">
            <v>-379.72869400000002</v>
          </cell>
        </row>
        <row r="2385">
          <cell r="J2385">
            <v>-379.56996699999996</v>
          </cell>
        </row>
        <row r="2386">
          <cell r="J2386">
            <v>-379.41314</v>
          </cell>
        </row>
        <row r="2387">
          <cell r="J2387">
            <v>-379.25431399999997</v>
          </cell>
        </row>
        <row r="2388">
          <cell r="J2388">
            <v>-379.096588</v>
          </cell>
        </row>
        <row r="2389">
          <cell r="J2389">
            <v>-378.938762</v>
          </cell>
        </row>
        <row r="2390">
          <cell r="J2390">
            <v>-378.780036</v>
          </cell>
        </row>
        <row r="2391">
          <cell r="J2391">
            <v>-378.62221099999999</v>
          </cell>
        </row>
        <row r="2392">
          <cell r="J2392">
            <v>-378.46448499999997</v>
          </cell>
        </row>
        <row r="2393">
          <cell r="J2393">
            <v>-378.30666099999996</v>
          </cell>
        </row>
        <row r="2394">
          <cell r="J2394">
            <v>-378.14883600000002</v>
          </cell>
        </row>
        <row r="2395">
          <cell r="J2395">
            <v>-377.99101200000001</v>
          </cell>
        </row>
        <row r="2396">
          <cell r="J2396">
            <v>-377.83228800000001</v>
          </cell>
        </row>
        <row r="2397">
          <cell r="J2397">
            <v>-377.67556500000001</v>
          </cell>
        </row>
        <row r="2398">
          <cell r="J2398">
            <v>-377.51674200000002</v>
          </cell>
        </row>
        <row r="2399">
          <cell r="J2399">
            <v>-377.35991899999999</v>
          </cell>
        </row>
        <row r="2400">
          <cell r="J2400">
            <v>-377.20109600000001</v>
          </cell>
        </row>
        <row r="2401">
          <cell r="J2401">
            <v>-377.04347399999995</v>
          </cell>
        </row>
        <row r="2402">
          <cell r="J2402">
            <v>-376.88565200000005</v>
          </cell>
        </row>
        <row r="2403">
          <cell r="J2403">
            <v>-376.72783000000004</v>
          </cell>
        </row>
        <row r="2404">
          <cell r="J2404">
            <v>-376.569008</v>
          </cell>
        </row>
        <row r="2405">
          <cell r="J2405">
            <v>-376.41118699999998</v>
          </cell>
        </row>
        <row r="2406">
          <cell r="J2406">
            <v>-376.253467</v>
          </cell>
        </row>
        <row r="2407">
          <cell r="J2407">
            <v>-376.09574599999996</v>
          </cell>
        </row>
        <row r="2408">
          <cell r="J2408">
            <v>-375.93792599999995</v>
          </cell>
        </row>
        <row r="2409">
          <cell r="J2409">
            <v>-375.77910600000007</v>
          </cell>
        </row>
        <row r="2410">
          <cell r="J2410">
            <v>-375.62228599999997</v>
          </cell>
        </row>
        <row r="2411">
          <cell r="J2411">
            <v>-375.46356700000001</v>
          </cell>
        </row>
        <row r="2412">
          <cell r="J2412">
            <v>-375.30584799999997</v>
          </cell>
        </row>
        <row r="2413">
          <cell r="J2413">
            <v>-375.14802900000001</v>
          </cell>
        </row>
        <row r="2414">
          <cell r="J2414">
            <v>-374.99021099999993</v>
          </cell>
        </row>
        <row r="2415">
          <cell r="J2415">
            <v>-374.83239300000002</v>
          </cell>
        </row>
        <row r="2416">
          <cell r="J2416">
            <v>-374.67467500000004</v>
          </cell>
        </row>
        <row r="2417">
          <cell r="J2417">
            <v>-374.51585800000004</v>
          </cell>
        </row>
        <row r="2418">
          <cell r="J2418">
            <v>-374.35914100000002</v>
          </cell>
        </row>
        <row r="2419">
          <cell r="J2419">
            <v>-374.20032400000002</v>
          </cell>
        </row>
        <row r="2420">
          <cell r="J2420">
            <v>-374.04260700000003</v>
          </cell>
        </row>
        <row r="2421">
          <cell r="J2421">
            <v>-373.88479100000001</v>
          </cell>
        </row>
        <row r="2422">
          <cell r="J2422">
            <v>-373.72597499999995</v>
          </cell>
        </row>
        <row r="2423">
          <cell r="J2423">
            <v>-373.56915900000007</v>
          </cell>
        </row>
        <row r="2424">
          <cell r="J2424">
            <v>-373.41044399999998</v>
          </cell>
        </row>
        <row r="2425">
          <cell r="J2425">
            <v>-373.25272900000004</v>
          </cell>
        </row>
        <row r="2426">
          <cell r="J2426">
            <v>-373.09531400000003</v>
          </cell>
        </row>
        <row r="2427">
          <cell r="J2427">
            <v>-372.93689999999998</v>
          </cell>
        </row>
        <row r="2428">
          <cell r="J2428">
            <v>-372.77858600000002</v>
          </cell>
        </row>
        <row r="2429">
          <cell r="J2429">
            <v>-372.62137200000001</v>
          </cell>
        </row>
        <row r="2430">
          <cell r="J2430">
            <v>-372.46305799999993</v>
          </cell>
        </row>
        <row r="2431">
          <cell r="J2431">
            <v>-372.30564500000003</v>
          </cell>
        </row>
        <row r="2432">
          <cell r="J2432">
            <v>-372.14743199999998</v>
          </cell>
        </row>
        <row r="2433">
          <cell r="J2433">
            <v>-371.98912000000001</v>
          </cell>
        </row>
        <row r="2434">
          <cell r="J2434">
            <v>-371.83180800000002</v>
          </cell>
        </row>
        <row r="2435">
          <cell r="J2435">
            <v>-371.67359499999998</v>
          </cell>
        </row>
        <row r="2436">
          <cell r="J2436">
            <v>-371.51518399999998</v>
          </cell>
        </row>
        <row r="2437">
          <cell r="J2437">
            <v>-371.35777200000001</v>
          </cell>
        </row>
        <row r="2438">
          <cell r="J2438">
            <v>-371.19956100000002</v>
          </cell>
        </row>
        <row r="2439">
          <cell r="J2439">
            <v>-371.04235099999994</v>
          </cell>
        </row>
        <row r="2440">
          <cell r="J2440">
            <v>-370.88404000000003</v>
          </cell>
        </row>
        <row r="2441">
          <cell r="J2441">
            <v>-370.72563000000002</v>
          </cell>
        </row>
        <row r="2442">
          <cell r="J2442">
            <v>-370.56832000000003</v>
          </cell>
        </row>
        <row r="2443">
          <cell r="J2443">
            <v>-370.41011100000003</v>
          </cell>
        </row>
        <row r="2444">
          <cell r="J2444">
            <v>-370.251801</v>
          </cell>
        </row>
        <row r="2445">
          <cell r="J2445">
            <v>-370.094492</v>
          </cell>
        </row>
        <row r="2446">
          <cell r="J2446">
            <v>-369.93608399999999</v>
          </cell>
        </row>
        <row r="2447">
          <cell r="J2447">
            <v>-369.778775</v>
          </cell>
        </row>
        <row r="2448">
          <cell r="J2448">
            <v>-369.62056699999994</v>
          </cell>
        </row>
        <row r="2449">
          <cell r="J2449">
            <v>-369.46226000000001</v>
          </cell>
        </row>
        <row r="2450">
          <cell r="J2450">
            <v>-369.30495200000001</v>
          </cell>
        </row>
        <row r="2451">
          <cell r="J2451">
            <v>-369.14654499999995</v>
          </cell>
        </row>
        <row r="2452">
          <cell r="J2452">
            <v>-368.98823799999997</v>
          </cell>
        </row>
        <row r="2453">
          <cell r="J2453">
            <v>-368.83113200000003</v>
          </cell>
        </row>
        <row r="2454">
          <cell r="J2454">
            <v>-368.67272500000001</v>
          </cell>
        </row>
        <row r="2455">
          <cell r="J2455">
            <v>-368.514319</v>
          </cell>
        </row>
        <row r="2456">
          <cell r="J2456">
            <v>-368.35711400000002</v>
          </cell>
        </row>
        <row r="2457">
          <cell r="J2457">
            <v>-368.19890900000001</v>
          </cell>
        </row>
        <row r="2458">
          <cell r="J2458">
            <v>-368.04150399999997</v>
          </cell>
        </row>
        <row r="2459">
          <cell r="J2459">
            <v>-367.88319899999999</v>
          </cell>
        </row>
        <row r="2460">
          <cell r="J2460">
            <v>-367.72489499999995</v>
          </cell>
        </row>
        <row r="2461">
          <cell r="J2461">
            <v>-367.56749000000002</v>
          </cell>
        </row>
        <row r="2462">
          <cell r="J2462">
            <v>-367.40928699999995</v>
          </cell>
        </row>
        <row r="2463">
          <cell r="J2463">
            <v>-367.25108299999999</v>
          </cell>
        </row>
        <row r="2464">
          <cell r="J2464">
            <v>-367.09357999999997</v>
          </cell>
        </row>
        <row r="2465">
          <cell r="J2465">
            <v>-366.93527699999999</v>
          </cell>
        </row>
        <row r="2466">
          <cell r="J2466">
            <v>-366.77817500000003</v>
          </cell>
        </row>
        <row r="2467">
          <cell r="J2467">
            <v>-366.61987199999999</v>
          </cell>
        </row>
        <row r="2468">
          <cell r="J2468">
            <v>-366.46136999999993</v>
          </cell>
        </row>
        <row r="2469">
          <cell r="J2469">
            <v>-366.304169</v>
          </cell>
        </row>
        <row r="2470">
          <cell r="J2470">
            <v>-366.14586700000001</v>
          </cell>
        </row>
        <row r="2471">
          <cell r="J2471">
            <v>-365.98756599999996</v>
          </cell>
        </row>
        <row r="2472">
          <cell r="J2472">
            <v>-365.83026500000005</v>
          </cell>
        </row>
        <row r="2473">
          <cell r="J2473">
            <v>-365.671965</v>
          </cell>
        </row>
        <row r="2474">
          <cell r="J2474">
            <v>-365.51366499999995</v>
          </cell>
        </row>
        <row r="2475">
          <cell r="J2475">
            <v>-365.35636500000004</v>
          </cell>
        </row>
        <row r="2476">
          <cell r="J2476">
            <v>-365.19806599999998</v>
          </cell>
        </row>
        <row r="2477">
          <cell r="J2477">
            <v>-365.04076599999996</v>
          </cell>
        </row>
        <row r="2478">
          <cell r="J2478">
            <v>-364.88246700000002</v>
          </cell>
        </row>
        <row r="2479">
          <cell r="J2479">
            <v>-364.72416899999996</v>
          </cell>
        </row>
        <row r="2480">
          <cell r="J2480">
            <v>-364.56687099999999</v>
          </cell>
        </row>
        <row r="2481">
          <cell r="J2481">
            <v>-364.40847299999996</v>
          </cell>
        </row>
        <row r="2482">
          <cell r="J2482">
            <v>-364.25027499999999</v>
          </cell>
        </row>
        <row r="2483">
          <cell r="J2483">
            <v>-364.09297699999996</v>
          </cell>
        </row>
        <row r="2484">
          <cell r="J2484">
            <v>-363.93468000000001</v>
          </cell>
        </row>
        <row r="2485">
          <cell r="J2485">
            <v>-363.77738399999998</v>
          </cell>
        </row>
        <row r="2486">
          <cell r="J2486">
            <v>-363.61908700000004</v>
          </cell>
        </row>
        <row r="2487">
          <cell r="J2487">
            <v>-363.46079099999997</v>
          </cell>
        </row>
        <row r="2488">
          <cell r="J2488">
            <v>-363.303495</v>
          </cell>
        </row>
        <row r="2489">
          <cell r="J2489">
            <v>-363.14519899999999</v>
          </cell>
        </row>
        <row r="2490">
          <cell r="J2490">
            <v>-362.98690399999998</v>
          </cell>
        </row>
        <row r="2491">
          <cell r="J2491">
            <v>-362.829609</v>
          </cell>
        </row>
        <row r="2492">
          <cell r="J2492">
            <v>-362.67121500000002</v>
          </cell>
        </row>
        <row r="2493">
          <cell r="J2493">
            <v>-362.51292000000001</v>
          </cell>
        </row>
        <row r="2494">
          <cell r="J2494">
            <v>-362.35572599999995</v>
          </cell>
        </row>
        <row r="2495">
          <cell r="J2495">
            <v>-362.19743200000005</v>
          </cell>
        </row>
        <row r="2496">
          <cell r="J2496">
            <v>-362.04003899999998</v>
          </cell>
        </row>
        <row r="2497">
          <cell r="J2497">
            <v>-361.88174600000002</v>
          </cell>
        </row>
        <row r="2498">
          <cell r="J2498">
            <v>-361.72355299999998</v>
          </cell>
        </row>
        <row r="2499">
          <cell r="J2499">
            <v>-361.56626</v>
          </cell>
        </row>
        <row r="2500">
          <cell r="J2500">
            <v>-361.40786800000001</v>
          </cell>
        </row>
        <row r="2501">
          <cell r="J2501">
            <v>-361.24957599999999</v>
          </cell>
        </row>
        <row r="2502">
          <cell r="J2502">
            <v>-361.092285</v>
          </cell>
        </row>
        <row r="2503">
          <cell r="J2503">
            <v>-360.93409300000002</v>
          </cell>
        </row>
        <row r="2504">
          <cell r="J2504">
            <v>-360.77570200000002</v>
          </cell>
        </row>
        <row r="2505">
          <cell r="J2505">
            <v>-360.61851200000001</v>
          </cell>
        </row>
        <row r="2506">
          <cell r="J2506">
            <v>-360.46012099999996</v>
          </cell>
        </row>
        <row r="2507">
          <cell r="J2507">
            <v>-360.302931</v>
          </cell>
        </row>
        <row r="2508">
          <cell r="J2508">
            <v>-360.144541</v>
          </cell>
        </row>
        <row r="2509">
          <cell r="J2509">
            <v>-359.98625200000004</v>
          </cell>
        </row>
        <row r="2510">
          <cell r="J2510">
            <v>-359.82896299999999</v>
          </cell>
        </row>
        <row r="2511">
          <cell r="J2511">
            <v>-359.67057399999999</v>
          </cell>
        </row>
        <row r="2512">
          <cell r="J2512">
            <v>-359.51248499999997</v>
          </cell>
        </row>
        <row r="2513">
          <cell r="J2513">
            <v>-359.355097</v>
          </cell>
        </row>
        <row r="2514">
          <cell r="J2514">
            <v>-359.19680899999997</v>
          </cell>
        </row>
        <row r="2515">
          <cell r="J2515">
            <v>-359.03842100000003</v>
          </cell>
        </row>
        <row r="2516">
          <cell r="J2516">
            <v>-358.88123399999995</v>
          </cell>
        </row>
        <row r="2517">
          <cell r="J2517">
            <v>-358.72294700000003</v>
          </cell>
        </row>
        <row r="2518">
          <cell r="J2518">
            <v>-358.56466</v>
          </cell>
        </row>
        <row r="2519">
          <cell r="J2519">
            <v>-358.407174</v>
          </cell>
        </row>
        <row r="2520">
          <cell r="J2520">
            <v>-358.24908700000003</v>
          </cell>
        </row>
        <row r="2521">
          <cell r="J2521">
            <v>-358.09180199999997</v>
          </cell>
        </row>
        <row r="2522">
          <cell r="J2522">
            <v>-357.93341600000002</v>
          </cell>
        </row>
        <row r="2523">
          <cell r="J2523">
            <v>-357.77513099999999</v>
          </cell>
        </row>
        <row r="2524">
          <cell r="J2524">
            <v>-357.61784599999999</v>
          </cell>
        </row>
        <row r="2525">
          <cell r="J2525">
            <v>-357.45966099999998</v>
          </cell>
        </row>
        <row r="2526">
          <cell r="J2526">
            <v>-357.301177</v>
          </cell>
        </row>
        <row r="2527">
          <cell r="J2527">
            <v>-357.14399300000002</v>
          </cell>
        </row>
        <row r="2528">
          <cell r="J2528">
            <v>-356.98570899999999</v>
          </cell>
        </row>
        <row r="2529">
          <cell r="J2529">
            <v>-356.82742599999995</v>
          </cell>
        </row>
        <row r="2530">
          <cell r="J2530">
            <v>-356.67004300000002</v>
          </cell>
        </row>
        <row r="2531">
          <cell r="J2531">
            <v>-356.51186000000001</v>
          </cell>
        </row>
        <row r="2532">
          <cell r="J2532">
            <v>-356.35357699999997</v>
          </cell>
        </row>
        <row r="2533">
          <cell r="J2533">
            <v>-356.19609500000001</v>
          </cell>
        </row>
        <row r="2534">
          <cell r="J2534">
            <v>-356.03801300000003</v>
          </cell>
        </row>
        <row r="2535">
          <cell r="J2535">
            <v>-355.88073200000002</v>
          </cell>
        </row>
        <row r="2536">
          <cell r="J2536">
            <v>-355.72235000000001</v>
          </cell>
        </row>
        <row r="2537">
          <cell r="J2537">
            <v>-355.56396899999999</v>
          </cell>
        </row>
        <row r="2538">
          <cell r="J2538">
            <v>-355.40688900000004</v>
          </cell>
        </row>
        <row r="2539">
          <cell r="J2539">
            <v>-355.24850799999996</v>
          </cell>
        </row>
        <row r="2540">
          <cell r="J2540">
            <v>-355.09012799999999</v>
          </cell>
        </row>
        <row r="2541">
          <cell r="J2541">
            <v>-354.93284899999998</v>
          </cell>
        </row>
        <row r="2542">
          <cell r="J2542">
            <v>-354.77466900000002</v>
          </cell>
        </row>
        <row r="2543">
          <cell r="J2543">
            <v>-354.61639000000002</v>
          </cell>
        </row>
        <row r="2544">
          <cell r="J2544">
            <v>-354.45901099999998</v>
          </cell>
        </row>
        <row r="2545">
          <cell r="J2545">
            <v>-354.30073299999998</v>
          </cell>
        </row>
        <row r="2546">
          <cell r="J2546">
            <v>-354.14245399999993</v>
          </cell>
        </row>
        <row r="2547">
          <cell r="J2547">
            <v>-353.98517600000002</v>
          </cell>
        </row>
        <row r="2548">
          <cell r="J2548">
            <v>-353.82689899999997</v>
          </cell>
        </row>
        <row r="2549">
          <cell r="J2549">
            <v>-353.66952100000003</v>
          </cell>
        </row>
        <row r="2550">
          <cell r="J2550">
            <v>-353.51134399999995</v>
          </cell>
        </row>
        <row r="2551">
          <cell r="J2551">
            <v>-353.35306800000001</v>
          </cell>
        </row>
        <row r="2552">
          <cell r="J2552">
            <v>-353.19569099999995</v>
          </cell>
        </row>
        <row r="2553">
          <cell r="J2553">
            <v>-353.03741500000001</v>
          </cell>
        </row>
        <row r="2554">
          <cell r="J2554">
            <v>-352.87923900000004</v>
          </cell>
        </row>
        <row r="2555">
          <cell r="J2555">
            <v>-352.72186400000004</v>
          </cell>
        </row>
        <row r="2556">
          <cell r="J2556">
            <v>-352.56358899999998</v>
          </cell>
        </row>
        <row r="2557">
          <cell r="J2557">
            <v>-352.40531400000003</v>
          </cell>
        </row>
        <row r="2558">
          <cell r="J2558">
            <v>-352.24803900000001</v>
          </cell>
        </row>
        <row r="2559">
          <cell r="J2559">
            <v>-352.08966499999997</v>
          </cell>
        </row>
        <row r="2560">
          <cell r="J2560">
            <v>-351.93149099999999</v>
          </cell>
        </row>
        <row r="2561">
          <cell r="J2561">
            <v>-351.77421699999996</v>
          </cell>
        </row>
        <row r="2562">
          <cell r="J2562">
            <v>-351.61584399999998</v>
          </cell>
        </row>
        <row r="2563">
          <cell r="J2563">
            <v>-351.45857100000001</v>
          </cell>
        </row>
        <row r="2564">
          <cell r="J2564">
            <v>-351.30039800000003</v>
          </cell>
        </row>
        <row r="2565">
          <cell r="J2565">
            <v>-351.14192599999996</v>
          </cell>
        </row>
        <row r="2566">
          <cell r="J2566">
            <v>-350.98475300000001</v>
          </cell>
        </row>
        <row r="2567">
          <cell r="J2567">
            <v>-350.826481</v>
          </cell>
        </row>
        <row r="2568">
          <cell r="J2568">
            <v>-350.66811000000001</v>
          </cell>
        </row>
        <row r="2569">
          <cell r="J2569">
            <v>-350.51083900000003</v>
          </cell>
        </row>
        <row r="2570">
          <cell r="J2570">
            <v>-350.35266799999999</v>
          </cell>
        </row>
        <row r="2571">
          <cell r="J2571">
            <v>-350.19429700000001</v>
          </cell>
        </row>
        <row r="2572">
          <cell r="J2572">
            <v>-350.03692699999999</v>
          </cell>
        </row>
        <row r="2573">
          <cell r="J2573">
            <v>-349.87875700000006</v>
          </cell>
        </row>
        <row r="2574">
          <cell r="J2574">
            <v>-349.72038700000002</v>
          </cell>
        </row>
        <row r="2575">
          <cell r="J2575">
            <v>-349.56321800000001</v>
          </cell>
        </row>
        <row r="2576">
          <cell r="J2576">
            <v>-349.40484900000001</v>
          </cell>
        </row>
        <row r="2577">
          <cell r="J2577">
            <v>-349.24657999999999</v>
          </cell>
        </row>
        <row r="2578">
          <cell r="J2578">
            <v>-349.08931099999995</v>
          </cell>
        </row>
        <row r="2579">
          <cell r="J2579">
            <v>-348.93104299999999</v>
          </cell>
        </row>
        <row r="2580">
          <cell r="J2580">
            <v>-348.77267500000005</v>
          </cell>
        </row>
        <row r="2581">
          <cell r="J2581">
            <v>-348.61540699999995</v>
          </cell>
        </row>
        <row r="2582">
          <cell r="J2582">
            <v>-348.45723999999996</v>
          </cell>
        </row>
        <row r="2583">
          <cell r="J2583">
            <v>-348.29987299999999</v>
          </cell>
        </row>
        <row r="2584">
          <cell r="J2584">
            <v>-348.14160600000002</v>
          </cell>
        </row>
        <row r="2585">
          <cell r="J2585">
            <v>-347.98334</v>
          </cell>
        </row>
        <row r="2586">
          <cell r="J2586">
            <v>-347.82607400000001</v>
          </cell>
        </row>
        <row r="2587">
          <cell r="J2587">
            <v>-347.667708</v>
          </cell>
        </row>
        <row r="2588">
          <cell r="J2588">
            <v>-347.50954300000001</v>
          </cell>
        </row>
        <row r="2589">
          <cell r="J2589">
            <v>-347.35217799999998</v>
          </cell>
        </row>
        <row r="2590">
          <cell r="J2590">
            <v>-347.19391300000001</v>
          </cell>
        </row>
        <row r="2591">
          <cell r="J2591">
            <v>-347.03564799999998</v>
          </cell>
        </row>
        <row r="2592">
          <cell r="J2592">
            <v>-346.87838399999998</v>
          </cell>
        </row>
        <row r="2593">
          <cell r="J2593">
            <v>-346.72012000000001</v>
          </cell>
        </row>
        <row r="2594">
          <cell r="J2594">
            <v>-346.561756</v>
          </cell>
        </row>
        <row r="2595">
          <cell r="J2595">
            <v>-346.404493</v>
          </cell>
        </row>
        <row r="2596">
          <cell r="J2596">
            <v>-346.24623000000003</v>
          </cell>
        </row>
        <row r="2597">
          <cell r="J2597">
            <v>-346.08796700000005</v>
          </cell>
        </row>
        <row r="2598">
          <cell r="J2598">
            <v>-345.93060500000001</v>
          </cell>
        </row>
        <row r="2599">
          <cell r="J2599">
            <v>-345.77244300000001</v>
          </cell>
        </row>
        <row r="2600">
          <cell r="J2600">
            <v>-345.61418099999997</v>
          </cell>
        </row>
        <row r="2601">
          <cell r="J2601">
            <v>-345.45671900000002</v>
          </cell>
        </row>
        <row r="2602">
          <cell r="J2602">
            <v>-345.29855799999996</v>
          </cell>
        </row>
        <row r="2603">
          <cell r="J2603">
            <v>-345.14029699999998</v>
          </cell>
        </row>
        <row r="2604">
          <cell r="J2604">
            <v>-344.98293699999994</v>
          </cell>
        </row>
        <row r="2605">
          <cell r="J2605">
            <v>-344.82467600000001</v>
          </cell>
        </row>
        <row r="2606">
          <cell r="J2606">
            <v>-344.667416</v>
          </cell>
        </row>
        <row r="2607">
          <cell r="J2607">
            <v>-344.50925699999999</v>
          </cell>
        </row>
        <row r="2608">
          <cell r="J2608">
            <v>-344.35089700000003</v>
          </cell>
        </row>
        <row r="2609">
          <cell r="J2609">
            <v>-344.19353800000005</v>
          </cell>
        </row>
        <row r="2610">
          <cell r="J2610">
            <v>-344.03527899999995</v>
          </cell>
        </row>
        <row r="2611">
          <cell r="J2611">
            <v>-343.87712099999999</v>
          </cell>
        </row>
        <row r="2612">
          <cell r="J2612">
            <v>-343.719763</v>
          </cell>
        </row>
        <row r="2613">
          <cell r="J2613">
            <v>-343.56150500000001</v>
          </cell>
        </row>
        <row r="2614">
          <cell r="J2614">
            <v>-343.40314699999999</v>
          </cell>
        </row>
        <row r="2615">
          <cell r="J2615">
            <v>-343.24579</v>
          </cell>
        </row>
        <row r="2616">
          <cell r="J2616">
            <v>-343.08773300000001</v>
          </cell>
        </row>
        <row r="2617">
          <cell r="J2617">
            <v>-342.92937699999999</v>
          </cell>
        </row>
        <row r="2618">
          <cell r="J2618">
            <v>-342.77212000000003</v>
          </cell>
        </row>
        <row r="2619">
          <cell r="J2619">
            <v>-342.61376399999995</v>
          </cell>
        </row>
        <row r="2620">
          <cell r="J2620">
            <v>-342.45550800000001</v>
          </cell>
        </row>
        <row r="2621">
          <cell r="J2621">
            <v>-342.29835300000002</v>
          </cell>
        </row>
        <row r="2622">
          <cell r="J2622">
            <v>-342.13989800000002</v>
          </cell>
        </row>
        <row r="2623">
          <cell r="J2623">
            <v>-341.98164299999996</v>
          </cell>
        </row>
        <row r="2624">
          <cell r="J2624">
            <v>-341.82448900000003</v>
          </cell>
        </row>
        <row r="2625">
          <cell r="J2625">
            <v>-341.666134</v>
          </cell>
        </row>
        <row r="2626">
          <cell r="J2626">
            <v>-341.50788</v>
          </cell>
        </row>
        <row r="2627">
          <cell r="J2627">
            <v>-341.35062700000003</v>
          </cell>
        </row>
        <row r="2628">
          <cell r="J2628">
            <v>-341.192273</v>
          </cell>
        </row>
        <row r="2629">
          <cell r="J2629">
            <v>-341.03412099999997</v>
          </cell>
        </row>
        <row r="2630">
          <cell r="J2630">
            <v>-340.87666800000005</v>
          </cell>
        </row>
        <row r="2631">
          <cell r="J2631">
            <v>-340.71851500000002</v>
          </cell>
        </row>
        <row r="2632">
          <cell r="J2632">
            <v>-340.56026300000002</v>
          </cell>
        </row>
        <row r="2633">
          <cell r="J2633">
            <v>-340.40291200000001</v>
          </cell>
        </row>
        <row r="2634">
          <cell r="J2634">
            <v>-340.24466000000001</v>
          </cell>
        </row>
        <row r="2635">
          <cell r="J2635">
            <v>-340.086409</v>
          </cell>
        </row>
        <row r="2636">
          <cell r="J2636">
            <v>-339.929058</v>
          </cell>
        </row>
        <row r="2637">
          <cell r="J2637">
            <v>-339.77090800000002</v>
          </cell>
        </row>
        <row r="2638">
          <cell r="J2638">
            <v>-339.61355699999996</v>
          </cell>
        </row>
        <row r="2639">
          <cell r="J2639">
            <v>-339.455307</v>
          </cell>
        </row>
        <row r="2640">
          <cell r="J2640">
            <v>-339.29705799999999</v>
          </cell>
        </row>
        <row r="2641">
          <cell r="J2641">
            <v>-339.13970800000004</v>
          </cell>
        </row>
        <row r="2642">
          <cell r="J2642">
            <v>-338.98155899999995</v>
          </cell>
        </row>
        <row r="2643">
          <cell r="J2643">
            <v>-338.82321100000001</v>
          </cell>
        </row>
        <row r="2644">
          <cell r="J2644">
            <v>-338.665862</v>
          </cell>
        </row>
        <row r="2645">
          <cell r="J2645">
            <v>-338.50761399999999</v>
          </cell>
        </row>
        <row r="2646">
          <cell r="J2646">
            <v>-338.34936599999997</v>
          </cell>
        </row>
        <row r="2647">
          <cell r="J2647">
            <v>-338.19211900000005</v>
          </cell>
        </row>
        <row r="2648">
          <cell r="J2648">
            <v>-338.033771</v>
          </cell>
        </row>
        <row r="2649">
          <cell r="J2649">
            <v>-337.87552499999998</v>
          </cell>
        </row>
        <row r="2650">
          <cell r="J2650">
            <v>-337.71837799999997</v>
          </cell>
        </row>
        <row r="2651">
          <cell r="J2651">
            <v>-337.56003200000004</v>
          </cell>
        </row>
        <row r="2652">
          <cell r="J2652">
            <v>-337.40168599999998</v>
          </cell>
        </row>
        <row r="2653">
          <cell r="J2653">
            <v>-337.24444</v>
          </cell>
        </row>
        <row r="2654">
          <cell r="J2654">
            <v>-337.08629499999995</v>
          </cell>
        </row>
        <row r="2655">
          <cell r="J2655">
            <v>-336.92794900000001</v>
          </cell>
        </row>
        <row r="2656">
          <cell r="J2656">
            <v>-336.77060499999999</v>
          </cell>
        </row>
        <row r="2657">
          <cell r="J2657">
            <v>-336.61236000000002</v>
          </cell>
        </row>
        <row r="2658">
          <cell r="J2658">
            <v>-336.454116</v>
          </cell>
        </row>
        <row r="2659">
          <cell r="J2659">
            <v>-336.29687200000001</v>
          </cell>
        </row>
        <row r="2660">
          <cell r="J2660">
            <v>-336.13862899999998</v>
          </cell>
        </row>
        <row r="2661">
          <cell r="J2661">
            <v>-335.98028499999998</v>
          </cell>
        </row>
        <row r="2662">
          <cell r="J2662">
            <v>-335.82314199999996</v>
          </cell>
        </row>
        <row r="2663">
          <cell r="J2663">
            <v>-335.66469999999998</v>
          </cell>
        </row>
        <row r="2664">
          <cell r="J2664">
            <v>-335.50645699999995</v>
          </cell>
        </row>
        <row r="2665">
          <cell r="J2665">
            <v>-335.34931500000005</v>
          </cell>
        </row>
        <row r="2666">
          <cell r="J2666">
            <v>-335.19097400000004</v>
          </cell>
        </row>
        <row r="2667">
          <cell r="J2667">
            <v>-335.03273200000001</v>
          </cell>
        </row>
        <row r="2668">
          <cell r="J2668">
            <v>-334.87539100000004</v>
          </cell>
        </row>
        <row r="2669">
          <cell r="J2669">
            <v>-334.71715</v>
          </cell>
        </row>
        <row r="2670">
          <cell r="J2670">
            <v>-334.55870999999996</v>
          </cell>
        </row>
        <row r="2671">
          <cell r="J2671">
            <v>-334.40166899999997</v>
          </cell>
        </row>
        <row r="2672">
          <cell r="J2672">
            <v>-334.24343000000005</v>
          </cell>
        </row>
        <row r="2673">
          <cell r="J2673">
            <v>-334.08508999999998</v>
          </cell>
        </row>
        <row r="2674">
          <cell r="J2674">
            <v>-333.927751</v>
          </cell>
        </row>
        <row r="2675">
          <cell r="J2675">
            <v>-333.76951200000002</v>
          </cell>
        </row>
        <row r="2676">
          <cell r="J2676">
            <v>-333.61127299999998</v>
          </cell>
        </row>
        <row r="2677">
          <cell r="J2677">
            <v>-333.45383500000003</v>
          </cell>
        </row>
        <row r="2678">
          <cell r="J2678">
            <v>-333.29569700000002</v>
          </cell>
        </row>
        <row r="2679">
          <cell r="J2679">
            <v>-333.13755899999995</v>
          </cell>
        </row>
        <row r="2680">
          <cell r="J2680">
            <v>-332.98022099999997</v>
          </cell>
        </row>
        <row r="2681">
          <cell r="J2681">
            <v>-332.82188400000001</v>
          </cell>
        </row>
        <row r="2682">
          <cell r="J2682">
            <v>-332.66354699999999</v>
          </cell>
        </row>
        <row r="2683">
          <cell r="J2683">
            <v>-332.50641100000001</v>
          </cell>
        </row>
        <row r="2684">
          <cell r="J2684">
            <v>-332.348274</v>
          </cell>
        </row>
        <row r="2685">
          <cell r="J2685">
            <v>-332.18983799999995</v>
          </cell>
        </row>
        <row r="2686">
          <cell r="J2686">
            <v>-332.03260299999999</v>
          </cell>
        </row>
        <row r="2687">
          <cell r="J2687">
            <v>-331.87436700000001</v>
          </cell>
        </row>
        <row r="2688">
          <cell r="J2688">
            <v>-331.71613200000002</v>
          </cell>
        </row>
        <row r="2689">
          <cell r="J2689">
            <v>-331.55869799999999</v>
          </cell>
        </row>
        <row r="2690">
          <cell r="J2690">
            <v>-331.40046300000006</v>
          </cell>
        </row>
        <row r="2691">
          <cell r="J2691">
            <v>-331.24232899999998</v>
          </cell>
        </row>
        <row r="2692">
          <cell r="J2692">
            <v>-331.08499499999999</v>
          </cell>
        </row>
        <row r="2693">
          <cell r="J2693">
            <v>-330.926762</v>
          </cell>
        </row>
        <row r="2694">
          <cell r="J2694">
            <v>-330.76842800000003</v>
          </cell>
        </row>
        <row r="2695">
          <cell r="J2695">
            <v>-330.61129599999998</v>
          </cell>
        </row>
        <row r="2696">
          <cell r="J2696">
            <v>-330.45286299999998</v>
          </cell>
        </row>
        <row r="2697">
          <cell r="J2697">
            <v>-330.29463100000004</v>
          </cell>
        </row>
        <row r="2698">
          <cell r="J2698">
            <v>-330.13739900000002</v>
          </cell>
        </row>
        <row r="2699">
          <cell r="J2699">
            <v>-329.97926699999999</v>
          </cell>
        </row>
        <row r="2700">
          <cell r="J2700">
            <v>-329.82083599999999</v>
          </cell>
        </row>
        <row r="2701">
          <cell r="J2701">
            <v>-329.66360500000002</v>
          </cell>
        </row>
        <row r="2702">
          <cell r="J2702">
            <v>-329.50537400000002</v>
          </cell>
        </row>
        <row r="2703">
          <cell r="J2703">
            <v>-329.34714300000002</v>
          </cell>
        </row>
        <row r="2704">
          <cell r="J2704">
            <v>-329.18981299999996</v>
          </cell>
        </row>
        <row r="2705">
          <cell r="J2705">
            <v>-329.03158299999996</v>
          </cell>
        </row>
        <row r="2706">
          <cell r="J2706">
            <v>-328.87335400000001</v>
          </cell>
        </row>
        <row r="2707">
          <cell r="J2707">
            <v>-328.71592399999997</v>
          </cell>
        </row>
        <row r="2708">
          <cell r="J2708">
            <v>-328.55779500000006</v>
          </cell>
        </row>
        <row r="2709">
          <cell r="J2709">
            <v>-328.39946700000002</v>
          </cell>
        </row>
        <row r="2710">
          <cell r="J2710">
            <v>-328.24223800000004</v>
          </cell>
        </row>
        <row r="2711">
          <cell r="J2711">
            <v>-328.08391</v>
          </cell>
        </row>
        <row r="2712">
          <cell r="J2712">
            <v>-327.92568299999999</v>
          </cell>
        </row>
        <row r="2713">
          <cell r="J2713">
            <v>-327.76855499999994</v>
          </cell>
        </row>
        <row r="2714">
          <cell r="J2714">
            <v>-327.61022800000001</v>
          </cell>
        </row>
        <row r="2715">
          <cell r="J2715">
            <v>-327.45190099999996</v>
          </cell>
        </row>
        <row r="2716">
          <cell r="J2716">
            <v>-327.29467500000004</v>
          </cell>
        </row>
        <row r="2717">
          <cell r="J2717">
            <v>-327.13644900000003</v>
          </cell>
        </row>
        <row r="2718">
          <cell r="J2718">
            <v>-326.97812299999998</v>
          </cell>
        </row>
        <row r="2719">
          <cell r="J2719">
            <v>-326.82079699999997</v>
          </cell>
        </row>
        <row r="2720">
          <cell r="J2720">
            <v>-326.66257200000001</v>
          </cell>
        </row>
        <row r="2721">
          <cell r="J2721">
            <v>-326.50444699999997</v>
          </cell>
        </row>
        <row r="2722">
          <cell r="J2722">
            <v>-326.34702200000004</v>
          </cell>
        </row>
        <row r="2723">
          <cell r="J2723">
            <v>-326.18879800000002</v>
          </cell>
        </row>
        <row r="2724">
          <cell r="J2724">
            <v>-326.03067399999998</v>
          </cell>
        </row>
        <row r="2725">
          <cell r="J2725">
            <v>-325.87335000000002</v>
          </cell>
        </row>
        <row r="2726">
          <cell r="J2726">
            <v>-325.71502599999997</v>
          </cell>
        </row>
        <row r="2727">
          <cell r="J2727">
            <v>-325.55670300000003</v>
          </cell>
        </row>
        <row r="2728">
          <cell r="J2728">
            <v>-325.39957999999996</v>
          </cell>
        </row>
        <row r="2729">
          <cell r="J2729">
            <v>-325.24135799999999</v>
          </cell>
        </row>
        <row r="2730">
          <cell r="J2730">
            <v>-325.083035</v>
          </cell>
        </row>
        <row r="2731">
          <cell r="J2731">
            <v>-324.924713</v>
          </cell>
        </row>
        <row r="2732">
          <cell r="J2732">
            <v>-324.76759200000004</v>
          </cell>
        </row>
        <row r="2733">
          <cell r="J2733">
            <v>-324.60927100000004</v>
          </cell>
        </row>
        <row r="2734">
          <cell r="J2734">
            <v>-324.45094899999998</v>
          </cell>
        </row>
        <row r="2735">
          <cell r="J2735">
            <v>-324.29362900000001</v>
          </cell>
        </row>
        <row r="2736">
          <cell r="J2736">
            <v>-324.13550900000001</v>
          </cell>
        </row>
        <row r="2737">
          <cell r="J2737">
            <v>-323.97708900000003</v>
          </cell>
        </row>
        <row r="2738">
          <cell r="J2738">
            <v>-323.81996900000001</v>
          </cell>
        </row>
        <row r="2739">
          <cell r="J2739">
            <v>-323.66164900000001</v>
          </cell>
        </row>
        <row r="2740">
          <cell r="J2740">
            <v>-323.50352999999996</v>
          </cell>
        </row>
        <row r="2741">
          <cell r="J2741">
            <v>-323.34611100000001</v>
          </cell>
        </row>
        <row r="2742">
          <cell r="J2742">
            <v>-323.18789299999997</v>
          </cell>
        </row>
        <row r="2743">
          <cell r="J2743">
            <v>-323.02957400000003</v>
          </cell>
        </row>
        <row r="2744">
          <cell r="J2744">
            <v>-322.872456</v>
          </cell>
        </row>
        <row r="2745">
          <cell r="J2745">
            <v>-322.71403900000001</v>
          </cell>
        </row>
        <row r="2746">
          <cell r="J2746">
            <v>-322.55582099999998</v>
          </cell>
        </row>
        <row r="2747">
          <cell r="J2747">
            <v>-322.39860399999998</v>
          </cell>
        </row>
        <row r="2748">
          <cell r="J2748">
            <v>-322.24048699999997</v>
          </cell>
        </row>
        <row r="2749">
          <cell r="J2749">
            <v>-322.08217100000002</v>
          </cell>
        </row>
        <row r="2750">
          <cell r="J2750">
            <v>-321.92485499999998</v>
          </cell>
        </row>
        <row r="2751">
          <cell r="J2751">
            <v>-321.766639</v>
          </cell>
        </row>
        <row r="2752">
          <cell r="J2752">
            <v>-321.60842300000002</v>
          </cell>
        </row>
        <row r="2753">
          <cell r="J2753">
            <v>-321.45110799999998</v>
          </cell>
        </row>
        <row r="2754">
          <cell r="J2754">
            <v>-321.29279300000002</v>
          </cell>
        </row>
        <row r="2755">
          <cell r="J2755">
            <v>-321.13457899999992</v>
          </cell>
        </row>
        <row r="2756">
          <cell r="J2756">
            <v>-320.97726400000005</v>
          </cell>
        </row>
        <row r="2757">
          <cell r="J2757">
            <v>-320.81905</v>
          </cell>
        </row>
        <row r="2758">
          <cell r="J2758">
            <v>-320.66083600000002</v>
          </cell>
        </row>
        <row r="2759">
          <cell r="J2759">
            <v>-320.503623</v>
          </cell>
        </row>
        <row r="2760">
          <cell r="J2760">
            <v>-320.34531000000004</v>
          </cell>
        </row>
        <row r="2761">
          <cell r="J2761">
            <v>-320.18709699999999</v>
          </cell>
        </row>
        <row r="2762">
          <cell r="J2762">
            <v>-320.029785</v>
          </cell>
        </row>
        <row r="2763">
          <cell r="J2763">
            <v>-319.87157199999996</v>
          </cell>
        </row>
        <row r="2764">
          <cell r="J2764">
            <v>-319.71325999999999</v>
          </cell>
        </row>
        <row r="2765">
          <cell r="J2765">
            <v>-319.555049</v>
          </cell>
        </row>
        <row r="2766">
          <cell r="J2766">
            <v>-319.39773700000006</v>
          </cell>
        </row>
        <row r="2767">
          <cell r="J2767">
            <v>-319.23952600000001</v>
          </cell>
        </row>
        <row r="2768">
          <cell r="J2768">
            <v>-319.08121600000004</v>
          </cell>
        </row>
        <row r="2769">
          <cell r="J2769">
            <v>-318.924105</v>
          </cell>
        </row>
        <row r="2770">
          <cell r="J2770">
            <v>-318.76579499999997</v>
          </cell>
        </row>
        <row r="2771">
          <cell r="J2771">
            <v>-318.60758599999997</v>
          </cell>
        </row>
        <row r="2772">
          <cell r="J2772">
            <v>-318.45027600000003</v>
          </cell>
        </row>
        <row r="2773">
          <cell r="J2773">
            <v>-318.291967</v>
          </cell>
        </row>
        <row r="2774">
          <cell r="J2774">
            <v>-318.133758</v>
          </cell>
        </row>
        <row r="2775">
          <cell r="J2775">
            <v>-317.976449</v>
          </cell>
        </row>
        <row r="2776">
          <cell r="J2776">
            <v>-317.81824099999994</v>
          </cell>
        </row>
        <row r="2777">
          <cell r="J2777">
            <v>-317.65993300000002</v>
          </cell>
        </row>
        <row r="2778">
          <cell r="J2778">
            <v>-317.502726</v>
          </cell>
        </row>
        <row r="2779">
          <cell r="J2779">
            <v>-317.34431799999999</v>
          </cell>
        </row>
        <row r="2780">
          <cell r="J2780">
            <v>-317.18621100000001</v>
          </cell>
        </row>
        <row r="2781">
          <cell r="J2781">
            <v>-317.02890500000001</v>
          </cell>
        </row>
        <row r="2782">
          <cell r="J2782">
            <v>-316.87079800000004</v>
          </cell>
        </row>
        <row r="2783">
          <cell r="J2783">
            <v>-316.71239200000002</v>
          </cell>
        </row>
        <row r="2784">
          <cell r="J2784">
            <v>-316.55528599999997</v>
          </cell>
        </row>
        <row r="2785">
          <cell r="J2785">
            <v>-316.39698100000004</v>
          </cell>
        </row>
        <row r="2786">
          <cell r="J2786">
            <v>-316.23877500000003</v>
          </cell>
        </row>
        <row r="2787">
          <cell r="J2787">
            <v>-316.08037100000001</v>
          </cell>
        </row>
        <row r="2788">
          <cell r="J2788">
            <v>-315.92326600000001</v>
          </cell>
        </row>
        <row r="2789">
          <cell r="J2789">
            <v>-315.76496200000003</v>
          </cell>
        </row>
        <row r="2790">
          <cell r="J2790">
            <v>-315.60675799999996</v>
          </cell>
        </row>
        <row r="2791">
          <cell r="J2791">
            <v>-315.44935399999997</v>
          </cell>
        </row>
        <row r="2792">
          <cell r="J2792">
            <v>-315.29125099999999</v>
          </cell>
        </row>
        <row r="2793">
          <cell r="J2793">
            <v>-315.13294699999994</v>
          </cell>
        </row>
        <row r="2794">
          <cell r="J2794">
            <v>-314.97574500000002</v>
          </cell>
        </row>
        <row r="2795">
          <cell r="J2795">
            <v>-314.817342</v>
          </cell>
        </row>
        <row r="2796">
          <cell r="J2796">
            <v>-314.65924000000001</v>
          </cell>
        </row>
        <row r="2797">
          <cell r="J2797">
            <v>-314.50203799999997</v>
          </cell>
        </row>
        <row r="2798">
          <cell r="J2798">
            <v>-314.34373699999998</v>
          </cell>
        </row>
        <row r="2799">
          <cell r="J2799">
            <v>-314.18543499999998</v>
          </cell>
        </row>
        <row r="2800">
          <cell r="J2800">
            <v>-314.028234</v>
          </cell>
        </row>
        <row r="2801">
          <cell r="J2801">
            <v>-313.87003399999998</v>
          </cell>
        </row>
        <row r="2802">
          <cell r="J2802">
            <v>-313.71173300000004</v>
          </cell>
        </row>
        <row r="2803">
          <cell r="J2803">
            <v>-313.55443300000002</v>
          </cell>
        </row>
        <row r="2804">
          <cell r="J2804">
            <v>-313.39623400000005</v>
          </cell>
        </row>
        <row r="2805">
          <cell r="J2805">
            <v>-313.23803399999997</v>
          </cell>
        </row>
        <row r="2806">
          <cell r="J2806">
            <v>-313.07973500000003</v>
          </cell>
        </row>
        <row r="2807">
          <cell r="J2807">
            <v>-312.92253600000004</v>
          </cell>
        </row>
        <row r="2808">
          <cell r="J2808">
            <v>-312.76423799999998</v>
          </cell>
        </row>
        <row r="2809">
          <cell r="J2809">
            <v>-312.60593999999998</v>
          </cell>
        </row>
        <row r="2810">
          <cell r="J2810">
            <v>-312.44874199999998</v>
          </cell>
        </row>
        <row r="2811">
          <cell r="J2811">
            <v>-312.29044399999998</v>
          </cell>
        </row>
        <row r="2812">
          <cell r="J2812">
            <v>-312.13224700000001</v>
          </cell>
        </row>
        <row r="2813">
          <cell r="J2813">
            <v>-311.97505000000001</v>
          </cell>
        </row>
        <row r="2814">
          <cell r="J2814">
            <v>-311.81675300000001</v>
          </cell>
        </row>
        <row r="2815">
          <cell r="J2815">
            <v>-311.65855700000003</v>
          </cell>
        </row>
        <row r="2816">
          <cell r="J2816">
            <v>-311.50136099999997</v>
          </cell>
        </row>
        <row r="2817">
          <cell r="J2817">
            <v>-311.34306500000002</v>
          </cell>
        </row>
        <row r="2818">
          <cell r="J2818">
            <v>-311.18466899999999</v>
          </cell>
        </row>
        <row r="2819">
          <cell r="J2819">
            <v>-311.02757400000002</v>
          </cell>
        </row>
        <row r="2820">
          <cell r="J2820">
            <v>-310.86927900000001</v>
          </cell>
        </row>
        <row r="2821">
          <cell r="J2821">
            <v>-310.71108500000003</v>
          </cell>
        </row>
        <row r="2822">
          <cell r="J2822">
            <v>-310.55269100000004</v>
          </cell>
        </row>
        <row r="2823">
          <cell r="J2823">
            <v>-310.39559700000001</v>
          </cell>
        </row>
        <row r="2824">
          <cell r="J2824">
            <v>-310.237303</v>
          </cell>
        </row>
        <row r="2825">
          <cell r="J2825">
            <v>-310.07911000000001</v>
          </cell>
        </row>
        <row r="2826">
          <cell r="J2826">
            <v>-309.921717</v>
          </cell>
        </row>
        <row r="2827">
          <cell r="J2827">
            <v>-309.76352400000002</v>
          </cell>
        </row>
        <row r="2828">
          <cell r="J2828">
            <v>-309.60533199999998</v>
          </cell>
        </row>
        <row r="2829">
          <cell r="J2829">
            <v>-309.44803900000005</v>
          </cell>
        </row>
        <row r="2830">
          <cell r="J2830">
            <v>-309.28974799999997</v>
          </cell>
        </row>
        <row r="2831">
          <cell r="J2831">
            <v>-309.13155600000005</v>
          </cell>
        </row>
        <row r="2832">
          <cell r="J2832">
            <v>-308.97436499999998</v>
          </cell>
        </row>
        <row r="2833">
          <cell r="J2833">
            <v>-308.81607400000001</v>
          </cell>
        </row>
        <row r="2834">
          <cell r="J2834">
            <v>-308.65768299999996</v>
          </cell>
        </row>
        <row r="2835">
          <cell r="J2835">
            <v>-308.499593</v>
          </cell>
        </row>
        <row r="2836">
          <cell r="J2836">
            <v>-308.34230299999996</v>
          </cell>
        </row>
        <row r="2837">
          <cell r="J2837">
            <v>-308.18421300000006</v>
          </cell>
        </row>
        <row r="2838">
          <cell r="J2838">
            <v>-308.025824</v>
          </cell>
        </row>
        <row r="2839">
          <cell r="J2839">
            <v>-307.86873499999996</v>
          </cell>
        </row>
        <row r="2840">
          <cell r="J2840">
            <v>-307.71044599999999</v>
          </cell>
        </row>
        <row r="2841">
          <cell r="J2841">
            <v>-307.55215800000002</v>
          </cell>
        </row>
        <row r="2842">
          <cell r="J2842">
            <v>-307.39497</v>
          </cell>
        </row>
        <row r="2843">
          <cell r="J2843">
            <v>-307.23668199999997</v>
          </cell>
        </row>
        <row r="2844">
          <cell r="J2844">
            <v>-307.07849400000003</v>
          </cell>
        </row>
        <row r="2845">
          <cell r="J2845">
            <v>-306.92120699999992</v>
          </cell>
        </row>
        <row r="2846">
          <cell r="J2846">
            <v>-306.76302000000004</v>
          </cell>
        </row>
        <row r="2847">
          <cell r="J2847">
            <v>-306.60473300000001</v>
          </cell>
        </row>
        <row r="2848">
          <cell r="J2848">
            <v>-306.44744700000001</v>
          </cell>
        </row>
        <row r="2849">
          <cell r="J2849">
            <v>-306.28926100000001</v>
          </cell>
        </row>
        <row r="2850">
          <cell r="J2850">
            <v>-306.13097500000003</v>
          </cell>
        </row>
        <row r="2851">
          <cell r="J2851">
            <v>-305.97279000000003</v>
          </cell>
        </row>
        <row r="2852">
          <cell r="J2852">
            <v>-305.81550499999997</v>
          </cell>
        </row>
        <row r="2853">
          <cell r="J2853">
            <v>-305.65732000000003</v>
          </cell>
        </row>
        <row r="2854">
          <cell r="J2854">
            <v>-305.49903499999999</v>
          </cell>
        </row>
        <row r="2855">
          <cell r="J2855">
            <v>-305.34175099999999</v>
          </cell>
        </row>
        <row r="2856">
          <cell r="J2856">
            <v>-305.18356699999998</v>
          </cell>
        </row>
        <row r="2857">
          <cell r="J2857">
            <v>-305.02528400000006</v>
          </cell>
        </row>
        <row r="2858">
          <cell r="J2858">
            <v>-304.86810000000003</v>
          </cell>
        </row>
        <row r="2859">
          <cell r="J2859">
            <v>-304.70981699999999</v>
          </cell>
        </row>
        <row r="2860">
          <cell r="J2860">
            <v>-304.551535</v>
          </cell>
        </row>
        <row r="2861">
          <cell r="J2861">
            <v>-304.39335199999999</v>
          </cell>
        </row>
        <row r="2862">
          <cell r="J2862">
            <v>-304.23606999999998</v>
          </cell>
        </row>
        <row r="2863">
          <cell r="J2863">
            <v>-304.07788900000003</v>
          </cell>
        </row>
        <row r="2864">
          <cell r="J2864">
            <v>-303.91960699999998</v>
          </cell>
        </row>
        <row r="2865">
          <cell r="J2865">
            <v>-303.762426</v>
          </cell>
        </row>
        <row r="2866">
          <cell r="J2866">
            <v>-303.60414500000002</v>
          </cell>
        </row>
        <row r="2867">
          <cell r="J2867">
            <v>-303.44586500000003</v>
          </cell>
        </row>
        <row r="2868">
          <cell r="J2868">
            <v>-303.28868399999999</v>
          </cell>
        </row>
        <row r="2869">
          <cell r="J2869">
            <v>-303.13050400000003</v>
          </cell>
        </row>
        <row r="2870">
          <cell r="J2870">
            <v>-302.97212500000001</v>
          </cell>
        </row>
        <row r="2871">
          <cell r="J2871">
            <v>-302.81494500000002</v>
          </cell>
        </row>
        <row r="2872">
          <cell r="J2872">
            <v>-302.65666599999997</v>
          </cell>
        </row>
        <row r="2873">
          <cell r="J2873">
            <v>-302.49858799999998</v>
          </cell>
        </row>
        <row r="2874">
          <cell r="J2874">
            <v>-302.34020899999996</v>
          </cell>
        </row>
        <row r="2875">
          <cell r="J2875">
            <v>-302.182931</v>
          </cell>
        </row>
        <row r="2876">
          <cell r="J2876">
            <v>-302.02475300000003</v>
          </cell>
        </row>
        <row r="2877">
          <cell r="J2877">
            <v>-301.86657600000001</v>
          </cell>
        </row>
        <row r="2878">
          <cell r="J2878">
            <v>-301.70929899999999</v>
          </cell>
        </row>
        <row r="2879">
          <cell r="J2879">
            <v>-301.55102199999999</v>
          </cell>
        </row>
        <row r="2880">
          <cell r="J2880">
            <v>-301.39274499999999</v>
          </cell>
        </row>
        <row r="2881">
          <cell r="J2881">
            <v>-301.23566900000003</v>
          </cell>
        </row>
        <row r="2882">
          <cell r="J2882">
            <v>-301.07729299999994</v>
          </cell>
        </row>
        <row r="2883">
          <cell r="J2883">
            <v>-300.91911700000003</v>
          </cell>
        </row>
        <row r="2884">
          <cell r="J2884">
            <v>-300.76094199999994</v>
          </cell>
        </row>
        <row r="2885">
          <cell r="J2885">
            <v>-300.60366699999997</v>
          </cell>
        </row>
        <row r="2886">
          <cell r="J2886">
            <v>-300.44539199999997</v>
          </cell>
        </row>
        <row r="2887">
          <cell r="J2887">
            <v>-300.28711800000002</v>
          </cell>
        </row>
        <row r="2888">
          <cell r="J2888">
            <v>-300.12994400000002</v>
          </cell>
        </row>
        <row r="2889">
          <cell r="J2889">
            <v>-299.97176999999999</v>
          </cell>
        </row>
        <row r="2890">
          <cell r="J2890">
            <v>-299.81339600000001</v>
          </cell>
        </row>
        <row r="2891">
          <cell r="J2891">
            <v>-299.65622299999995</v>
          </cell>
        </row>
        <row r="2892">
          <cell r="J2892">
            <v>-299.49804999999998</v>
          </cell>
        </row>
        <row r="2893">
          <cell r="J2893">
            <v>-299.33977699999997</v>
          </cell>
        </row>
        <row r="2894">
          <cell r="J2894">
            <v>-299.18150500000002</v>
          </cell>
        </row>
        <row r="2895">
          <cell r="J2895">
            <v>-299.02423299999998</v>
          </cell>
        </row>
        <row r="2896">
          <cell r="J2896">
            <v>-298.866061</v>
          </cell>
        </row>
        <row r="2897">
          <cell r="J2897">
            <v>-298.70788999999996</v>
          </cell>
        </row>
        <row r="2898">
          <cell r="J2898">
            <v>-298.55051900000001</v>
          </cell>
        </row>
        <row r="2899">
          <cell r="J2899">
            <v>-298.39234800000003</v>
          </cell>
        </row>
        <row r="2900">
          <cell r="J2900">
            <v>-298.23417799999999</v>
          </cell>
        </row>
        <row r="2901">
          <cell r="J2901">
            <v>-298.07690700000001</v>
          </cell>
        </row>
        <row r="2902">
          <cell r="J2902">
            <v>-297.91863699999999</v>
          </cell>
        </row>
        <row r="2903">
          <cell r="J2903">
            <v>-297.760468</v>
          </cell>
        </row>
        <row r="2904">
          <cell r="J2904">
            <v>-297.60219900000004</v>
          </cell>
        </row>
        <row r="2905">
          <cell r="J2905">
            <v>-297.44503000000003</v>
          </cell>
        </row>
        <row r="2906">
          <cell r="J2906">
            <v>-297.28666099999998</v>
          </cell>
        </row>
        <row r="2907">
          <cell r="J2907">
            <v>-297.12859300000002</v>
          </cell>
        </row>
        <row r="2908">
          <cell r="J2908">
            <v>-296.97132500000004</v>
          </cell>
        </row>
        <row r="2909">
          <cell r="J2909">
            <v>-296.81305699999996</v>
          </cell>
        </row>
        <row r="2910">
          <cell r="J2910">
            <v>-296.65478899999999</v>
          </cell>
        </row>
        <row r="2911">
          <cell r="J2911">
            <v>-296.49762200000004</v>
          </cell>
        </row>
        <row r="2912">
          <cell r="J2912">
            <v>-296.33935500000001</v>
          </cell>
        </row>
        <row r="2913">
          <cell r="J2913">
            <v>-296.18118900000002</v>
          </cell>
        </row>
        <row r="2914">
          <cell r="J2914">
            <v>-296.02282300000002</v>
          </cell>
        </row>
        <row r="2915">
          <cell r="J2915">
            <v>-295.86565700000006</v>
          </cell>
        </row>
        <row r="2916">
          <cell r="J2916">
            <v>-295.707491</v>
          </cell>
        </row>
        <row r="2917">
          <cell r="J2917">
            <v>-295.54922599999998</v>
          </cell>
        </row>
        <row r="2918">
          <cell r="J2918">
            <v>-295.39196099999998</v>
          </cell>
        </row>
        <row r="2919">
          <cell r="J2919">
            <v>-295.23379600000004</v>
          </cell>
        </row>
        <row r="2920">
          <cell r="J2920">
            <v>-295.07553200000001</v>
          </cell>
        </row>
        <row r="2921">
          <cell r="J2921">
            <v>-294.91736800000001</v>
          </cell>
        </row>
        <row r="2922">
          <cell r="J2922">
            <v>-294.76020399999999</v>
          </cell>
        </row>
        <row r="2923">
          <cell r="J2923">
            <v>-294.60174000000001</v>
          </cell>
        </row>
        <row r="2924">
          <cell r="J2924">
            <v>-294.443577</v>
          </cell>
        </row>
        <row r="2925">
          <cell r="J2925">
            <v>-294.286314</v>
          </cell>
        </row>
        <row r="2926">
          <cell r="J2926">
            <v>-294.128152</v>
          </cell>
        </row>
        <row r="2927">
          <cell r="J2927">
            <v>-293.96988900000002</v>
          </cell>
        </row>
        <row r="2928">
          <cell r="J2928">
            <v>-293.81262699999996</v>
          </cell>
        </row>
        <row r="2929">
          <cell r="J2929">
            <v>-293.65436600000004</v>
          </cell>
        </row>
        <row r="2930">
          <cell r="J2930">
            <v>-293.49630400000001</v>
          </cell>
        </row>
        <row r="2931">
          <cell r="J2931">
            <v>-293.337943</v>
          </cell>
        </row>
        <row r="2932">
          <cell r="J2932">
            <v>-293.18068299999999</v>
          </cell>
        </row>
        <row r="2933">
          <cell r="J2933">
            <v>-293.02262199999996</v>
          </cell>
        </row>
        <row r="2934">
          <cell r="J2934">
            <v>-292.86436199999997</v>
          </cell>
        </row>
        <row r="2935">
          <cell r="J2935">
            <v>-292.70700199999999</v>
          </cell>
        </row>
        <row r="2936">
          <cell r="J2936">
            <v>-292.54884299999998</v>
          </cell>
        </row>
        <row r="2937">
          <cell r="J2937">
            <v>-292.39088299999997</v>
          </cell>
        </row>
        <row r="2938">
          <cell r="J2938">
            <v>-292.23292500000002</v>
          </cell>
        </row>
        <row r="2939">
          <cell r="J2939">
            <v>-292.07496600000002</v>
          </cell>
        </row>
        <row r="2940">
          <cell r="J2940">
            <v>-291.91700800000001</v>
          </cell>
        </row>
        <row r="2941">
          <cell r="J2941">
            <v>-291.75914999999998</v>
          </cell>
        </row>
        <row r="2942">
          <cell r="J2942">
            <v>-291.60119200000003</v>
          </cell>
        </row>
        <row r="2943">
          <cell r="J2943">
            <v>-291.44313499999998</v>
          </cell>
        </row>
        <row r="2944">
          <cell r="J2944">
            <v>-291.28527700000006</v>
          </cell>
        </row>
        <row r="2945">
          <cell r="J2945">
            <v>-291.12742099999997</v>
          </cell>
        </row>
        <row r="2946">
          <cell r="J2946">
            <v>-290.96946400000002</v>
          </cell>
        </row>
        <row r="2947">
          <cell r="J2947">
            <v>-290.811308</v>
          </cell>
        </row>
        <row r="2948">
          <cell r="J2948">
            <v>-290.65355199999999</v>
          </cell>
        </row>
        <row r="2949">
          <cell r="J2949">
            <v>-290.49559699999998</v>
          </cell>
        </row>
        <row r="2950">
          <cell r="J2950">
            <v>-290.33764099999996</v>
          </cell>
        </row>
        <row r="2951">
          <cell r="J2951">
            <v>-290.179686</v>
          </cell>
        </row>
        <row r="2952">
          <cell r="J2952">
            <v>-290.02183199999996</v>
          </cell>
        </row>
        <row r="2953">
          <cell r="J2953">
            <v>-289.86377700000003</v>
          </cell>
        </row>
        <row r="2954">
          <cell r="J2954">
            <v>-289.70592299999998</v>
          </cell>
        </row>
        <row r="2955">
          <cell r="J2955">
            <v>-289.54786999999999</v>
          </cell>
        </row>
        <row r="2956">
          <cell r="J2956">
            <v>-289.39001599999995</v>
          </cell>
        </row>
        <row r="2957">
          <cell r="J2957">
            <v>-289.23216300000001</v>
          </cell>
        </row>
        <row r="2958">
          <cell r="J2958">
            <v>-289.07420999999999</v>
          </cell>
        </row>
        <row r="2959">
          <cell r="J2959">
            <v>-288.916358</v>
          </cell>
        </row>
        <row r="2960">
          <cell r="J2960">
            <v>-288.75840499999998</v>
          </cell>
        </row>
        <row r="2961">
          <cell r="J2961">
            <v>-288.60045400000001</v>
          </cell>
        </row>
        <row r="2962">
          <cell r="J2962">
            <v>-288.44250199999999</v>
          </cell>
        </row>
        <row r="2963">
          <cell r="J2963">
            <v>-288.28465100000005</v>
          </cell>
        </row>
        <row r="2964">
          <cell r="J2964">
            <v>-288.12649999999996</v>
          </cell>
        </row>
        <row r="2965">
          <cell r="J2965">
            <v>-287.968549</v>
          </cell>
        </row>
        <row r="2966">
          <cell r="J2966">
            <v>-287.81059899999997</v>
          </cell>
        </row>
        <row r="2967">
          <cell r="J2967">
            <v>-287.652849</v>
          </cell>
        </row>
        <row r="2968">
          <cell r="J2968">
            <v>-287.494799</v>
          </cell>
        </row>
        <row r="2969">
          <cell r="J2969">
            <v>-287.33684899999997</v>
          </cell>
        </row>
        <row r="2970">
          <cell r="J2970">
            <v>-287.17910000000001</v>
          </cell>
        </row>
        <row r="2971">
          <cell r="J2971">
            <v>-287.021051</v>
          </cell>
        </row>
        <row r="2972">
          <cell r="J2972">
            <v>-286.86300299999999</v>
          </cell>
        </row>
        <row r="2973">
          <cell r="J2973">
            <v>-286.70515399999999</v>
          </cell>
        </row>
        <row r="2974">
          <cell r="J2974">
            <v>-286.54730699999999</v>
          </cell>
        </row>
        <row r="2975">
          <cell r="J2975">
            <v>-286.38935900000001</v>
          </cell>
        </row>
        <row r="2976">
          <cell r="J2976">
            <v>-286.23141199999998</v>
          </cell>
        </row>
        <row r="2977">
          <cell r="J2977">
            <v>-286.073465</v>
          </cell>
        </row>
        <row r="2978">
          <cell r="J2978">
            <v>-285.91551800000002</v>
          </cell>
        </row>
        <row r="2979">
          <cell r="J2979">
            <v>-285.75747100000001</v>
          </cell>
        </row>
        <row r="2980">
          <cell r="J2980">
            <v>-285.599625</v>
          </cell>
        </row>
        <row r="2981">
          <cell r="J2981">
            <v>-285.44167899999997</v>
          </cell>
        </row>
        <row r="2982">
          <cell r="J2982">
            <v>-285.28373400000004</v>
          </cell>
        </row>
        <row r="2983">
          <cell r="J2983">
            <v>-285.12588899999997</v>
          </cell>
        </row>
        <row r="2984">
          <cell r="J2984">
            <v>-284.96794399999999</v>
          </cell>
        </row>
        <row r="2985">
          <cell r="J2985">
            <v>-284.80989900000003</v>
          </cell>
        </row>
        <row r="2986">
          <cell r="J2986">
            <v>-284.65195499999999</v>
          </cell>
        </row>
        <row r="2987">
          <cell r="J2987">
            <v>-284.49411100000003</v>
          </cell>
        </row>
        <row r="2988">
          <cell r="J2988">
            <v>-284.33616700000005</v>
          </cell>
        </row>
        <row r="2989">
          <cell r="J2989">
            <v>-284.178224</v>
          </cell>
        </row>
        <row r="2990">
          <cell r="J2990">
            <v>-284.02038099999999</v>
          </cell>
        </row>
        <row r="2991">
          <cell r="J2991">
            <v>-283.86233800000002</v>
          </cell>
        </row>
        <row r="2992">
          <cell r="J2992">
            <v>-283.70439599999997</v>
          </cell>
        </row>
        <row r="2993">
          <cell r="J2993">
            <v>-283.54635300000001</v>
          </cell>
        </row>
        <row r="2994">
          <cell r="J2994">
            <v>-283.38851199999999</v>
          </cell>
        </row>
        <row r="2995">
          <cell r="J2995">
            <v>-283.23057</v>
          </cell>
        </row>
        <row r="2996">
          <cell r="J2996">
            <v>-283.07272899999998</v>
          </cell>
        </row>
        <row r="2997">
          <cell r="J2997">
            <v>-282.91478800000004</v>
          </cell>
        </row>
        <row r="2998">
          <cell r="J2998">
            <v>-282.75674700000002</v>
          </cell>
        </row>
        <row r="2999">
          <cell r="J2999">
            <v>-282.598907</v>
          </cell>
        </row>
        <row r="3000">
          <cell r="J3000">
            <v>-282.440967</v>
          </cell>
        </row>
        <row r="3001">
          <cell r="J3001">
            <v>-282.28312699999998</v>
          </cell>
        </row>
        <row r="3002">
          <cell r="J3002">
            <v>-282.12498799999997</v>
          </cell>
        </row>
        <row r="3003">
          <cell r="J3003">
            <v>-281.96704900000003</v>
          </cell>
        </row>
        <row r="3004">
          <cell r="J3004">
            <v>-281.80921000000001</v>
          </cell>
        </row>
        <row r="3005">
          <cell r="J3005">
            <v>-281.65127100000007</v>
          </cell>
        </row>
        <row r="3006">
          <cell r="J3006">
            <v>-281.49323299999998</v>
          </cell>
        </row>
        <row r="3007">
          <cell r="J3007">
            <v>-281.33539500000006</v>
          </cell>
        </row>
        <row r="3008">
          <cell r="J3008">
            <v>-281.17755799999998</v>
          </cell>
        </row>
        <row r="3009">
          <cell r="J3009">
            <v>-281.01952</v>
          </cell>
        </row>
        <row r="3010">
          <cell r="J3010">
            <v>-280.861583</v>
          </cell>
        </row>
        <row r="3011">
          <cell r="J3011">
            <v>-280.70364699999999</v>
          </cell>
        </row>
        <row r="3012">
          <cell r="J3012">
            <v>-280.54581000000002</v>
          </cell>
        </row>
        <row r="3013">
          <cell r="J3013">
            <v>-280.38777399999998</v>
          </cell>
        </row>
        <row r="3014">
          <cell r="J3014">
            <v>-280.229739</v>
          </cell>
        </row>
        <row r="3015">
          <cell r="J3015">
            <v>-280.07190300000002</v>
          </cell>
        </row>
        <row r="3016">
          <cell r="J3016">
            <v>-279.91396800000001</v>
          </cell>
        </row>
        <row r="3017">
          <cell r="J3017">
            <v>-279.75603299999995</v>
          </cell>
        </row>
        <row r="3018">
          <cell r="J3018">
            <v>-279.59819900000002</v>
          </cell>
        </row>
        <row r="3019">
          <cell r="J3019">
            <v>-279.44016399999998</v>
          </cell>
        </row>
        <row r="3020">
          <cell r="J3020">
            <v>-279.28223000000003</v>
          </cell>
        </row>
        <row r="3021">
          <cell r="J3021">
            <v>-279.12439699999999</v>
          </cell>
        </row>
        <row r="3022">
          <cell r="J3022">
            <v>-278.96636400000006</v>
          </cell>
        </row>
        <row r="3023">
          <cell r="J3023">
            <v>-278.80843099999998</v>
          </cell>
        </row>
        <row r="3024">
          <cell r="J3024">
            <v>-278.65039800000005</v>
          </cell>
        </row>
        <row r="3025">
          <cell r="J3025">
            <v>-278.49256500000001</v>
          </cell>
        </row>
        <row r="3026">
          <cell r="J3026">
            <v>-278.334633</v>
          </cell>
        </row>
        <row r="3027">
          <cell r="J3027">
            <v>-278.17670199999998</v>
          </cell>
        </row>
        <row r="3028">
          <cell r="J3028">
            <v>-278.01877000000002</v>
          </cell>
        </row>
        <row r="3029">
          <cell r="J3029">
            <v>-277.860839</v>
          </cell>
        </row>
        <row r="3030">
          <cell r="J3030">
            <v>-277.70290800000004</v>
          </cell>
        </row>
        <row r="3031">
          <cell r="J3031">
            <v>-277.54487699999999</v>
          </cell>
        </row>
        <row r="3032">
          <cell r="J3032">
            <v>-277.387047</v>
          </cell>
        </row>
        <row r="3033">
          <cell r="J3033">
            <v>-277.229017</v>
          </cell>
        </row>
        <row r="3034">
          <cell r="J3034">
            <v>-277.07108800000003</v>
          </cell>
        </row>
        <row r="3035">
          <cell r="J3035">
            <v>-276.91335800000002</v>
          </cell>
        </row>
        <row r="3036">
          <cell r="J3036">
            <v>-276.75532899999996</v>
          </cell>
        </row>
        <row r="3037">
          <cell r="J3037">
            <v>-276.59730000000002</v>
          </cell>
        </row>
        <row r="3038">
          <cell r="J3038">
            <v>-276.43937199999999</v>
          </cell>
        </row>
        <row r="3039">
          <cell r="J3039">
            <v>-276.28164400000003</v>
          </cell>
        </row>
        <row r="3040">
          <cell r="J3040">
            <v>-276.123516</v>
          </cell>
        </row>
        <row r="3041">
          <cell r="J3041">
            <v>-275.96548799999999</v>
          </cell>
        </row>
        <row r="3042">
          <cell r="J3042">
            <v>-275.80756099999996</v>
          </cell>
        </row>
        <row r="3043">
          <cell r="J3043">
            <v>-275.64983399999994</v>
          </cell>
        </row>
        <row r="3044">
          <cell r="J3044">
            <v>-275.49180799999999</v>
          </cell>
        </row>
        <row r="3045">
          <cell r="J3045">
            <v>-275.33388099999996</v>
          </cell>
        </row>
        <row r="3046">
          <cell r="J3046">
            <v>-275.17595499999999</v>
          </cell>
        </row>
        <row r="3047">
          <cell r="J3047">
            <v>-275.01812999999999</v>
          </cell>
        </row>
        <row r="3048">
          <cell r="J3048">
            <v>-274.86010399999998</v>
          </cell>
        </row>
        <row r="3049">
          <cell r="J3049">
            <v>-274.70207900000003</v>
          </cell>
        </row>
        <row r="3050">
          <cell r="J3050">
            <v>-274.54415399999999</v>
          </cell>
        </row>
        <row r="3051">
          <cell r="J3051">
            <v>-274.38632999999999</v>
          </cell>
        </row>
        <row r="3052">
          <cell r="J3052">
            <v>-274.22840600000001</v>
          </cell>
        </row>
        <row r="3053">
          <cell r="J3053">
            <v>-274.070382</v>
          </cell>
        </row>
        <row r="3054">
          <cell r="J3054">
            <v>-273.91245799999996</v>
          </cell>
        </row>
        <row r="3055">
          <cell r="J3055">
            <v>-273.754435</v>
          </cell>
        </row>
        <row r="3056">
          <cell r="J3056">
            <v>-273.59661199999999</v>
          </cell>
        </row>
        <row r="3057">
          <cell r="J3057">
            <v>-273.43858899999998</v>
          </cell>
        </row>
        <row r="3058">
          <cell r="J3058">
            <v>-273.28066699999999</v>
          </cell>
        </row>
        <row r="3059">
          <cell r="J3059">
            <v>-273.12274500000001</v>
          </cell>
        </row>
        <row r="3060">
          <cell r="J3060">
            <v>-272.96502300000003</v>
          </cell>
        </row>
        <row r="3061">
          <cell r="J3061">
            <v>-272.80700199999995</v>
          </cell>
        </row>
        <row r="3062">
          <cell r="J3062">
            <v>-272.64888099999996</v>
          </cell>
        </row>
        <row r="3063">
          <cell r="J3063">
            <v>-272.49095999999997</v>
          </cell>
        </row>
        <row r="3064">
          <cell r="J3064">
            <v>-272.33313999999996</v>
          </cell>
        </row>
        <row r="3065">
          <cell r="J3065">
            <v>-272.17521899999997</v>
          </cell>
        </row>
        <row r="3066">
          <cell r="J3066">
            <v>-272.01719900000001</v>
          </cell>
        </row>
        <row r="3067">
          <cell r="J3067">
            <v>-271.85928000000001</v>
          </cell>
        </row>
        <row r="3068">
          <cell r="J3068">
            <v>-271.70136000000002</v>
          </cell>
        </row>
        <row r="3069">
          <cell r="J3069">
            <v>-271.543542</v>
          </cell>
        </row>
        <row r="3070">
          <cell r="J3070">
            <v>-271.38542299999995</v>
          </cell>
        </row>
        <row r="3071">
          <cell r="J3071">
            <v>-271.22760399999999</v>
          </cell>
        </row>
        <row r="3072">
          <cell r="J3072">
            <v>-271.06958599999996</v>
          </cell>
        </row>
        <row r="3073">
          <cell r="J3073">
            <v>-270.91166900000002</v>
          </cell>
        </row>
        <row r="3074">
          <cell r="J3074">
            <v>-270.753851</v>
          </cell>
        </row>
        <row r="3075">
          <cell r="J3075">
            <v>-270.59583400000002</v>
          </cell>
        </row>
        <row r="3076">
          <cell r="J3076">
            <v>-270.437817</v>
          </cell>
        </row>
        <row r="3077">
          <cell r="J3077">
            <v>-270.279901</v>
          </cell>
        </row>
        <row r="3078">
          <cell r="J3078">
            <v>-270.121984</v>
          </cell>
        </row>
        <row r="3079">
          <cell r="J3079">
            <v>-269.964068</v>
          </cell>
        </row>
        <row r="3080">
          <cell r="J3080">
            <v>-269.80615299999999</v>
          </cell>
        </row>
        <row r="3081">
          <cell r="J3081">
            <v>-269.64823699999999</v>
          </cell>
        </row>
        <row r="3082">
          <cell r="J3082">
            <v>-269.49032199999999</v>
          </cell>
        </row>
        <row r="3083">
          <cell r="J3083">
            <v>-269.33220799999998</v>
          </cell>
        </row>
        <row r="3084">
          <cell r="J3084">
            <v>-269.17439300000001</v>
          </cell>
        </row>
        <row r="3085">
          <cell r="J3085">
            <v>-269.016479</v>
          </cell>
        </row>
        <row r="3086">
          <cell r="J3086">
            <v>-268.858565</v>
          </cell>
        </row>
        <row r="3087">
          <cell r="J3087">
            <v>-268.70065199999999</v>
          </cell>
        </row>
        <row r="3088">
          <cell r="J3088">
            <v>-268.54253900000003</v>
          </cell>
        </row>
        <row r="3089">
          <cell r="J3089">
            <v>-268.384726</v>
          </cell>
        </row>
        <row r="3090">
          <cell r="J3090">
            <v>-268.22681299999999</v>
          </cell>
        </row>
        <row r="3091">
          <cell r="J3091">
            <v>-268.06880099999995</v>
          </cell>
        </row>
        <row r="3092">
          <cell r="J3092">
            <v>-267.910889</v>
          </cell>
        </row>
        <row r="3093">
          <cell r="J3093">
            <v>-267.75297699999999</v>
          </cell>
        </row>
        <row r="3094">
          <cell r="J3094">
            <v>-267.59506600000003</v>
          </cell>
        </row>
        <row r="3095">
          <cell r="J3095">
            <v>-267.43705499999999</v>
          </cell>
        </row>
        <row r="3096">
          <cell r="J3096">
            <v>-267.27924399999995</v>
          </cell>
        </row>
        <row r="3097">
          <cell r="J3097">
            <v>-267.12113399999998</v>
          </cell>
        </row>
        <row r="3098">
          <cell r="J3098">
            <v>-266.96322299999997</v>
          </cell>
        </row>
        <row r="3099">
          <cell r="J3099">
            <v>-266.80551400000002</v>
          </cell>
        </row>
        <row r="3100">
          <cell r="J3100">
            <v>-266.64750400000003</v>
          </cell>
        </row>
        <row r="3101">
          <cell r="J3101">
            <v>-266.489395</v>
          </cell>
        </row>
        <row r="3102">
          <cell r="J3102">
            <v>-266.33148599999998</v>
          </cell>
        </row>
        <row r="3103">
          <cell r="J3103">
            <v>-266.17357700000002</v>
          </cell>
        </row>
        <row r="3104">
          <cell r="J3104">
            <v>-266.01576899999998</v>
          </cell>
        </row>
        <row r="3105">
          <cell r="J3105">
            <v>-265.85776099999998</v>
          </cell>
        </row>
        <row r="3106">
          <cell r="J3106">
            <v>-265.69985300000002</v>
          </cell>
        </row>
        <row r="3107">
          <cell r="J3107">
            <v>-265.54184599999996</v>
          </cell>
        </row>
        <row r="3108">
          <cell r="J3108">
            <v>-265.383939</v>
          </cell>
        </row>
        <row r="3109">
          <cell r="J3109">
            <v>-265.225932</v>
          </cell>
        </row>
        <row r="3110">
          <cell r="J3110">
            <v>-265.06812500000001</v>
          </cell>
        </row>
        <row r="3111">
          <cell r="J3111">
            <v>-264.91021900000004</v>
          </cell>
        </row>
        <row r="3112">
          <cell r="J3112">
            <v>-264.75221299999998</v>
          </cell>
        </row>
        <row r="3113">
          <cell r="J3113">
            <v>-264.59430800000001</v>
          </cell>
        </row>
        <row r="3114">
          <cell r="J3114">
            <v>-264.43630300000001</v>
          </cell>
        </row>
        <row r="3115">
          <cell r="J3115">
            <v>-264.27839800000004</v>
          </cell>
        </row>
        <row r="3116">
          <cell r="J3116">
            <v>-264.12049300000001</v>
          </cell>
        </row>
        <row r="3117">
          <cell r="J3117">
            <v>-263.96268900000001</v>
          </cell>
        </row>
        <row r="3118">
          <cell r="J3118">
            <v>-263.80458499999997</v>
          </cell>
        </row>
        <row r="3119">
          <cell r="J3119">
            <v>-263.64658099999997</v>
          </cell>
        </row>
        <row r="3120">
          <cell r="J3120">
            <v>-263.488677</v>
          </cell>
        </row>
        <row r="3121">
          <cell r="J3121">
            <v>-263.33087399999999</v>
          </cell>
        </row>
        <row r="3122">
          <cell r="J3122">
            <v>-263.17297100000002</v>
          </cell>
        </row>
        <row r="3123">
          <cell r="J3123">
            <v>-263.01486899999998</v>
          </cell>
        </row>
        <row r="3124">
          <cell r="J3124">
            <v>-262.856967</v>
          </cell>
        </row>
        <row r="3125">
          <cell r="J3125">
            <v>-262.69906500000002</v>
          </cell>
        </row>
        <row r="3126">
          <cell r="J3126">
            <v>-262.54106300000001</v>
          </cell>
        </row>
        <row r="3127">
          <cell r="J3127">
            <v>-262.38336199999998</v>
          </cell>
        </row>
        <row r="3128">
          <cell r="J3128">
            <v>-262.22526099999999</v>
          </cell>
        </row>
        <row r="3129">
          <cell r="J3129">
            <v>-262.06725999999998</v>
          </cell>
        </row>
        <row r="3130">
          <cell r="J3130">
            <v>-261.90935999999999</v>
          </cell>
        </row>
        <row r="3131">
          <cell r="J3131">
            <v>-261.75146000000001</v>
          </cell>
        </row>
        <row r="3132">
          <cell r="J3132">
            <v>-261.59345999999999</v>
          </cell>
        </row>
        <row r="3133">
          <cell r="J3133">
            <v>-261.43546000000003</v>
          </cell>
        </row>
        <row r="3134">
          <cell r="J3134">
            <v>-261.27766100000002</v>
          </cell>
        </row>
        <row r="3135">
          <cell r="J3135">
            <v>-261.11976199999998</v>
          </cell>
        </row>
        <row r="3136">
          <cell r="J3136">
            <v>-260.96176399999996</v>
          </cell>
        </row>
        <row r="3137">
          <cell r="J3137">
            <v>-260.80386600000003</v>
          </cell>
        </row>
        <row r="3138">
          <cell r="J3138">
            <v>-260.64596799999998</v>
          </cell>
        </row>
        <row r="3139">
          <cell r="J3139">
            <v>-260.48786999999999</v>
          </cell>
        </row>
        <row r="3140">
          <cell r="J3140">
            <v>-260.33007299999997</v>
          </cell>
        </row>
        <row r="3141">
          <cell r="J3141">
            <v>-260.172076</v>
          </cell>
        </row>
        <row r="3142">
          <cell r="J3142">
            <v>-260.01417900000001</v>
          </cell>
        </row>
        <row r="3143">
          <cell r="J3143">
            <v>-259.85628200000002</v>
          </cell>
        </row>
        <row r="3144">
          <cell r="J3144">
            <v>-259.69828599999994</v>
          </cell>
        </row>
        <row r="3145">
          <cell r="J3145">
            <v>-259.540391</v>
          </cell>
        </row>
        <row r="3146">
          <cell r="J3146">
            <v>-259.382295</v>
          </cell>
        </row>
        <row r="3147">
          <cell r="J3147">
            <v>-259.22449999999998</v>
          </cell>
        </row>
        <row r="3148">
          <cell r="J3148">
            <v>-259.06660499999998</v>
          </cell>
        </row>
        <row r="3149">
          <cell r="J3149">
            <v>-258.90861000000001</v>
          </cell>
        </row>
        <row r="3150">
          <cell r="J3150">
            <v>-258.75061600000004</v>
          </cell>
        </row>
        <row r="3151">
          <cell r="J3151">
            <v>-258.59272199999998</v>
          </cell>
        </row>
        <row r="3152">
          <cell r="J3152">
            <v>-258.43482800000004</v>
          </cell>
        </row>
        <row r="3153">
          <cell r="J3153">
            <v>-258.27683500000001</v>
          </cell>
        </row>
        <row r="3154">
          <cell r="J3154">
            <v>-258.11894199999995</v>
          </cell>
        </row>
        <row r="3155">
          <cell r="J3155">
            <v>-257.961049</v>
          </cell>
        </row>
        <row r="3156">
          <cell r="J3156">
            <v>-257.80305699999997</v>
          </cell>
        </row>
        <row r="3157">
          <cell r="J3157">
            <v>-257.64516500000002</v>
          </cell>
        </row>
        <row r="3158">
          <cell r="J3158">
            <v>-257.48727300000002</v>
          </cell>
        </row>
        <row r="3159">
          <cell r="J3159">
            <v>-257.32918100000001</v>
          </cell>
        </row>
        <row r="3160">
          <cell r="J3160">
            <v>-257.17119000000002</v>
          </cell>
        </row>
        <row r="3161">
          <cell r="J3161">
            <v>-257.01339899999999</v>
          </cell>
        </row>
        <row r="3162">
          <cell r="J3162">
            <v>-256.85560800000002</v>
          </cell>
        </row>
        <row r="3163">
          <cell r="J3163">
            <v>-256.69761800000003</v>
          </cell>
        </row>
        <row r="3164">
          <cell r="J3164">
            <v>-256.53952800000002</v>
          </cell>
        </row>
        <row r="3165">
          <cell r="J3165">
            <v>-256.38163800000001</v>
          </cell>
        </row>
        <row r="3166">
          <cell r="J3166">
            <v>-256.223749</v>
          </cell>
        </row>
        <row r="3167">
          <cell r="J3167">
            <v>-256.06575999999995</v>
          </cell>
        </row>
        <row r="3168">
          <cell r="J3168">
            <v>-255.907771</v>
          </cell>
        </row>
        <row r="3169">
          <cell r="J3169">
            <v>-255.74988300000001</v>
          </cell>
        </row>
        <row r="3170">
          <cell r="J3170">
            <v>-255.591994</v>
          </cell>
        </row>
        <row r="3171">
          <cell r="J3171">
            <v>-255.43410599999999</v>
          </cell>
        </row>
        <row r="3172">
          <cell r="J3172">
            <v>-255.27621899999997</v>
          </cell>
        </row>
        <row r="3173">
          <cell r="J3173">
            <v>-255.118132</v>
          </cell>
        </row>
        <row r="3174">
          <cell r="J3174">
            <v>-254.96014499999998</v>
          </cell>
        </row>
        <row r="3175">
          <cell r="J3175">
            <v>-254.802358</v>
          </cell>
        </row>
        <row r="3176">
          <cell r="J3176">
            <v>-254.644372</v>
          </cell>
        </row>
        <row r="3177">
          <cell r="J3177">
            <v>-254.48638600000001</v>
          </cell>
        </row>
        <row r="3178">
          <cell r="J3178">
            <v>-254.32839999999999</v>
          </cell>
        </row>
        <row r="3179">
          <cell r="J3179">
            <v>-254.170614</v>
          </cell>
        </row>
        <row r="3180">
          <cell r="J3180">
            <v>-254.01262899999998</v>
          </cell>
        </row>
        <row r="3181">
          <cell r="J3181">
            <v>-253.85464400000001</v>
          </cell>
        </row>
        <row r="3182">
          <cell r="J3182">
            <v>-253.69666000000001</v>
          </cell>
        </row>
        <row r="3183">
          <cell r="J3183">
            <v>-253.53877600000001</v>
          </cell>
        </row>
        <row r="3184">
          <cell r="J3184">
            <v>-253.38089200000002</v>
          </cell>
        </row>
        <row r="3185">
          <cell r="J3185">
            <v>-253.22300799999996</v>
          </cell>
        </row>
        <row r="3186">
          <cell r="J3186">
            <v>-253.06512499999999</v>
          </cell>
        </row>
        <row r="3187">
          <cell r="J3187">
            <v>-252.90704199999999</v>
          </cell>
        </row>
        <row r="3188">
          <cell r="J3188">
            <v>-252.74915900000002</v>
          </cell>
        </row>
        <row r="3189">
          <cell r="J3189">
            <v>-252.59127700000005</v>
          </cell>
        </row>
        <row r="3190">
          <cell r="J3190">
            <v>-252.43329500000004</v>
          </cell>
        </row>
        <row r="3191">
          <cell r="J3191">
            <v>-252.27521300000001</v>
          </cell>
        </row>
        <row r="3192">
          <cell r="J3192">
            <v>-252.11743099999998</v>
          </cell>
        </row>
        <row r="3193">
          <cell r="J3193">
            <v>-251.95945</v>
          </cell>
        </row>
        <row r="3194">
          <cell r="J3194">
            <v>-251.801469</v>
          </cell>
        </row>
        <row r="3195">
          <cell r="J3195">
            <v>-251.64348899999999</v>
          </cell>
        </row>
        <row r="3196">
          <cell r="J3196">
            <v>-251.48570900000001</v>
          </cell>
        </row>
        <row r="3197">
          <cell r="J3197">
            <v>-251.32772900000003</v>
          </cell>
        </row>
        <row r="3198">
          <cell r="J3198">
            <v>-251.169749</v>
          </cell>
        </row>
        <row r="3199">
          <cell r="J3199">
            <v>-251.01186999999999</v>
          </cell>
        </row>
        <row r="3200">
          <cell r="J3200">
            <v>-250.85389099999998</v>
          </cell>
        </row>
        <row r="3201">
          <cell r="J3201">
            <v>-250.69591199999999</v>
          </cell>
        </row>
        <row r="3202">
          <cell r="J3202">
            <v>-250.53803300000001</v>
          </cell>
        </row>
        <row r="3203">
          <cell r="J3203">
            <v>-250.380055</v>
          </cell>
        </row>
        <row r="3204">
          <cell r="J3204">
            <v>-250.22217700000002</v>
          </cell>
        </row>
        <row r="3205">
          <cell r="J3205">
            <v>-250.06410000000002</v>
          </cell>
        </row>
        <row r="3206">
          <cell r="J3206">
            <v>-249.90632299999999</v>
          </cell>
        </row>
        <row r="3207">
          <cell r="J3207">
            <v>-249.748346</v>
          </cell>
        </row>
        <row r="3208">
          <cell r="J3208">
            <v>-249.59046899999998</v>
          </cell>
        </row>
        <row r="3209">
          <cell r="J3209">
            <v>-249.432593</v>
          </cell>
        </row>
        <row r="3210">
          <cell r="J3210">
            <v>-249.274517</v>
          </cell>
        </row>
        <row r="3211">
          <cell r="J3211">
            <v>-249.11654100000004</v>
          </cell>
        </row>
        <row r="3212">
          <cell r="J3212">
            <v>-248.958766</v>
          </cell>
        </row>
        <row r="3213">
          <cell r="J3213">
            <v>-248.80079099999998</v>
          </cell>
        </row>
        <row r="3214">
          <cell r="J3214">
            <v>-248.64271599999998</v>
          </cell>
        </row>
        <row r="3215">
          <cell r="J3215">
            <v>-248.48474200000001</v>
          </cell>
        </row>
        <row r="3216">
          <cell r="J3216">
            <v>-248.326967</v>
          </cell>
        </row>
        <row r="3217">
          <cell r="J3217">
            <v>-248.16899400000003</v>
          </cell>
        </row>
        <row r="3218">
          <cell r="J3218">
            <v>-248.01112000000001</v>
          </cell>
        </row>
        <row r="3219">
          <cell r="J3219">
            <v>-247.85314700000004</v>
          </cell>
        </row>
        <row r="3220">
          <cell r="J3220">
            <v>-247.69517400000001</v>
          </cell>
        </row>
        <row r="3221">
          <cell r="J3221">
            <v>-247.53730100000001</v>
          </cell>
        </row>
        <row r="3222">
          <cell r="J3222">
            <v>-247.37922899999998</v>
          </cell>
        </row>
        <row r="3223">
          <cell r="J3223">
            <v>-247.22145700000002</v>
          </cell>
        </row>
        <row r="3224">
          <cell r="J3224">
            <v>-247.06338500000001</v>
          </cell>
        </row>
        <row r="3225">
          <cell r="J3225">
            <v>-246.90551400000001</v>
          </cell>
        </row>
        <row r="3226">
          <cell r="J3226">
            <v>-246.74754300000004</v>
          </cell>
        </row>
        <row r="3227">
          <cell r="J3227">
            <v>-246.58967200000001</v>
          </cell>
        </row>
        <row r="3228">
          <cell r="J3228">
            <v>-246.431601</v>
          </cell>
        </row>
        <row r="3229">
          <cell r="J3229">
            <v>-246.27383100000003</v>
          </cell>
        </row>
        <row r="3230">
          <cell r="J3230">
            <v>-246.11576100000002</v>
          </cell>
        </row>
        <row r="3231">
          <cell r="J3231">
            <v>-245.95789200000002</v>
          </cell>
        </row>
        <row r="3232">
          <cell r="J3232">
            <v>-245.80002199999998</v>
          </cell>
        </row>
        <row r="3233">
          <cell r="J3233">
            <v>-245.641953</v>
          </cell>
        </row>
        <row r="3234">
          <cell r="J3234">
            <v>-245.48408499999999</v>
          </cell>
        </row>
        <row r="3235">
          <cell r="J3235">
            <v>-245.32611600000001</v>
          </cell>
        </row>
        <row r="3236">
          <cell r="J3236">
            <v>-245.16834800000001</v>
          </cell>
        </row>
        <row r="3237">
          <cell r="J3237">
            <v>-245.01028099999999</v>
          </cell>
        </row>
        <row r="3238">
          <cell r="J3238">
            <v>-244.85231300000001</v>
          </cell>
        </row>
        <row r="3239">
          <cell r="J3239">
            <v>-244.69444600000003</v>
          </cell>
        </row>
        <row r="3240">
          <cell r="J3240">
            <v>-244.53657899999996</v>
          </cell>
        </row>
        <row r="3241">
          <cell r="J3241">
            <v>-244.378513</v>
          </cell>
        </row>
        <row r="3242">
          <cell r="J3242">
            <v>-244.22044600000004</v>
          </cell>
        </row>
        <row r="3243">
          <cell r="J3243">
            <v>-244.06268099999997</v>
          </cell>
        </row>
        <row r="3244">
          <cell r="J3244">
            <v>-243.90461499999998</v>
          </cell>
        </row>
        <row r="3245">
          <cell r="J3245">
            <v>-243.74674999999999</v>
          </cell>
        </row>
        <row r="3246">
          <cell r="J3246">
            <v>-243.58888499999998</v>
          </cell>
        </row>
        <row r="3247">
          <cell r="J3247">
            <v>-243.43091999999999</v>
          </cell>
        </row>
        <row r="3248">
          <cell r="J3248">
            <v>-243.27285600000002</v>
          </cell>
        </row>
        <row r="3249">
          <cell r="J3249">
            <v>-243.11509100000001</v>
          </cell>
        </row>
        <row r="3250">
          <cell r="J3250">
            <v>-242.95722799999999</v>
          </cell>
        </row>
        <row r="3251">
          <cell r="J3251">
            <v>-242.79916400000002</v>
          </cell>
        </row>
        <row r="3252">
          <cell r="J3252">
            <v>-242.64120099999997</v>
          </cell>
        </row>
        <row r="3253">
          <cell r="J3253">
            <v>-242.483338</v>
          </cell>
        </row>
        <row r="3254">
          <cell r="J3254">
            <v>-242.32547600000001</v>
          </cell>
        </row>
        <row r="3255">
          <cell r="J3255">
            <v>-242.16741300000001</v>
          </cell>
        </row>
        <row r="3256">
          <cell r="J3256">
            <v>-242.00955100000002</v>
          </cell>
        </row>
        <row r="3257">
          <cell r="J3257">
            <v>-241.85159000000002</v>
          </cell>
        </row>
        <row r="3258">
          <cell r="J3258">
            <v>-241.69352799999999</v>
          </cell>
        </row>
        <row r="3259">
          <cell r="J3259">
            <v>-241.53576699999999</v>
          </cell>
        </row>
        <row r="3260">
          <cell r="J3260">
            <v>-241.37780700000002</v>
          </cell>
        </row>
        <row r="3261">
          <cell r="J3261">
            <v>-241.21974599999999</v>
          </cell>
        </row>
        <row r="3262">
          <cell r="J3262">
            <v>-241.06178599999998</v>
          </cell>
        </row>
        <row r="3263">
          <cell r="J3263">
            <v>-240.90392600000001</v>
          </cell>
        </row>
        <row r="3264">
          <cell r="J3264">
            <v>-240.74606699999998</v>
          </cell>
        </row>
        <row r="3265">
          <cell r="J3265">
            <v>-240.588008</v>
          </cell>
        </row>
        <row r="3266">
          <cell r="J3266">
            <v>-240.430049</v>
          </cell>
        </row>
        <row r="3267">
          <cell r="J3267">
            <v>-240.27218999999999</v>
          </cell>
        </row>
        <row r="3268">
          <cell r="J3268">
            <v>-240.11423200000002</v>
          </cell>
        </row>
        <row r="3269">
          <cell r="J3269">
            <v>-239.95637399999998</v>
          </cell>
        </row>
        <row r="3270">
          <cell r="J3270">
            <v>-239.798416</v>
          </cell>
        </row>
        <row r="3271">
          <cell r="J3271">
            <v>-239.64035899999999</v>
          </cell>
        </row>
        <row r="3272">
          <cell r="J3272">
            <v>-239.48250200000001</v>
          </cell>
        </row>
        <row r="3273">
          <cell r="J3273">
            <v>-239.324545</v>
          </cell>
        </row>
        <row r="3274">
          <cell r="J3274">
            <v>-239.16668800000002</v>
          </cell>
        </row>
        <row r="3275">
          <cell r="J3275">
            <v>-239.00873200000001</v>
          </cell>
        </row>
        <row r="3276">
          <cell r="J3276">
            <v>-238.850776</v>
          </cell>
        </row>
        <row r="3277">
          <cell r="J3277">
            <v>-238.69292100000001</v>
          </cell>
        </row>
        <row r="3278">
          <cell r="J3278">
            <v>-238.53496599999997</v>
          </cell>
        </row>
        <row r="3279">
          <cell r="J3279">
            <v>-238.37701100000001</v>
          </cell>
        </row>
        <row r="3280">
          <cell r="J3280">
            <v>-238.21905599999999</v>
          </cell>
        </row>
        <row r="3281">
          <cell r="J3281">
            <v>-238.06110200000001</v>
          </cell>
        </row>
        <row r="3282">
          <cell r="J3282">
            <v>-237.90324799999999</v>
          </cell>
        </row>
        <row r="3283">
          <cell r="J3283">
            <v>-237.74529400000003</v>
          </cell>
        </row>
        <row r="3284">
          <cell r="J3284">
            <v>-237.58734099999998</v>
          </cell>
        </row>
        <row r="3285">
          <cell r="J3285">
            <v>-237.42928799999999</v>
          </cell>
        </row>
        <row r="3286">
          <cell r="J3286">
            <v>-237.271435</v>
          </cell>
        </row>
        <row r="3287">
          <cell r="J3287">
            <v>-237.113482</v>
          </cell>
        </row>
        <row r="3288">
          <cell r="J3288">
            <v>-236.95553000000001</v>
          </cell>
        </row>
        <row r="3289">
          <cell r="J3289">
            <v>-236.79767800000002</v>
          </cell>
        </row>
        <row r="3290">
          <cell r="J3290">
            <v>-236.63962699999999</v>
          </cell>
        </row>
        <row r="3291">
          <cell r="J3291">
            <v>-236.48177500000003</v>
          </cell>
        </row>
        <row r="3292">
          <cell r="J3292">
            <v>-236.32382400000003</v>
          </cell>
        </row>
        <row r="3293">
          <cell r="J3293">
            <v>-236.165874</v>
          </cell>
        </row>
        <row r="3294">
          <cell r="J3294">
            <v>-236.00802300000001</v>
          </cell>
        </row>
        <row r="3295">
          <cell r="J3295">
            <v>-235.84997300000001</v>
          </cell>
        </row>
        <row r="3296">
          <cell r="J3296">
            <v>-235.69212400000004</v>
          </cell>
        </row>
        <row r="3297">
          <cell r="J3297">
            <v>-235.53417399999998</v>
          </cell>
        </row>
        <row r="3298">
          <cell r="J3298">
            <v>-235.376125</v>
          </cell>
        </row>
        <row r="3299">
          <cell r="J3299">
            <v>-235.21837600000001</v>
          </cell>
        </row>
        <row r="3300">
          <cell r="J3300">
            <v>-235.060328</v>
          </cell>
        </row>
        <row r="3301">
          <cell r="J3301">
            <v>-234.90227899999999</v>
          </cell>
        </row>
        <row r="3302">
          <cell r="J3302">
            <v>-234.74453200000002</v>
          </cell>
        </row>
        <row r="3303">
          <cell r="J3303">
            <v>-234.58658400000002</v>
          </cell>
        </row>
        <row r="3304">
          <cell r="J3304">
            <v>-234.42853700000001</v>
          </cell>
        </row>
        <row r="3305">
          <cell r="J3305">
            <v>-234.27069</v>
          </cell>
        </row>
        <row r="3306">
          <cell r="J3306">
            <v>-234.11274299999997</v>
          </cell>
        </row>
        <row r="3307">
          <cell r="J3307">
            <v>-233.95469700000001</v>
          </cell>
        </row>
        <row r="3308">
          <cell r="J3308">
            <v>-233.79684999999998</v>
          </cell>
        </row>
        <row r="3309">
          <cell r="J3309">
            <v>-233.63890499999999</v>
          </cell>
        </row>
        <row r="3310">
          <cell r="J3310">
            <v>-233.48085899999998</v>
          </cell>
        </row>
        <row r="3311">
          <cell r="J3311">
            <v>-233.323014</v>
          </cell>
        </row>
        <row r="3312">
          <cell r="J3312">
            <v>-233.16516899999999</v>
          </cell>
        </row>
        <row r="3313">
          <cell r="J3313">
            <v>-233.007125</v>
          </cell>
        </row>
        <row r="3314">
          <cell r="J3314">
            <v>-232.84917999999999</v>
          </cell>
        </row>
        <row r="3315">
          <cell r="J3315">
            <v>-232.69133600000001</v>
          </cell>
        </row>
        <row r="3316">
          <cell r="J3316">
            <v>-232.53329299999999</v>
          </cell>
        </row>
        <row r="3317">
          <cell r="J3317">
            <v>-232.37535000000003</v>
          </cell>
        </row>
        <row r="3318">
          <cell r="J3318">
            <v>-232.21760599999999</v>
          </cell>
        </row>
        <row r="3319">
          <cell r="J3319">
            <v>-232.05946400000005</v>
          </cell>
        </row>
        <row r="3320">
          <cell r="J3320">
            <v>-231.90152099999997</v>
          </cell>
        </row>
        <row r="3321">
          <cell r="J3321">
            <v>-231.74367899999999</v>
          </cell>
        </row>
        <row r="3322">
          <cell r="J3322">
            <v>-231.58573699999999</v>
          </cell>
        </row>
        <row r="3323">
          <cell r="J3323">
            <v>-231.427796</v>
          </cell>
        </row>
        <row r="3324">
          <cell r="J3324">
            <v>-231.26985500000001</v>
          </cell>
        </row>
        <row r="3325">
          <cell r="J3325">
            <v>-231.11191399999998</v>
          </cell>
        </row>
        <row r="3326">
          <cell r="J3326">
            <v>-230.95397300000002</v>
          </cell>
        </row>
        <row r="3327">
          <cell r="J3327">
            <v>-230.796133</v>
          </cell>
        </row>
        <row r="3328">
          <cell r="J3328">
            <v>-230.63819300000003</v>
          </cell>
        </row>
        <row r="3329">
          <cell r="J3329">
            <v>-230.48015299999997</v>
          </cell>
        </row>
        <row r="3330">
          <cell r="J3330">
            <v>-230.32221399999997</v>
          </cell>
        </row>
        <row r="3331">
          <cell r="J3331">
            <v>-230.16437499999998</v>
          </cell>
        </row>
        <row r="3332">
          <cell r="J3332">
            <v>-230.00643599999998</v>
          </cell>
        </row>
        <row r="3333">
          <cell r="J3333">
            <v>-229.84849799999998</v>
          </cell>
        </row>
        <row r="3334">
          <cell r="J3334">
            <v>-229.69036</v>
          </cell>
        </row>
        <row r="3335">
          <cell r="J3335">
            <v>-229.532522</v>
          </cell>
        </row>
        <row r="3336">
          <cell r="J3336">
            <v>-229.374584</v>
          </cell>
        </row>
        <row r="3337">
          <cell r="J3337">
            <v>-229.21654699999999</v>
          </cell>
        </row>
        <row r="3338">
          <cell r="J3338">
            <v>-229.05881000000002</v>
          </cell>
        </row>
        <row r="3339">
          <cell r="J3339">
            <v>-228.90077300000002</v>
          </cell>
        </row>
        <row r="3340">
          <cell r="J3340">
            <v>-228.74273700000003</v>
          </cell>
        </row>
        <row r="3341">
          <cell r="J3341">
            <v>-228.58500100000003</v>
          </cell>
        </row>
        <row r="3342">
          <cell r="J3342">
            <v>-228.426965</v>
          </cell>
        </row>
        <row r="3343">
          <cell r="J3343">
            <v>-228.26902999999999</v>
          </cell>
        </row>
        <row r="3344">
          <cell r="J3344">
            <v>-228.11109499999998</v>
          </cell>
        </row>
        <row r="3345">
          <cell r="J3345">
            <v>-227.95316</v>
          </cell>
        </row>
        <row r="3346">
          <cell r="J3346">
            <v>-227.79522599999999</v>
          </cell>
        </row>
        <row r="3347">
          <cell r="J3347">
            <v>-227.63739099999998</v>
          </cell>
        </row>
        <row r="3348">
          <cell r="J3348">
            <v>-227.47935799999999</v>
          </cell>
        </row>
        <row r="3349">
          <cell r="J3349">
            <v>-227.32142400000001</v>
          </cell>
        </row>
        <row r="3350">
          <cell r="J3350">
            <v>-227.16349099999999</v>
          </cell>
        </row>
        <row r="3351">
          <cell r="J3351">
            <v>-227.00555800000004</v>
          </cell>
        </row>
        <row r="3352">
          <cell r="J3352">
            <v>-226.84762500000002</v>
          </cell>
        </row>
        <row r="3353">
          <cell r="J3353">
            <v>-226.68979300000001</v>
          </cell>
        </row>
        <row r="3354">
          <cell r="J3354">
            <v>-226.53176099999996</v>
          </cell>
        </row>
        <row r="3355">
          <cell r="J3355">
            <v>-226.373829</v>
          </cell>
        </row>
        <row r="3356">
          <cell r="J3356">
            <v>-226.21579799999998</v>
          </cell>
        </row>
        <row r="3357">
          <cell r="J3357">
            <v>-226.058066</v>
          </cell>
        </row>
        <row r="3358">
          <cell r="J3358">
            <v>-225.900136</v>
          </cell>
        </row>
        <row r="3359">
          <cell r="J3359">
            <v>-225.74200500000001</v>
          </cell>
        </row>
        <row r="3360">
          <cell r="J3360">
            <v>-225.58407500000001</v>
          </cell>
        </row>
        <row r="3361">
          <cell r="J3361">
            <v>-225.42624499999999</v>
          </cell>
        </row>
        <row r="3362">
          <cell r="J3362">
            <v>-225.26821500000003</v>
          </cell>
        </row>
        <row r="3363">
          <cell r="J3363">
            <v>-225.110286</v>
          </cell>
        </row>
        <row r="3364">
          <cell r="J3364">
            <v>-224.95235700000001</v>
          </cell>
        </row>
        <row r="3365">
          <cell r="J3365">
            <v>-224.79442799999998</v>
          </cell>
        </row>
        <row r="3366">
          <cell r="J3366">
            <v>-224.63650000000001</v>
          </cell>
        </row>
        <row r="3367">
          <cell r="J3367">
            <v>-224.47857199999999</v>
          </cell>
        </row>
        <row r="3368">
          <cell r="J3368">
            <v>-224.32064399999999</v>
          </cell>
        </row>
        <row r="3369">
          <cell r="J3369">
            <v>-224.16271699999999</v>
          </cell>
        </row>
        <row r="3370">
          <cell r="J3370">
            <v>-224.00479000000001</v>
          </cell>
        </row>
        <row r="3371">
          <cell r="J3371">
            <v>-223.84686299999998</v>
          </cell>
        </row>
        <row r="3372">
          <cell r="J3372">
            <v>-223.68893600000001</v>
          </cell>
        </row>
        <row r="3373">
          <cell r="J3373">
            <v>-223.53101000000001</v>
          </cell>
        </row>
        <row r="3374">
          <cell r="J3374">
            <v>-223.37308400000003</v>
          </cell>
        </row>
        <row r="3375">
          <cell r="J3375">
            <v>-223.215058</v>
          </cell>
        </row>
        <row r="3376">
          <cell r="J3376">
            <v>-223.057233</v>
          </cell>
        </row>
        <row r="3377">
          <cell r="J3377">
            <v>-222.89920800000004</v>
          </cell>
        </row>
        <row r="3378">
          <cell r="J3378">
            <v>-222.74128300000001</v>
          </cell>
        </row>
        <row r="3379">
          <cell r="J3379">
            <v>-222.583259</v>
          </cell>
        </row>
        <row r="3380">
          <cell r="J3380">
            <v>-222.42533499999996</v>
          </cell>
        </row>
        <row r="3381">
          <cell r="J3381">
            <v>-222.26741100000001</v>
          </cell>
        </row>
        <row r="3382">
          <cell r="J3382">
            <v>-222.109488</v>
          </cell>
        </row>
        <row r="3383">
          <cell r="J3383">
            <v>-221.95166400000002</v>
          </cell>
        </row>
        <row r="3384">
          <cell r="J3384">
            <v>-221.79364199999998</v>
          </cell>
        </row>
        <row r="3385">
          <cell r="J3385">
            <v>-221.63571900000002</v>
          </cell>
        </row>
        <row r="3386">
          <cell r="J3386">
            <v>-221.47779699999998</v>
          </cell>
        </row>
        <row r="3387">
          <cell r="J3387">
            <v>-221.31987500000002</v>
          </cell>
        </row>
        <row r="3388">
          <cell r="J3388">
            <v>-221.16195300000001</v>
          </cell>
        </row>
        <row r="3389">
          <cell r="J3389">
            <v>-221.004032</v>
          </cell>
        </row>
        <row r="3390">
          <cell r="J3390">
            <v>-220.846011</v>
          </cell>
        </row>
        <row r="3391">
          <cell r="J3391">
            <v>-220.68798999999999</v>
          </cell>
        </row>
        <row r="3392">
          <cell r="J3392">
            <v>-220.53017</v>
          </cell>
        </row>
        <row r="3393">
          <cell r="J3393">
            <v>-220.37224899999998</v>
          </cell>
        </row>
        <row r="3394">
          <cell r="J3394">
            <v>-220.21423000000001</v>
          </cell>
        </row>
        <row r="3395">
          <cell r="J3395">
            <v>-220.05641</v>
          </cell>
        </row>
        <row r="3396">
          <cell r="J3396">
            <v>-219.898391</v>
          </cell>
        </row>
        <row r="3397">
          <cell r="J3397">
            <v>-219.74047199999998</v>
          </cell>
        </row>
        <row r="3398">
          <cell r="J3398">
            <v>-219.58255300000002</v>
          </cell>
        </row>
        <row r="3399">
          <cell r="J3399">
            <v>-219.42463500000002</v>
          </cell>
        </row>
        <row r="3400">
          <cell r="J3400">
            <v>-219.26671700000003</v>
          </cell>
        </row>
        <row r="3401">
          <cell r="J3401">
            <v>-219.108699</v>
          </cell>
        </row>
        <row r="3402">
          <cell r="J3402">
            <v>-218.950782</v>
          </cell>
        </row>
        <row r="3403">
          <cell r="J3403">
            <v>-218.79276500000003</v>
          </cell>
        </row>
        <row r="3404">
          <cell r="J3404">
            <v>-218.63484799999998</v>
          </cell>
        </row>
        <row r="3405">
          <cell r="J3405">
            <v>-218.47703200000001</v>
          </cell>
        </row>
        <row r="3406">
          <cell r="J3406">
            <v>-218.31901500000001</v>
          </cell>
        </row>
        <row r="3407">
          <cell r="J3407">
            <v>-218.16109999999998</v>
          </cell>
        </row>
        <row r="3408">
          <cell r="J3408">
            <v>-218.00318399999998</v>
          </cell>
        </row>
        <row r="3409">
          <cell r="J3409">
            <v>-217.845169</v>
          </cell>
        </row>
        <row r="3410">
          <cell r="J3410">
            <v>-217.687354</v>
          </cell>
        </row>
        <row r="3411">
          <cell r="J3411">
            <v>-217.529439</v>
          </cell>
        </row>
        <row r="3412">
          <cell r="J3412">
            <v>-217.37152499999999</v>
          </cell>
        </row>
        <row r="3413">
          <cell r="J3413">
            <v>-217.21341100000001</v>
          </cell>
        </row>
        <row r="3414">
          <cell r="J3414">
            <v>-217.055497</v>
          </cell>
        </row>
        <row r="3415">
          <cell r="J3415">
            <v>-216.89758399999999</v>
          </cell>
        </row>
        <row r="3416">
          <cell r="J3416">
            <v>-216.73967099999999</v>
          </cell>
        </row>
        <row r="3417">
          <cell r="J3417">
            <v>-216.58175800000001</v>
          </cell>
        </row>
        <row r="3418">
          <cell r="J3418">
            <v>-216.42384499999997</v>
          </cell>
        </row>
        <row r="3419">
          <cell r="J3419">
            <v>-216.26583299999999</v>
          </cell>
        </row>
        <row r="3420">
          <cell r="J3420">
            <v>-216.107921</v>
          </cell>
        </row>
        <row r="3421">
          <cell r="J3421">
            <v>-215.95000999999999</v>
          </cell>
        </row>
        <row r="3422">
          <cell r="J3422">
            <v>-215.79199800000004</v>
          </cell>
        </row>
        <row r="3423">
          <cell r="J3423">
            <v>-215.63408700000002</v>
          </cell>
        </row>
        <row r="3424">
          <cell r="J3424">
            <v>-215.47617700000001</v>
          </cell>
        </row>
        <row r="3425">
          <cell r="J3425">
            <v>-215.31816599999999</v>
          </cell>
        </row>
        <row r="3426">
          <cell r="J3426">
            <v>-215.160256</v>
          </cell>
        </row>
        <row r="3427">
          <cell r="J3427">
            <v>-215.00244699999996</v>
          </cell>
        </row>
        <row r="3428">
          <cell r="J3428">
            <v>-214.84443700000003</v>
          </cell>
        </row>
        <row r="3429">
          <cell r="J3429">
            <v>-214.68642799999998</v>
          </cell>
        </row>
        <row r="3430">
          <cell r="J3430">
            <v>-214.52861899999999</v>
          </cell>
        </row>
        <row r="3431">
          <cell r="J3431">
            <v>-214.37061099999997</v>
          </cell>
        </row>
        <row r="3432">
          <cell r="J3432">
            <v>-214.21270200000001</v>
          </cell>
        </row>
        <row r="3433">
          <cell r="J3433">
            <v>-214.05479500000001</v>
          </cell>
        </row>
        <row r="3434">
          <cell r="J3434">
            <v>-213.89688699999999</v>
          </cell>
        </row>
        <row r="3435">
          <cell r="J3435">
            <v>-213.73877999999999</v>
          </cell>
        </row>
        <row r="3436">
          <cell r="J3436">
            <v>-213.580973</v>
          </cell>
        </row>
        <row r="3437">
          <cell r="J3437">
            <v>-213.422966</v>
          </cell>
        </row>
        <row r="3438">
          <cell r="J3438">
            <v>-213.26506000000001</v>
          </cell>
        </row>
        <row r="3439">
          <cell r="J3439">
            <v>-213.10715299999998</v>
          </cell>
        </row>
        <row r="3440">
          <cell r="J3440">
            <v>-212.94914799999998</v>
          </cell>
        </row>
        <row r="3441">
          <cell r="J3441">
            <v>-212.79124199999998</v>
          </cell>
        </row>
        <row r="3442">
          <cell r="J3442">
            <v>-212.63323699999995</v>
          </cell>
        </row>
        <row r="3443">
          <cell r="J3443">
            <v>-212.47543199999998</v>
          </cell>
        </row>
        <row r="3444">
          <cell r="J3444">
            <v>-212.31742799999998</v>
          </cell>
        </row>
        <row r="3445">
          <cell r="J3445">
            <v>-212.159423</v>
          </cell>
        </row>
        <row r="3446">
          <cell r="J3446">
            <v>-212.00161899999998</v>
          </cell>
        </row>
        <row r="3447">
          <cell r="J3447">
            <v>-211.84351599999999</v>
          </cell>
        </row>
        <row r="3448">
          <cell r="J3448">
            <v>-211.685712</v>
          </cell>
        </row>
        <row r="3449">
          <cell r="J3449">
            <v>-211.52780900000002</v>
          </cell>
        </row>
        <row r="3450">
          <cell r="J3450">
            <v>-211.36980700000001</v>
          </cell>
        </row>
        <row r="3451">
          <cell r="J3451">
            <v>-211.211804</v>
          </cell>
        </row>
        <row r="3452">
          <cell r="J3452">
            <v>-211.05400200000003</v>
          </cell>
        </row>
        <row r="3453">
          <cell r="J3453">
            <v>-210.89600000000004</v>
          </cell>
        </row>
        <row r="3454">
          <cell r="J3454">
            <v>-210.73809899999998</v>
          </cell>
        </row>
        <row r="3455">
          <cell r="J3455">
            <v>-210.58009799999999</v>
          </cell>
        </row>
        <row r="3456">
          <cell r="J3456">
            <v>-210.42209700000001</v>
          </cell>
        </row>
        <row r="3457">
          <cell r="J3457">
            <v>-210.264196</v>
          </cell>
        </row>
        <row r="3458">
          <cell r="J3458">
            <v>-210.10639599999999</v>
          </cell>
        </row>
        <row r="3459">
          <cell r="J3459">
            <v>-209.94849599999998</v>
          </cell>
        </row>
        <row r="3460">
          <cell r="J3460">
            <v>-209.79039599999999</v>
          </cell>
        </row>
        <row r="3461">
          <cell r="J3461">
            <v>-209.63259699999998</v>
          </cell>
        </row>
        <row r="3462">
          <cell r="J3462">
            <v>-209.47459800000001</v>
          </cell>
        </row>
        <row r="3463">
          <cell r="J3463">
            <v>-209.316599</v>
          </cell>
        </row>
        <row r="3464">
          <cell r="J3464">
            <v>-209.15870100000001</v>
          </cell>
        </row>
        <row r="3465">
          <cell r="J3465">
            <v>-209.00080300000002</v>
          </cell>
        </row>
        <row r="3466">
          <cell r="J3466">
            <v>-208.842805</v>
          </cell>
        </row>
        <row r="3467">
          <cell r="J3467">
            <v>-208.68480699999998</v>
          </cell>
        </row>
        <row r="3468">
          <cell r="J3468">
            <v>-208.52690999999999</v>
          </cell>
        </row>
        <row r="3469">
          <cell r="J3469">
            <v>-208.36891299999999</v>
          </cell>
        </row>
        <row r="3470">
          <cell r="J3470">
            <v>-208.211016</v>
          </cell>
        </row>
        <row r="3471">
          <cell r="J3471">
            <v>-208.05302</v>
          </cell>
        </row>
        <row r="3472">
          <cell r="J3472">
            <v>-207.89522400000001</v>
          </cell>
        </row>
        <row r="3473">
          <cell r="J3473">
            <v>-207.73732799999999</v>
          </cell>
        </row>
        <row r="3474">
          <cell r="J3474">
            <v>-207.57943299999999</v>
          </cell>
        </row>
        <row r="3475">
          <cell r="J3475">
            <v>-207.42143800000002</v>
          </cell>
        </row>
        <row r="3476">
          <cell r="J3476">
            <v>-207.26334299999999</v>
          </cell>
        </row>
        <row r="3477">
          <cell r="J3477">
            <v>-207.10554900000002</v>
          </cell>
        </row>
        <row r="3478">
          <cell r="J3478">
            <v>-206.947554</v>
          </cell>
        </row>
        <row r="3479">
          <cell r="J3479">
            <v>-206.78966100000002</v>
          </cell>
        </row>
        <row r="3480">
          <cell r="J3480">
            <v>-206.63176700000002</v>
          </cell>
        </row>
        <row r="3481">
          <cell r="J3481">
            <v>-206.47367400000002</v>
          </cell>
        </row>
        <row r="3482">
          <cell r="J3482">
            <v>-206.31568099999998</v>
          </cell>
        </row>
        <row r="3483">
          <cell r="J3483">
            <v>-206.15788799999999</v>
          </cell>
        </row>
        <row r="3484">
          <cell r="J3484">
            <v>-205.99999599999998</v>
          </cell>
        </row>
        <row r="3485">
          <cell r="J3485">
            <v>-205.84200399999997</v>
          </cell>
        </row>
        <row r="3486">
          <cell r="J3486">
            <v>-205.684212</v>
          </cell>
        </row>
        <row r="3487">
          <cell r="J3487">
            <v>-205.52602099999999</v>
          </cell>
        </row>
        <row r="3488">
          <cell r="J3488">
            <v>-205.36813000000001</v>
          </cell>
        </row>
        <row r="3489">
          <cell r="J3489">
            <v>-205.21023899999997</v>
          </cell>
        </row>
        <row r="3490">
          <cell r="J3490">
            <v>-205.05234800000002</v>
          </cell>
        </row>
        <row r="3491">
          <cell r="J3491">
            <v>-204.89435799999998</v>
          </cell>
        </row>
        <row r="3492">
          <cell r="J3492">
            <v>-204.736468</v>
          </cell>
        </row>
        <row r="3493">
          <cell r="J3493">
            <v>-204.57837900000001</v>
          </cell>
        </row>
        <row r="3494">
          <cell r="J3494">
            <v>-204.42048900000003</v>
          </cell>
        </row>
        <row r="3495">
          <cell r="J3495">
            <v>-204.2627</v>
          </cell>
        </row>
        <row r="3496">
          <cell r="J3496">
            <v>-204.10481199999998</v>
          </cell>
        </row>
        <row r="3497">
          <cell r="J3497">
            <v>-203.94672299999999</v>
          </cell>
        </row>
        <row r="3498">
          <cell r="J3498">
            <v>-203.78883500000001</v>
          </cell>
        </row>
        <row r="3499">
          <cell r="J3499">
            <v>-203.63094699999999</v>
          </cell>
        </row>
        <row r="3500">
          <cell r="J3500">
            <v>-203.47295999999997</v>
          </cell>
        </row>
        <row r="3501">
          <cell r="J3501">
            <v>-203.31507299999998</v>
          </cell>
        </row>
        <row r="3502">
          <cell r="J3502">
            <v>-203.157186</v>
          </cell>
        </row>
        <row r="3503">
          <cell r="J3503">
            <v>-202.9992</v>
          </cell>
        </row>
        <row r="3504">
          <cell r="J3504">
            <v>-202.84111299999998</v>
          </cell>
        </row>
        <row r="3505">
          <cell r="J3505">
            <v>-202.68332700000002</v>
          </cell>
        </row>
        <row r="3506">
          <cell r="J3506">
            <v>-202.52534199999999</v>
          </cell>
        </row>
        <row r="3507">
          <cell r="J3507">
            <v>-202.367456</v>
          </cell>
        </row>
        <row r="3508">
          <cell r="J3508">
            <v>-202.20947100000004</v>
          </cell>
        </row>
        <row r="3509">
          <cell r="J3509">
            <v>-202.05158700000004</v>
          </cell>
        </row>
        <row r="3510">
          <cell r="J3510">
            <v>-201.89350199999998</v>
          </cell>
        </row>
        <row r="3511">
          <cell r="J3511">
            <v>-201.73571800000002</v>
          </cell>
        </row>
        <row r="3512">
          <cell r="J3512">
            <v>-201.57773399999999</v>
          </cell>
        </row>
        <row r="3513">
          <cell r="J3513">
            <v>-201.41975099999999</v>
          </cell>
        </row>
        <row r="3514">
          <cell r="J3514">
            <v>-201.26186799999999</v>
          </cell>
        </row>
        <row r="3515">
          <cell r="J3515">
            <v>-201.10388499999999</v>
          </cell>
        </row>
        <row r="3516">
          <cell r="J3516">
            <v>-200.94590199999999</v>
          </cell>
        </row>
        <row r="3517">
          <cell r="J3517">
            <v>-200.78811999999999</v>
          </cell>
        </row>
        <row r="3518">
          <cell r="J3518">
            <v>-200.63013799999999</v>
          </cell>
        </row>
        <row r="3519">
          <cell r="J3519">
            <v>-200.47215699999998</v>
          </cell>
        </row>
        <row r="3520">
          <cell r="J3520">
            <v>-200.31417500000001</v>
          </cell>
        </row>
        <row r="3521">
          <cell r="J3521">
            <v>-200.156294</v>
          </cell>
        </row>
        <row r="3522">
          <cell r="J3522">
            <v>-199.998313</v>
          </cell>
        </row>
        <row r="3523">
          <cell r="J3523">
            <v>-199.84053299999999</v>
          </cell>
        </row>
        <row r="3524">
          <cell r="J3524">
            <v>-199.68245300000001</v>
          </cell>
        </row>
        <row r="3525">
          <cell r="J3525">
            <v>-199.52447299999997</v>
          </cell>
        </row>
        <row r="3526">
          <cell r="J3526">
            <v>-199.36649399999999</v>
          </cell>
        </row>
        <row r="3527">
          <cell r="J3527">
            <v>-199.20861399999998</v>
          </cell>
        </row>
        <row r="3528">
          <cell r="J3528">
            <v>-199.050635</v>
          </cell>
        </row>
        <row r="3529">
          <cell r="J3529">
            <v>-198.89285699999999</v>
          </cell>
        </row>
        <row r="3530">
          <cell r="J3530">
            <v>-198.73467899999997</v>
          </cell>
        </row>
        <row r="3531">
          <cell r="J3531">
            <v>-198.57680100000002</v>
          </cell>
        </row>
        <row r="3532">
          <cell r="J3532">
            <v>-198.41892299999998</v>
          </cell>
        </row>
        <row r="3533">
          <cell r="J3533">
            <v>-198.26104600000002</v>
          </cell>
        </row>
        <row r="3534">
          <cell r="J3534">
            <v>-198.103069</v>
          </cell>
        </row>
        <row r="3535">
          <cell r="J3535">
            <v>-197.94509200000002</v>
          </cell>
        </row>
        <row r="3536">
          <cell r="J3536">
            <v>-197.787115</v>
          </cell>
        </row>
        <row r="3537">
          <cell r="J3537">
            <v>-197.62923899999998</v>
          </cell>
        </row>
        <row r="3538">
          <cell r="J3538">
            <v>-197.471363</v>
          </cell>
        </row>
        <row r="3539">
          <cell r="J3539">
            <v>-197.313388</v>
          </cell>
        </row>
        <row r="3540">
          <cell r="J3540">
            <v>-197.15531299999998</v>
          </cell>
        </row>
        <row r="3541">
          <cell r="J3541">
            <v>-196.99753800000002</v>
          </cell>
        </row>
        <row r="3542">
          <cell r="J3542">
            <v>-196.839563</v>
          </cell>
        </row>
        <row r="3543">
          <cell r="J3543">
            <v>-196.68168900000001</v>
          </cell>
        </row>
        <row r="3544">
          <cell r="J3544">
            <v>-196.52371499999998</v>
          </cell>
        </row>
        <row r="3545">
          <cell r="J3545">
            <v>-196.36584100000002</v>
          </cell>
        </row>
        <row r="3546">
          <cell r="J3546">
            <v>-196.20776800000002</v>
          </cell>
        </row>
        <row r="3547">
          <cell r="J3547">
            <v>-196.049995</v>
          </cell>
        </row>
        <row r="3548">
          <cell r="J3548">
            <v>-195.89192200000002</v>
          </cell>
        </row>
        <row r="3549">
          <cell r="J3549">
            <v>-195.733949</v>
          </cell>
        </row>
        <row r="3550">
          <cell r="J3550">
            <v>-195.57607700000003</v>
          </cell>
        </row>
        <row r="3551">
          <cell r="J3551">
            <v>-195.418105</v>
          </cell>
        </row>
        <row r="3552">
          <cell r="J3552">
            <v>-195.26013400000002</v>
          </cell>
        </row>
        <row r="3553">
          <cell r="J3553">
            <v>-195.10216200000002</v>
          </cell>
        </row>
        <row r="3554">
          <cell r="J3554">
            <v>-194.94429100000002</v>
          </cell>
        </row>
        <row r="3555">
          <cell r="J3555">
            <v>-194.78642099999999</v>
          </cell>
        </row>
        <row r="3556">
          <cell r="J3556">
            <v>-194.62845000000002</v>
          </cell>
        </row>
        <row r="3557">
          <cell r="J3557">
            <v>-194.47047999999998</v>
          </cell>
        </row>
        <row r="3558">
          <cell r="J3558">
            <v>-194.31251100000003</v>
          </cell>
        </row>
        <row r="3559">
          <cell r="J3559">
            <v>-194.154641</v>
          </cell>
        </row>
        <row r="3560">
          <cell r="J3560">
            <v>-193.99677199999999</v>
          </cell>
        </row>
        <row r="3561">
          <cell r="J3561">
            <v>-193.83880300000001</v>
          </cell>
        </row>
        <row r="3562">
          <cell r="J3562">
            <v>-193.68073500000003</v>
          </cell>
        </row>
        <row r="3563">
          <cell r="J3563">
            <v>-193.52286700000002</v>
          </cell>
        </row>
        <row r="3564">
          <cell r="J3564">
            <v>-193.36489900000001</v>
          </cell>
        </row>
        <row r="3565">
          <cell r="J3565">
            <v>-193.20693100000003</v>
          </cell>
        </row>
        <row r="3566">
          <cell r="J3566">
            <v>-193.04906399999999</v>
          </cell>
        </row>
        <row r="3567">
          <cell r="J3567">
            <v>-192.89119699999998</v>
          </cell>
        </row>
        <row r="3568">
          <cell r="J3568">
            <v>-192.73313000000002</v>
          </cell>
        </row>
        <row r="3569">
          <cell r="J3569">
            <v>-192.575264</v>
          </cell>
        </row>
        <row r="3570">
          <cell r="J3570">
            <v>-192.41729799999999</v>
          </cell>
        </row>
        <row r="3571">
          <cell r="J3571">
            <v>-192.259332</v>
          </cell>
        </row>
        <row r="3572">
          <cell r="J3572">
            <v>-192.10156700000002</v>
          </cell>
        </row>
        <row r="3573">
          <cell r="J3573">
            <v>-191.94340099999999</v>
          </cell>
        </row>
        <row r="3574">
          <cell r="J3574">
            <v>-191.785437</v>
          </cell>
        </row>
        <row r="3575">
          <cell r="J3575">
            <v>-191.62757200000001</v>
          </cell>
        </row>
        <row r="3576">
          <cell r="J3576">
            <v>-191.469708</v>
          </cell>
        </row>
        <row r="3577">
          <cell r="J3577">
            <v>-191.31174399999998</v>
          </cell>
        </row>
        <row r="3578">
          <cell r="J3578">
            <v>-191.15388000000002</v>
          </cell>
        </row>
        <row r="3579">
          <cell r="J3579">
            <v>-190.99581699999999</v>
          </cell>
        </row>
        <row r="3580">
          <cell r="J3580">
            <v>-190.83795400000002</v>
          </cell>
        </row>
        <row r="3581">
          <cell r="J3581">
            <v>-190.680091</v>
          </cell>
        </row>
        <row r="3582">
          <cell r="J3582">
            <v>-190.52212900000001</v>
          </cell>
        </row>
        <row r="3583">
          <cell r="J3583">
            <v>-190.36406699999998</v>
          </cell>
        </row>
        <row r="3584">
          <cell r="J3584">
            <v>-190.20610500000004</v>
          </cell>
        </row>
        <row r="3585">
          <cell r="J3585">
            <v>-190.04814399999998</v>
          </cell>
        </row>
        <row r="3586">
          <cell r="J3586">
            <v>-189.89018200000001</v>
          </cell>
        </row>
        <row r="3587">
          <cell r="J3587">
            <v>-189.73242200000001</v>
          </cell>
        </row>
        <row r="3588">
          <cell r="J3588">
            <v>-189.57446100000001</v>
          </cell>
        </row>
        <row r="3589">
          <cell r="J3589">
            <v>-189.41650100000001</v>
          </cell>
        </row>
        <row r="3590">
          <cell r="J3590">
            <v>-189.25854100000001</v>
          </cell>
        </row>
        <row r="3591">
          <cell r="J3591">
            <v>-189.10058100000001</v>
          </cell>
        </row>
        <row r="3592">
          <cell r="J3592">
            <v>-188.94262200000003</v>
          </cell>
        </row>
        <row r="3593">
          <cell r="J3593">
            <v>-188.78476300000003</v>
          </cell>
        </row>
        <row r="3594">
          <cell r="J3594">
            <v>-188.62680399999999</v>
          </cell>
        </row>
        <row r="3595">
          <cell r="J3595">
            <v>-188.46874600000001</v>
          </cell>
        </row>
        <row r="3596">
          <cell r="J3596">
            <v>-188.31098800000001</v>
          </cell>
        </row>
        <row r="3597">
          <cell r="J3597">
            <v>-188.15293000000003</v>
          </cell>
        </row>
        <row r="3598">
          <cell r="J3598">
            <v>-187.99497200000002</v>
          </cell>
        </row>
        <row r="3599">
          <cell r="J3599">
            <v>-187.83711499999998</v>
          </cell>
        </row>
        <row r="3600">
          <cell r="J3600">
            <v>-187.67925799999998</v>
          </cell>
        </row>
        <row r="3601">
          <cell r="J3601">
            <v>-187.52110200000001</v>
          </cell>
        </row>
        <row r="3602">
          <cell r="J3602">
            <v>-187.36334500000001</v>
          </cell>
        </row>
        <row r="3603">
          <cell r="J3603">
            <v>-187.205389</v>
          </cell>
        </row>
        <row r="3604">
          <cell r="J3604">
            <v>-187.04743399999998</v>
          </cell>
        </row>
        <row r="3605">
          <cell r="J3605">
            <v>-186.88947799999997</v>
          </cell>
        </row>
        <row r="3606">
          <cell r="J3606">
            <v>-186.73152300000001</v>
          </cell>
        </row>
        <row r="3607">
          <cell r="J3607">
            <v>-186.57356799999997</v>
          </cell>
        </row>
        <row r="3608">
          <cell r="J3608">
            <v>-186.41561400000001</v>
          </cell>
        </row>
        <row r="3609">
          <cell r="J3609">
            <v>-186.25775999999999</v>
          </cell>
        </row>
        <row r="3610">
          <cell r="J3610">
            <v>-186.099806</v>
          </cell>
        </row>
        <row r="3611">
          <cell r="J3611">
            <v>-185.94185300000001</v>
          </cell>
        </row>
        <row r="3612">
          <cell r="J3612">
            <v>-185.78379900000002</v>
          </cell>
        </row>
        <row r="3613">
          <cell r="J3613">
            <v>-185.625946</v>
          </cell>
        </row>
        <row r="3614">
          <cell r="J3614">
            <v>-185.46809400000004</v>
          </cell>
        </row>
        <row r="3615">
          <cell r="J3615">
            <v>-185.31004100000001</v>
          </cell>
        </row>
        <row r="3616">
          <cell r="J3616">
            <v>-185.15218900000002</v>
          </cell>
        </row>
        <row r="3617">
          <cell r="J3617">
            <v>-184.994238</v>
          </cell>
        </row>
        <row r="3618">
          <cell r="J3618">
            <v>-184.836186</v>
          </cell>
        </row>
        <row r="3619">
          <cell r="J3619">
            <v>-184.67833499999998</v>
          </cell>
        </row>
        <row r="3620">
          <cell r="J3620">
            <v>-184.52048499999998</v>
          </cell>
        </row>
        <row r="3621">
          <cell r="J3621">
            <v>-184.36253400000001</v>
          </cell>
        </row>
        <row r="3622">
          <cell r="J3622">
            <v>-184.20458400000001</v>
          </cell>
        </row>
        <row r="3623">
          <cell r="J3623">
            <v>-184.04663400000001</v>
          </cell>
        </row>
        <row r="3624">
          <cell r="J3624">
            <v>-183.88858399999998</v>
          </cell>
        </row>
        <row r="3625">
          <cell r="J3625">
            <v>-183.73073500000001</v>
          </cell>
        </row>
        <row r="3626">
          <cell r="J3626">
            <v>-183.57278600000001</v>
          </cell>
        </row>
        <row r="3627">
          <cell r="J3627">
            <v>-183.41493800000003</v>
          </cell>
        </row>
        <row r="3628">
          <cell r="J3628">
            <v>-183.256889</v>
          </cell>
        </row>
        <row r="3629">
          <cell r="J3629">
            <v>-183.09884100000002</v>
          </cell>
        </row>
        <row r="3630">
          <cell r="J3630">
            <v>-182.94099399999999</v>
          </cell>
        </row>
        <row r="3631">
          <cell r="J3631">
            <v>-182.78314600000004</v>
          </cell>
        </row>
        <row r="3632">
          <cell r="J3632">
            <v>-182.62519900000001</v>
          </cell>
        </row>
        <row r="3633">
          <cell r="J3633">
            <v>-182.467152</v>
          </cell>
        </row>
        <row r="3634">
          <cell r="J3634">
            <v>-182.309406</v>
          </cell>
        </row>
        <row r="3635">
          <cell r="J3635">
            <v>-182.15125999999998</v>
          </cell>
        </row>
        <row r="3636">
          <cell r="J3636">
            <v>-181.993314</v>
          </cell>
        </row>
        <row r="3637">
          <cell r="J3637">
            <v>-181.83556799999997</v>
          </cell>
        </row>
        <row r="3638">
          <cell r="J3638">
            <v>-181.67742299999998</v>
          </cell>
        </row>
        <row r="3639">
          <cell r="J3639">
            <v>-181.519578</v>
          </cell>
        </row>
        <row r="3640">
          <cell r="J3640">
            <v>-181.36173300000002</v>
          </cell>
        </row>
        <row r="3641">
          <cell r="J3641">
            <v>-181.203689</v>
          </cell>
        </row>
        <row r="3642">
          <cell r="J3642">
            <v>-181.04574500000001</v>
          </cell>
        </row>
        <row r="3643">
          <cell r="J3643">
            <v>-180.887801</v>
          </cell>
        </row>
        <row r="3644">
          <cell r="J3644">
            <v>-180.72995800000001</v>
          </cell>
        </row>
        <row r="3645">
          <cell r="J3645">
            <v>-180.57191399999999</v>
          </cell>
        </row>
        <row r="3646">
          <cell r="J3646">
            <v>-180.414072</v>
          </cell>
        </row>
        <row r="3647">
          <cell r="J3647">
            <v>-180.25602900000001</v>
          </cell>
        </row>
        <row r="3648">
          <cell r="J3648">
            <v>-180.09798700000002</v>
          </cell>
        </row>
        <row r="3649">
          <cell r="J3649">
            <v>-179.940245</v>
          </cell>
        </row>
        <row r="3650">
          <cell r="J3650">
            <v>-179.78230300000001</v>
          </cell>
        </row>
        <row r="3651">
          <cell r="J3651">
            <v>-179.62436199999996</v>
          </cell>
        </row>
        <row r="3652">
          <cell r="J3652">
            <v>-179.46632099999997</v>
          </cell>
        </row>
        <row r="3653">
          <cell r="J3653">
            <v>-179.30838</v>
          </cell>
        </row>
        <row r="3654">
          <cell r="J3654">
            <v>-179.15043999999997</v>
          </cell>
        </row>
        <row r="3655">
          <cell r="J3655">
            <v>-178.99260000000001</v>
          </cell>
        </row>
        <row r="3656">
          <cell r="J3656">
            <v>-178.83465999999999</v>
          </cell>
        </row>
        <row r="3657">
          <cell r="J3657">
            <v>-178.67662100000001</v>
          </cell>
        </row>
        <row r="3658">
          <cell r="J3658">
            <v>-178.51868199999998</v>
          </cell>
        </row>
        <row r="3659">
          <cell r="J3659">
            <v>-178.36084300000002</v>
          </cell>
        </row>
        <row r="3660">
          <cell r="J3660">
            <v>-178.20270399999998</v>
          </cell>
        </row>
        <row r="3661">
          <cell r="J3661">
            <v>-178.04496600000002</v>
          </cell>
        </row>
        <row r="3662">
          <cell r="J3662">
            <v>-177.88702800000002</v>
          </cell>
        </row>
        <row r="3663">
          <cell r="J3663">
            <v>-177.72899000000001</v>
          </cell>
        </row>
        <row r="3664">
          <cell r="J3664">
            <v>-177.57105300000001</v>
          </cell>
        </row>
        <row r="3665">
          <cell r="J3665">
            <v>-177.41311600000003</v>
          </cell>
        </row>
        <row r="3666">
          <cell r="J3666">
            <v>-177.255179</v>
          </cell>
        </row>
        <row r="3667">
          <cell r="J3667">
            <v>-177.09734299999997</v>
          </cell>
        </row>
        <row r="3668">
          <cell r="J3668">
            <v>-176.93930699999999</v>
          </cell>
        </row>
        <row r="3669">
          <cell r="J3669">
            <v>-176.78127099999998</v>
          </cell>
        </row>
        <row r="3670">
          <cell r="J3670">
            <v>-176.623435</v>
          </cell>
        </row>
        <row r="3671">
          <cell r="J3671">
            <v>-176.46559999999997</v>
          </cell>
        </row>
        <row r="3672">
          <cell r="J3672">
            <v>-176.30746499999998</v>
          </cell>
        </row>
        <row r="3673">
          <cell r="J3673">
            <v>-176.149631</v>
          </cell>
        </row>
        <row r="3674">
          <cell r="J3674">
            <v>-175.99179699999999</v>
          </cell>
        </row>
        <row r="3675">
          <cell r="J3675">
            <v>-175.83366299999997</v>
          </cell>
        </row>
        <row r="3676">
          <cell r="J3676">
            <v>-175.67582900000002</v>
          </cell>
        </row>
        <row r="3677">
          <cell r="J3677">
            <v>-175.51789600000001</v>
          </cell>
        </row>
        <row r="3678">
          <cell r="J3678">
            <v>-175.35996300000002</v>
          </cell>
        </row>
        <row r="3679">
          <cell r="J3679">
            <v>-175.20212999999998</v>
          </cell>
        </row>
        <row r="3680">
          <cell r="J3680">
            <v>-175.04409700000002</v>
          </cell>
        </row>
        <row r="3681">
          <cell r="J3681">
            <v>-174.88616500000001</v>
          </cell>
        </row>
        <row r="3682">
          <cell r="J3682">
            <v>-174.72823299999999</v>
          </cell>
        </row>
        <row r="3683">
          <cell r="J3683">
            <v>-174.57020200000002</v>
          </cell>
        </row>
        <row r="3684">
          <cell r="J3684">
            <v>-174.41237100000001</v>
          </cell>
        </row>
        <row r="3685">
          <cell r="J3685">
            <v>-174.25444000000005</v>
          </cell>
        </row>
        <row r="3686">
          <cell r="J3686">
            <v>-174.096609</v>
          </cell>
        </row>
        <row r="3687">
          <cell r="J3687">
            <v>-173.938479</v>
          </cell>
        </row>
        <row r="3688">
          <cell r="J3688">
            <v>-173.78054900000001</v>
          </cell>
        </row>
        <row r="3689">
          <cell r="J3689">
            <v>-173.62271900000002</v>
          </cell>
        </row>
        <row r="3690">
          <cell r="J3690">
            <v>-173.46468999999999</v>
          </cell>
        </row>
        <row r="3691">
          <cell r="J3691">
            <v>-173.30676099999999</v>
          </cell>
        </row>
        <row r="3692">
          <cell r="J3692">
            <v>-173.148832</v>
          </cell>
        </row>
        <row r="3693">
          <cell r="J3693">
            <v>-172.990904</v>
          </cell>
        </row>
        <row r="3694">
          <cell r="J3694">
            <v>-172.832975</v>
          </cell>
        </row>
        <row r="3695">
          <cell r="J3695">
            <v>-172.674948</v>
          </cell>
        </row>
        <row r="3696">
          <cell r="J3696">
            <v>-172.51712000000001</v>
          </cell>
        </row>
        <row r="3697">
          <cell r="J3697">
            <v>-172.35919299999998</v>
          </cell>
        </row>
        <row r="3698">
          <cell r="J3698">
            <v>-172.201166</v>
          </cell>
        </row>
        <row r="3699">
          <cell r="J3699">
            <v>-172.043239</v>
          </cell>
        </row>
        <row r="3700">
          <cell r="J3700">
            <v>-171.88531300000002</v>
          </cell>
        </row>
        <row r="3701">
          <cell r="J3701">
            <v>-171.72728699999999</v>
          </cell>
        </row>
        <row r="3702">
          <cell r="J3702">
            <v>-171.56956100000002</v>
          </cell>
        </row>
        <row r="3703">
          <cell r="J3703">
            <v>-171.41143600000004</v>
          </cell>
        </row>
        <row r="3704">
          <cell r="J3704">
            <v>-171.253511</v>
          </cell>
        </row>
        <row r="3705">
          <cell r="J3705">
            <v>-171.09568599999997</v>
          </cell>
        </row>
        <row r="3706">
          <cell r="J3706">
            <v>-170.93756099999999</v>
          </cell>
        </row>
        <row r="3707">
          <cell r="J3707">
            <v>-170.77963700000001</v>
          </cell>
        </row>
        <row r="3708">
          <cell r="J3708">
            <v>-170.62191299999998</v>
          </cell>
        </row>
        <row r="3709">
          <cell r="J3709">
            <v>-170.46388999999999</v>
          </cell>
        </row>
        <row r="3710">
          <cell r="J3710">
            <v>-170.30596699999998</v>
          </cell>
        </row>
        <row r="3711">
          <cell r="J3711">
            <v>-170.148044</v>
          </cell>
        </row>
        <row r="3712">
          <cell r="J3712">
            <v>-169.99002099999998</v>
          </cell>
        </row>
        <row r="3713">
          <cell r="J3713">
            <v>-169.832199</v>
          </cell>
        </row>
        <row r="3714">
          <cell r="J3714">
            <v>-169.67417699999999</v>
          </cell>
        </row>
        <row r="3715">
          <cell r="J3715">
            <v>-169.51625500000003</v>
          </cell>
        </row>
        <row r="3716">
          <cell r="J3716">
            <v>-169.35833300000002</v>
          </cell>
        </row>
        <row r="3717">
          <cell r="J3717">
            <v>-169.20031200000003</v>
          </cell>
        </row>
        <row r="3718">
          <cell r="J3718">
            <v>-169.04239100000001</v>
          </cell>
        </row>
        <row r="3719">
          <cell r="J3719">
            <v>-168.88447099999999</v>
          </cell>
        </row>
        <row r="3720">
          <cell r="J3720">
            <v>-168.726551</v>
          </cell>
        </row>
        <row r="3721">
          <cell r="J3721">
            <v>-168.56863100000001</v>
          </cell>
        </row>
        <row r="3722">
          <cell r="J3722">
            <v>-168.41061100000002</v>
          </cell>
        </row>
        <row r="3723">
          <cell r="J3723">
            <v>-168.25269200000002</v>
          </cell>
        </row>
        <row r="3724">
          <cell r="J3724">
            <v>-168.094773</v>
          </cell>
        </row>
        <row r="3725">
          <cell r="J3725">
            <v>-167.93685399999998</v>
          </cell>
        </row>
        <row r="3726">
          <cell r="J3726">
            <v>-167.77893599999999</v>
          </cell>
        </row>
        <row r="3727">
          <cell r="J3727">
            <v>-167.62091799999999</v>
          </cell>
        </row>
        <row r="3728">
          <cell r="J3728">
            <v>-167.46300000000002</v>
          </cell>
        </row>
        <row r="3729">
          <cell r="J3729">
            <v>-167.30508299999997</v>
          </cell>
        </row>
        <row r="3730">
          <cell r="J3730">
            <v>-167.147066</v>
          </cell>
        </row>
        <row r="3731">
          <cell r="J3731">
            <v>-166.989249</v>
          </cell>
        </row>
        <row r="3732">
          <cell r="J3732">
            <v>-166.831232</v>
          </cell>
        </row>
        <row r="3733">
          <cell r="J3733">
            <v>-166.673316</v>
          </cell>
        </row>
        <row r="3734">
          <cell r="J3734">
            <v>-166.51540000000003</v>
          </cell>
        </row>
        <row r="3735">
          <cell r="J3735">
            <v>-166.357384</v>
          </cell>
        </row>
        <row r="3736">
          <cell r="J3736">
            <v>-166.199569</v>
          </cell>
        </row>
        <row r="3737">
          <cell r="J3737">
            <v>-166.04155400000002</v>
          </cell>
        </row>
        <row r="3738">
          <cell r="J3738">
            <v>-165.88353899999998</v>
          </cell>
        </row>
        <row r="3739">
          <cell r="J3739">
            <v>-165.72582500000001</v>
          </cell>
        </row>
        <row r="3740">
          <cell r="J3740">
            <v>-165.567711</v>
          </cell>
        </row>
        <row r="3741">
          <cell r="J3741">
            <v>-165.40969699999999</v>
          </cell>
        </row>
        <row r="3742">
          <cell r="J3742">
            <v>-165.25188400000002</v>
          </cell>
        </row>
        <row r="3743">
          <cell r="J3743">
            <v>-165.09397100000001</v>
          </cell>
        </row>
        <row r="3744">
          <cell r="J3744">
            <v>-164.93595799999997</v>
          </cell>
        </row>
        <row r="3745">
          <cell r="J3745">
            <v>-164.77814499999999</v>
          </cell>
        </row>
        <row r="3746">
          <cell r="J3746">
            <v>-164.62003300000001</v>
          </cell>
        </row>
        <row r="3747">
          <cell r="J3747">
            <v>-164.46202099999999</v>
          </cell>
        </row>
        <row r="3748">
          <cell r="J3748">
            <v>-164.30430899999999</v>
          </cell>
        </row>
        <row r="3749">
          <cell r="J3749">
            <v>-164.14629799999997</v>
          </cell>
        </row>
        <row r="3750">
          <cell r="J3750">
            <v>-163.98828699999999</v>
          </cell>
        </row>
        <row r="3751">
          <cell r="J3751">
            <v>-163.83057600000001</v>
          </cell>
        </row>
        <row r="3752">
          <cell r="J3752">
            <v>-163.67246599999999</v>
          </cell>
        </row>
        <row r="3753">
          <cell r="J3753">
            <v>-163.514456</v>
          </cell>
        </row>
        <row r="3754">
          <cell r="J3754">
            <v>-163.35664599999998</v>
          </cell>
        </row>
        <row r="3755">
          <cell r="J3755">
            <v>-163.19863599999999</v>
          </cell>
        </row>
        <row r="3756">
          <cell r="J3756">
            <v>-163.040727</v>
          </cell>
        </row>
        <row r="3757">
          <cell r="J3757">
            <v>-162.88281800000001</v>
          </cell>
        </row>
        <row r="3758">
          <cell r="J3758">
            <v>-162.72490999999999</v>
          </cell>
        </row>
        <row r="3759">
          <cell r="J3759">
            <v>-162.566801</v>
          </cell>
        </row>
        <row r="3760">
          <cell r="J3760">
            <v>-162.40899300000004</v>
          </cell>
        </row>
        <row r="3761">
          <cell r="J3761">
            <v>-162.25108600000002</v>
          </cell>
        </row>
        <row r="3762">
          <cell r="J3762">
            <v>-162.09307800000002</v>
          </cell>
        </row>
        <row r="3763">
          <cell r="J3763">
            <v>-161.935271</v>
          </cell>
        </row>
        <row r="3764">
          <cell r="J3764">
            <v>-161.77716500000002</v>
          </cell>
        </row>
        <row r="3765">
          <cell r="J3765">
            <v>-161.619258</v>
          </cell>
        </row>
        <row r="3766">
          <cell r="J3766">
            <v>-161.461252</v>
          </cell>
        </row>
        <row r="3767">
          <cell r="J3767">
            <v>-161.30334599999998</v>
          </cell>
        </row>
        <row r="3768">
          <cell r="J3768">
            <v>-161.14554099999998</v>
          </cell>
        </row>
        <row r="3769">
          <cell r="J3769">
            <v>-160.98753600000001</v>
          </cell>
        </row>
        <row r="3770">
          <cell r="J3770">
            <v>-160.82963099999998</v>
          </cell>
        </row>
        <row r="3771">
          <cell r="J3771">
            <v>-160.671526</v>
          </cell>
        </row>
        <row r="3772">
          <cell r="J3772">
            <v>-160.513722</v>
          </cell>
        </row>
        <row r="3773">
          <cell r="J3773">
            <v>-160.35561800000002</v>
          </cell>
        </row>
        <row r="3774">
          <cell r="J3774">
            <v>-160.19781399999999</v>
          </cell>
        </row>
        <row r="3775">
          <cell r="J3775">
            <v>-160.04001100000002</v>
          </cell>
        </row>
        <row r="3776">
          <cell r="J3776">
            <v>-159.88190800000001</v>
          </cell>
        </row>
        <row r="3777">
          <cell r="J3777">
            <v>-159.72400500000001</v>
          </cell>
        </row>
        <row r="3778">
          <cell r="J3778">
            <v>-159.56590199999999</v>
          </cell>
        </row>
        <row r="3779">
          <cell r="J3779">
            <v>-159.40820000000002</v>
          </cell>
        </row>
        <row r="3780">
          <cell r="J3780">
            <v>-159.25009800000001</v>
          </cell>
        </row>
        <row r="3781">
          <cell r="J3781">
            <v>-159.092197</v>
          </cell>
        </row>
        <row r="3782">
          <cell r="J3782">
            <v>-158.93449600000002</v>
          </cell>
        </row>
        <row r="3783">
          <cell r="J3783">
            <v>-158.776295</v>
          </cell>
        </row>
        <row r="3784">
          <cell r="J3784">
            <v>-158.618394</v>
          </cell>
        </row>
        <row r="3785">
          <cell r="J3785">
            <v>-158.46049399999998</v>
          </cell>
        </row>
        <row r="3786">
          <cell r="J3786">
            <v>-158.302594</v>
          </cell>
        </row>
        <row r="3787">
          <cell r="J3787">
            <v>-158.14449399999998</v>
          </cell>
        </row>
        <row r="3788">
          <cell r="J3788">
            <v>-157.986795</v>
          </cell>
        </row>
        <row r="3789">
          <cell r="J3789">
            <v>-157.82859599999998</v>
          </cell>
        </row>
        <row r="3790">
          <cell r="J3790">
            <v>-157.67069699999999</v>
          </cell>
        </row>
        <row r="3791">
          <cell r="J3791">
            <v>-157.51289799999998</v>
          </cell>
        </row>
        <row r="3792">
          <cell r="J3792">
            <v>-157.35490000000001</v>
          </cell>
        </row>
        <row r="3793">
          <cell r="J3793">
            <v>-157.197002</v>
          </cell>
        </row>
        <row r="3794">
          <cell r="J3794">
            <v>-157.039005</v>
          </cell>
        </row>
        <row r="3795">
          <cell r="J3795">
            <v>-156.88110699999999</v>
          </cell>
        </row>
        <row r="3796">
          <cell r="J3796">
            <v>-156.72310999999996</v>
          </cell>
        </row>
        <row r="3797">
          <cell r="J3797">
            <v>-156.565214</v>
          </cell>
        </row>
        <row r="3798">
          <cell r="J3798">
            <v>-156.40717699999999</v>
          </cell>
        </row>
        <row r="3799">
          <cell r="J3799">
            <v>-156.24941100000001</v>
          </cell>
        </row>
        <row r="3800">
          <cell r="J3800">
            <v>-156.09134600000002</v>
          </cell>
        </row>
        <row r="3801">
          <cell r="J3801">
            <v>-155.93348</v>
          </cell>
        </row>
        <row r="3802">
          <cell r="J3802">
            <v>-155.77551500000001</v>
          </cell>
        </row>
        <row r="3803">
          <cell r="J3803">
            <v>-155.61755000000002</v>
          </cell>
        </row>
        <row r="3804">
          <cell r="J3804">
            <v>-155.459586</v>
          </cell>
        </row>
        <row r="3805">
          <cell r="J3805">
            <v>-155.30172199999998</v>
          </cell>
        </row>
        <row r="3806">
          <cell r="J3806">
            <v>-155.14374799999999</v>
          </cell>
        </row>
        <row r="3807">
          <cell r="J3807">
            <v>-154.98578399999997</v>
          </cell>
        </row>
        <row r="3808">
          <cell r="J3808">
            <v>-154.82792099999998</v>
          </cell>
        </row>
        <row r="3809">
          <cell r="J3809">
            <v>-154.66985800000003</v>
          </cell>
        </row>
        <row r="3810">
          <cell r="J3810">
            <v>-154.51199499999998</v>
          </cell>
        </row>
        <row r="3811">
          <cell r="J3811">
            <v>-154.35403299999999</v>
          </cell>
        </row>
        <row r="3812">
          <cell r="J3812">
            <v>-154.19617100000002</v>
          </cell>
        </row>
        <row r="3813">
          <cell r="J3813">
            <v>-154.03820899999999</v>
          </cell>
        </row>
        <row r="3814">
          <cell r="J3814">
            <v>-153.88023800000002</v>
          </cell>
        </row>
        <row r="3815">
          <cell r="J3815">
            <v>-153.72217600000002</v>
          </cell>
        </row>
        <row r="3816">
          <cell r="J3816">
            <v>-153.56441599999999</v>
          </cell>
        </row>
        <row r="3817">
          <cell r="J3817">
            <v>-153.40645499999999</v>
          </cell>
        </row>
        <row r="3818">
          <cell r="J3818">
            <v>-153.24849500000002</v>
          </cell>
        </row>
        <row r="3819">
          <cell r="J3819">
            <v>-153.09063499999999</v>
          </cell>
        </row>
        <row r="3820">
          <cell r="J3820">
            <v>-152.93256499999998</v>
          </cell>
        </row>
        <row r="3821">
          <cell r="J3821">
            <v>-152.77460600000003</v>
          </cell>
        </row>
        <row r="3822">
          <cell r="J3822">
            <v>-152.616747</v>
          </cell>
        </row>
        <row r="3823">
          <cell r="J3823">
            <v>-152.458788</v>
          </cell>
        </row>
        <row r="3824">
          <cell r="J3824">
            <v>-152.30083000000002</v>
          </cell>
        </row>
        <row r="3825">
          <cell r="J3825">
            <v>-152.14296200000001</v>
          </cell>
        </row>
        <row r="3826">
          <cell r="J3826">
            <v>-151.985004</v>
          </cell>
        </row>
        <row r="3827">
          <cell r="J3827">
            <v>-151.82704699999999</v>
          </cell>
        </row>
        <row r="3828">
          <cell r="J3828">
            <v>-151.66898899999998</v>
          </cell>
        </row>
        <row r="3829">
          <cell r="J3829">
            <v>-151.511123</v>
          </cell>
        </row>
        <row r="3830">
          <cell r="J3830">
            <v>-151.35316599999999</v>
          </cell>
        </row>
        <row r="3831">
          <cell r="J3831">
            <v>-151.19531000000001</v>
          </cell>
        </row>
        <row r="3832">
          <cell r="J3832">
            <v>-151.03724399999999</v>
          </cell>
        </row>
        <row r="3833">
          <cell r="J3833">
            <v>-150.87938800000001</v>
          </cell>
        </row>
        <row r="3834">
          <cell r="J3834">
            <v>-150.72133300000002</v>
          </cell>
        </row>
        <row r="3835">
          <cell r="J3835">
            <v>-150.56347799999998</v>
          </cell>
        </row>
        <row r="3836">
          <cell r="J3836">
            <v>-150.40551299999998</v>
          </cell>
        </row>
        <row r="3837">
          <cell r="J3837">
            <v>-150.247659</v>
          </cell>
        </row>
        <row r="3838">
          <cell r="J3838">
            <v>-150.08960499999998</v>
          </cell>
        </row>
        <row r="3839">
          <cell r="J3839">
            <v>-149.93174099999999</v>
          </cell>
        </row>
        <row r="3840">
          <cell r="J3840">
            <v>-149.773687</v>
          </cell>
        </row>
        <row r="3841">
          <cell r="J3841">
            <v>-149.61593399999998</v>
          </cell>
        </row>
        <row r="3842">
          <cell r="J3842">
            <v>-149.45787099999998</v>
          </cell>
        </row>
        <row r="3843">
          <cell r="J3843">
            <v>-149.30001899999999</v>
          </cell>
        </row>
        <row r="3844">
          <cell r="J3844">
            <v>-149.142056</v>
          </cell>
        </row>
        <row r="3845">
          <cell r="J3845">
            <v>-148.984105</v>
          </cell>
        </row>
        <row r="3846">
          <cell r="J3846">
            <v>-148.826053</v>
          </cell>
        </row>
        <row r="3847">
          <cell r="J3847">
            <v>-148.668192</v>
          </cell>
        </row>
        <row r="3848">
          <cell r="J3848">
            <v>-148.51024000000001</v>
          </cell>
        </row>
        <row r="3849">
          <cell r="J3849">
            <v>-148.35228000000001</v>
          </cell>
        </row>
        <row r="3850">
          <cell r="J3850">
            <v>-148.19442900000001</v>
          </cell>
        </row>
        <row r="3851">
          <cell r="J3851">
            <v>-148.03647899999999</v>
          </cell>
        </row>
        <row r="3852">
          <cell r="J3852">
            <v>-147.87841899999998</v>
          </cell>
        </row>
        <row r="3853">
          <cell r="J3853">
            <v>-147.72057000000001</v>
          </cell>
        </row>
        <row r="3854">
          <cell r="J3854">
            <v>-147.562511</v>
          </cell>
        </row>
        <row r="3855">
          <cell r="J3855">
            <v>-147.40476200000001</v>
          </cell>
        </row>
        <row r="3856">
          <cell r="J3856">
            <v>-147.246703</v>
          </cell>
        </row>
        <row r="3857">
          <cell r="J3857">
            <v>-147.08885500000002</v>
          </cell>
        </row>
        <row r="3858">
          <cell r="J3858">
            <v>-146.93089699999999</v>
          </cell>
        </row>
        <row r="3859">
          <cell r="J3859">
            <v>-146.77294900000001</v>
          </cell>
        </row>
        <row r="3860">
          <cell r="J3860">
            <v>-146.614892</v>
          </cell>
        </row>
        <row r="3861">
          <cell r="J3861">
            <v>-146.45714500000003</v>
          </cell>
        </row>
        <row r="3862">
          <cell r="J3862">
            <v>-146.29908800000001</v>
          </cell>
        </row>
        <row r="3863">
          <cell r="J3863">
            <v>-146.141142</v>
          </cell>
        </row>
        <row r="3864">
          <cell r="J3864">
            <v>-145.983285</v>
          </cell>
        </row>
        <row r="3865">
          <cell r="J3865">
            <v>-145.82523999999998</v>
          </cell>
        </row>
        <row r="3866">
          <cell r="J3866">
            <v>-145.667284</v>
          </cell>
        </row>
        <row r="3867">
          <cell r="J3867">
            <v>-145.50943899999999</v>
          </cell>
        </row>
        <row r="3868">
          <cell r="J3868">
            <v>-145.35138400000002</v>
          </cell>
        </row>
        <row r="3869">
          <cell r="J3869">
            <v>-145.19363899999999</v>
          </cell>
        </row>
        <row r="3870">
          <cell r="J3870">
            <v>-145.035585</v>
          </cell>
        </row>
        <row r="3871">
          <cell r="J3871">
            <v>-144.87773099999998</v>
          </cell>
        </row>
        <row r="3872">
          <cell r="J3872">
            <v>-144.71968699999999</v>
          </cell>
        </row>
        <row r="3873">
          <cell r="J3873">
            <v>-144.561834</v>
          </cell>
        </row>
        <row r="3874">
          <cell r="J3874">
            <v>-144.40379100000001</v>
          </cell>
        </row>
        <row r="3875">
          <cell r="J3875">
            <v>-144.24583799999999</v>
          </cell>
        </row>
        <row r="3876">
          <cell r="J3876">
            <v>-144.08798599999997</v>
          </cell>
        </row>
        <row r="3877">
          <cell r="J3877">
            <v>-143.92994300000001</v>
          </cell>
        </row>
        <row r="3878">
          <cell r="J3878">
            <v>-143.77209199999999</v>
          </cell>
        </row>
        <row r="3879">
          <cell r="J3879">
            <v>-143.61404000000002</v>
          </cell>
        </row>
        <row r="3880">
          <cell r="J3880">
            <v>-143.456199</v>
          </cell>
        </row>
        <row r="3881">
          <cell r="J3881">
            <v>-143.298248</v>
          </cell>
        </row>
        <row r="3882">
          <cell r="J3882">
            <v>-143.140297</v>
          </cell>
        </row>
        <row r="3883">
          <cell r="J3883">
            <v>-142.98245700000001</v>
          </cell>
        </row>
        <row r="3884">
          <cell r="J3884">
            <v>-142.82450699999998</v>
          </cell>
        </row>
        <row r="3885">
          <cell r="J3885">
            <v>-142.666357</v>
          </cell>
        </row>
        <row r="3886">
          <cell r="J3886">
            <v>-142.50861800000001</v>
          </cell>
        </row>
        <row r="3887">
          <cell r="J3887">
            <v>-142.35056900000001</v>
          </cell>
        </row>
        <row r="3888">
          <cell r="J3888">
            <v>-142.19262000000001</v>
          </cell>
        </row>
        <row r="3889">
          <cell r="J3889">
            <v>-142.03478099999998</v>
          </cell>
        </row>
        <row r="3890">
          <cell r="J3890">
            <v>-141.87673300000003</v>
          </cell>
        </row>
        <row r="3891">
          <cell r="J3891">
            <v>-141.718785</v>
          </cell>
        </row>
        <row r="3892">
          <cell r="J3892">
            <v>-141.56083799999999</v>
          </cell>
        </row>
        <row r="3893">
          <cell r="J3893">
            <v>-141.40289999999999</v>
          </cell>
        </row>
        <row r="3894">
          <cell r="J3894">
            <v>-141.24505299999998</v>
          </cell>
        </row>
        <row r="3895">
          <cell r="J3895">
            <v>-141.08710699999997</v>
          </cell>
        </row>
        <row r="3896">
          <cell r="J3896">
            <v>-140.92916</v>
          </cell>
        </row>
        <row r="3897">
          <cell r="J3897">
            <v>-140.77132399999999</v>
          </cell>
        </row>
        <row r="3898">
          <cell r="J3898">
            <v>-140.613179</v>
          </cell>
        </row>
        <row r="3899">
          <cell r="J3899">
            <v>-140.455333</v>
          </cell>
        </row>
        <row r="3900">
          <cell r="J3900">
            <v>-140.29738800000001</v>
          </cell>
        </row>
        <row r="3901">
          <cell r="J3901">
            <v>-140.139343</v>
          </cell>
        </row>
        <row r="3902">
          <cell r="J3902">
            <v>-139.98149900000001</v>
          </cell>
        </row>
        <row r="3903">
          <cell r="J3903">
            <v>-139.823565</v>
          </cell>
        </row>
        <row r="3904">
          <cell r="J3904">
            <v>-139.66552100000001</v>
          </cell>
        </row>
        <row r="3905">
          <cell r="J3905">
            <v>-139.507677</v>
          </cell>
        </row>
        <row r="3906">
          <cell r="J3906">
            <v>-139.34973399999998</v>
          </cell>
        </row>
        <row r="3907">
          <cell r="J3907">
            <v>-139.19179099999999</v>
          </cell>
        </row>
        <row r="3908">
          <cell r="J3908">
            <v>-139.03394800000001</v>
          </cell>
        </row>
        <row r="3909">
          <cell r="J3909">
            <v>-138.87591600000002</v>
          </cell>
        </row>
        <row r="3910">
          <cell r="J3910">
            <v>-138.71797399999997</v>
          </cell>
        </row>
        <row r="3911">
          <cell r="J3911">
            <v>-138.56003199999998</v>
          </cell>
        </row>
        <row r="3912">
          <cell r="J3912">
            <v>-138.40199000000001</v>
          </cell>
        </row>
        <row r="3913">
          <cell r="J3913">
            <v>-138.24414899999999</v>
          </cell>
        </row>
        <row r="3914">
          <cell r="J3914">
            <v>-138.086208</v>
          </cell>
        </row>
        <row r="3915">
          <cell r="J3915">
            <v>-137.928268</v>
          </cell>
        </row>
        <row r="3916">
          <cell r="J3916">
            <v>-137.77042800000001</v>
          </cell>
        </row>
        <row r="3917">
          <cell r="J3917">
            <v>-137.61238800000001</v>
          </cell>
        </row>
        <row r="3918">
          <cell r="J3918">
            <v>-137.45434800000001</v>
          </cell>
        </row>
        <row r="3919">
          <cell r="J3919">
            <v>-137.29650899999999</v>
          </cell>
        </row>
        <row r="3920">
          <cell r="J3920">
            <v>-137.1385698</v>
          </cell>
        </row>
        <row r="3921">
          <cell r="J3921">
            <v>-136.98053109999998</v>
          </cell>
        </row>
        <row r="3922">
          <cell r="J3922">
            <v>-136.82279270000001</v>
          </cell>
        </row>
        <row r="3923">
          <cell r="J3923">
            <v>-136.66475459999998</v>
          </cell>
        </row>
        <row r="3924">
          <cell r="J3924">
            <v>-136.50671679999999</v>
          </cell>
        </row>
        <row r="3925">
          <cell r="J3925">
            <v>-136.34887939999999</v>
          </cell>
        </row>
        <row r="3926">
          <cell r="J3926">
            <v>-136.19084220000002</v>
          </cell>
        </row>
        <row r="3927">
          <cell r="J3927">
            <v>-136.03300529999999</v>
          </cell>
        </row>
        <row r="3928">
          <cell r="J3928">
            <v>-135.87506880000001</v>
          </cell>
        </row>
        <row r="3929">
          <cell r="J3929">
            <v>-135.71713249999999</v>
          </cell>
        </row>
        <row r="3930">
          <cell r="J3930">
            <v>-135.55919660000001</v>
          </cell>
        </row>
        <row r="3931">
          <cell r="J3931">
            <v>-135.40126100000001</v>
          </cell>
        </row>
        <row r="3932">
          <cell r="J3932">
            <v>-135.24322560000002</v>
          </cell>
        </row>
        <row r="3933">
          <cell r="J3933">
            <v>-135.08529060000001</v>
          </cell>
        </row>
        <row r="3934">
          <cell r="J3934">
            <v>-134.92735590000001</v>
          </cell>
        </row>
        <row r="3935">
          <cell r="J3935">
            <v>-134.76942150000002</v>
          </cell>
        </row>
        <row r="3936">
          <cell r="J3936">
            <v>-134.61158739999999</v>
          </cell>
        </row>
        <row r="3937">
          <cell r="J3937">
            <v>-134.45355359999999</v>
          </cell>
        </row>
        <row r="3938">
          <cell r="J3938">
            <v>-134.29562009999998</v>
          </cell>
        </row>
        <row r="3939">
          <cell r="J3939">
            <v>-134.13768690000001</v>
          </cell>
        </row>
        <row r="3940">
          <cell r="J3940">
            <v>-133.97965399999998</v>
          </cell>
        </row>
        <row r="3941">
          <cell r="J3941">
            <v>-133.8219114</v>
          </cell>
        </row>
        <row r="3942">
          <cell r="J3942">
            <v>-133.6638792</v>
          </cell>
        </row>
        <row r="3943">
          <cell r="J3943">
            <v>-133.50584720000001</v>
          </cell>
        </row>
        <row r="3944">
          <cell r="J3944">
            <v>-133.3479155</v>
          </cell>
        </row>
        <row r="3945">
          <cell r="J3945">
            <v>-133.18998419999997</v>
          </cell>
        </row>
        <row r="3946">
          <cell r="J3946">
            <v>-133.03215309999999</v>
          </cell>
        </row>
        <row r="3947">
          <cell r="J3947">
            <v>-132.8741224</v>
          </cell>
        </row>
        <row r="3948">
          <cell r="J3948">
            <v>-132.71628200000001</v>
          </cell>
        </row>
        <row r="3949">
          <cell r="J3949">
            <v>-132.5583518</v>
          </cell>
        </row>
        <row r="3950">
          <cell r="J3950">
            <v>-132.40032199999999</v>
          </cell>
        </row>
        <row r="3951">
          <cell r="J3951">
            <v>-132.24229249999999</v>
          </cell>
        </row>
        <row r="3952">
          <cell r="J3952">
            <v>-132.08446330000001</v>
          </cell>
        </row>
        <row r="3953">
          <cell r="J3953">
            <v>-131.92652440000001</v>
          </cell>
        </row>
        <row r="3954">
          <cell r="J3954">
            <v>-131.76849580000001</v>
          </cell>
        </row>
        <row r="3955">
          <cell r="J3955">
            <v>-131.61066749999998</v>
          </cell>
        </row>
        <row r="3956">
          <cell r="J3956">
            <v>-131.45273950000001</v>
          </cell>
        </row>
        <row r="3957">
          <cell r="J3957">
            <v>-131.29481190000001</v>
          </cell>
        </row>
        <row r="3958">
          <cell r="J3958">
            <v>-131.13677450000003</v>
          </cell>
        </row>
        <row r="3959">
          <cell r="J3959">
            <v>-130.97884740000001</v>
          </cell>
        </row>
        <row r="3960">
          <cell r="J3960">
            <v>-130.82092070000002</v>
          </cell>
        </row>
        <row r="3961">
          <cell r="J3961">
            <v>-130.66298420000001</v>
          </cell>
        </row>
        <row r="3962">
          <cell r="J3962">
            <v>-130.50495810000001</v>
          </cell>
        </row>
        <row r="3963">
          <cell r="J3963">
            <v>-130.3471322</v>
          </cell>
        </row>
        <row r="3964">
          <cell r="J3964">
            <v>-130.18920669999997</v>
          </cell>
        </row>
        <row r="3965">
          <cell r="J3965">
            <v>-130.0310715</v>
          </cell>
        </row>
        <row r="3966">
          <cell r="J3966">
            <v>-129.87334659999999</v>
          </cell>
        </row>
        <row r="3967">
          <cell r="J3967">
            <v>-129.71532189999999</v>
          </cell>
        </row>
        <row r="3968">
          <cell r="J3968">
            <v>-129.5573876</v>
          </cell>
        </row>
        <row r="3969">
          <cell r="J3969">
            <v>-129.39946359999999</v>
          </cell>
        </row>
        <row r="3970">
          <cell r="J3970">
            <v>-129.24153989999999</v>
          </cell>
        </row>
        <row r="3971">
          <cell r="J3971">
            <v>-129.0836065</v>
          </cell>
        </row>
        <row r="3972">
          <cell r="J3972">
            <v>-128.92558349999999</v>
          </cell>
        </row>
        <row r="3973">
          <cell r="J3973">
            <v>-128.76756069999999</v>
          </cell>
        </row>
        <row r="3974">
          <cell r="J3974">
            <v>-128.60982820000001</v>
          </cell>
        </row>
        <row r="3975">
          <cell r="J3975">
            <v>-128.451806</v>
          </cell>
        </row>
        <row r="3976">
          <cell r="J3976">
            <v>-128.29397419999998</v>
          </cell>
        </row>
        <row r="3977">
          <cell r="J3977">
            <v>-128.1359526</v>
          </cell>
        </row>
        <row r="3978">
          <cell r="J3978">
            <v>-127.9778314</v>
          </cell>
        </row>
        <row r="3979">
          <cell r="J3979">
            <v>-127.82010039999999</v>
          </cell>
        </row>
        <row r="3980">
          <cell r="J3980">
            <v>-127.6620798</v>
          </cell>
        </row>
        <row r="3981">
          <cell r="J3981">
            <v>-127.50404949999998</v>
          </cell>
        </row>
        <row r="3982">
          <cell r="J3982">
            <v>-127.34622949999999</v>
          </cell>
        </row>
        <row r="3983">
          <cell r="J3983">
            <v>-127.18829980000001</v>
          </cell>
        </row>
        <row r="3984">
          <cell r="J3984">
            <v>-127.03048029999999</v>
          </cell>
        </row>
        <row r="3985">
          <cell r="J3985">
            <v>-126.8723612</v>
          </cell>
        </row>
        <row r="3986">
          <cell r="J3986">
            <v>-126.71433240000002</v>
          </cell>
        </row>
        <row r="3987">
          <cell r="J3987">
            <v>-126.556614</v>
          </cell>
        </row>
        <row r="3988">
          <cell r="J3988">
            <v>-126.39858580000001</v>
          </cell>
        </row>
        <row r="3989">
          <cell r="J3989">
            <v>-126.2405679</v>
          </cell>
        </row>
        <row r="3990">
          <cell r="J3990">
            <v>-126.0827403</v>
          </cell>
        </row>
        <row r="3991">
          <cell r="J3991">
            <v>-125.92472310000001</v>
          </cell>
        </row>
        <row r="3992">
          <cell r="J3992">
            <v>-125.76669609999999</v>
          </cell>
        </row>
        <row r="3993">
          <cell r="J3993">
            <v>-125.60887939999999</v>
          </cell>
        </row>
        <row r="3994">
          <cell r="J3994">
            <v>-125.4508531</v>
          </cell>
        </row>
        <row r="3995">
          <cell r="J3995">
            <v>-125.29303709999999</v>
          </cell>
        </row>
        <row r="3996">
          <cell r="J3996">
            <v>-125.13501129999999</v>
          </cell>
        </row>
        <row r="3997">
          <cell r="J3997">
            <v>-124.97708590000001</v>
          </cell>
        </row>
        <row r="3998">
          <cell r="J3998">
            <v>-124.8192708</v>
          </cell>
        </row>
        <row r="3999">
          <cell r="J3999">
            <v>-124.661146</v>
          </cell>
        </row>
        <row r="4000">
          <cell r="J4000">
            <v>-124.50313150000001</v>
          </cell>
        </row>
        <row r="4001">
          <cell r="J4001">
            <v>-124.3453073</v>
          </cell>
        </row>
        <row r="4002">
          <cell r="J4002">
            <v>-124.1873934</v>
          </cell>
        </row>
        <row r="4003">
          <cell r="J4003">
            <v>-124.0294698</v>
          </cell>
        </row>
        <row r="4004">
          <cell r="J4004">
            <v>-123.87154649999999</v>
          </cell>
        </row>
        <row r="4005">
          <cell r="J4005">
            <v>-123.71353350000001</v>
          </cell>
        </row>
        <row r="4006">
          <cell r="J4006">
            <v>-123.55551080000001</v>
          </cell>
        </row>
        <row r="4007">
          <cell r="J4007">
            <v>-123.39769849999998</v>
          </cell>
        </row>
        <row r="4008">
          <cell r="J4008">
            <v>-123.2396754</v>
          </cell>
        </row>
        <row r="4009">
          <cell r="J4009">
            <v>-123.0818577</v>
          </cell>
        </row>
        <row r="4010">
          <cell r="J4010">
            <v>-122.9238402</v>
          </cell>
        </row>
        <row r="4011">
          <cell r="J4011">
            <v>-122.7659221</v>
          </cell>
        </row>
        <row r="4012">
          <cell r="J4012">
            <v>-122.6081042</v>
          </cell>
        </row>
        <row r="4013">
          <cell r="J4013">
            <v>-122.44998769999999</v>
          </cell>
        </row>
        <row r="4014">
          <cell r="J4014">
            <v>-122.29207049999999</v>
          </cell>
        </row>
        <row r="4015">
          <cell r="J4015">
            <v>-122.1341536</v>
          </cell>
        </row>
        <row r="4016">
          <cell r="J4016">
            <v>-121.97613700000001</v>
          </cell>
        </row>
        <row r="4017">
          <cell r="J4017">
            <v>-121.81822070000001</v>
          </cell>
        </row>
        <row r="4018">
          <cell r="J4018">
            <v>-121.66040469999999</v>
          </cell>
        </row>
        <row r="4019">
          <cell r="J4019">
            <v>-121.502489</v>
          </cell>
        </row>
        <row r="4020">
          <cell r="J4020">
            <v>-121.3443726</v>
          </cell>
        </row>
        <row r="4021">
          <cell r="J4021">
            <v>-121.18645749999999</v>
          </cell>
        </row>
        <row r="4022">
          <cell r="J4022">
            <v>-121.02854269999999</v>
          </cell>
        </row>
        <row r="4023">
          <cell r="J4023">
            <v>-120.87052730000001</v>
          </cell>
        </row>
        <row r="4024">
          <cell r="J4024">
            <v>-120.7127131</v>
          </cell>
        </row>
        <row r="4025">
          <cell r="J4025">
            <v>-120.5547983</v>
          </cell>
        </row>
        <row r="4026">
          <cell r="J4026">
            <v>-120.39678369999999</v>
          </cell>
        </row>
        <row r="4027">
          <cell r="J4027">
            <v>-120.23886950000001</v>
          </cell>
        </row>
        <row r="4028">
          <cell r="J4028">
            <v>-120.0808565</v>
          </cell>
        </row>
        <row r="4029">
          <cell r="J4029">
            <v>-119.92284250000002</v>
          </cell>
        </row>
        <row r="4030">
          <cell r="J4030">
            <v>-119.7651292</v>
          </cell>
        </row>
        <row r="4031">
          <cell r="J4031">
            <v>-119.60711610999999</v>
          </cell>
        </row>
        <row r="4032">
          <cell r="J4032">
            <v>-119.4491032</v>
          </cell>
        </row>
        <row r="4033">
          <cell r="J4033">
            <v>-119.2912906</v>
          </cell>
        </row>
        <row r="4034">
          <cell r="J4034">
            <v>-119.13317839999999</v>
          </cell>
        </row>
        <row r="4035">
          <cell r="J4035">
            <v>-118.97516560000001</v>
          </cell>
        </row>
        <row r="4036">
          <cell r="J4036">
            <v>-118.8173541</v>
          </cell>
        </row>
        <row r="4037">
          <cell r="J4037">
            <v>-118.6594419</v>
          </cell>
        </row>
        <row r="4038">
          <cell r="J4038">
            <v>-118.50153105999999</v>
          </cell>
        </row>
        <row r="4039">
          <cell r="J4039">
            <v>-118.3436195</v>
          </cell>
        </row>
        <row r="4040">
          <cell r="J4040">
            <v>-118.18560824000001</v>
          </cell>
        </row>
        <row r="4041">
          <cell r="J4041">
            <v>-118.02759729</v>
          </cell>
        </row>
        <row r="4042">
          <cell r="J4042">
            <v>-117.86968664000001</v>
          </cell>
        </row>
        <row r="4043">
          <cell r="J4043">
            <v>-117.71167630000002</v>
          </cell>
        </row>
        <row r="4044">
          <cell r="J4044">
            <v>-117.55386626999999</v>
          </cell>
        </row>
        <row r="4045">
          <cell r="J4045">
            <v>-117.39585653999998</v>
          </cell>
        </row>
        <row r="4046">
          <cell r="J4046">
            <v>-117.23804711999998</v>
          </cell>
        </row>
        <row r="4047">
          <cell r="J4047">
            <v>-117.08003701</v>
          </cell>
        </row>
        <row r="4048">
          <cell r="J4048">
            <v>-116.9220282</v>
          </cell>
        </row>
        <row r="4049">
          <cell r="J4049">
            <v>-116.76411970000001</v>
          </cell>
        </row>
        <row r="4050">
          <cell r="J4050">
            <v>-116.60611050999999</v>
          </cell>
        </row>
        <row r="4051">
          <cell r="J4051">
            <v>-116.44820162300002</v>
          </cell>
        </row>
        <row r="4052">
          <cell r="J4052">
            <v>-116.29039403999998</v>
          </cell>
        </row>
        <row r="4053">
          <cell r="J4053">
            <v>-116.13238576000001</v>
          </cell>
        </row>
        <row r="4054">
          <cell r="J4054">
            <v>-115.9744778</v>
          </cell>
        </row>
        <row r="4055">
          <cell r="J4055">
            <v>-115.81657513</v>
          </cell>
        </row>
        <row r="4056">
          <cell r="J4056">
            <v>-115.65846778</v>
          </cell>
        </row>
        <row r="4057">
          <cell r="J4057">
            <v>-115.50055072999999</v>
          </cell>
        </row>
        <row r="4058">
          <cell r="J4058">
            <v>-115.34254397999999</v>
          </cell>
        </row>
        <row r="4059">
          <cell r="J4059">
            <v>-115.18473754</v>
          </cell>
        </row>
        <row r="4060">
          <cell r="J4060">
            <v>-115.02673141000001</v>
          </cell>
        </row>
        <row r="4061">
          <cell r="J4061">
            <v>-114.86882558999999</v>
          </cell>
        </row>
        <row r="4062">
          <cell r="J4062">
            <v>-114.71102007</v>
          </cell>
        </row>
        <row r="4063">
          <cell r="J4063">
            <v>-114.55291486</v>
          </cell>
        </row>
        <row r="4064">
          <cell r="J4064">
            <v>-114.39491</v>
          </cell>
        </row>
        <row r="4065">
          <cell r="J4065">
            <v>-114.2371054</v>
          </cell>
        </row>
        <row r="4066">
          <cell r="J4066">
            <v>-114.0791011</v>
          </cell>
        </row>
        <row r="4067">
          <cell r="J4067">
            <v>-113.9211971</v>
          </cell>
        </row>
        <row r="4068">
          <cell r="J4068">
            <v>-113.76319340000001</v>
          </cell>
        </row>
        <row r="4069">
          <cell r="J4069">
            <v>-113.60529</v>
          </cell>
        </row>
        <row r="4070">
          <cell r="J4070">
            <v>-113.44728699999999</v>
          </cell>
        </row>
        <row r="4071">
          <cell r="J4071">
            <v>-113.2892842</v>
          </cell>
        </row>
        <row r="4072">
          <cell r="J4072">
            <v>-113.13147169999999</v>
          </cell>
        </row>
        <row r="4073">
          <cell r="J4073">
            <v>-112.97356959999999</v>
          </cell>
        </row>
        <row r="4074">
          <cell r="J4074">
            <v>-112.81556769999999</v>
          </cell>
        </row>
        <row r="4075">
          <cell r="J4075">
            <v>-112.65766619999999</v>
          </cell>
        </row>
        <row r="4076">
          <cell r="J4076">
            <v>-112.499765</v>
          </cell>
        </row>
        <row r="4077">
          <cell r="J4077">
            <v>-112.34176410000001</v>
          </cell>
        </row>
        <row r="4078">
          <cell r="J4078">
            <v>-112.1837634</v>
          </cell>
        </row>
        <row r="4079">
          <cell r="J4079">
            <v>-112.02585309999999</v>
          </cell>
        </row>
        <row r="4080">
          <cell r="J4080">
            <v>-111.8678531</v>
          </cell>
        </row>
        <row r="4081">
          <cell r="J4081">
            <v>-111.7099534</v>
          </cell>
        </row>
        <row r="4082">
          <cell r="J4082">
            <v>-111.55195400000002</v>
          </cell>
        </row>
        <row r="4083">
          <cell r="J4083">
            <v>-111.394155</v>
          </cell>
        </row>
        <row r="4084">
          <cell r="J4084">
            <v>-111.23614619999999</v>
          </cell>
        </row>
        <row r="4085">
          <cell r="J4085">
            <v>-111.07804769999998</v>
          </cell>
        </row>
        <row r="4086">
          <cell r="J4086">
            <v>-110.9203495</v>
          </cell>
        </row>
        <row r="4087">
          <cell r="J4087">
            <v>-110.7623517</v>
          </cell>
        </row>
        <row r="4088">
          <cell r="J4088">
            <v>-110.60434410000001</v>
          </cell>
        </row>
        <row r="4089">
          <cell r="J4089">
            <v>-110.44644689999998</v>
          </cell>
        </row>
        <row r="4090">
          <cell r="J4090">
            <v>-110.28854989999999</v>
          </cell>
        </row>
        <row r="4091">
          <cell r="J4091">
            <v>-110.13065330000001</v>
          </cell>
        </row>
        <row r="4092">
          <cell r="J4092">
            <v>-109.97254700000001</v>
          </cell>
        </row>
        <row r="4093">
          <cell r="J4093">
            <v>-109.81385999999999</v>
          </cell>
        </row>
        <row r="4094">
          <cell r="J4094">
            <v>-109.6544602</v>
          </cell>
        </row>
        <row r="4095">
          <cell r="J4095">
            <v>-109.49496070000001</v>
          </cell>
        </row>
        <row r="4096">
          <cell r="J4096">
            <v>-109.33546150000001</v>
          </cell>
        </row>
        <row r="4097">
          <cell r="J4097">
            <v>-109.1760527</v>
          </cell>
        </row>
        <row r="4098">
          <cell r="J4098">
            <v>-109.01675420000002</v>
          </cell>
        </row>
        <row r="4099">
          <cell r="J4099">
            <v>-108.857156</v>
          </cell>
        </row>
        <row r="4100">
          <cell r="J4100">
            <v>-108.69775820000001</v>
          </cell>
        </row>
        <row r="4101">
          <cell r="J4101">
            <v>-108.53836070000001</v>
          </cell>
        </row>
        <row r="4102">
          <cell r="J4102">
            <v>-108.37876360000001</v>
          </cell>
        </row>
        <row r="4103">
          <cell r="J4103">
            <v>-108.2193568</v>
          </cell>
        </row>
        <row r="4104">
          <cell r="J4104">
            <v>-108.06006040000001</v>
          </cell>
        </row>
        <row r="4105">
          <cell r="J4105">
            <v>-107.9005643</v>
          </cell>
        </row>
        <row r="4106">
          <cell r="J4106">
            <v>-107.74105849999999</v>
          </cell>
        </row>
        <row r="4107">
          <cell r="J4107">
            <v>-107.58166299999999</v>
          </cell>
        </row>
        <row r="4108">
          <cell r="J4108">
            <v>-107.42216789999999</v>
          </cell>
        </row>
        <row r="4109">
          <cell r="J4109">
            <v>-107.26266320000001</v>
          </cell>
        </row>
        <row r="4110">
          <cell r="J4110">
            <v>-107.10326880000001</v>
          </cell>
        </row>
        <row r="4111">
          <cell r="J4111">
            <v>-106.94386469999999</v>
          </cell>
        </row>
        <row r="4112">
          <cell r="J4112">
            <v>-106.78447100000001</v>
          </cell>
        </row>
        <row r="4113">
          <cell r="J4113">
            <v>-106.6248676</v>
          </cell>
        </row>
        <row r="4114">
          <cell r="J4114">
            <v>-106.46547450000003</v>
          </cell>
        </row>
        <row r="4115">
          <cell r="J4115">
            <v>-106.30607180000001</v>
          </cell>
        </row>
        <row r="4116">
          <cell r="J4116">
            <v>-106.14667940000001</v>
          </cell>
        </row>
        <row r="4117">
          <cell r="J4117">
            <v>-105.98717739999999</v>
          </cell>
        </row>
        <row r="4118">
          <cell r="J4118">
            <v>-105.82778569999999</v>
          </cell>
        </row>
        <row r="4119">
          <cell r="J4119">
            <v>-105.66828430000001</v>
          </cell>
        </row>
        <row r="4120">
          <cell r="J4120">
            <v>-105.50878329999999</v>
          </cell>
        </row>
        <row r="4121">
          <cell r="J4121">
            <v>-105.3492926</v>
          </cell>
        </row>
        <row r="4122">
          <cell r="J4122">
            <v>-105.18989230000001</v>
          </cell>
        </row>
        <row r="4123">
          <cell r="J4123">
            <v>-105.0305923</v>
          </cell>
        </row>
        <row r="4124">
          <cell r="J4124">
            <v>-104.87099259999998</v>
          </cell>
        </row>
        <row r="4125">
          <cell r="J4125">
            <v>-104.71160329999999</v>
          </cell>
        </row>
        <row r="4126">
          <cell r="J4126">
            <v>-104.55220439999999</v>
          </cell>
        </row>
        <row r="4127">
          <cell r="J4127">
            <v>-104.39270569999999</v>
          </cell>
        </row>
        <row r="4128">
          <cell r="J4128">
            <v>-104.2332074</v>
          </cell>
        </row>
        <row r="4129">
          <cell r="J4129">
            <v>-104.07390950000001</v>
          </cell>
        </row>
        <row r="4130">
          <cell r="J4130">
            <v>-103.91441180000001</v>
          </cell>
        </row>
        <row r="4131">
          <cell r="J4131">
            <v>-103.75492460000001</v>
          </cell>
        </row>
        <row r="4132">
          <cell r="J4132">
            <v>-103.59542759999999</v>
          </cell>
        </row>
        <row r="4133">
          <cell r="J4133">
            <v>-103.43603100000001</v>
          </cell>
        </row>
        <row r="4134">
          <cell r="J4134">
            <v>-103.2766348</v>
          </cell>
        </row>
        <row r="4135">
          <cell r="J4135">
            <v>-103.11703879999999</v>
          </cell>
        </row>
        <row r="4136">
          <cell r="J4136">
            <v>-102.9576433</v>
          </cell>
        </row>
        <row r="4137">
          <cell r="J4137">
            <v>-102.798348</v>
          </cell>
        </row>
        <row r="4138">
          <cell r="J4138">
            <v>-102.63885309999998</v>
          </cell>
        </row>
        <row r="4139">
          <cell r="J4139">
            <v>-102.47934860000001</v>
          </cell>
        </row>
        <row r="4140">
          <cell r="J4140">
            <v>-102.3198543</v>
          </cell>
        </row>
        <row r="4141">
          <cell r="J4141">
            <v>-102.1604605</v>
          </cell>
        </row>
        <row r="4142">
          <cell r="J4142">
            <v>-102.00096690000001</v>
          </cell>
        </row>
        <row r="4143">
          <cell r="J4143">
            <v>-101.84147369999999</v>
          </cell>
        </row>
        <row r="4144">
          <cell r="J4144">
            <v>-101.68218090000001</v>
          </cell>
        </row>
        <row r="4145">
          <cell r="J4145">
            <v>-101.52267829999998</v>
          </cell>
        </row>
        <row r="4146">
          <cell r="J4146">
            <v>-101.3631862</v>
          </cell>
        </row>
        <row r="4147">
          <cell r="J4147">
            <v>-101.20379430000001</v>
          </cell>
        </row>
        <row r="4148">
          <cell r="J4148">
            <v>-101.0443028</v>
          </cell>
        </row>
        <row r="4149">
          <cell r="J4149">
            <v>-100.88490160000001</v>
          </cell>
        </row>
        <row r="4150">
          <cell r="J4150">
            <v>-100.72541079999999</v>
          </cell>
        </row>
        <row r="4151">
          <cell r="J4151">
            <v>-100.5659203</v>
          </cell>
        </row>
        <row r="4152">
          <cell r="J4152">
            <v>-100.40662019999999</v>
          </cell>
        </row>
        <row r="4153">
          <cell r="J4153">
            <v>-100.24703039999999</v>
          </cell>
        </row>
        <row r="4154">
          <cell r="J4154">
            <v>-100.08763089999999</v>
          </cell>
        </row>
        <row r="4155">
          <cell r="J4155">
            <v>-99.928241799999995</v>
          </cell>
        </row>
        <row r="4156">
          <cell r="J4156">
            <v>-99.768743000000001</v>
          </cell>
        </row>
        <row r="4157">
          <cell r="J4157">
            <v>-99.609254600000014</v>
          </cell>
        </row>
        <row r="4158">
          <cell r="J4158">
            <v>-99.449756499999992</v>
          </cell>
        </row>
        <row r="4159">
          <cell r="J4159">
            <v>-99.290368700000002</v>
          </cell>
        </row>
        <row r="4160">
          <cell r="J4160">
            <v>-99.130971299999999</v>
          </cell>
        </row>
        <row r="4161">
          <cell r="J4161">
            <v>-98.971484200000006</v>
          </cell>
        </row>
        <row r="4162">
          <cell r="J4162">
            <v>-98.812087500000018</v>
          </cell>
        </row>
        <row r="4163">
          <cell r="J4163">
            <v>-98.652591099999995</v>
          </cell>
        </row>
        <row r="4164">
          <cell r="J4164">
            <v>-98.493105</v>
          </cell>
        </row>
        <row r="4165">
          <cell r="J4165">
            <v>-98.333709299999995</v>
          </cell>
        </row>
        <row r="4166">
          <cell r="J4166">
            <v>-98.174213900000012</v>
          </cell>
        </row>
        <row r="4167">
          <cell r="J4167">
            <v>-98.014828800000004</v>
          </cell>
        </row>
        <row r="4168">
          <cell r="J4168">
            <v>-97.855234100000018</v>
          </cell>
        </row>
        <row r="4169">
          <cell r="J4169">
            <v>-97.695939800000005</v>
          </cell>
        </row>
        <row r="4170">
          <cell r="J4170">
            <v>-97.536545799999999</v>
          </cell>
        </row>
        <row r="4171">
          <cell r="J4171">
            <v>-97.377152099999989</v>
          </cell>
        </row>
        <row r="4172">
          <cell r="J4172">
            <v>-97.21766869999999</v>
          </cell>
        </row>
        <row r="4173">
          <cell r="J4173">
            <v>-97.058175699999993</v>
          </cell>
        </row>
        <row r="4174">
          <cell r="J4174">
            <v>-96.898783000000009</v>
          </cell>
        </row>
        <row r="4175">
          <cell r="J4175">
            <v>-96.739290699999998</v>
          </cell>
        </row>
        <row r="4176">
          <cell r="J4176">
            <v>-96.579798699999998</v>
          </cell>
        </row>
        <row r="4177">
          <cell r="J4177">
            <v>-96.420407100000006</v>
          </cell>
        </row>
        <row r="4178">
          <cell r="J4178">
            <v>-96.260915800000006</v>
          </cell>
        </row>
        <row r="4179">
          <cell r="J4179">
            <v>-96.10142479999999</v>
          </cell>
        </row>
        <row r="4180">
          <cell r="J4180">
            <v>-95.942034199999995</v>
          </cell>
        </row>
        <row r="4181">
          <cell r="J4181">
            <v>-95.782643900000011</v>
          </cell>
        </row>
        <row r="4182">
          <cell r="J4182">
            <v>-95.623253999999989</v>
          </cell>
        </row>
        <row r="4183">
          <cell r="J4183">
            <v>-95.463664400000013</v>
          </cell>
        </row>
        <row r="4184">
          <cell r="J4184">
            <v>-95.304265099999981</v>
          </cell>
        </row>
        <row r="4185">
          <cell r="J4185">
            <v>-95.144876199999999</v>
          </cell>
        </row>
        <row r="4186">
          <cell r="J4186">
            <v>-94.985387599999996</v>
          </cell>
        </row>
        <row r="4187">
          <cell r="J4187">
            <v>-94.825899299999989</v>
          </cell>
        </row>
        <row r="4188">
          <cell r="J4188">
            <v>-94.666205699999992</v>
          </cell>
        </row>
        <row r="4189">
          <cell r="J4189">
            <v>-94.504976199999987</v>
          </cell>
        </row>
        <row r="4190">
          <cell r="J4190">
            <v>-94.343757199999999</v>
          </cell>
        </row>
        <row r="4191">
          <cell r="J4191">
            <v>-94.182438500000004</v>
          </cell>
        </row>
        <row r="4192">
          <cell r="J4192">
            <v>-94.021210199999999</v>
          </cell>
        </row>
        <row r="4193">
          <cell r="J4193">
            <v>-93.859892300000013</v>
          </cell>
        </row>
        <row r="4194">
          <cell r="J4194">
            <v>-93.698764800000006</v>
          </cell>
        </row>
        <row r="4195">
          <cell r="J4195">
            <v>-93.537447700000001</v>
          </cell>
        </row>
        <row r="4196">
          <cell r="J4196">
            <v>-93.376220899999993</v>
          </cell>
        </row>
        <row r="4197">
          <cell r="J4197">
            <v>-93.214994499999989</v>
          </cell>
        </row>
        <row r="4198">
          <cell r="J4198">
            <v>-93.053678500000004</v>
          </cell>
        </row>
        <row r="4199">
          <cell r="J4199">
            <v>-92.892552899999998</v>
          </cell>
        </row>
        <row r="4200">
          <cell r="J4200">
            <v>-92.731327699999994</v>
          </cell>
        </row>
        <row r="4201">
          <cell r="J4201">
            <v>-92.57011279999999</v>
          </cell>
        </row>
        <row r="4202">
          <cell r="J4202">
            <v>-92.408788299999998</v>
          </cell>
        </row>
        <row r="4203">
          <cell r="J4203">
            <v>-92.247564199999999</v>
          </cell>
        </row>
        <row r="4204">
          <cell r="J4204">
            <v>-92.086240500000002</v>
          </cell>
        </row>
        <row r="4205">
          <cell r="J4205">
            <v>-91.925017100000005</v>
          </cell>
        </row>
        <row r="4206">
          <cell r="J4206">
            <v>-91.763904200000013</v>
          </cell>
        </row>
        <row r="4207">
          <cell r="J4207">
            <v>-91.602581600000008</v>
          </cell>
        </row>
        <row r="4208">
          <cell r="J4208">
            <v>-91.44135940000001</v>
          </cell>
        </row>
        <row r="4209">
          <cell r="J4209">
            <v>-91.2800376</v>
          </cell>
        </row>
        <row r="4210">
          <cell r="J4210">
            <v>-91.118816099999989</v>
          </cell>
        </row>
        <row r="4211">
          <cell r="J4211">
            <v>-90.957495100000003</v>
          </cell>
        </row>
        <row r="4212">
          <cell r="J4212">
            <v>-90.796374400000005</v>
          </cell>
        </row>
        <row r="4213">
          <cell r="J4213">
            <v>-90.635054099999991</v>
          </cell>
        </row>
        <row r="4214">
          <cell r="J4214">
            <v>-90.473834100000005</v>
          </cell>
        </row>
        <row r="4215">
          <cell r="J4215">
            <v>-90.3125146</v>
          </cell>
        </row>
        <row r="4216">
          <cell r="J4216">
            <v>-90.151295400000009</v>
          </cell>
        </row>
        <row r="4217">
          <cell r="J4217">
            <v>-89.990066599999992</v>
          </cell>
        </row>
        <row r="4218">
          <cell r="J4218">
            <v>-89.828948199999985</v>
          </cell>
        </row>
        <row r="4219">
          <cell r="J4219">
            <v>-89.667730199999994</v>
          </cell>
        </row>
        <row r="4220">
          <cell r="J4220">
            <v>-89.506412600000004</v>
          </cell>
        </row>
        <row r="4221">
          <cell r="J4221">
            <v>-89.345185299999997</v>
          </cell>
        </row>
        <row r="4222">
          <cell r="J4222">
            <v>-89.183968399999998</v>
          </cell>
        </row>
        <row r="4223">
          <cell r="J4223">
            <v>-89.022491799999997</v>
          </cell>
        </row>
        <row r="4224">
          <cell r="J4224">
            <v>-88.860349799999995</v>
          </cell>
        </row>
        <row r="4225">
          <cell r="J4225">
            <v>-88.698108200000007</v>
          </cell>
        </row>
        <row r="4226">
          <cell r="J4226">
            <v>-88.536166899999998</v>
          </cell>
        </row>
        <row r="4227">
          <cell r="J4227">
            <v>-88.373916000000008</v>
          </cell>
        </row>
        <row r="4228">
          <cell r="J4228">
            <v>-88.211975600000002</v>
          </cell>
        </row>
        <row r="4229">
          <cell r="J4229">
            <v>-88.049835499999986</v>
          </cell>
        </row>
        <row r="4230">
          <cell r="J4230">
            <v>-87.887785800000003</v>
          </cell>
        </row>
        <row r="4231">
          <cell r="J4231">
            <v>-87.725646600000005</v>
          </cell>
        </row>
        <row r="4232">
          <cell r="J4232">
            <v>-87.563497699999999</v>
          </cell>
        </row>
        <row r="4233">
          <cell r="J4233">
            <v>-87.401359299999996</v>
          </cell>
        </row>
        <row r="4234">
          <cell r="J4234">
            <v>-87.239311200000003</v>
          </cell>
        </row>
        <row r="4235">
          <cell r="J4235">
            <v>-87.077273500000004</v>
          </cell>
        </row>
        <row r="4236">
          <cell r="J4236">
            <v>-86.915126299999983</v>
          </cell>
        </row>
        <row r="4237">
          <cell r="J4237">
            <v>-86.753089400000007</v>
          </cell>
        </row>
        <row r="4238">
          <cell r="J4238">
            <v>-86.590942999999996</v>
          </cell>
        </row>
        <row r="4239">
          <cell r="J4239">
            <v>-86.428806899999998</v>
          </cell>
        </row>
        <row r="4240">
          <cell r="J4240">
            <v>-86.266761299999985</v>
          </cell>
        </row>
        <row r="4241">
          <cell r="J4241">
            <v>-86.104616000000021</v>
          </cell>
        </row>
        <row r="4242">
          <cell r="J4242">
            <v>-85.942681199999996</v>
          </cell>
        </row>
        <row r="4243">
          <cell r="J4243">
            <v>-85.780436699999996</v>
          </cell>
        </row>
        <row r="4244">
          <cell r="J4244">
            <v>-85.618392700000001</v>
          </cell>
        </row>
        <row r="4245">
          <cell r="J4245">
            <v>-85.456249030000009</v>
          </cell>
        </row>
        <row r="4246">
          <cell r="J4246">
            <v>-85.294115790000006</v>
          </cell>
        </row>
        <row r="4247">
          <cell r="J4247">
            <v>-85.13207294</v>
          </cell>
        </row>
        <row r="4248">
          <cell r="J4248">
            <v>-84.970030500000007</v>
          </cell>
        </row>
        <row r="4249">
          <cell r="J4249">
            <v>-84.80798845999999</v>
          </cell>
        </row>
        <row r="4250">
          <cell r="J4250">
            <v>-84.645746810000006</v>
          </cell>
        </row>
        <row r="4251">
          <cell r="J4251">
            <v>-84.48360556999998</v>
          </cell>
        </row>
        <row r="4252">
          <cell r="J4252">
            <v>-84.321664729999995</v>
          </cell>
        </row>
        <row r="4253">
          <cell r="J4253">
            <v>-84.159524289999993</v>
          </cell>
        </row>
        <row r="4254">
          <cell r="J4254">
            <v>-83.997484249999999</v>
          </cell>
        </row>
        <row r="4255">
          <cell r="J4255">
            <v>-83.835344620000001</v>
          </cell>
        </row>
        <row r="4256">
          <cell r="J4256">
            <v>-83.673205380000013</v>
          </cell>
        </row>
        <row r="4257">
          <cell r="J4257">
            <v>-83.511066540000002</v>
          </cell>
        </row>
        <row r="4258">
          <cell r="J4258">
            <v>-83.349028109999992</v>
          </cell>
        </row>
        <row r="4259">
          <cell r="J4259">
            <v>-83.186990070000007</v>
          </cell>
        </row>
        <row r="4260">
          <cell r="J4260">
            <v>-83.024952439999993</v>
          </cell>
        </row>
        <row r="4261">
          <cell r="J4261">
            <v>-82.860176131000003</v>
          </cell>
        </row>
        <row r="4262">
          <cell r="J4262">
            <v>-82.694479989999991</v>
          </cell>
        </row>
        <row r="4263">
          <cell r="J4263">
            <v>-82.528757069999997</v>
          </cell>
        </row>
        <row r="4264">
          <cell r="J4264">
            <v>-82.36323462</v>
          </cell>
        </row>
        <row r="4265">
          <cell r="J4265">
            <v>-82.197612599999999</v>
          </cell>
        </row>
        <row r="4266">
          <cell r="J4266">
            <v>-82.031891099999982</v>
          </cell>
        </row>
        <row r="4267">
          <cell r="J4267">
            <v>-81.866270100000023</v>
          </cell>
        </row>
        <row r="4268">
          <cell r="J4268">
            <v>-81.700749500000015</v>
          </cell>
        </row>
        <row r="4269">
          <cell r="J4269">
            <v>-81.535229399999992</v>
          </cell>
        </row>
        <row r="4270">
          <cell r="J4270">
            <v>-81.369509800000003</v>
          </cell>
        </row>
        <row r="4271">
          <cell r="J4271">
            <v>-81.203890600000008</v>
          </cell>
        </row>
        <row r="4272">
          <cell r="J4272">
            <v>-81.038291900000004</v>
          </cell>
        </row>
        <row r="4273">
          <cell r="J4273">
            <v>-80.872583700000007</v>
          </cell>
        </row>
        <row r="4274">
          <cell r="J4274">
            <v>-80.70717590000001</v>
          </cell>
        </row>
        <row r="4275">
          <cell r="J4275">
            <v>-80.54146870000001</v>
          </cell>
        </row>
        <row r="4276">
          <cell r="J4276">
            <v>-80.37577180000001</v>
          </cell>
        </row>
        <row r="4277">
          <cell r="J4277">
            <v>-80.210175499999991</v>
          </cell>
        </row>
        <row r="4278">
          <cell r="J4278">
            <v>-80.044559599999985</v>
          </cell>
        </row>
        <row r="4279">
          <cell r="J4279">
            <v>-79.879064199999988</v>
          </cell>
        </row>
        <row r="4280">
          <cell r="J4280">
            <v>-79.71334929999999</v>
          </cell>
        </row>
        <row r="4281">
          <cell r="J4281">
            <v>-79.547754799999993</v>
          </cell>
        </row>
        <row r="4282">
          <cell r="J4282">
            <v>-79.382150800000005</v>
          </cell>
        </row>
        <row r="4283">
          <cell r="J4283">
            <v>-79.216447299999999</v>
          </cell>
        </row>
        <row r="4284">
          <cell r="J4284">
            <v>-79.050844300000009</v>
          </cell>
        </row>
        <row r="4285">
          <cell r="J4285">
            <v>-78.885341699999984</v>
          </cell>
        </row>
        <row r="4286">
          <cell r="J4286">
            <v>-78.71962959999999</v>
          </cell>
        </row>
        <row r="4287">
          <cell r="J4287">
            <v>-78.554037899999997</v>
          </cell>
        </row>
        <row r="4288">
          <cell r="J4288">
            <v>-78.388426799999991</v>
          </cell>
        </row>
        <row r="4289">
          <cell r="J4289">
            <v>-78.222826099999992</v>
          </cell>
        </row>
        <row r="4290">
          <cell r="J4290">
            <v>-78.057225799999998</v>
          </cell>
        </row>
        <row r="4291">
          <cell r="J4291">
            <v>-77.891626099999996</v>
          </cell>
        </row>
        <row r="4292">
          <cell r="J4292">
            <v>-77.726016799999996</v>
          </cell>
        </row>
        <row r="4293">
          <cell r="J4293">
            <v>-77.560317999999995</v>
          </cell>
        </row>
        <row r="4294">
          <cell r="J4294">
            <v>-77.394719600000016</v>
          </cell>
        </row>
        <row r="4295">
          <cell r="J4295">
            <v>-77.22902169999999</v>
          </cell>
        </row>
        <row r="4296">
          <cell r="J4296">
            <v>-77.063614000000001</v>
          </cell>
        </row>
        <row r="4297">
          <cell r="J4297">
            <v>-76.897906999999989</v>
          </cell>
        </row>
        <row r="4298">
          <cell r="J4298">
            <v>-76.732310999999996</v>
          </cell>
        </row>
        <row r="4299">
          <cell r="J4299">
            <v>-76.566604999999996</v>
          </cell>
        </row>
        <row r="4300">
          <cell r="J4300">
            <v>-76.401109000000005</v>
          </cell>
        </row>
        <row r="4301">
          <cell r="J4301">
            <v>-76.235503999999992</v>
          </cell>
        </row>
        <row r="4302">
          <cell r="J4302">
            <v>-76.069799999999987</v>
          </cell>
        </row>
        <row r="4303">
          <cell r="J4303">
            <v>-75.904205999999988</v>
          </cell>
        </row>
        <row r="4304">
          <cell r="J4304">
            <v>-75.738602</v>
          </cell>
        </row>
        <row r="4305">
          <cell r="J4305">
            <v>-75.572989000000007</v>
          </cell>
        </row>
        <row r="4306">
          <cell r="J4306">
            <v>-75.407296000000002</v>
          </cell>
        </row>
        <row r="4307">
          <cell r="J4307">
            <v>-75.241793999999985</v>
          </cell>
        </row>
        <row r="4308">
          <cell r="J4308">
            <v>-75.076192000000006</v>
          </cell>
        </row>
        <row r="4309">
          <cell r="J4309">
            <v>-74.910590999999997</v>
          </cell>
        </row>
        <row r="4310">
          <cell r="J4310">
            <v>-74.744890000000012</v>
          </cell>
        </row>
        <row r="4311">
          <cell r="J4311">
            <v>-74.57929</v>
          </cell>
        </row>
        <row r="4312">
          <cell r="J4312">
            <v>-74.413689999999988</v>
          </cell>
        </row>
        <row r="4313">
          <cell r="J4313">
            <v>-74.248190000000008</v>
          </cell>
        </row>
        <row r="4314">
          <cell r="J4314">
            <v>-74.082481000000001</v>
          </cell>
        </row>
        <row r="4315">
          <cell r="J4315">
            <v>-73.916893000000002</v>
          </cell>
        </row>
        <row r="4316">
          <cell r="J4316">
            <v>-73.751184999999992</v>
          </cell>
        </row>
        <row r="4317">
          <cell r="J4317">
            <v>-73.585687000000007</v>
          </cell>
        </row>
        <row r="4318">
          <cell r="J4318">
            <v>-73.41998000000001</v>
          </cell>
        </row>
        <row r="4319">
          <cell r="J4319">
            <v>-73.254393999999991</v>
          </cell>
        </row>
        <row r="4320">
          <cell r="J4320">
            <v>-73.088787999999994</v>
          </cell>
        </row>
        <row r="4321">
          <cell r="J4321">
            <v>-72.923082000000008</v>
          </cell>
        </row>
        <row r="4322">
          <cell r="J4322">
            <v>-72.757587000000001</v>
          </cell>
        </row>
        <row r="4323">
          <cell r="J4323">
            <v>-72.591892000000016</v>
          </cell>
        </row>
        <row r="4324">
          <cell r="J4324">
            <v>-72.426288</v>
          </cell>
        </row>
        <row r="4325">
          <cell r="J4325">
            <v>-72.260683999999998</v>
          </cell>
        </row>
        <row r="4326">
          <cell r="J4326">
            <v>-72.095090999999996</v>
          </cell>
        </row>
        <row r="4327">
          <cell r="J4327">
            <v>-71.929487999999992</v>
          </cell>
        </row>
        <row r="4328">
          <cell r="J4328">
            <v>-71.763894999999991</v>
          </cell>
        </row>
        <row r="4329">
          <cell r="J4329">
            <v>-71.598193999999992</v>
          </cell>
        </row>
        <row r="4330">
          <cell r="J4330">
            <v>-71.432592</v>
          </cell>
        </row>
        <row r="4331">
          <cell r="J4331">
            <v>-71.266890999999987</v>
          </cell>
        </row>
        <row r="4332">
          <cell r="J4332">
            <v>-71.101490999999996</v>
          </cell>
        </row>
        <row r="4333">
          <cell r="J4333">
            <v>-70.935790999999995</v>
          </cell>
        </row>
        <row r="4334">
          <cell r="J4334">
            <v>-70.770190999999997</v>
          </cell>
        </row>
        <row r="4335">
          <cell r="J4335">
            <v>-70.604502000000011</v>
          </cell>
        </row>
        <row r="4336">
          <cell r="J4336">
            <v>-70.438902999999996</v>
          </cell>
        </row>
        <row r="4337">
          <cell r="J4337">
            <v>-70.273295000000005</v>
          </cell>
        </row>
        <row r="4338">
          <cell r="J4338">
            <v>-70.107798000000003</v>
          </cell>
        </row>
        <row r="4339">
          <cell r="J4339">
            <v>-69.942200000000014</v>
          </cell>
        </row>
        <row r="4340">
          <cell r="J4340">
            <v>-69.776504000000017</v>
          </cell>
        </row>
        <row r="4341">
          <cell r="J4341">
            <v>-69.610898000000006</v>
          </cell>
        </row>
        <row r="4342">
          <cell r="J4342">
            <v>-69.445201999999995</v>
          </cell>
        </row>
        <row r="4343">
          <cell r="J4343">
            <v>-69.279606000000001</v>
          </cell>
        </row>
        <row r="4344">
          <cell r="J4344">
            <v>-69.113951999999998</v>
          </cell>
        </row>
        <row r="4345">
          <cell r="J4345">
            <v>-68.948476999999997</v>
          </cell>
        </row>
        <row r="4346">
          <cell r="J4346">
            <v>-68.782792999999984</v>
          </cell>
        </row>
        <row r="4347">
          <cell r="J4347">
            <v>-68.61721</v>
          </cell>
        </row>
        <row r="4348">
          <cell r="J4348">
            <v>-68.451537000000002</v>
          </cell>
        </row>
        <row r="4349">
          <cell r="J4349">
            <v>-68.28595399999999</v>
          </cell>
        </row>
        <row r="4350">
          <cell r="J4350">
            <v>-68.120261999999997</v>
          </cell>
        </row>
        <row r="4351">
          <cell r="J4351">
            <v>-67.954680999999994</v>
          </cell>
        </row>
        <row r="4352">
          <cell r="J4352">
            <v>-67.789199999999994</v>
          </cell>
        </row>
        <row r="4353">
          <cell r="J4353">
            <v>-67.623519000000002</v>
          </cell>
        </row>
        <row r="4354">
          <cell r="J4354">
            <v>-67.457938999999996</v>
          </cell>
        </row>
        <row r="4355">
          <cell r="J4355">
            <v>-67.292248999999984</v>
          </cell>
        </row>
        <row r="4356">
          <cell r="J4356">
            <v>-67.126650000000012</v>
          </cell>
        </row>
        <row r="4357">
          <cell r="J4357">
            <v>-66.960971000000001</v>
          </cell>
        </row>
        <row r="4358">
          <cell r="J4358">
            <v>-66.79539299999999</v>
          </cell>
        </row>
        <row r="4359">
          <cell r="J4359">
            <v>-66.629805000000005</v>
          </cell>
        </row>
        <row r="4360">
          <cell r="J4360">
            <v>-66.464218000000002</v>
          </cell>
        </row>
        <row r="4361">
          <cell r="J4361">
            <v>-66.298631</v>
          </cell>
        </row>
        <row r="4362">
          <cell r="J4362">
            <v>-66.132945000000007</v>
          </cell>
        </row>
        <row r="4363">
          <cell r="J4363">
            <v>-65.967358999999988</v>
          </cell>
        </row>
        <row r="4364">
          <cell r="J4364">
            <v>-65.801674000000006</v>
          </cell>
        </row>
        <row r="4365">
          <cell r="J4365">
            <v>-65.636099000000002</v>
          </cell>
        </row>
        <row r="4366">
          <cell r="J4366">
            <v>-65.470513999999994</v>
          </cell>
        </row>
        <row r="4367">
          <cell r="J4367">
            <v>-65.304929999999999</v>
          </cell>
        </row>
        <row r="4368">
          <cell r="J4368">
            <v>-65.139336000000014</v>
          </cell>
        </row>
        <row r="4369">
          <cell r="J4369">
            <v>-64.973652999999999</v>
          </cell>
        </row>
        <row r="4370">
          <cell r="J4370">
            <v>-64.808071000000012</v>
          </cell>
        </row>
        <row r="4371">
          <cell r="J4371">
            <v>-64.642378999999991</v>
          </cell>
        </row>
        <row r="4372">
          <cell r="J4372">
            <v>-64.476787000000002</v>
          </cell>
        </row>
        <row r="4373">
          <cell r="J4373">
            <v>-64.311306000000002</v>
          </cell>
        </row>
        <row r="4374">
          <cell r="J4374">
            <v>-64.145624999999995</v>
          </cell>
        </row>
        <row r="4375">
          <cell r="J4375">
            <v>-63.980024999999991</v>
          </cell>
        </row>
        <row r="4376">
          <cell r="J4376">
            <v>-63.814345000000003</v>
          </cell>
        </row>
        <row r="4377">
          <cell r="J4377">
            <v>-63.648755999999992</v>
          </cell>
        </row>
        <row r="4378">
          <cell r="J4378">
            <v>-63.483176999999998</v>
          </cell>
        </row>
        <row r="4379">
          <cell r="J4379">
            <v>-63.317478000000001</v>
          </cell>
        </row>
        <row r="4380">
          <cell r="J4380">
            <v>-63.151890000000002</v>
          </cell>
        </row>
        <row r="4381">
          <cell r="J4381">
            <v>-62.986303000000007</v>
          </cell>
        </row>
        <row r="4382">
          <cell r="J4382">
            <v>-62.820726000000008</v>
          </cell>
        </row>
        <row r="4383">
          <cell r="J4383">
            <v>-62.655130000000007</v>
          </cell>
        </row>
        <row r="4384">
          <cell r="J4384">
            <v>-62.489443999999999</v>
          </cell>
        </row>
        <row r="4385">
          <cell r="J4385">
            <v>-62.323858000000016</v>
          </cell>
        </row>
        <row r="4386">
          <cell r="J4386">
            <v>-62.158163000000002</v>
          </cell>
        </row>
        <row r="4387">
          <cell r="J4387">
            <v>-61.992587999999998</v>
          </cell>
        </row>
        <row r="4388">
          <cell r="J4388">
            <v>-61.826984000000003</v>
          </cell>
        </row>
        <row r="4389">
          <cell r="J4389">
            <v>-61.6614</v>
          </cell>
        </row>
        <row r="4390">
          <cell r="J4390">
            <v>-61.495151999999997</v>
          </cell>
        </row>
        <row r="4391">
          <cell r="J4391">
            <v>-61.327586000000011</v>
          </cell>
        </row>
        <row r="4392">
          <cell r="J4392">
            <v>-61.158540999999992</v>
          </cell>
        </row>
        <row r="4393">
          <cell r="J4393">
            <v>-60.989396999999997</v>
          </cell>
        </row>
        <row r="4394">
          <cell r="J4394">
            <v>-60.820353999999995</v>
          </cell>
        </row>
        <row r="4395">
          <cell r="J4395">
            <v>-60.651300999999997</v>
          </cell>
        </row>
        <row r="4396">
          <cell r="J4396">
            <v>-60.482157999999998</v>
          </cell>
        </row>
        <row r="4397">
          <cell r="J4397">
            <v>-60.313106000000005</v>
          </cell>
        </row>
        <row r="4398">
          <cell r="J4398">
            <v>-60.144064999999998</v>
          </cell>
        </row>
        <row r="4399">
          <cell r="J4399">
            <v>-59.975024000000005</v>
          </cell>
        </row>
        <row r="4400">
          <cell r="J4400">
            <v>-59.805873999999996</v>
          </cell>
        </row>
        <row r="4401">
          <cell r="J4401">
            <v>-59.636835000000005</v>
          </cell>
        </row>
        <row r="4402">
          <cell r="J4402">
            <v>-59.467786000000004</v>
          </cell>
        </row>
        <row r="4403">
          <cell r="J4403">
            <v>-59.298636999999999</v>
          </cell>
        </row>
        <row r="4404">
          <cell r="J4404">
            <v>-59.129588999999996</v>
          </cell>
        </row>
        <row r="4405">
          <cell r="J4405">
            <v>-58.960551999999993</v>
          </cell>
        </row>
        <row r="4406">
          <cell r="J4406">
            <v>-58.791504999999994</v>
          </cell>
        </row>
        <row r="4407">
          <cell r="J4407">
            <v>-58.622469000000002</v>
          </cell>
        </row>
        <row r="4408">
          <cell r="J4408">
            <v>-58.453324000000009</v>
          </cell>
        </row>
        <row r="4409">
          <cell r="J4409">
            <v>-58.284269000000002</v>
          </cell>
        </row>
        <row r="4410">
          <cell r="J4410">
            <v>-58.115225000000002</v>
          </cell>
        </row>
        <row r="4411">
          <cell r="J4411">
            <v>-57.946081</v>
          </cell>
        </row>
        <row r="4412">
          <cell r="J4412">
            <v>-57.777036999999993</v>
          </cell>
        </row>
        <row r="4413">
          <cell r="J4413">
            <v>-57.607975000000003</v>
          </cell>
        </row>
        <row r="4414">
          <cell r="J4414">
            <v>-57.438842999999999</v>
          </cell>
        </row>
        <row r="4415">
          <cell r="J4415">
            <v>-57.269800999999994</v>
          </cell>
        </row>
        <row r="4416">
          <cell r="J4416">
            <v>-57.100749999999998</v>
          </cell>
        </row>
        <row r="4417">
          <cell r="J4417">
            <v>-56.931599999999996</v>
          </cell>
        </row>
        <row r="4418">
          <cell r="J4418">
            <v>-56.762650000000001</v>
          </cell>
        </row>
        <row r="4419">
          <cell r="J4419">
            <v>-56.593521000000003</v>
          </cell>
        </row>
        <row r="4420">
          <cell r="J4420">
            <v>-56.424362000000002</v>
          </cell>
        </row>
        <row r="4421">
          <cell r="J4421">
            <v>-56.255424000000005</v>
          </cell>
        </row>
        <row r="4422">
          <cell r="J4422">
            <v>-56.086266999999992</v>
          </cell>
        </row>
        <row r="4423">
          <cell r="J4423">
            <v>-55.917230000000004</v>
          </cell>
        </row>
        <row r="4424">
          <cell r="J4424">
            <v>-55.748173999999992</v>
          </cell>
        </row>
        <row r="4425">
          <cell r="J4425">
            <v>-55.579048</v>
          </cell>
        </row>
        <row r="4426">
          <cell r="J4426">
            <v>-55.409992999999993</v>
          </cell>
        </row>
        <row r="4427">
          <cell r="J4427">
            <v>-55.240937999999993</v>
          </cell>
        </row>
        <row r="4428">
          <cell r="J4428">
            <v>-55.071794000000004</v>
          </cell>
        </row>
        <row r="4429">
          <cell r="J4429">
            <v>-54.902761000000005</v>
          </cell>
        </row>
        <row r="4430">
          <cell r="J4430">
            <v>-54.733708</v>
          </cell>
        </row>
        <row r="4431">
          <cell r="J4431">
            <v>-54.564655000000002</v>
          </cell>
        </row>
        <row r="4432">
          <cell r="J4432">
            <v>-54.395514000000006</v>
          </cell>
        </row>
        <row r="4433">
          <cell r="J4433">
            <v>-54.226461999999998</v>
          </cell>
        </row>
        <row r="4434">
          <cell r="J4434">
            <v>-54.05742200000001</v>
          </cell>
        </row>
        <row r="4435">
          <cell r="J4435">
            <v>-53.888271999999994</v>
          </cell>
        </row>
        <row r="4436">
          <cell r="J4436">
            <v>-53.719221999999995</v>
          </cell>
        </row>
        <row r="4437">
          <cell r="J4437">
            <v>-53.550173999999998</v>
          </cell>
        </row>
        <row r="4438">
          <cell r="J4438">
            <v>-53.381034999999997</v>
          </cell>
        </row>
        <row r="4439">
          <cell r="J4439">
            <v>-53.212088000000001</v>
          </cell>
        </row>
        <row r="4440">
          <cell r="J4440">
            <v>-53.042940000000002</v>
          </cell>
        </row>
        <row r="4441">
          <cell r="J4441">
            <v>-52.873793999999997</v>
          </cell>
        </row>
        <row r="4442">
          <cell r="J4442">
            <v>-52.704848000000005</v>
          </cell>
        </row>
        <row r="4443">
          <cell r="J4443">
            <v>-52.535702000000001</v>
          </cell>
        </row>
        <row r="4444">
          <cell r="J4444">
            <v>-52.366658000000001</v>
          </cell>
        </row>
        <row r="4445">
          <cell r="J4445">
            <v>-52.197612999999997</v>
          </cell>
        </row>
        <row r="4446">
          <cell r="J4446">
            <v>-52.028470000000013</v>
          </cell>
        </row>
        <row r="4447">
          <cell r="J4447">
            <v>-51.859407000000004</v>
          </cell>
        </row>
        <row r="4448">
          <cell r="J4448">
            <v>-51.690363999999995</v>
          </cell>
        </row>
        <row r="4449">
          <cell r="J4449">
            <v>-51.521321999999998</v>
          </cell>
        </row>
        <row r="4450">
          <cell r="J4450">
            <v>-51.352180999999995</v>
          </cell>
        </row>
        <row r="4451">
          <cell r="J4451">
            <v>-51.183120000000002</v>
          </cell>
        </row>
        <row r="4452">
          <cell r="J4452">
            <v>-51.014090000000003</v>
          </cell>
        </row>
        <row r="4453">
          <cell r="J4453">
            <v>-50.844940000000001</v>
          </cell>
        </row>
        <row r="4454">
          <cell r="J4454">
            <v>-50.675980999999993</v>
          </cell>
        </row>
        <row r="4455">
          <cell r="J4455">
            <v>-50.506841999999999</v>
          </cell>
        </row>
        <row r="4456">
          <cell r="J4456">
            <v>-50.337703999999995</v>
          </cell>
        </row>
        <row r="4457">
          <cell r="J4457">
            <v>-50.168747000000003</v>
          </cell>
        </row>
        <row r="4458">
          <cell r="J4458">
            <v>-49.999609999999997</v>
          </cell>
        </row>
        <row r="4459">
          <cell r="J4459">
            <v>-49.830553999999999</v>
          </cell>
        </row>
        <row r="4460">
          <cell r="J4460">
            <v>-49.661507999999998</v>
          </cell>
        </row>
        <row r="4461">
          <cell r="J4461">
            <v>-49.492362999999997</v>
          </cell>
        </row>
        <row r="4462">
          <cell r="J4462">
            <v>-49.323308999999995</v>
          </cell>
        </row>
        <row r="4463">
          <cell r="J4463">
            <v>-49.154265000000009</v>
          </cell>
        </row>
        <row r="4464">
          <cell r="J4464">
            <v>-48.985222</v>
          </cell>
        </row>
        <row r="4465">
          <cell r="J4465">
            <v>-48.816079000000002</v>
          </cell>
        </row>
        <row r="4466">
          <cell r="J4466">
            <v>-48.647027000000001</v>
          </cell>
        </row>
        <row r="4467">
          <cell r="J4467">
            <v>-48.477974999999994</v>
          </cell>
        </row>
        <row r="4468">
          <cell r="J4468">
            <v>-48.308824000000001</v>
          </cell>
        </row>
        <row r="4469">
          <cell r="J4469">
            <v>-48.139784000000006</v>
          </cell>
        </row>
        <row r="4470">
          <cell r="J4470">
            <v>-47.970734</v>
          </cell>
        </row>
        <row r="4471">
          <cell r="J4471">
            <v>-47.801684000000002</v>
          </cell>
        </row>
        <row r="4472">
          <cell r="J4472">
            <v>-47.632545999999998</v>
          </cell>
        </row>
        <row r="4473">
          <cell r="J4473">
            <v>-47.463487999999998</v>
          </cell>
        </row>
        <row r="4474">
          <cell r="J4474">
            <v>-47.294440000000002</v>
          </cell>
        </row>
        <row r="4475">
          <cell r="J4475">
            <v>-47.125303000000002</v>
          </cell>
        </row>
        <row r="4476">
          <cell r="J4476">
            <v>-46.956357000000004</v>
          </cell>
        </row>
        <row r="4477">
          <cell r="J4477">
            <v>-46.787201000000003</v>
          </cell>
        </row>
        <row r="4478">
          <cell r="J4478">
            <v>-46.618155000000002</v>
          </cell>
        </row>
        <row r="4479">
          <cell r="J4479">
            <v>-46.449111000000002</v>
          </cell>
        </row>
        <row r="4480">
          <cell r="J4480">
            <v>-46.279966999999999</v>
          </cell>
        </row>
        <row r="4481">
          <cell r="J4481">
            <v>-46.110903</v>
          </cell>
        </row>
        <row r="4482">
          <cell r="J4482">
            <v>-45.941769999999998</v>
          </cell>
        </row>
        <row r="4483">
          <cell r="J4483">
            <v>-45.772818000000001</v>
          </cell>
        </row>
        <row r="4484">
          <cell r="J4484">
            <v>-45.603665999999997</v>
          </cell>
        </row>
        <row r="4485">
          <cell r="J4485">
            <v>-45.434623999999999</v>
          </cell>
        </row>
        <row r="4486">
          <cell r="J4486">
            <v>-45.265574000000001</v>
          </cell>
        </row>
        <row r="4487">
          <cell r="J4487">
            <v>-45.096523999999995</v>
          </cell>
        </row>
        <row r="4488">
          <cell r="J4488">
            <v>-44.927374</v>
          </cell>
        </row>
        <row r="4489">
          <cell r="J4489">
            <v>-44.758334999999995</v>
          </cell>
        </row>
        <row r="4490">
          <cell r="J4490">
            <v>-44.589286999999999</v>
          </cell>
        </row>
        <row r="4491">
          <cell r="J4491">
            <v>-44.420128999999996</v>
          </cell>
        </row>
        <row r="4492">
          <cell r="J4492">
            <v>-44.251092</v>
          </cell>
        </row>
        <row r="4493">
          <cell r="J4493">
            <v>-44.082035000000005</v>
          </cell>
        </row>
        <row r="4494">
          <cell r="J4494">
            <v>-43.912989000000003</v>
          </cell>
        </row>
        <row r="4495">
          <cell r="J4495">
            <v>-43.743843000000005</v>
          </cell>
        </row>
        <row r="4496">
          <cell r="J4496">
            <v>-43.574898999999995</v>
          </cell>
        </row>
        <row r="4497">
          <cell r="J4497">
            <v>-43.405743999999991</v>
          </cell>
        </row>
        <row r="4498">
          <cell r="J4498">
            <v>-43.236700000000006</v>
          </cell>
        </row>
        <row r="4499">
          <cell r="J4499">
            <v>-43.067547000000005</v>
          </cell>
        </row>
        <row r="4500">
          <cell r="J4500">
            <v>-42.898505</v>
          </cell>
        </row>
        <row r="4501">
          <cell r="J4501">
            <v>-42.729452000000002</v>
          </cell>
        </row>
        <row r="4502">
          <cell r="J4502">
            <v>-42.558656999999997</v>
          </cell>
        </row>
        <row r="4503">
          <cell r="J4503">
            <v>-42.373894000000007</v>
          </cell>
        </row>
        <row r="4504">
          <cell r="J4504">
            <v>-42.189132000000001</v>
          </cell>
        </row>
        <row r="4505">
          <cell r="J4505">
            <v>-42.004270000000005</v>
          </cell>
        </row>
        <row r="4506">
          <cell r="J4506">
            <v>-41.819528999999996</v>
          </cell>
        </row>
        <row r="4507">
          <cell r="J4507">
            <v>-41.634659000000006</v>
          </cell>
        </row>
        <row r="4508">
          <cell r="J4508">
            <v>-41.449910000000003</v>
          </cell>
        </row>
        <row r="4509">
          <cell r="J4509">
            <v>-41.265042000000008</v>
          </cell>
        </row>
        <row r="4510">
          <cell r="J4510">
            <v>-41.080283999999999</v>
          </cell>
        </row>
        <row r="4511">
          <cell r="J4511">
            <v>-40.895517999999996</v>
          </cell>
        </row>
        <row r="4512">
          <cell r="J4512">
            <v>-40.710661999999999</v>
          </cell>
        </row>
        <row r="4513">
          <cell r="J4513">
            <v>-40.525807</v>
          </cell>
        </row>
        <row r="4514">
          <cell r="J4514">
            <v>-40.34104</v>
          </cell>
        </row>
        <row r="4515">
          <cell r="J4515">
            <v>-40.156280000000002</v>
          </cell>
        </row>
        <row r="4516">
          <cell r="J4516">
            <v>-39.971519999999998</v>
          </cell>
        </row>
        <row r="4517">
          <cell r="J4517">
            <v>-39.786759999999987</v>
          </cell>
        </row>
        <row r="4518">
          <cell r="J4518">
            <v>-39.601789999999994</v>
          </cell>
        </row>
        <row r="4519">
          <cell r="J4519">
            <v>-39.417019999999994</v>
          </cell>
        </row>
        <row r="4520">
          <cell r="J4520">
            <v>-39.232269999999993</v>
          </cell>
        </row>
        <row r="4521">
          <cell r="J4521">
            <v>-39.047499999999999</v>
          </cell>
        </row>
        <row r="4522">
          <cell r="J4522">
            <v>-38.862729999999999</v>
          </cell>
        </row>
        <row r="4523">
          <cell r="J4523">
            <v>-38.677760000000006</v>
          </cell>
        </row>
        <row r="4524">
          <cell r="J4524">
            <v>-38.492999999999995</v>
          </cell>
        </row>
        <row r="4525">
          <cell r="J4525">
            <v>-38.308219999999999</v>
          </cell>
        </row>
        <row r="4526">
          <cell r="J4526">
            <v>-38.123469999999998</v>
          </cell>
        </row>
        <row r="4527">
          <cell r="J4527">
            <v>-37.938690000000008</v>
          </cell>
        </row>
        <row r="4528">
          <cell r="J4528">
            <v>-37.753830000000001</v>
          </cell>
        </row>
        <row r="4529">
          <cell r="J4529">
            <v>-37.56906</v>
          </cell>
        </row>
        <row r="4530">
          <cell r="J4530">
            <v>-37.384180000000001</v>
          </cell>
        </row>
        <row r="4531">
          <cell r="J4531">
            <v>-37.19941</v>
          </cell>
        </row>
        <row r="4532">
          <cell r="J4532">
            <v>-37.014649999999996</v>
          </cell>
        </row>
        <row r="4533">
          <cell r="J4533">
            <v>-36.82978</v>
          </cell>
        </row>
        <row r="4534">
          <cell r="J4534">
            <v>-36.645000000000003</v>
          </cell>
        </row>
        <row r="4535">
          <cell r="J4535">
            <v>-36.460230000000003</v>
          </cell>
        </row>
        <row r="4536">
          <cell r="J4536">
            <v>-36.275450000000006</v>
          </cell>
        </row>
        <row r="4537">
          <cell r="J4537">
            <v>-36.090589999999999</v>
          </cell>
        </row>
        <row r="4538">
          <cell r="J4538">
            <v>-35.905799999999999</v>
          </cell>
        </row>
        <row r="4539">
          <cell r="J4539">
            <v>-35.720929999999996</v>
          </cell>
        </row>
        <row r="4540">
          <cell r="J4540">
            <v>-35.536160000000002</v>
          </cell>
        </row>
        <row r="4541">
          <cell r="J4541">
            <v>-35.351379999999999</v>
          </cell>
        </row>
        <row r="4542">
          <cell r="J4542">
            <v>-35.166589999999999</v>
          </cell>
        </row>
        <row r="4543">
          <cell r="J4543">
            <v>-34.981819999999999</v>
          </cell>
        </row>
        <row r="4544">
          <cell r="J4544">
            <v>-34.797040000000003</v>
          </cell>
        </row>
        <row r="4545">
          <cell r="J4545">
            <v>-34.610990000000001</v>
          </cell>
        </row>
        <row r="4546">
          <cell r="J4546">
            <v>-34.424679999999995</v>
          </cell>
        </row>
        <row r="4547">
          <cell r="J4547">
            <v>-34.238370000000003</v>
          </cell>
        </row>
        <row r="4548">
          <cell r="J4548">
            <v>-34.052160000000008</v>
          </cell>
        </row>
        <row r="4549">
          <cell r="J4549">
            <v>-33.865850000000002</v>
          </cell>
        </row>
        <row r="4550">
          <cell r="J4550">
            <v>-33.679650000000002</v>
          </cell>
        </row>
        <row r="4551">
          <cell r="J4551">
            <v>-33.49335</v>
          </cell>
        </row>
        <row r="4552">
          <cell r="J4552">
            <v>-33.307040000000001</v>
          </cell>
        </row>
        <row r="4553">
          <cell r="J4553">
            <v>-33.120709999999995</v>
          </cell>
        </row>
        <row r="4554">
          <cell r="J4554">
            <v>-32.934520000000006</v>
          </cell>
        </row>
        <row r="4555">
          <cell r="J4555">
            <v>-32.748200000000004</v>
          </cell>
        </row>
        <row r="4556">
          <cell r="J4556">
            <v>-32.561900000000001</v>
          </cell>
        </row>
        <row r="4557">
          <cell r="J4557">
            <v>-32.375579999999999</v>
          </cell>
        </row>
        <row r="4558">
          <cell r="J4558">
            <v>-32.189269999999993</v>
          </cell>
        </row>
        <row r="4559">
          <cell r="J4559">
            <v>-32.002960000000002</v>
          </cell>
        </row>
        <row r="4560">
          <cell r="J4560">
            <v>-31.816739999999999</v>
          </cell>
        </row>
        <row r="4561">
          <cell r="J4561">
            <v>-31.630429999999997</v>
          </cell>
        </row>
        <row r="4562">
          <cell r="J4562">
            <v>-31.444119999999998</v>
          </cell>
        </row>
        <row r="4563">
          <cell r="J4563">
            <v>-31.257819999999999</v>
          </cell>
        </row>
        <row r="4564">
          <cell r="J4564">
            <v>-31.071600000000004</v>
          </cell>
        </row>
        <row r="4565">
          <cell r="J4565">
            <v>-30.885289999999998</v>
          </cell>
        </row>
        <row r="4566">
          <cell r="J4566">
            <v>-30.699079999999999</v>
          </cell>
        </row>
        <row r="4567">
          <cell r="J4567">
            <v>-30.512749999999997</v>
          </cell>
        </row>
        <row r="4568">
          <cell r="J4568">
            <v>-30.326449999999998</v>
          </cell>
        </row>
        <row r="4569">
          <cell r="J4569">
            <v>-30.140130000000003</v>
          </cell>
        </row>
        <row r="4570">
          <cell r="J4570">
            <v>-29.953810000000004</v>
          </cell>
        </row>
        <row r="4571">
          <cell r="J4571">
            <v>-29.767510000000005</v>
          </cell>
        </row>
        <row r="4572">
          <cell r="J4572">
            <v>-29.58128</v>
          </cell>
        </row>
        <row r="4573">
          <cell r="J4573">
            <v>-29.39498</v>
          </cell>
        </row>
        <row r="4574">
          <cell r="J4574">
            <v>-29.208749999999998</v>
          </cell>
        </row>
        <row r="4575">
          <cell r="J4575">
            <v>-29.022429999999996</v>
          </cell>
        </row>
        <row r="4576">
          <cell r="J4576">
            <v>-28.836129999999997</v>
          </cell>
        </row>
        <row r="4577">
          <cell r="J4577">
            <v>-28.649810000000002</v>
          </cell>
        </row>
        <row r="4578">
          <cell r="J4578">
            <v>-28.46359</v>
          </cell>
        </row>
        <row r="4579">
          <cell r="J4579">
            <v>-28.277260000000002</v>
          </cell>
        </row>
        <row r="4580">
          <cell r="J4580">
            <v>-28.090950000000003</v>
          </cell>
        </row>
        <row r="4581">
          <cell r="J4581">
            <v>-27.904639999999993</v>
          </cell>
        </row>
        <row r="4582">
          <cell r="J4582">
            <v>-27.718410000000002</v>
          </cell>
        </row>
        <row r="4583">
          <cell r="J4583">
            <v>-27.532100000000003</v>
          </cell>
        </row>
        <row r="4584">
          <cell r="J4584">
            <v>-27.345879999999998</v>
          </cell>
        </row>
        <row r="4585">
          <cell r="J4585">
            <v>-27.159550000000003</v>
          </cell>
        </row>
        <row r="4586">
          <cell r="J4586">
            <v>-26.973229999999997</v>
          </cell>
        </row>
        <row r="4587">
          <cell r="J4587">
            <v>-26.786909999999999</v>
          </cell>
        </row>
        <row r="4588">
          <cell r="J4588">
            <v>-26.600590000000004</v>
          </cell>
        </row>
        <row r="4589">
          <cell r="J4589">
            <v>-26.414369999999998</v>
          </cell>
        </row>
        <row r="4590">
          <cell r="J4590">
            <v>-26.228149999999999</v>
          </cell>
        </row>
        <row r="4591">
          <cell r="J4591">
            <v>-26.041809999999998</v>
          </cell>
        </row>
        <row r="4592">
          <cell r="J4592">
            <v>-25.855499999999999</v>
          </cell>
        </row>
        <row r="4593">
          <cell r="J4593">
            <v>-25.669180000000001</v>
          </cell>
        </row>
        <row r="4594">
          <cell r="J4594">
            <v>-25.482860000000002</v>
          </cell>
        </row>
        <row r="4595">
          <cell r="J4595">
            <v>-25.288080000000004</v>
          </cell>
        </row>
        <row r="4596">
          <cell r="J4596">
            <v>-25.092759999999998</v>
          </cell>
        </row>
        <row r="4597">
          <cell r="J4597">
            <v>-24.89733</v>
          </cell>
        </row>
        <row r="4598">
          <cell r="J4598">
            <v>-24.701889999999999</v>
          </cell>
        </row>
        <row r="4599">
          <cell r="J4599">
            <v>-24.50647</v>
          </cell>
        </row>
        <row r="4600">
          <cell r="J4600">
            <v>-24.311039999999995</v>
          </cell>
        </row>
        <row r="4601">
          <cell r="J4601">
            <v>-24.1157</v>
          </cell>
        </row>
        <row r="4602">
          <cell r="J4602">
            <v>-23.920179999999995</v>
          </cell>
        </row>
        <row r="4603">
          <cell r="J4603">
            <v>-23.72485</v>
          </cell>
        </row>
        <row r="4604">
          <cell r="J4604">
            <v>-23.529409999999995</v>
          </cell>
        </row>
        <row r="4605">
          <cell r="J4605">
            <v>-23.333880000000001</v>
          </cell>
        </row>
        <row r="4606">
          <cell r="J4606">
            <v>-23.138549999999999</v>
          </cell>
        </row>
        <row r="4607">
          <cell r="J4607">
            <v>-22.943100000000001</v>
          </cell>
        </row>
        <row r="4608">
          <cell r="J4608">
            <v>-22.747640000000001</v>
          </cell>
        </row>
        <row r="4609">
          <cell r="J4609">
            <v>-22.552279999999996</v>
          </cell>
        </row>
        <row r="4610">
          <cell r="J4610">
            <v>-22.356820000000003</v>
          </cell>
        </row>
        <row r="4611">
          <cell r="J4611">
            <v>-22.161479999999997</v>
          </cell>
        </row>
        <row r="4612">
          <cell r="J4612">
            <v>-21.966000000000001</v>
          </cell>
        </row>
        <row r="4613">
          <cell r="J4613">
            <v>-21.77055</v>
          </cell>
        </row>
        <row r="4614">
          <cell r="J4614">
            <v>-21.575180000000003</v>
          </cell>
        </row>
        <row r="4615">
          <cell r="J4615">
            <v>-21.379719999999999</v>
          </cell>
        </row>
        <row r="4616">
          <cell r="J4616">
            <v>-21.184370000000001</v>
          </cell>
        </row>
        <row r="4617">
          <cell r="J4617">
            <v>-20.988910000000001</v>
          </cell>
        </row>
        <row r="4618">
          <cell r="J4618">
            <v>-20.79345</v>
          </cell>
        </row>
        <row r="4619">
          <cell r="J4619">
            <v>-20.598089999999999</v>
          </cell>
        </row>
        <row r="4620">
          <cell r="J4620">
            <v>-20.402629999999995</v>
          </cell>
        </row>
        <row r="4621">
          <cell r="J4621">
            <v>-20.207170000000001</v>
          </cell>
        </row>
        <row r="4622">
          <cell r="J4622">
            <v>-20.011810000000001</v>
          </cell>
        </row>
        <row r="4623">
          <cell r="J4623">
            <v>-19.816359999999996</v>
          </cell>
        </row>
        <row r="4624">
          <cell r="J4624">
            <v>-19.620990000000003</v>
          </cell>
        </row>
        <row r="4625">
          <cell r="J4625">
            <v>-19.425540000000002</v>
          </cell>
        </row>
        <row r="4626">
          <cell r="J4626">
            <v>-19.230080000000001</v>
          </cell>
        </row>
        <row r="4627">
          <cell r="J4627">
            <v>-19.03472</v>
          </cell>
        </row>
        <row r="4628">
          <cell r="J4628">
            <v>-18.839260000000003</v>
          </cell>
        </row>
        <row r="4629">
          <cell r="J4629">
            <v>-18.643799999999999</v>
          </cell>
        </row>
        <row r="4630">
          <cell r="J4630">
            <v>-18.448460000000001</v>
          </cell>
        </row>
        <row r="4631">
          <cell r="J4631">
            <v>-18.253</v>
          </cell>
        </row>
        <row r="4632">
          <cell r="J4632">
            <v>-18.057530000000003</v>
          </cell>
        </row>
        <row r="4633">
          <cell r="J4633">
            <v>-17.862159999999999</v>
          </cell>
        </row>
        <row r="4634">
          <cell r="J4634">
            <v>-17.666709999999998</v>
          </cell>
        </row>
        <row r="4635">
          <cell r="J4635">
            <v>-17.471250000000001</v>
          </cell>
        </row>
        <row r="4636">
          <cell r="J4636">
            <v>-17.275889999999997</v>
          </cell>
        </row>
        <row r="4637">
          <cell r="J4637">
            <v>-17.080440000000003</v>
          </cell>
        </row>
        <row r="4638">
          <cell r="J4638">
            <v>-16.884980000000002</v>
          </cell>
        </row>
        <row r="4639">
          <cell r="J4639">
            <v>-16.689620000000001</v>
          </cell>
        </row>
        <row r="4640">
          <cell r="J4640">
            <v>-16.494169999999997</v>
          </cell>
        </row>
        <row r="4641">
          <cell r="J4641">
            <v>-16.29871</v>
          </cell>
        </row>
        <row r="4642">
          <cell r="J4642">
            <v>-16.103359999999999</v>
          </cell>
        </row>
        <row r="4643">
          <cell r="J4643">
            <v>-15.9079</v>
          </cell>
        </row>
        <row r="4644">
          <cell r="J4644">
            <v>-15.712440000000004</v>
          </cell>
        </row>
        <row r="4645">
          <cell r="J4645">
            <v>-15.517079999999996</v>
          </cell>
        </row>
        <row r="4646">
          <cell r="J4646">
            <v>-15.321630000000003</v>
          </cell>
        </row>
        <row r="4647">
          <cell r="J4647">
            <v>-15.104179999999999</v>
          </cell>
        </row>
        <row r="4648">
          <cell r="J4648">
            <v>-14.850859999999999</v>
          </cell>
        </row>
        <row r="4649">
          <cell r="J4649">
            <v>-14.597639000000001</v>
          </cell>
        </row>
        <row r="4650">
          <cell r="J4650">
            <v>-14.344411000000004</v>
          </cell>
        </row>
        <row r="4651">
          <cell r="J4651">
            <v>-14.091180999999999</v>
          </cell>
        </row>
        <row r="4652">
          <cell r="J4652">
            <v>-13.837959999999997</v>
          </cell>
        </row>
        <row r="4653">
          <cell r="J4653">
            <v>-13.584747</v>
          </cell>
        </row>
        <row r="4654">
          <cell r="J4654">
            <v>-13.331513999999999</v>
          </cell>
        </row>
        <row r="4655">
          <cell r="J4655">
            <v>-13.078279000000004</v>
          </cell>
        </row>
        <row r="4656">
          <cell r="J4656">
            <v>-12.825053</v>
          </cell>
        </row>
        <row r="4657">
          <cell r="J4657">
            <v>-12.571825999999998</v>
          </cell>
        </row>
        <row r="4658">
          <cell r="J4658">
            <v>-12.318587000000001</v>
          </cell>
        </row>
        <row r="4659">
          <cell r="J4659">
            <v>-12.065358</v>
          </cell>
        </row>
        <row r="4660">
          <cell r="J4660">
            <v>-11.812116999999999</v>
          </cell>
        </row>
        <row r="4661">
          <cell r="J4661">
            <v>-11.558894000000002</v>
          </cell>
        </row>
        <row r="4662">
          <cell r="J4662">
            <v>-11.305651000000001</v>
          </cell>
        </row>
        <row r="4663">
          <cell r="J4663">
            <v>-11.052505999999997</v>
          </cell>
        </row>
        <row r="4664">
          <cell r="J4664">
            <v>-10.79928</v>
          </cell>
        </row>
        <row r="4665">
          <cell r="J4665">
            <v>-10.546033000000001</v>
          </cell>
        </row>
        <row r="4666">
          <cell r="J4666">
            <v>-10.292803999999999</v>
          </cell>
        </row>
        <row r="4667">
          <cell r="J4667">
            <v>-10.039564300000002</v>
          </cell>
        </row>
        <row r="4668">
          <cell r="J4668">
            <v>-9.7863233000000029</v>
          </cell>
        </row>
        <row r="4669">
          <cell r="J4669">
            <v>-9.5330611000000012</v>
          </cell>
        </row>
        <row r="4670">
          <cell r="J4670">
            <v>-9.2828016999999985</v>
          </cell>
        </row>
        <row r="4671">
          <cell r="J4671">
            <v>-9.0357239999999983</v>
          </cell>
        </row>
        <row r="4672">
          <cell r="J4672">
            <v>-8.7886660000000028</v>
          </cell>
        </row>
        <row r="4673">
          <cell r="J4673">
            <v>-8.5415970000000012</v>
          </cell>
        </row>
        <row r="4674">
          <cell r="J4674">
            <v>-8.2944260000000014</v>
          </cell>
        </row>
        <row r="4675">
          <cell r="J4675">
            <v>-8.0473600000000012</v>
          </cell>
        </row>
        <row r="4676">
          <cell r="J4676">
            <v>-7.8002870000000009</v>
          </cell>
        </row>
        <row r="4677">
          <cell r="J4677">
            <v>-7.5532119999999994</v>
          </cell>
        </row>
        <row r="4678">
          <cell r="J4678">
            <v>-7.3084850000000001</v>
          </cell>
        </row>
        <row r="4679">
          <cell r="J4679">
            <v>-7.0664130000000007</v>
          </cell>
        </row>
        <row r="4680">
          <cell r="J4680">
            <v>-6.8243609999999997</v>
          </cell>
        </row>
        <row r="4681">
          <cell r="J4681">
            <v>-6.5822859999999999</v>
          </cell>
        </row>
        <row r="4682">
          <cell r="J4682">
            <v>-6.340228999999999</v>
          </cell>
        </row>
        <row r="4683">
          <cell r="J4683">
            <v>-6.0981699999999988</v>
          </cell>
        </row>
        <row r="4684">
          <cell r="J4684">
            <v>-5.8562090000000007</v>
          </cell>
        </row>
        <row r="4685">
          <cell r="J4685">
            <v>-5.6141359999999993</v>
          </cell>
        </row>
        <row r="4686">
          <cell r="J4686">
            <v>-5.372071</v>
          </cell>
        </row>
        <row r="4687">
          <cell r="J4687">
            <v>-5.1300040000000013</v>
          </cell>
        </row>
        <row r="4688">
          <cell r="J4688">
            <v>-4.8879340000000004</v>
          </cell>
        </row>
        <row r="4689">
          <cell r="J4689">
            <v>-4.6458629999999994</v>
          </cell>
        </row>
        <row r="4690">
          <cell r="J4690">
            <v>-4.4038289999999991</v>
          </cell>
        </row>
        <row r="4691">
          <cell r="J4691">
            <v>-4.1617739999999994</v>
          </cell>
        </row>
        <row r="4692">
          <cell r="J4692">
            <v>-3.9197270000000017</v>
          </cell>
        </row>
        <row r="4693">
          <cell r="J4693">
            <v>-3.6776670000000005</v>
          </cell>
        </row>
        <row r="4694">
          <cell r="J4694">
            <v>-3.4356109999999997</v>
          </cell>
        </row>
        <row r="4695">
          <cell r="J4695">
            <v>-3.1935739999999999</v>
          </cell>
        </row>
        <row r="4696">
          <cell r="J4696">
            <v>-2.9515059999999993</v>
          </cell>
        </row>
        <row r="4697">
          <cell r="J4697">
            <v>-2.7094570000000013</v>
          </cell>
        </row>
        <row r="4698">
          <cell r="J4698">
            <v>-2.4673969999999983</v>
          </cell>
        </row>
        <row r="4699">
          <cell r="J4699">
            <v>-2.2253459999999992</v>
          </cell>
        </row>
        <row r="4700">
          <cell r="J4700">
            <v>-1.9881971999999992</v>
          </cell>
        </row>
        <row r="4701">
          <cell r="J4701">
            <v>-1.754264</v>
          </cell>
        </row>
        <row r="4702">
          <cell r="J4702">
            <v>-1.5203400999999985</v>
          </cell>
        </row>
        <row r="4703">
          <cell r="J4703">
            <v>-1.2864052899999985</v>
          </cell>
        </row>
        <row r="4704">
          <cell r="J4704">
            <v>-1.0524998000000014</v>
          </cell>
        </row>
        <row r="4705">
          <cell r="J4705">
            <v>-0.8185633999999995</v>
          </cell>
        </row>
        <row r="4706">
          <cell r="J4706">
            <v>-0.58462630000000182</v>
          </cell>
        </row>
        <row r="4707">
          <cell r="J4707">
            <v>-0.35070800000000002</v>
          </cell>
        </row>
        <row r="4708">
          <cell r="J4708">
            <v>-0.11678000000000033</v>
          </cell>
        </row>
        <row r="4709">
          <cell r="J4709">
            <v>0.11712999999999951</v>
          </cell>
        </row>
        <row r="4710">
          <cell r="J4710"/>
        </row>
        <row r="4711">
          <cell r="J4711"/>
        </row>
        <row r="4712">
          <cell r="J4712"/>
        </row>
        <row r="4713">
          <cell r="J4713"/>
        </row>
        <row r="4714">
          <cell r="J4714"/>
        </row>
        <row r="4715">
          <cell r="J4715"/>
        </row>
        <row r="4716">
          <cell r="J4716"/>
        </row>
        <row r="4717">
          <cell r="J4717"/>
        </row>
        <row r="4718">
          <cell r="J4718"/>
        </row>
        <row r="4719">
          <cell r="J4719"/>
        </row>
        <row r="4720">
          <cell r="J4720"/>
        </row>
        <row r="4721">
          <cell r="J4721"/>
        </row>
        <row r="4722">
          <cell r="J4722"/>
        </row>
        <row r="4723">
          <cell r="J4723"/>
        </row>
        <row r="4724">
          <cell r="J4724"/>
        </row>
        <row r="4725">
          <cell r="J4725"/>
        </row>
        <row r="4726">
          <cell r="J4726"/>
        </row>
        <row r="4727">
          <cell r="J4727"/>
        </row>
        <row r="4728">
          <cell r="J4728"/>
        </row>
        <row r="4729">
          <cell r="J4729"/>
        </row>
        <row r="4730">
          <cell r="J4730"/>
        </row>
        <row r="4731">
          <cell r="J4731"/>
        </row>
        <row r="4732">
          <cell r="J4732"/>
        </row>
        <row r="4733">
          <cell r="J4733"/>
        </row>
        <row r="4734">
          <cell r="J4734"/>
        </row>
        <row r="4735">
          <cell r="J4735"/>
        </row>
        <row r="4736">
          <cell r="J4736"/>
        </row>
        <row r="4737">
          <cell r="J4737"/>
        </row>
        <row r="4738">
          <cell r="J4738"/>
        </row>
        <row r="4739">
          <cell r="J4739"/>
        </row>
        <row r="4740">
          <cell r="J4740"/>
        </row>
        <row r="4741">
          <cell r="J4741"/>
        </row>
        <row r="4742">
          <cell r="J4742"/>
        </row>
        <row r="4743">
          <cell r="J4743"/>
        </row>
        <row r="4744">
          <cell r="J4744"/>
        </row>
        <row r="4745">
          <cell r="J4745"/>
        </row>
        <row r="4746">
          <cell r="J4746"/>
        </row>
        <row r="4747">
          <cell r="J4747"/>
        </row>
        <row r="4748">
          <cell r="J4748"/>
        </row>
        <row r="4749">
          <cell r="J4749"/>
        </row>
        <row r="4750">
          <cell r="J4750"/>
        </row>
        <row r="4751">
          <cell r="J4751"/>
        </row>
        <row r="4752">
          <cell r="J4752"/>
        </row>
        <row r="4753">
          <cell r="J4753"/>
        </row>
        <row r="4754">
          <cell r="J4754"/>
        </row>
        <row r="4755">
          <cell r="J4755"/>
        </row>
        <row r="4756">
          <cell r="J4756"/>
        </row>
        <row r="4757">
          <cell r="J4757"/>
        </row>
        <row r="4758">
          <cell r="J4758"/>
        </row>
        <row r="4759">
          <cell r="J4759"/>
        </row>
        <row r="4760">
          <cell r="J4760"/>
        </row>
        <row r="4761">
          <cell r="J4761"/>
        </row>
        <row r="4762">
          <cell r="J4762"/>
        </row>
        <row r="4763">
          <cell r="J4763"/>
        </row>
        <row r="4764">
          <cell r="J4764"/>
        </row>
        <row r="4765">
          <cell r="J4765"/>
        </row>
        <row r="4766">
          <cell r="J4766"/>
        </row>
        <row r="4767">
          <cell r="J4767"/>
        </row>
        <row r="4768">
          <cell r="J4768"/>
        </row>
        <row r="4769">
          <cell r="J4769"/>
        </row>
        <row r="4770">
          <cell r="J4770"/>
        </row>
        <row r="4771">
          <cell r="J4771"/>
        </row>
        <row r="4772">
          <cell r="J4772"/>
        </row>
        <row r="4773">
          <cell r="J4773"/>
        </row>
        <row r="4774">
          <cell r="J4774"/>
        </row>
        <row r="4775">
          <cell r="J4775"/>
        </row>
        <row r="4776">
          <cell r="J4776"/>
        </row>
        <row r="4777">
          <cell r="J4777"/>
        </row>
        <row r="4778">
          <cell r="J4778"/>
        </row>
        <row r="4779">
          <cell r="J4779"/>
        </row>
        <row r="4780">
          <cell r="J4780"/>
        </row>
        <row r="4781">
          <cell r="J4781"/>
        </row>
        <row r="4782">
          <cell r="J4782"/>
        </row>
        <row r="4783">
          <cell r="J4783"/>
        </row>
        <row r="4784">
          <cell r="J4784"/>
        </row>
        <row r="4785">
          <cell r="J4785"/>
        </row>
        <row r="4786">
          <cell r="J4786"/>
        </row>
        <row r="4787">
          <cell r="J4787"/>
        </row>
        <row r="4788">
          <cell r="J4788"/>
        </row>
        <row r="4789">
          <cell r="J4789"/>
        </row>
        <row r="4790">
          <cell r="J4790"/>
        </row>
        <row r="4791">
          <cell r="J4791"/>
        </row>
        <row r="4792">
          <cell r="J4792"/>
        </row>
        <row r="4793">
          <cell r="J4793"/>
        </row>
        <row r="4794">
          <cell r="J4794"/>
        </row>
        <row r="4795">
          <cell r="J4795"/>
        </row>
        <row r="4796">
          <cell r="J4796"/>
        </row>
        <row r="4797">
          <cell r="J4797"/>
        </row>
        <row r="4798">
          <cell r="J4798"/>
        </row>
        <row r="4799">
          <cell r="J4799"/>
        </row>
        <row r="4800">
          <cell r="J4800"/>
        </row>
        <row r="4801">
          <cell r="J4801"/>
        </row>
        <row r="4802">
          <cell r="J4802"/>
        </row>
        <row r="4803">
          <cell r="J4803"/>
        </row>
        <row r="4804">
          <cell r="J4804"/>
        </row>
        <row r="4805">
          <cell r="J4805"/>
        </row>
        <row r="4806">
          <cell r="J4806"/>
        </row>
        <row r="4807">
          <cell r="J4807"/>
        </row>
        <row r="4808">
          <cell r="J4808"/>
        </row>
        <row r="4809">
          <cell r="J4809"/>
        </row>
        <row r="4810">
          <cell r="J4810"/>
        </row>
        <row r="4811">
          <cell r="J4811"/>
        </row>
        <row r="4812">
          <cell r="J4812"/>
        </row>
        <row r="4813">
          <cell r="J4813"/>
        </row>
        <row r="4814">
          <cell r="J4814"/>
        </row>
        <row r="4815">
          <cell r="J4815"/>
        </row>
        <row r="4816">
          <cell r="J4816"/>
        </row>
        <row r="4817">
          <cell r="J4817"/>
        </row>
        <row r="4818">
          <cell r="J4818"/>
        </row>
        <row r="4819">
          <cell r="J4819"/>
        </row>
        <row r="4820">
          <cell r="J4820"/>
        </row>
        <row r="4821">
          <cell r="J4821"/>
        </row>
        <row r="4822">
          <cell r="J4822"/>
        </row>
        <row r="4823">
          <cell r="J4823"/>
        </row>
        <row r="4824">
          <cell r="J4824"/>
        </row>
        <row r="4825">
          <cell r="J4825"/>
        </row>
        <row r="4826">
          <cell r="J4826"/>
        </row>
        <row r="4827">
          <cell r="J4827"/>
        </row>
        <row r="4828">
          <cell r="J4828"/>
        </row>
        <row r="4829">
          <cell r="J4829"/>
        </row>
        <row r="4830">
          <cell r="J4830"/>
        </row>
        <row r="4831">
          <cell r="J4831"/>
        </row>
        <row r="4832">
          <cell r="J4832"/>
        </row>
        <row r="4833">
          <cell r="J4833"/>
        </row>
        <row r="4834">
          <cell r="J4834"/>
        </row>
        <row r="4835">
          <cell r="J4835"/>
        </row>
        <row r="4836">
          <cell r="J4836"/>
        </row>
        <row r="4837">
          <cell r="J4837"/>
        </row>
        <row r="4838">
          <cell r="J4838"/>
        </row>
        <row r="4839">
          <cell r="J4839"/>
        </row>
        <row r="4840">
          <cell r="J4840"/>
        </row>
        <row r="4841">
          <cell r="J4841"/>
        </row>
        <row r="4842">
          <cell r="J4842"/>
        </row>
        <row r="4843">
          <cell r="J4843"/>
        </row>
        <row r="4844">
          <cell r="J4844"/>
        </row>
        <row r="4845">
          <cell r="J4845"/>
        </row>
        <row r="4846">
          <cell r="J4846"/>
        </row>
        <row r="4847">
          <cell r="J4847"/>
        </row>
        <row r="4848">
          <cell r="J4848"/>
        </row>
        <row r="4849">
          <cell r="J4849"/>
        </row>
        <row r="4850">
          <cell r="J4850"/>
        </row>
        <row r="4851">
          <cell r="J4851"/>
        </row>
        <row r="4852">
          <cell r="J4852"/>
        </row>
        <row r="4853">
          <cell r="J4853"/>
        </row>
        <row r="4854">
          <cell r="J4854"/>
        </row>
        <row r="4855">
          <cell r="J4855"/>
        </row>
        <row r="4856">
          <cell r="J4856"/>
        </row>
        <row r="4857">
          <cell r="J4857"/>
        </row>
        <row r="4858">
          <cell r="J4858"/>
        </row>
        <row r="4859">
          <cell r="J4859"/>
        </row>
        <row r="4860">
          <cell r="J4860"/>
        </row>
        <row r="4861">
          <cell r="J4861"/>
        </row>
        <row r="4862">
          <cell r="J4862"/>
        </row>
        <row r="4863">
          <cell r="J4863"/>
        </row>
        <row r="4864">
          <cell r="J4864"/>
        </row>
        <row r="4865">
          <cell r="J4865"/>
        </row>
        <row r="4866">
          <cell r="J4866"/>
        </row>
        <row r="4867">
          <cell r="J4867"/>
        </row>
        <row r="4868">
          <cell r="J4868"/>
        </row>
        <row r="4869">
          <cell r="J4869"/>
        </row>
        <row r="4870">
          <cell r="J4870"/>
        </row>
        <row r="4871">
          <cell r="J4871"/>
        </row>
        <row r="4872">
          <cell r="J4872"/>
        </row>
        <row r="4873">
          <cell r="J4873"/>
        </row>
        <row r="4874">
          <cell r="J4874"/>
        </row>
        <row r="4875">
          <cell r="J4875"/>
        </row>
        <row r="4876">
          <cell r="J4876"/>
        </row>
        <row r="4877">
          <cell r="J4877"/>
        </row>
        <row r="4878">
          <cell r="J4878"/>
        </row>
        <row r="4879">
          <cell r="J4879"/>
        </row>
        <row r="4880">
          <cell r="J4880"/>
        </row>
        <row r="4881">
          <cell r="J4881"/>
        </row>
        <row r="4882">
          <cell r="J4882"/>
        </row>
        <row r="4883">
          <cell r="J4883"/>
        </row>
        <row r="4884">
          <cell r="J4884"/>
        </row>
        <row r="4885">
          <cell r="J4885"/>
        </row>
        <row r="4886">
          <cell r="J4886"/>
        </row>
        <row r="4887">
          <cell r="J4887"/>
        </row>
        <row r="4888">
          <cell r="J4888"/>
        </row>
        <row r="4889">
          <cell r="J4889"/>
        </row>
        <row r="4890">
          <cell r="J4890"/>
        </row>
        <row r="4891">
          <cell r="J4891"/>
        </row>
        <row r="4892">
          <cell r="J4892"/>
        </row>
        <row r="4893">
          <cell r="J4893"/>
        </row>
        <row r="4894">
          <cell r="J4894"/>
        </row>
        <row r="4895">
          <cell r="J4895"/>
        </row>
        <row r="4896">
          <cell r="J4896"/>
        </row>
        <row r="4897">
          <cell r="J4897"/>
        </row>
        <row r="4898">
          <cell r="J4898"/>
        </row>
        <row r="4899">
          <cell r="J4899"/>
        </row>
        <row r="4900">
          <cell r="J4900"/>
        </row>
        <row r="4901">
          <cell r="J4901"/>
        </row>
        <row r="4902">
          <cell r="J4902"/>
        </row>
        <row r="4903">
          <cell r="J4903"/>
        </row>
        <row r="4904">
          <cell r="J4904"/>
        </row>
        <row r="4905">
          <cell r="J4905"/>
        </row>
        <row r="4906">
          <cell r="J4906"/>
        </row>
        <row r="4907">
          <cell r="J4907"/>
        </row>
        <row r="4908">
          <cell r="J4908"/>
        </row>
        <row r="4909">
          <cell r="J4909"/>
        </row>
        <row r="4910">
          <cell r="J4910"/>
        </row>
        <row r="4911">
          <cell r="J4911"/>
        </row>
        <row r="4912">
          <cell r="J4912"/>
        </row>
        <row r="4913">
          <cell r="J4913"/>
        </row>
        <row r="4914">
          <cell r="J4914"/>
        </row>
        <row r="4915">
          <cell r="J4915"/>
        </row>
        <row r="4916">
          <cell r="J4916"/>
        </row>
        <row r="4917">
          <cell r="J4917"/>
        </row>
        <row r="4918">
          <cell r="J4918"/>
        </row>
        <row r="4919">
          <cell r="J4919"/>
        </row>
        <row r="4920">
          <cell r="J4920"/>
        </row>
        <row r="4921">
          <cell r="J4921"/>
        </row>
        <row r="4922">
          <cell r="J4922"/>
        </row>
        <row r="4923">
          <cell r="J4923"/>
        </row>
        <row r="4924">
          <cell r="J4924"/>
        </row>
        <row r="4925">
          <cell r="J4925"/>
        </row>
        <row r="4926">
          <cell r="J4926"/>
        </row>
        <row r="4927">
          <cell r="J4927"/>
        </row>
        <row r="4928">
          <cell r="J4928"/>
        </row>
        <row r="4929">
          <cell r="J4929"/>
        </row>
        <row r="4930">
          <cell r="J4930"/>
        </row>
        <row r="4931">
          <cell r="J4931"/>
        </row>
        <row r="4932">
          <cell r="J4932"/>
        </row>
        <row r="4933">
          <cell r="J4933"/>
        </row>
        <row r="4934">
          <cell r="J4934"/>
        </row>
        <row r="4935">
          <cell r="J4935"/>
        </row>
        <row r="4936">
          <cell r="J4936"/>
        </row>
        <row r="4937">
          <cell r="J4937"/>
        </row>
        <row r="4938">
          <cell r="J4938"/>
        </row>
        <row r="4939">
          <cell r="J4939"/>
        </row>
        <row r="4940">
          <cell r="J4940"/>
        </row>
        <row r="4941">
          <cell r="J4941"/>
        </row>
        <row r="4942">
          <cell r="J4942"/>
        </row>
        <row r="4943">
          <cell r="J4943"/>
        </row>
        <row r="4944">
          <cell r="J4944"/>
        </row>
        <row r="4945">
          <cell r="J4945"/>
        </row>
        <row r="4946">
          <cell r="J4946"/>
        </row>
        <row r="4947">
          <cell r="J4947"/>
        </row>
        <row r="4948">
          <cell r="J4948"/>
        </row>
        <row r="4949">
          <cell r="J4949"/>
        </row>
        <row r="4950">
          <cell r="J4950"/>
        </row>
        <row r="4951">
          <cell r="J4951"/>
        </row>
        <row r="4952">
          <cell r="J4952"/>
        </row>
        <row r="4953">
          <cell r="J4953"/>
        </row>
        <row r="4954">
          <cell r="J4954"/>
        </row>
        <row r="4955">
          <cell r="J4955"/>
        </row>
        <row r="4956">
          <cell r="J4956"/>
        </row>
        <row r="4957">
          <cell r="J4957"/>
        </row>
        <row r="4958">
          <cell r="J4958"/>
        </row>
        <row r="4959">
          <cell r="J4959"/>
        </row>
        <row r="4960">
          <cell r="J4960"/>
        </row>
        <row r="4961">
          <cell r="J4961"/>
        </row>
        <row r="4962">
          <cell r="J4962"/>
        </row>
        <row r="4963">
          <cell r="J4963"/>
        </row>
        <row r="4964">
          <cell r="J4964"/>
        </row>
        <row r="4965">
          <cell r="J4965"/>
        </row>
        <row r="4966">
          <cell r="J4966"/>
        </row>
        <row r="4967">
          <cell r="J4967"/>
        </row>
        <row r="4968">
          <cell r="J4968"/>
        </row>
        <row r="4969">
          <cell r="J4969"/>
        </row>
        <row r="4970">
          <cell r="J4970"/>
        </row>
        <row r="4971">
          <cell r="J4971"/>
        </row>
        <row r="4972">
          <cell r="J4972"/>
        </row>
        <row r="4973">
          <cell r="J4973"/>
        </row>
        <row r="4974">
          <cell r="J4974"/>
        </row>
        <row r="4975">
          <cell r="J4975"/>
        </row>
        <row r="4976">
          <cell r="J4976"/>
        </row>
        <row r="4977">
          <cell r="J4977"/>
        </row>
        <row r="4978">
          <cell r="J4978"/>
        </row>
        <row r="4979">
          <cell r="J4979"/>
        </row>
        <row r="4980">
          <cell r="J4980"/>
        </row>
        <row r="4981">
          <cell r="J4981"/>
        </row>
        <row r="4982">
          <cell r="J4982"/>
        </row>
        <row r="4983">
          <cell r="J4983"/>
        </row>
        <row r="4984">
          <cell r="J4984"/>
        </row>
        <row r="4985">
          <cell r="J4985"/>
        </row>
        <row r="4986">
          <cell r="J4986"/>
        </row>
        <row r="4987">
          <cell r="J4987"/>
        </row>
        <row r="4988">
          <cell r="J4988"/>
        </row>
        <row r="4989">
          <cell r="J4989"/>
        </row>
        <row r="4990">
          <cell r="J4990"/>
        </row>
        <row r="4991">
          <cell r="J4991"/>
        </row>
        <row r="4992">
          <cell r="J4992"/>
        </row>
        <row r="4993">
          <cell r="J4993"/>
        </row>
        <row r="4994">
          <cell r="J4994"/>
        </row>
        <row r="4995">
          <cell r="J4995"/>
        </row>
        <row r="4996">
          <cell r="J4996"/>
        </row>
        <row r="4997">
          <cell r="J4997"/>
        </row>
        <row r="4998">
          <cell r="J4998"/>
        </row>
        <row r="4999">
          <cell r="J4999"/>
        </row>
        <row r="5000">
          <cell r="J5000"/>
        </row>
        <row r="5001">
          <cell r="J5001"/>
        </row>
        <row r="5002">
          <cell r="J5002"/>
        </row>
        <row r="5003">
          <cell r="J5003"/>
        </row>
        <row r="5004">
          <cell r="J5004"/>
        </row>
        <row r="5005">
          <cell r="J5005"/>
        </row>
        <row r="5006">
          <cell r="J5006"/>
        </row>
        <row r="5007">
          <cell r="J5007"/>
        </row>
        <row r="5008">
          <cell r="J5008"/>
        </row>
        <row r="5009">
          <cell r="J5009"/>
        </row>
        <row r="5010">
          <cell r="J5010"/>
        </row>
        <row r="5011">
          <cell r="J5011"/>
        </row>
        <row r="5012">
          <cell r="J5012"/>
        </row>
        <row r="5013">
          <cell r="J5013"/>
        </row>
        <row r="5014">
          <cell r="J5014"/>
        </row>
        <row r="5015">
          <cell r="J5015"/>
        </row>
        <row r="5016">
          <cell r="J5016"/>
        </row>
        <row r="5017">
          <cell r="J5017"/>
        </row>
        <row r="5018">
          <cell r="J5018"/>
        </row>
        <row r="5019">
          <cell r="J5019"/>
        </row>
        <row r="5020">
          <cell r="J5020"/>
        </row>
        <row r="5021">
          <cell r="J5021"/>
        </row>
        <row r="5022">
          <cell r="J5022"/>
        </row>
        <row r="5023">
          <cell r="J5023"/>
        </row>
        <row r="5024">
          <cell r="J5024"/>
        </row>
        <row r="5025">
          <cell r="J5025"/>
        </row>
        <row r="5026">
          <cell r="J5026"/>
        </row>
        <row r="5027">
          <cell r="J5027"/>
        </row>
        <row r="5028">
          <cell r="J5028"/>
        </row>
        <row r="5029">
          <cell r="J5029"/>
        </row>
        <row r="5030">
          <cell r="J5030"/>
        </row>
        <row r="5031">
          <cell r="J5031"/>
        </row>
        <row r="5032">
          <cell r="J5032"/>
        </row>
        <row r="5033">
          <cell r="J5033"/>
        </row>
        <row r="5034">
          <cell r="J5034"/>
        </row>
        <row r="5035">
          <cell r="J5035"/>
        </row>
        <row r="5036">
          <cell r="J5036"/>
        </row>
        <row r="5037">
          <cell r="J5037"/>
        </row>
        <row r="5038">
          <cell r="J5038"/>
        </row>
        <row r="5039">
          <cell r="J5039"/>
        </row>
        <row r="5040">
          <cell r="J5040"/>
        </row>
        <row r="5041">
          <cell r="J5041"/>
        </row>
        <row r="5042">
          <cell r="J5042"/>
        </row>
        <row r="5043">
          <cell r="J5043"/>
        </row>
        <row r="5044">
          <cell r="J5044"/>
        </row>
        <row r="5045">
          <cell r="J5045"/>
        </row>
        <row r="5046">
          <cell r="J5046"/>
        </row>
        <row r="5047">
          <cell r="J5047"/>
        </row>
        <row r="5048">
          <cell r="J5048"/>
        </row>
        <row r="5049">
          <cell r="J5049"/>
        </row>
        <row r="5050">
          <cell r="J5050"/>
        </row>
        <row r="5051">
          <cell r="J5051"/>
        </row>
        <row r="5052">
          <cell r="J5052"/>
        </row>
        <row r="5053">
          <cell r="J5053"/>
        </row>
        <row r="5054">
          <cell r="J5054"/>
        </row>
        <row r="5055">
          <cell r="J5055"/>
        </row>
        <row r="5056">
          <cell r="J5056"/>
        </row>
        <row r="5057">
          <cell r="J5057"/>
        </row>
        <row r="5058">
          <cell r="J5058"/>
        </row>
        <row r="5059">
          <cell r="J5059"/>
        </row>
        <row r="5060">
          <cell r="J5060"/>
        </row>
        <row r="5061">
          <cell r="J5061"/>
        </row>
        <row r="5062">
          <cell r="J5062"/>
        </row>
        <row r="5063">
          <cell r="J5063"/>
        </row>
        <row r="5064">
          <cell r="J5064"/>
        </row>
        <row r="5065">
          <cell r="J5065"/>
        </row>
        <row r="5066">
          <cell r="J5066"/>
        </row>
        <row r="5067">
          <cell r="J5067"/>
        </row>
        <row r="5068">
          <cell r="J5068"/>
        </row>
        <row r="5069">
          <cell r="J5069"/>
        </row>
        <row r="5070">
          <cell r="J5070"/>
        </row>
        <row r="5071">
          <cell r="J5071"/>
        </row>
        <row r="5072">
          <cell r="J5072"/>
        </row>
        <row r="5073">
          <cell r="J5073"/>
        </row>
        <row r="5074">
          <cell r="J5074"/>
        </row>
        <row r="5075">
          <cell r="J5075"/>
        </row>
        <row r="5076">
          <cell r="J5076"/>
        </row>
        <row r="5077">
          <cell r="J5077"/>
        </row>
        <row r="5078">
          <cell r="J5078"/>
        </row>
        <row r="5079">
          <cell r="J5079"/>
        </row>
        <row r="5080">
          <cell r="J5080"/>
        </row>
        <row r="5081">
          <cell r="J5081"/>
        </row>
        <row r="5082">
          <cell r="J5082"/>
        </row>
        <row r="5083">
          <cell r="J5083"/>
        </row>
        <row r="5084">
          <cell r="J5084"/>
        </row>
        <row r="5085">
          <cell r="J5085"/>
        </row>
        <row r="5086">
          <cell r="J5086"/>
        </row>
        <row r="5087">
          <cell r="J5087"/>
        </row>
        <row r="5088">
          <cell r="J5088"/>
        </row>
        <row r="5089">
          <cell r="J5089"/>
        </row>
        <row r="5090">
          <cell r="J5090"/>
        </row>
        <row r="5091">
          <cell r="J5091"/>
        </row>
        <row r="5092">
          <cell r="J5092"/>
        </row>
        <row r="5093">
          <cell r="J5093"/>
        </row>
        <row r="5094">
          <cell r="J5094"/>
        </row>
        <row r="5095">
          <cell r="J5095"/>
        </row>
        <row r="5096">
          <cell r="J5096"/>
        </row>
        <row r="5097">
          <cell r="J5097"/>
        </row>
        <row r="5098">
          <cell r="J5098"/>
        </row>
        <row r="5099">
          <cell r="J5099"/>
        </row>
        <row r="5100">
          <cell r="J5100"/>
        </row>
        <row r="5101">
          <cell r="J5101"/>
        </row>
        <row r="5102">
          <cell r="J5102"/>
        </row>
        <row r="5103">
          <cell r="J5103"/>
        </row>
        <row r="5104">
          <cell r="J5104"/>
        </row>
        <row r="5105">
          <cell r="J5105"/>
        </row>
        <row r="5106">
          <cell r="J5106"/>
        </row>
        <row r="5107">
          <cell r="J5107"/>
        </row>
        <row r="5108">
          <cell r="J5108"/>
        </row>
        <row r="5109">
          <cell r="J5109"/>
        </row>
        <row r="5110">
          <cell r="J5110"/>
        </row>
        <row r="5111">
          <cell r="J5111"/>
        </row>
        <row r="5112">
          <cell r="J5112"/>
        </row>
        <row r="5113">
          <cell r="J5113"/>
        </row>
        <row r="5114">
          <cell r="J5114"/>
        </row>
        <row r="5115">
          <cell r="J5115"/>
        </row>
        <row r="5116">
          <cell r="J5116"/>
        </row>
        <row r="5117">
          <cell r="J5117"/>
        </row>
        <row r="5118">
          <cell r="J5118"/>
        </row>
        <row r="5119">
          <cell r="J5119"/>
        </row>
        <row r="5120">
          <cell r="J5120"/>
        </row>
        <row r="5121">
          <cell r="J5121"/>
        </row>
        <row r="5122">
          <cell r="J5122"/>
        </row>
        <row r="5123">
          <cell r="J5123"/>
        </row>
        <row r="5124">
          <cell r="J5124"/>
        </row>
        <row r="5125">
          <cell r="J5125"/>
        </row>
        <row r="5126">
          <cell r="J5126"/>
        </row>
        <row r="5127">
          <cell r="J5127"/>
        </row>
        <row r="5128">
          <cell r="J5128"/>
        </row>
        <row r="5129">
          <cell r="J5129"/>
        </row>
        <row r="5130">
          <cell r="J5130"/>
        </row>
        <row r="5131">
          <cell r="J5131"/>
        </row>
        <row r="5132">
          <cell r="J5132"/>
        </row>
        <row r="5133">
          <cell r="J5133"/>
        </row>
        <row r="5134">
          <cell r="J5134"/>
        </row>
        <row r="5135">
          <cell r="J5135"/>
        </row>
        <row r="5136">
          <cell r="J5136"/>
        </row>
        <row r="5137">
          <cell r="J5137"/>
        </row>
        <row r="5138">
          <cell r="J5138"/>
        </row>
        <row r="5139">
          <cell r="J5139"/>
        </row>
        <row r="5140">
          <cell r="J5140"/>
        </row>
        <row r="5141">
          <cell r="J5141"/>
        </row>
        <row r="5142">
          <cell r="J5142"/>
        </row>
        <row r="5143">
          <cell r="J5143"/>
        </row>
        <row r="5144">
          <cell r="J5144"/>
        </row>
        <row r="5145">
          <cell r="J5145"/>
        </row>
        <row r="5146">
          <cell r="J5146"/>
        </row>
        <row r="5147">
          <cell r="J5147"/>
        </row>
        <row r="5148">
          <cell r="J5148"/>
        </row>
        <row r="5149">
          <cell r="J5149"/>
        </row>
        <row r="5150">
          <cell r="J5150"/>
        </row>
        <row r="5151">
          <cell r="J5151"/>
        </row>
        <row r="5152">
          <cell r="J5152"/>
        </row>
        <row r="5153">
          <cell r="J5153"/>
        </row>
        <row r="5154">
          <cell r="J5154"/>
        </row>
        <row r="5155">
          <cell r="J5155"/>
        </row>
        <row r="5156">
          <cell r="J5156"/>
        </row>
        <row r="5157">
          <cell r="J5157"/>
        </row>
        <row r="5158">
          <cell r="J5158"/>
        </row>
        <row r="5159">
          <cell r="J5159"/>
        </row>
        <row r="5160">
          <cell r="J5160"/>
        </row>
        <row r="5161">
          <cell r="J5161"/>
        </row>
        <row r="5162">
          <cell r="J5162"/>
        </row>
        <row r="5163">
          <cell r="J5163"/>
        </row>
        <row r="5164">
          <cell r="J5164"/>
        </row>
        <row r="5165">
          <cell r="J5165"/>
        </row>
        <row r="5166">
          <cell r="J5166"/>
        </row>
        <row r="5167">
          <cell r="J5167"/>
        </row>
        <row r="5168">
          <cell r="J5168"/>
        </row>
        <row r="5169">
          <cell r="J5169"/>
        </row>
        <row r="5170">
          <cell r="J5170"/>
        </row>
        <row r="5171">
          <cell r="J5171"/>
        </row>
        <row r="5172">
          <cell r="J5172"/>
        </row>
        <row r="5173">
          <cell r="J5173"/>
        </row>
        <row r="5174">
          <cell r="J5174"/>
        </row>
        <row r="5175">
          <cell r="J5175"/>
        </row>
        <row r="5176">
          <cell r="J5176"/>
        </row>
        <row r="5177">
          <cell r="J5177"/>
        </row>
        <row r="5178">
          <cell r="J5178"/>
        </row>
        <row r="5179">
          <cell r="J5179"/>
        </row>
        <row r="5180">
          <cell r="J5180"/>
        </row>
        <row r="5181">
          <cell r="J5181"/>
        </row>
        <row r="5182">
          <cell r="J5182"/>
        </row>
        <row r="5183">
          <cell r="J5183"/>
        </row>
        <row r="5184">
          <cell r="J5184"/>
        </row>
        <row r="5185">
          <cell r="J5185"/>
        </row>
        <row r="5186">
          <cell r="J5186"/>
        </row>
        <row r="5187">
          <cell r="J5187"/>
        </row>
        <row r="5188">
          <cell r="J5188"/>
        </row>
        <row r="5189">
          <cell r="J5189"/>
        </row>
        <row r="5190">
          <cell r="J5190"/>
        </row>
        <row r="5191">
          <cell r="J5191"/>
        </row>
        <row r="5192">
          <cell r="J5192"/>
        </row>
        <row r="5193">
          <cell r="J5193"/>
        </row>
        <row r="5194">
          <cell r="J5194"/>
        </row>
        <row r="5195">
          <cell r="J5195"/>
        </row>
        <row r="5196">
          <cell r="J5196"/>
        </row>
        <row r="5197">
          <cell r="J5197"/>
        </row>
        <row r="5198">
          <cell r="J5198"/>
        </row>
        <row r="5199">
          <cell r="J5199"/>
        </row>
        <row r="5200">
          <cell r="J5200"/>
        </row>
        <row r="5201">
          <cell r="J5201"/>
        </row>
        <row r="5202">
          <cell r="J5202"/>
        </row>
        <row r="5203">
          <cell r="J5203"/>
        </row>
        <row r="5204">
          <cell r="J5204"/>
        </row>
        <row r="5205">
          <cell r="J5205"/>
        </row>
        <row r="5206">
          <cell r="J5206"/>
        </row>
        <row r="5207">
          <cell r="J5207"/>
        </row>
        <row r="5208">
          <cell r="J5208"/>
        </row>
        <row r="5209">
          <cell r="J5209"/>
        </row>
        <row r="5210">
          <cell r="J5210"/>
        </row>
        <row r="5211">
          <cell r="J5211"/>
        </row>
        <row r="5212">
          <cell r="J5212"/>
        </row>
        <row r="5213">
          <cell r="J5213"/>
        </row>
        <row r="5214">
          <cell r="J5214"/>
        </row>
        <row r="5215">
          <cell r="J5215"/>
        </row>
        <row r="5216">
          <cell r="J5216"/>
        </row>
        <row r="5217">
          <cell r="J5217"/>
        </row>
        <row r="5218">
          <cell r="J5218"/>
        </row>
        <row r="5219">
          <cell r="J5219"/>
        </row>
        <row r="5220">
          <cell r="J5220"/>
        </row>
        <row r="5221">
          <cell r="J5221"/>
        </row>
        <row r="5222">
          <cell r="J5222"/>
        </row>
        <row r="5223">
          <cell r="J5223"/>
        </row>
        <row r="5224">
          <cell r="J5224"/>
        </row>
        <row r="5225">
          <cell r="J5225"/>
        </row>
        <row r="5226">
          <cell r="J5226"/>
        </row>
        <row r="5227">
          <cell r="J5227"/>
        </row>
        <row r="5228">
          <cell r="J5228"/>
        </row>
        <row r="5229">
          <cell r="J5229"/>
        </row>
        <row r="5230">
          <cell r="J5230"/>
        </row>
        <row r="5231">
          <cell r="J5231"/>
        </row>
        <row r="5232">
          <cell r="J5232"/>
        </row>
        <row r="5233">
          <cell r="J5233"/>
        </row>
        <row r="5234">
          <cell r="J5234"/>
        </row>
        <row r="5235">
          <cell r="J5235"/>
        </row>
        <row r="5236">
          <cell r="J5236"/>
        </row>
        <row r="5237">
          <cell r="J5237"/>
        </row>
        <row r="5238">
          <cell r="J5238"/>
        </row>
        <row r="5239">
          <cell r="J5239"/>
        </row>
        <row r="5240">
          <cell r="J5240"/>
        </row>
        <row r="5241">
          <cell r="J5241"/>
        </row>
        <row r="5242">
          <cell r="J5242"/>
        </row>
        <row r="5243">
          <cell r="J5243"/>
        </row>
        <row r="5244">
          <cell r="J5244"/>
        </row>
        <row r="5245">
          <cell r="J5245"/>
        </row>
        <row r="5246">
          <cell r="J5246"/>
        </row>
        <row r="5247">
          <cell r="J5247"/>
        </row>
        <row r="5248">
          <cell r="J5248"/>
        </row>
        <row r="5249">
          <cell r="J5249"/>
        </row>
        <row r="5250">
          <cell r="J5250"/>
        </row>
        <row r="5251">
          <cell r="J5251"/>
        </row>
        <row r="5252">
          <cell r="J5252"/>
        </row>
        <row r="5253">
          <cell r="J5253"/>
        </row>
        <row r="5254">
          <cell r="J5254"/>
        </row>
        <row r="5255">
          <cell r="J5255"/>
        </row>
        <row r="5256">
          <cell r="J5256"/>
        </row>
        <row r="5257">
          <cell r="J5257"/>
        </row>
        <row r="5258">
          <cell r="J5258"/>
        </row>
        <row r="5259">
          <cell r="J5259"/>
        </row>
        <row r="5260">
          <cell r="J5260"/>
        </row>
        <row r="5261">
          <cell r="J5261"/>
        </row>
        <row r="5262">
          <cell r="J5262"/>
        </row>
        <row r="5263">
          <cell r="J5263"/>
        </row>
        <row r="5264">
          <cell r="J5264"/>
        </row>
        <row r="5265">
          <cell r="J5265"/>
        </row>
        <row r="5266">
          <cell r="J5266"/>
        </row>
        <row r="5267">
          <cell r="J5267"/>
        </row>
        <row r="5268">
          <cell r="J5268"/>
        </row>
        <row r="5269">
          <cell r="J5269"/>
        </row>
        <row r="5270">
          <cell r="J5270"/>
        </row>
        <row r="5271">
          <cell r="J5271"/>
        </row>
        <row r="5272">
          <cell r="J5272"/>
        </row>
        <row r="5273">
          <cell r="J5273"/>
        </row>
        <row r="5274">
          <cell r="J5274"/>
        </row>
        <row r="5275">
          <cell r="J5275"/>
        </row>
        <row r="5276">
          <cell r="J5276"/>
        </row>
        <row r="5277">
          <cell r="J5277"/>
        </row>
        <row r="5278">
          <cell r="J5278"/>
        </row>
        <row r="5279">
          <cell r="J5279"/>
        </row>
        <row r="5280">
          <cell r="J5280"/>
        </row>
        <row r="5281">
          <cell r="J5281"/>
        </row>
        <row r="5282">
          <cell r="J5282"/>
        </row>
        <row r="5283">
          <cell r="J5283"/>
        </row>
        <row r="5284">
          <cell r="J5284"/>
        </row>
        <row r="5285">
          <cell r="J5285"/>
        </row>
        <row r="5286">
          <cell r="J5286"/>
        </row>
        <row r="5287">
          <cell r="J5287"/>
        </row>
        <row r="5288">
          <cell r="J5288"/>
        </row>
        <row r="5289">
          <cell r="J5289"/>
        </row>
        <row r="5290">
          <cell r="J5290"/>
        </row>
        <row r="5291">
          <cell r="J5291"/>
        </row>
        <row r="5292">
          <cell r="J5292"/>
        </row>
        <row r="5293">
          <cell r="J5293"/>
        </row>
        <row r="5294">
          <cell r="J5294"/>
        </row>
        <row r="5295">
          <cell r="J5295"/>
        </row>
        <row r="5296">
          <cell r="J5296"/>
        </row>
        <row r="5297">
          <cell r="J5297"/>
        </row>
        <row r="5298">
          <cell r="J5298"/>
        </row>
        <row r="5299">
          <cell r="J5299"/>
        </row>
        <row r="5300">
          <cell r="J5300"/>
        </row>
        <row r="5301">
          <cell r="J5301"/>
        </row>
        <row r="5302">
          <cell r="J5302"/>
        </row>
        <row r="5303">
          <cell r="J5303"/>
        </row>
        <row r="5304">
          <cell r="J5304"/>
        </row>
        <row r="5305">
          <cell r="J5305"/>
        </row>
        <row r="5306">
          <cell r="J5306"/>
        </row>
        <row r="5307">
          <cell r="J5307"/>
        </row>
        <row r="5308">
          <cell r="J5308"/>
        </row>
        <row r="5309">
          <cell r="J5309"/>
        </row>
        <row r="5310">
          <cell r="J5310"/>
        </row>
        <row r="5311">
          <cell r="J5311"/>
        </row>
        <row r="5312">
          <cell r="J5312"/>
        </row>
        <row r="5313">
          <cell r="J5313"/>
        </row>
        <row r="5314">
          <cell r="J5314"/>
        </row>
        <row r="5315">
          <cell r="J5315"/>
        </row>
        <row r="5316">
          <cell r="J5316"/>
        </row>
        <row r="5317">
          <cell r="J5317"/>
        </row>
        <row r="5318">
          <cell r="J5318"/>
        </row>
        <row r="5319">
          <cell r="J5319"/>
        </row>
        <row r="5320">
          <cell r="J5320"/>
        </row>
        <row r="5321">
          <cell r="J5321"/>
        </row>
        <row r="5322">
          <cell r="J5322"/>
        </row>
        <row r="5323">
          <cell r="J5323"/>
        </row>
        <row r="5324">
          <cell r="J5324"/>
        </row>
        <row r="5325">
          <cell r="J5325"/>
        </row>
        <row r="5326">
          <cell r="J5326"/>
        </row>
        <row r="5327">
          <cell r="J5327"/>
        </row>
        <row r="5328">
          <cell r="J5328"/>
        </row>
        <row r="5329">
          <cell r="J5329"/>
        </row>
        <row r="5330">
          <cell r="J5330"/>
        </row>
        <row r="5331">
          <cell r="J5331"/>
        </row>
        <row r="5332">
          <cell r="J5332"/>
        </row>
        <row r="5333">
          <cell r="J5333"/>
        </row>
        <row r="5334">
          <cell r="J5334"/>
        </row>
        <row r="5335">
          <cell r="J5335"/>
        </row>
        <row r="5336">
          <cell r="J5336"/>
        </row>
        <row r="5337">
          <cell r="J5337"/>
        </row>
        <row r="5338">
          <cell r="J5338"/>
        </row>
        <row r="5339">
          <cell r="J5339"/>
        </row>
        <row r="5340">
          <cell r="J5340"/>
        </row>
        <row r="5341">
          <cell r="J5341"/>
        </row>
        <row r="5342">
          <cell r="J5342"/>
        </row>
        <row r="5343">
          <cell r="J5343"/>
        </row>
        <row r="5344">
          <cell r="J5344"/>
        </row>
        <row r="5345">
          <cell r="J5345"/>
        </row>
        <row r="5346">
          <cell r="J5346"/>
        </row>
        <row r="5347">
          <cell r="J5347"/>
        </row>
        <row r="5348">
          <cell r="J5348"/>
        </row>
        <row r="5349">
          <cell r="J5349"/>
        </row>
        <row r="5350">
          <cell r="J5350"/>
        </row>
        <row r="5351">
          <cell r="J5351"/>
        </row>
        <row r="5352">
          <cell r="J5352"/>
        </row>
        <row r="5353">
          <cell r="J5353"/>
        </row>
        <row r="5354">
          <cell r="J5354"/>
        </row>
        <row r="5355">
          <cell r="J5355"/>
        </row>
        <row r="5356">
          <cell r="J5356"/>
        </row>
        <row r="5357">
          <cell r="J5357"/>
        </row>
        <row r="5358">
          <cell r="J5358"/>
        </row>
        <row r="5359">
          <cell r="J5359"/>
        </row>
        <row r="5360">
          <cell r="J5360"/>
        </row>
        <row r="5361">
          <cell r="J5361"/>
        </row>
        <row r="5362">
          <cell r="J5362"/>
        </row>
        <row r="5363">
          <cell r="J5363"/>
        </row>
        <row r="5364">
          <cell r="J5364"/>
        </row>
        <row r="5365">
          <cell r="J5365"/>
        </row>
        <row r="5366">
          <cell r="J5366"/>
        </row>
        <row r="5367">
          <cell r="J5367"/>
        </row>
        <row r="5368">
          <cell r="J5368"/>
        </row>
        <row r="5369">
          <cell r="J5369"/>
        </row>
        <row r="5370">
          <cell r="J5370"/>
        </row>
        <row r="5371">
          <cell r="J5371"/>
        </row>
        <row r="5372">
          <cell r="J5372"/>
        </row>
        <row r="5373">
          <cell r="J5373"/>
        </row>
        <row r="5374">
          <cell r="J5374"/>
        </row>
        <row r="5375">
          <cell r="J5375"/>
        </row>
        <row r="5376">
          <cell r="J5376"/>
        </row>
        <row r="5377">
          <cell r="J5377"/>
        </row>
        <row r="5378">
          <cell r="J5378"/>
        </row>
        <row r="5379">
          <cell r="J5379"/>
        </row>
        <row r="5380">
          <cell r="J5380"/>
        </row>
        <row r="5381">
          <cell r="J5381"/>
        </row>
        <row r="5382">
          <cell r="J5382"/>
        </row>
        <row r="5383">
          <cell r="J5383"/>
        </row>
        <row r="5384">
          <cell r="J5384"/>
        </row>
        <row r="5385">
          <cell r="J5385"/>
        </row>
        <row r="5386">
          <cell r="J5386"/>
        </row>
        <row r="5387">
          <cell r="J5387"/>
        </row>
        <row r="5388">
          <cell r="J5388"/>
        </row>
        <row r="5389">
          <cell r="J5389"/>
        </row>
        <row r="5390">
          <cell r="J5390"/>
        </row>
        <row r="5391">
          <cell r="J5391"/>
        </row>
        <row r="5392">
          <cell r="J5392"/>
        </row>
        <row r="5393">
          <cell r="J5393"/>
        </row>
        <row r="5394">
          <cell r="J5394"/>
        </row>
        <row r="5395">
          <cell r="J5395"/>
        </row>
        <row r="5396">
          <cell r="J5396"/>
        </row>
        <row r="5397">
          <cell r="J5397"/>
        </row>
        <row r="5398">
          <cell r="J5398"/>
        </row>
        <row r="5399">
          <cell r="J5399"/>
        </row>
        <row r="5400">
          <cell r="J5400"/>
        </row>
        <row r="5401">
          <cell r="J5401"/>
        </row>
        <row r="5402">
          <cell r="J5402"/>
        </row>
        <row r="5403">
          <cell r="J5403"/>
        </row>
        <row r="5404">
          <cell r="J5404"/>
        </row>
        <row r="5405">
          <cell r="J5405"/>
        </row>
        <row r="5406">
          <cell r="J5406"/>
        </row>
        <row r="5407">
          <cell r="J5407"/>
        </row>
        <row r="5408">
          <cell r="J5408"/>
        </row>
        <row r="5409">
          <cell r="J5409"/>
        </row>
        <row r="5410">
          <cell r="J5410"/>
        </row>
        <row r="5411">
          <cell r="J5411"/>
        </row>
        <row r="5412">
          <cell r="J5412"/>
        </row>
        <row r="5413">
          <cell r="J5413"/>
        </row>
        <row r="5414">
          <cell r="J5414"/>
        </row>
        <row r="5415">
          <cell r="J5415"/>
        </row>
        <row r="5416">
          <cell r="J5416"/>
        </row>
        <row r="5417">
          <cell r="J5417"/>
        </row>
        <row r="5418">
          <cell r="J5418"/>
        </row>
        <row r="5419">
          <cell r="J5419"/>
        </row>
        <row r="5420">
          <cell r="J5420"/>
        </row>
        <row r="5421">
          <cell r="J5421"/>
        </row>
        <row r="5422">
          <cell r="J5422"/>
        </row>
        <row r="5423">
          <cell r="J5423"/>
        </row>
        <row r="5424">
          <cell r="J5424"/>
        </row>
        <row r="5425">
          <cell r="J5425"/>
        </row>
        <row r="5426">
          <cell r="J5426"/>
        </row>
        <row r="5427">
          <cell r="J5427"/>
        </row>
        <row r="5428">
          <cell r="J5428"/>
        </row>
        <row r="5429">
          <cell r="J5429"/>
        </row>
        <row r="5430">
          <cell r="J5430"/>
        </row>
        <row r="5431">
          <cell r="J5431"/>
        </row>
        <row r="5432">
          <cell r="J5432"/>
        </row>
        <row r="5433">
          <cell r="J5433"/>
        </row>
        <row r="5434">
          <cell r="J5434"/>
        </row>
        <row r="5435">
          <cell r="J5435"/>
        </row>
        <row r="5436">
          <cell r="J5436"/>
        </row>
        <row r="5437">
          <cell r="J5437"/>
        </row>
        <row r="5438">
          <cell r="J5438"/>
        </row>
        <row r="5439">
          <cell r="J5439"/>
        </row>
        <row r="5440">
          <cell r="J5440"/>
        </row>
        <row r="5441">
          <cell r="J5441"/>
        </row>
        <row r="5442">
          <cell r="J5442"/>
        </row>
        <row r="5443">
          <cell r="J5443"/>
        </row>
        <row r="5444">
          <cell r="J5444"/>
        </row>
        <row r="5445">
          <cell r="J5445"/>
        </row>
        <row r="5446">
          <cell r="J5446"/>
        </row>
        <row r="5447">
          <cell r="J5447"/>
        </row>
        <row r="5448">
          <cell r="J5448"/>
        </row>
        <row r="5449">
          <cell r="J5449"/>
        </row>
        <row r="5450">
          <cell r="J5450"/>
        </row>
        <row r="5451">
          <cell r="J5451"/>
        </row>
        <row r="5452">
          <cell r="J5452"/>
        </row>
        <row r="5453">
          <cell r="J5453"/>
        </row>
        <row r="5454">
          <cell r="J5454"/>
        </row>
        <row r="5455">
          <cell r="J5455"/>
        </row>
        <row r="5456">
          <cell r="J5456"/>
        </row>
        <row r="5457">
          <cell r="J5457"/>
        </row>
        <row r="5458">
          <cell r="J5458"/>
        </row>
        <row r="5459">
          <cell r="J5459"/>
        </row>
        <row r="5460">
          <cell r="J5460"/>
        </row>
      </sheetData>
      <sheetData sheetId="1">
        <row r="4">
          <cell r="I4">
            <v>1.80125E-4</v>
          </cell>
        </row>
        <row r="5">
          <cell r="I5">
            <v>2.20125E-4</v>
          </cell>
        </row>
        <row r="6">
          <cell r="I6">
            <v>2.6012499999999999E-4</v>
          </cell>
        </row>
        <row r="7">
          <cell r="I7">
            <v>3.0012499999999999E-4</v>
          </cell>
        </row>
        <row r="8">
          <cell r="I8">
            <v>3.4012499999999999E-4</v>
          </cell>
        </row>
        <row r="9">
          <cell r="I9">
            <v>3.8012499999999998E-4</v>
          </cell>
        </row>
        <row r="10">
          <cell r="I10">
            <v>4.2012499999999998E-4</v>
          </cell>
        </row>
        <row r="11">
          <cell r="I11">
            <v>4.6012499999999998E-4</v>
          </cell>
        </row>
        <row r="12">
          <cell r="I12">
            <v>5.0012500000000003E-4</v>
          </cell>
        </row>
        <row r="13">
          <cell r="I13">
            <v>5.4012500000000002E-4</v>
          </cell>
        </row>
        <row r="14">
          <cell r="I14">
            <v>5.8012500000000002E-4</v>
          </cell>
        </row>
        <row r="15">
          <cell r="I15">
            <v>6.2012500000000002E-4</v>
          </cell>
        </row>
        <row r="16">
          <cell r="I16">
            <v>6.6012500000000001E-4</v>
          </cell>
        </row>
        <row r="17">
          <cell r="I17">
            <v>7.0012500000000001E-4</v>
          </cell>
        </row>
        <row r="18">
          <cell r="I18">
            <v>7.4012500000000001E-4</v>
          </cell>
        </row>
        <row r="19">
          <cell r="I19">
            <v>7.80125E-4</v>
          </cell>
        </row>
        <row r="20">
          <cell r="I20">
            <v>8.20125E-4</v>
          </cell>
        </row>
        <row r="21">
          <cell r="I21">
            <v>8.60125E-4</v>
          </cell>
        </row>
        <row r="22">
          <cell r="I22">
            <v>9.0012499999999999E-4</v>
          </cell>
        </row>
        <row r="23">
          <cell r="I23">
            <v>9.4012499999999999E-4</v>
          </cell>
        </row>
        <row r="24">
          <cell r="I24">
            <v>9.8012500000000009E-4</v>
          </cell>
        </row>
        <row r="25">
          <cell r="I25">
            <v>1.02012E-3</v>
          </cell>
        </row>
        <row r="26">
          <cell r="I26">
            <v>1.0601199999999999E-3</v>
          </cell>
        </row>
        <row r="27">
          <cell r="I27">
            <v>1.10012E-3</v>
          </cell>
        </row>
        <row r="28">
          <cell r="I28">
            <v>1.1401199999999999E-3</v>
          </cell>
        </row>
        <row r="29">
          <cell r="I29">
            <v>1.18012E-3</v>
          </cell>
        </row>
        <row r="30">
          <cell r="I30">
            <v>1.2201200000000001E-3</v>
          </cell>
        </row>
        <row r="31">
          <cell r="I31">
            <v>1.26012E-3</v>
          </cell>
        </row>
        <row r="32">
          <cell r="I32">
            <v>1.3001200000000001E-3</v>
          </cell>
        </row>
        <row r="33">
          <cell r="I33">
            <v>1.34012E-3</v>
          </cell>
        </row>
        <row r="34">
          <cell r="I34">
            <v>1.3801200000000001E-3</v>
          </cell>
        </row>
        <row r="35">
          <cell r="I35">
            <v>1.42012E-3</v>
          </cell>
        </row>
        <row r="36">
          <cell r="I36">
            <v>1.4601200000000001E-3</v>
          </cell>
        </row>
        <row r="37">
          <cell r="I37">
            <v>1.50012E-3</v>
          </cell>
        </row>
        <row r="38">
          <cell r="I38">
            <v>1.5401200000000001E-3</v>
          </cell>
        </row>
        <row r="39">
          <cell r="I39">
            <v>1.58012E-3</v>
          </cell>
        </row>
        <row r="40">
          <cell r="I40">
            <v>1.6201200000000001E-3</v>
          </cell>
        </row>
        <row r="41">
          <cell r="I41">
            <v>1.66012E-3</v>
          </cell>
        </row>
        <row r="42">
          <cell r="I42">
            <v>1.7001200000000001E-3</v>
          </cell>
        </row>
        <row r="43">
          <cell r="I43">
            <v>1.7401199999999999E-3</v>
          </cell>
        </row>
        <row r="44">
          <cell r="I44">
            <v>1.7801200000000001E-3</v>
          </cell>
        </row>
        <row r="45">
          <cell r="I45">
            <v>1.8201199999999999E-3</v>
          </cell>
        </row>
        <row r="46">
          <cell r="I46">
            <v>1.86012E-3</v>
          </cell>
        </row>
        <row r="47">
          <cell r="I47">
            <v>1.9001199999999999E-3</v>
          </cell>
        </row>
        <row r="48">
          <cell r="I48">
            <v>1.94012E-3</v>
          </cell>
        </row>
        <row r="49">
          <cell r="I49">
            <v>1.9801200000000001E-3</v>
          </cell>
        </row>
        <row r="50">
          <cell r="I50">
            <v>2.0201199999999998E-3</v>
          </cell>
        </row>
        <row r="51">
          <cell r="I51">
            <v>2.0601199999999999E-3</v>
          </cell>
        </row>
        <row r="52">
          <cell r="I52">
            <v>2.10012E-3</v>
          </cell>
        </row>
        <row r="53">
          <cell r="I53">
            <v>2.1401200000000001E-3</v>
          </cell>
        </row>
        <row r="54">
          <cell r="I54">
            <v>2.1801199999999998E-3</v>
          </cell>
        </row>
        <row r="55">
          <cell r="I55">
            <v>2.2201199999999999E-3</v>
          </cell>
        </row>
        <row r="56">
          <cell r="I56">
            <v>2.26012E-3</v>
          </cell>
        </row>
        <row r="57">
          <cell r="I57">
            <v>2.3001200000000001E-3</v>
          </cell>
        </row>
        <row r="58">
          <cell r="I58">
            <v>2.3401199999999998E-3</v>
          </cell>
        </row>
        <row r="59">
          <cell r="I59">
            <v>2.3801199999999999E-3</v>
          </cell>
        </row>
        <row r="60">
          <cell r="I60">
            <v>2.42012E-3</v>
          </cell>
        </row>
        <row r="61">
          <cell r="I61">
            <v>2.4601200000000001E-3</v>
          </cell>
        </row>
        <row r="62">
          <cell r="I62">
            <v>2.5001200000000002E-3</v>
          </cell>
        </row>
        <row r="63">
          <cell r="I63">
            <v>2.5401199999999999E-3</v>
          </cell>
        </row>
        <row r="64">
          <cell r="I64">
            <v>2.58012E-3</v>
          </cell>
        </row>
        <row r="65">
          <cell r="I65">
            <v>2.6201200000000001E-3</v>
          </cell>
        </row>
        <row r="66">
          <cell r="I66">
            <v>2.6601200000000002E-3</v>
          </cell>
        </row>
        <row r="67">
          <cell r="I67">
            <v>2.7001199999999999E-3</v>
          </cell>
        </row>
        <row r="68">
          <cell r="I68">
            <v>2.74012E-3</v>
          </cell>
        </row>
        <row r="69">
          <cell r="I69">
            <v>2.7801200000000001E-3</v>
          </cell>
        </row>
        <row r="70">
          <cell r="I70">
            <v>2.8201200000000002E-3</v>
          </cell>
        </row>
        <row r="71">
          <cell r="I71">
            <v>2.8601199999999998E-3</v>
          </cell>
        </row>
        <row r="72">
          <cell r="I72">
            <v>2.90012E-3</v>
          </cell>
        </row>
        <row r="73">
          <cell r="I73">
            <v>2.9401200000000001E-3</v>
          </cell>
        </row>
        <row r="74">
          <cell r="I74">
            <v>2.9801200000000002E-3</v>
          </cell>
        </row>
        <row r="75">
          <cell r="I75">
            <v>3.0201199999999998E-3</v>
          </cell>
        </row>
        <row r="76">
          <cell r="I76">
            <v>3.0601199999999999E-3</v>
          </cell>
        </row>
        <row r="77">
          <cell r="I77">
            <v>3.10012E-3</v>
          </cell>
        </row>
        <row r="78">
          <cell r="I78">
            <v>3.1401200000000002E-3</v>
          </cell>
        </row>
        <row r="79">
          <cell r="I79">
            <v>3.1801199999999998E-3</v>
          </cell>
        </row>
        <row r="80">
          <cell r="I80">
            <v>3.2201199999999999E-3</v>
          </cell>
        </row>
        <row r="81">
          <cell r="I81">
            <v>3.26012E-3</v>
          </cell>
        </row>
        <row r="82">
          <cell r="I82">
            <v>3.3001200000000001E-3</v>
          </cell>
        </row>
        <row r="83">
          <cell r="I83">
            <v>3.3401199999999998E-3</v>
          </cell>
        </row>
        <row r="84">
          <cell r="I84">
            <v>3.3801199999999999E-3</v>
          </cell>
        </row>
        <row r="85">
          <cell r="I85">
            <v>3.42012E-3</v>
          </cell>
        </row>
        <row r="86">
          <cell r="I86">
            <v>3.4601200000000001E-3</v>
          </cell>
        </row>
        <row r="87">
          <cell r="I87">
            <v>3.5001199999999998E-3</v>
          </cell>
        </row>
        <row r="88">
          <cell r="I88">
            <v>3.5401199999999999E-3</v>
          </cell>
        </row>
        <row r="89">
          <cell r="I89">
            <v>3.58012E-3</v>
          </cell>
        </row>
        <row r="90">
          <cell r="I90">
            <v>3.6201200000000001E-3</v>
          </cell>
        </row>
        <row r="91">
          <cell r="I91">
            <v>3.6601200000000002E-3</v>
          </cell>
        </row>
        <row r="92">
          <cell r="I92">
            <v>3.7001199999999999E-3</v>
          </cell>
        </row>
        <row r="93">
          <cell r="I93">
            <v>3.74012E-3</v>
          </cell>
        </row>
        <row r="94">
          <cell r="I94">
            <v>3.7801200000000001E-3</v>
          </cell>
        </row>
        <row r="95">
          <cell r="I95">
            <v>3.8201200000000002E-3</v>
          </cell>
        </row>
        <row r="96">
          <cell r="I96">
            <v>3.8601199999999999E-3</v>
          </cell>
        </row>
        <row r="97">
          <cell r="I97">
            <v>3.90012E-3</v>
          </cell>
        </row>
        <row r="98">
          <cell r="I98">
            <v>3.9401200000000001E-3</v>
          </cell>
        </row>
        <row r="99">
          <cell r="I99">
            <v>3.9801200000000002E-3</v>
          </cell>
        </row>
        <row r="100">
          <cell r="I100">
            <v>4.0201200000000003E-3</v>
          </cell>
        </row>
        <row r="101">
          <cell r="I101">
            <v>4.0601200000000004E-3</v>
          </cell>
        </row>
        <row r="102">
          <cell r="I102">
            <v>4.1001199999999996E-3</v>
          </cell>
        </row>
        <row r="103">
          <cell r="I103">
            <v>4.1401199999999997E-3</v>
          </cell>
        </row>
        <row r="104">
          <cell r="I104">
            <v>4.1801199999999998E-3</v>
          </cell>
        </row>
        <row r="105">
          <cell r="I105">
            <v>4.2201199999999999E-3</v>
          </cell>
        </row>
        <row r="106">
          <cell r="I106">
            <v>4.2601200000000001E-3</v>
          </cell>
        </row>
        <row r="107">
          <cell r="I107">
            <v>4.3001200000000002E-3</v>
          </cell>
        </row>
        <row r="108">
          <cell r="I108">
            <v>4.3401200000000003E-3</v>
          </cell>
        </row>
        <row r="109">
          <cell r="I109">
            <v>4.3801200000000004E-3</v>
          </cell>
        </row>
        <row r="110">
          <cell r="I110">
            <v>4.4201199999999996E-3</v>
          </cell>
        </row>
        <row r="111">
          <cell r="I111">
            <v>4.4601199999999997E-3</v>
          </cell>
        </row>
        <row r="112">
          <cell r="I112">
            <v>4.5001199999999998E-3</v>
          </cell>
        </row>
        <row r="113">
          <cell r="I113">
            <v>4.5401199999999999E-3</v>
          </cell>
        </row>
        <row r="114">
          <cell r="I114">
            <v>4.58012E-3</v>
          </cell>
        </row>
        <row r="115">
          <cell r="I115">
            <v>4.6201200000000001E-3</v>
          </cell>
        </row>
        <row r="116">
          <cell r="I116">
            <v>4.6601200000000002E-3</v>
          </cell>
        </row>
        <row r="117">
          <cell r="I117">
            <v>4.7001200000000003E-3</v>
          </cell>
        </row>
        <row r="118">
          <cell r="I118">
            <v>4.7401199999999996E-3</v>
          </cell>
        </row>
        <row r="119">
          <cell r="I119">
            <v>4.7801199999999997E-3</v>
          </cell>
        </row>
        <row r="120">
          <cell r="I120">
            <v>4.8201199999999998E-3</v>
          </cell>
        </row>
        <row r="121">
          <cell r="I121">
            <v>4.8601199999999999E-3</v>
          </cell>
        </row>
        <row r="122">
          <cell r="I122">
            <v>4.90012E-3</v>
          </cell>
        </row>
        <row r="123">
          <cell r="I123">
            <v>4.9401200000000001E-3</v>
          </cell>
        </row>
        <row r="124">
          <cell r="I124">
            <v>4.9801200000000002E-3</v>
          </cell>
        </row>
        <row r="125">
          <cell r="I125">
            <v>5.0201200000000003E-3</v>
          </cell>
        </row>
        <row r="126">
          <cell r="I126">
            <v>5.0601200000000004E-3</v>
          </cell>
        </row>
        <row r="127">
          <cell r="I127">
            <v>5.1001199999999997E-3</v>
          </cell>
        </row>
        <row r="128">
          <cell r="I128">
            <v>5.1401199999999998E-3</v>
          </cell>
        </row>
        <row r="129">
          <cell r="I129">
            <v>5.1801199999999999E-3</v>
          </cell>
        </row>
        <row r="130">
          <cell r="I130">
            <v>5.22012E-3</v>
          </cell>
        </row>
        <row r="131">
          <cell r="I131">
            <v>5.2601200000000001E-3</v>
          </cell>
        </row>
        <row r="132">
          <cell r="I132">
            <v>5.3001200000000002E-3</v>
          </cell>
        </row>
        <row r="133">
          <cell r="I133">
            <v>5.3401200000000003E-3</v>
          </cell>
        </row>
        <row r="134">
          <cell r="I134">
            <v>5.3801200000000004E-3</v>
          </cell>
        </row>
        <row r="135">
          <cell r="I135">
            <v>5.4201199999999996E-3</v>
          </cell>
        </row>
        <row r="136">
          <cell r="I136">
            <v>5.4601199999999997E-3</v>
          </cell>
        </row>
        <row r="137">
          <cell r="I137">
            <v>5.5001199999999998E-3</v>
          </cell>
        </row>
        <row r="138">
          <cell r="I138">
            <v>5.5401199999999999E-3</v>
          </cell>
        </row>
        <row r="139">
          <cell r="I139">
            <v>5.58012E-3</v>
          </cell>
        </row>
        <row r="140">
          <cell r="I140">
            <v>5.6201200000000002E-3</v>
          </cell>
        </row>
        <row r="141">
          <cell r="I141">
            <v>5.6601200000000003E-3</v>
          </cell>
        </row>
        <row r="142">
          <cell r="I142">
            <v>5.7001200000000004E-3</v>
          </cell>
        </row>
        <row r="143">
          <cell r="I143">
            <v>5.7401199999999996E-3</v>
          </cell>
        </row>
        <row r="144">
          <cell r="I144">
            <v>5.7801199999999997E-3</v>
          </cell>
        </row>
        <row r="145">
          <cell r="I145">
            <v>5.8201199999999998E-3</v>
          </cell>
        </row>
        <row r="146">
          <cell r="I146">
            <v>5.8601199999999999E-3</v>
          </cell>
        </row>
        <row r="147">
          <cell r="I147">
            <v>5.90012E-3</v>
          </cell>
        </row>
        <row r="148">
          <cell r="I148">
            <v>5.9401200000000001E-3</v>
          </cell>
        </row>
        <row r="149">
          <cell r="I149">
            <v>5.9801200000000002E-3</v>
          </cell>
        </row>
        <row r="150">
          <cell r="I150">
            <v>6.0201200000000003E-3</v>
          </cell>
        </row>
        <row r="151">
          <cell r="I151">
            <v>6.0601199999999996E-3</v>
          </cell>
        </row>
        <row r="152">
          <cell r="I152">
            <v>6.1001199999999997E-3</v>
          </cell>
        </row>
        <row r="153">
          <cell r="I153">
            <v>6.1401199999999998E-3</v>
          </cell>
        </row>
        <row r="154">
          <cell r="I154">
            <v>6.1801199999999999E-3</v>
          </cell>
        </row>
        <row r="155">
          <cell r="I155">
            <v>6.22012E-3</v>
          </cell>
        </row>
        <row r="156">
          <cell r="I156">
            <v>6.2601200000000001E-3</v>
          </cell>
        </row>
        <row r="157">
          <cell r="I157">
            <v>6.3001200000000002E-3</v>
          </cell>
        </row>
        <row r="158">
          <cell r="I158">
            <v>6.3401200000000003E-3</v>
          </cell>
        </row>
        <row r="159">
          <cell r="I159">
            <v>6.3801200000000004E-3</v>
          </cell>
        </row>
        <row r="160">
          <cell r="I160">
            <v>6.4201199999999996E-3</v>
          </cell>
        </row>
        <row r="161">
          <cell r="I161">
            <v>6.4601199999999998E-3</v>
          </cell>
        </row>
        <row r="162">
          <cell r="I162">
            <v>6.5001199999999999E-3</v>
          </cell>
        </row>
        <row r="163">
          <cell r="I163">
            <v>6.54012E-3</v>
          </cell>
        </row>
        <row r="164">
          <cell r="I164">
            <v>6.5801200000000001E-3</v>
          </cell>
        </row>
        <row r="165">
          <cell r="I165">
            <v>6.6201200000000002E-3</v>
          </cell>
        </row>
        <row r="166">
          <cell r="I166">
            <v>6.6601200000000003E-3</v>
          </cell>
        </row>
        <row r="167">
          <cell r="I167">
            <v>6.7001200000000004E-3</v>
          </cell>
        </row>
        <row r="168">
          <cell r="I168">
            <v>6.7401199999999996E-3</v>
          </cell>
        </row>
        <row r="169">
          <cell r="I169">
            <v>6.7801199999999997E-3</v>
          </cell>
        </row>
        <row r="170">
          <cell r="I170">
            <v>6.8201199999999998E-3</v>
          </cell>
        </row>
        <row r="171">
          <cell r="I171">
            <v>6.8601199999999999E-3</v>
          </cell>
        </row>
        <row r="172">
          <cell r="I172">
            <v>6.90012E-3</v>
          </cell>
        </row>
        <row r="173">
          <cell r="I173">
            <v>6.9401200000000001E-3</v>
          </cell>
        </row>
        <row r="174">
          <cell r="I174">
            <v>6.9801200000000002E-3</v>
          </cell>
        </row>
        <row r="175">
          <cell r="I175">
            <v>7.0201200000000004E-3</v>
          </cell>
        </row>
        <row r="176">
          <cell r="I176">
            <v>7.0601199999999996E-3</v>
          </cell>
        </row>
        <row r="177">
          <cell r="I177">
            <v>7.1001199999999997E-3</v>
          </cell>
        </row>
        <row r="178">
          <cell r="I178">
            <v>7.1401199999999998E-3</v>
          </cell>
        </row>
        <row r="179">
          <cell r="I179">
            <v>7.1801199999999999E-3</v>
          </cell>
        </row>
        <row r="180">
          <cell r="I180">
            <v>7.22012E-3</v>
          </cell>
        </row>
        <row r="181">
          <cell r="I181">
            <v>7.2601200000000001E-3</v>
          </cell>
        </row>
        <row r="182">
          <cell r="I182">
            <v>7.3001200000000002E-3</v>
          </cell>
        </row>
        <row r="183">
          <cell r="I183">
            <v>7.3401200000000003E-3</v>
          </cell>
        </row>
        <row r="184">
          <cell r="I184">
            <v>7.3801200000000004E-3</v>
          </cell>
        </row>
        <row r="185">
          <cell r="I185">
            <v>7.4201199999999997E-3</v>
          </cell>
        </row>
        <row r="186">
          <cell r="I186">
            <v>7.4601199999999998E-3</v>
          </cell>
        </row>
        <row r="187">
          <cell r="I187">
            <v>7.5001199999999999E-3</v>
          </cell>
        </row>
        <row r="188">
          <cell r="I188">
            <v>7.54012E-3</v>
          </cell>
        </row>
        <row r="189">
          <cell r="I189">
            <v>7.5801200000000001E-3</v>
          </cell>
        </row>
        <row r="190">
          <cell r="I190">
            <v>7.6201200000000002E-3</v>
          </cell>
        </row>
        <row r="191">
          <cell r="I191">
            <v>7.6601200000000003E-3</v>
          </cell>
        </row>
        <row r="192">
          <cell r="I192">
            <v>7.7001200000000004E-3</v>
          </cell>
        </row>
        <row r="193">
          <cell r="I193">
            <v>7.7401199999999996E-3</v>
          </cell>
        </row>
        <row r="194">
          <cell r="I194">
            <v>7.7801199999999997E-3</v>
          </cell>
        </row>
        <row r="195">
          <cell r="I195">
            <v>7.8201199999999998E-3</v>
          </cell>
        </row>
        <row r="196">
          <cell r="I196">
            <v>7.86012E-3</v>
          </cell>
        </row>
        <row r="197">
          <cell r="I197">
            <v>7.9001200000000001E-3</v>
          </cell>
        </row>
        <row r="198">
          <cell r="I198">
            <v>7.9401200000000002E-3</v>
          </cell>
        </row>
        <row r="199">
          <cell r="I199">
            <v>7.9801200000000003E-3</v>
          </cell>
        </row>
        <row r="200">
          <cell r="I200">
            <v>8.0201200000000004E-3</v>
          </cell>
        </row>
        <row r="201">
          <cell r="I201">
            <v>8.0601200000000005E-3</v>
          </cell>
        </row>
        <row r="202">
          <cell r="I202">
            <v>8.1001200000000006E-3</v>
          </cell>
        </row>
        <row r="203">
          <cell r="I203">
            <v>8.1401200000000007E-3</v>
          </cell>
        </row>
        <row r="204">
          <cell r="I204">
            <v>8.1801200000000008E-3</v>
          </cell>
        </row>
        <row r="205">
          <cell r="I205">
            <v>8.2201199999999992E-3</v>
          </cell>
        </row>
        <row r="206">
          <cell r="I206">
            <v>8.2601199999999993E-3</v>
          </cell>
        </row>
        <row r="207">
          <cell r="I207">
            <v>8.3001199999999994E-3</v>
          </cell>
        </row>
        <row r="208">
          <cell r="I208">
            <v>8.3401199999999995E-3</v>
          </cell>
        </row>
        <row r="209">
          <cell r="I209">
            <v>8.3801199999999996E-3</v>
          </cell>
        </row>
        <row r="210">
          <cell r="I210">
            <v>8.4201199999999997E-3</v>
          </cell>
        </row>
        <row r="211">
          <cell r="I211">
            <v>8.4601199999999998E-3</v>
          </cell>
        </row>
        <row r="212">
          <cell r="I212">
            <v>8.5001199999999999E-3</v>
          </cell>
        </row>
        <row r="213">
          <cell r="I213">
            <v>8.54012E-3</v>
          </cell>
        </row>
        <row r="214">
          <cell r="I214">
            <v>8.5801200000000001E-3</v>
          </cell>
        </row>
        <row r="215">
          <cell r="I215">
            <v>8.6201200000000002E-3</v>
          </cell>
        </row>
        <row r="216">
          <cell r="I216">
            <v>8.6601200000000003E-3</v>
          </cell>
        </row>
        <row r="217">
          <cell r="I217">
            <v>8.7001200000000004E-3</v>
          </cell>
        </row>
        <row r="218">
          <cell r="I218">
            <v>8.7401200000000005E-3</v>
          </cell>
        </row>
        <row r="219">
          <cell r="I219">
            <v>8.7801200000000006E-3</v>
          </cell>
        </row>
        <row r="220">
          <cell r="I220">
            <v>8.8201200000000007E-3</v>
          </cell>
        </row>
        <row r="221">
          <cell r="I221">
            <v>8.8601200000000008E-3</v>
          </cell>
        </row>
        <row r="222">
          <cell r="I222">
            <v>8.9001199999999992E-3</v>
          </cell>
        </row>
        <row r="223">
          <cell r="I223">
            <v>8.9401199999999993E-3</v>
          </cell>
        </row>
        <row r="224">
          <cell r="I224">
            <v>8.9801199999999994E-3</v>
          </cell>
        </row>
        <row r="225">
          <cell r="I225">
            <v>9.0201199999999995E-3</v>
          </cell>
        </row>
        <row r="226">
          <cell r="I226">
            <v>9.0601199999999996E-3</v>
          </cell>
        </row>
        <row r="227">
          <cell r="I227">
            <v>9.1001199999999997E-3</v>
          </cell>
        </row>
        <row r="228">
          <cell r="I228">
            <v>9.1401199999999998E-3</v>
          </cell>
        </row>
        <row r="229">
          <cell r="I229">
            <v>9.1801199999999999E-3</v>
          </cell>
        </row>
        <row r="230">
          <cell r="I230">
            <v>9.2201200000000001E-3</v>
          </cell>
        </row>
        <row r="231">
          <cell r="I231">
            <v>9.2601200000000002E-3</v>
          </cell>
        </row>
        <row r="232">
          <cell r="I232">
            <v>9.3001200000000003E-3</v>
          </cell>
        </row>
        <row r="233">
          <cell r="I233">
            <v>9.3401200000000004E-3</v>
          </cell>
        </row>
        <row r="234">
          <cell r="I234">
            <v>9.3801200000000005E-3</v>
          </cell>
        </row>
        <row r="235">
          <cell r="I235">
            <v>9.4201200000000006E-3</v>
          </cell>
        </row>
        <row r="236">
          <cell r="I236">
            <v>9.4601200000000007E-3</v>
          </cell>
        </row>
        <row r="237">
          <cell r="I237">
            <v>9.5001200000000008E-3</v>
          </cell>
        </row>
        <row r="238">
          <cell r="I238">
            <v>9.5401199999999992E-3</v>
          </cell>
        </row>
        <row r="239">
          <cell r="I239">
            <v>9.5801199999999993E-3</v>
          </cell>
        </row>
        <row r="240">
          <cell r="I240">
            <v>9.6201199999999994E-3</v>
          </cell>
        </row>
        <row r="241">
          <cell r="I241">
            <v>9.6601199999999995E-3</v>
          </cell>
        </row>
        <row r="242">
          <cell r="I242">
            <v>9.7001199999999996E-3</v>
          </cell>
        </row>
        <row r="243">
          <cell r="I243">
            <v>9.7401199999999997E-3</v>
          </cell>
        </row>
        <row r="244">
          <cell r="I244">
            <v>9.7801199999999998E-3</v>
          </cell>
        </row>
        <row r="245">
          <cell r="I245">
            <v>9.8201199999999999E-3</v>
          </cell>
        </row>
        <row r="246">
          <cell r="I246">
            <v>9.86012E-3</v>
          </cell>
        </row>
        <row r="247">
          <cell r="I247">
            <v>9.9001200000000001E-3</v>
          </cell>
        </row>
        <row r="248">
          <cell r="I248">
            <v>9.9401200000000002E-3</v>
          </cell>
        </row>
        <row r="249">
          <cell r="I249">
            <v>9.9801200000000003E-3</v>
          </cell>
        </row>
        <row r="250">
          <cell r="I250">
            <v>1.0020100000000001E-2</v>
          </cell>
        </row>
        <row r="251">
          <cell r="I251">
            <v>1.0060100000000001E-2</v>
          </cell>
        </row>
        <row r="252">
          <cell r="I252">
            <v>1.0100100000000001E-2</v>
          </cell>
        </row>
        <row r="253">
          <cell r="I253">
            <v>1.0140100000000001E-2</v>
          </cell>
        </row>
        <row r="254">
          <cell r="I254">
            <v>1.0180099999999999E-2</v>
          </cell>
        </row>
        <row r="255">
          <cell r="I255">
            <v>1.0220099999999999E-2</v>
          </cell>
        </row>
        <row r="256">
          <cell r="I256">
            <v>1.0260099999999999E-2</v>
          </cell>
        </row>
        <row r="257">
          <cell r="I257">
            <v>1.03001E-2</v>
          </cell>
        </row>
        <row r="258">
          <cell r="I258">
            <v>1.03401E-2</v>
          </cell>
        </row>
        <row r="259">
          <cell r="I259">
            <v>1.03801E-2</v>
          </cell>
        </row>
        <row r="260">
          <cell r="I260">
            <v>1.04201E-2</v>
          </cell>
        </row>
        <row r="261">
          <cell r="I261">
            <v>1.04601E-2</v>
          </cell>
        </row>
        <row r="262">
          <cell r="I262">
            <v>1.05001E-2</v>
          </cell>
        </row>
        <row r="263">
          <cell r="I263">
            <v>1.05401E-2</v>
          </cell>
        </row>
        <row r="264">
          <cell r="I264">
            <v>1.05801E-2</v>
          </cell>
        </row>
        <row r="265">
          <cell r="I265">
            <v>1.06201E-2</v>
          </cell>
        </row>
        <row r="266">
          <cell r="I266">
            <v>1.06601E-2</v>
          </cell>
        </row>
        <row r="267">
          <cell r="I267">
            <v>1.0700100000000001E-2</v>
          </cell>
        </row>
        <row r="268">
          <cell r="I268">
            <v>1.0740100000000001E-2</v>
          </cell>
        </row>
        <row r="269">
          <cell r="I269">
            <v>1.0780100000000001E-2</v>
          </cell>
        </row>
        <row r="270">
          <cell r="I270">
            <v>1.0820099999999999E-2</v>
          </cell>
        </row>
        <row r="271">
          <cell r="I271">
            <v>1.0860099999999999E-2</v>
          </cell>
        </row>
        <row r="272">
          <cell r="I272">
            <v>1.0900099999999999E-2</v>
          </cell>
        </row>
        <row r="273">
          <cell r="I273">
            <v>1.0940099999999999E-2</v>
          </cell>
        </row>
        <row r="274">
          <cell r="I274">
            <v>1.09801E-2</v>
          </cell>
        </row>
        <row r="275">
          <cell r="I275">
            <v>1.10201E-2</v>
          </cell>
        </row>
        <row r="276">
          <cell r="I276">
            <v>1.10601E-2</v>
          </cell>
        </row>
        <row r="277">
          <cell r="I277">
            <v>1.11001E-2</v>
          </cell>
        </row>
        <row r="278">
          <cell r="I278">
            <v>1.11401E-2</v>
          </cell>
        </row>
        <row r="279">
          <cell r="I279">
            <v>1.11801E-2</v>
          </cell>
        </row>
        <row r="280">
          <cell r="I280">
            <v>1.12201E-2</v>
          </cell>
        </row>
        <row r="281">
          <cell r="I281">
            <v>1.12601E-2</v>
          </cell>
        </row>
        <row r="282">
          <cell r="I282">
            <v>1.13001E-2</v>
          </cell>
        </row>
        <row r="283">
          <cell r="I283">
            <v>1.1340100000000001E-2</v>
          </cell>
        </row>
        <row r="284">
          <cell r="I284">
            <v>1.1380100000000001E-2</v>
          </cell>
        </row>
        <row r="285">
          <cell r="I285">
            <v>1.1420100000000001E-2</v>
          </cell>
        </row>
        <row r="286">
          <cell r="I286">
            <v>1.1460100000000001E-2</v>
          </cell>
        </row>
        <row r="287">
          <cell r="I287">
            <v>1.1500099999999999E-2</v>
          </cell>
        </row>
        <row r="288">
          <cell r="I288">
            <v>1.1540099999999999E-2</v>
          </cell>
        </row>
        <row r="289">
          <cell r="I289">
            <v>1.1580099999999999E-2</v>
          </cell>
        </row>
        <row r="290">
          <cell r="I290">
            <v>1.16201E-2</v>
          </cell>
        </row>
        <row r="291">
          <cell r="I291">
            <v>1.16601E-2</v>
          </cell>
        </row>
        <row r="292">
          <cell r="I292">
            <v>1.17001E-2</v>
          </cell>
        </row>
        <row r="293">
          <cell r="I293">
            <v>1.17401E-2</v>
          </cell>
        </row>
        <row r="294">
          <cell r="I294">
            <v>1.17801E-2</v>
          </cell>
        </row>
        <row r="295">
          <cell r="I295">
            <v>1.18201E-2</v>
          </cell>
        </row>
        <row r="296">
          <cell r="I296">
            <v>1.18601E-2</v>
          </cell>
        </row>
        <row r="297">
          <cell r="I297">
            <v>1.19001E-2</v>
          </cell>
        </row>
        <row r="298">
          <cell r="I298">
            <v>1.19401E-2</v>
          </cell>
        </row>
        <row r="299">
          <cell r="I299">
            <v>1.19801E-2</v>
          </cell>
        </row>
        <row r="300">
          <cell r="I300">
            <v>1.2020100000000001E-2</v>
          </cell>
        </row>
        <row r="301">
          <cell r="I301">
            <v>1.2060100000000001E-2</v>
          </cell>
        </row>
        <row r="302">
          <cell r="I302">
            <v>1.2100100000000001E-2</v>
          </cell>
        </row>
        <row r="303">
          <cell r="I303">
            <v>1.2140099999999999E-2</v>
          </cell>
        </row>
        <row r="304">
          <cell r="I304">
            <v>1.2180099999999999E-2</v>
          </cell>
        </row>
        <row r="305">
          <cell r="I305">
            <v>1.2220099999999999E-2</v>
          </cell>
        </row>
        <row r="306">
          <cell r="I306">
            <v>1.2260099999999999E-2</v>
          </cell>
        </row>
        <row r="307">
          <cell r="I307">
            <v>1.23001E-2</v>
          </cell>
        </row>
        <row r="308">
          <cell r="I308">
            <v>1.23401E-2</v>
          </cell>
        </row>
        <row r="309">
          <cell r="I309">
            <v>1.23801E-2</v>
          </cell>
        </row>
        <row r="310">
          <cell r="I310">
            <v>1.24201E-2</v>
          </cell>
        </row>
        <row r="311">
          <cell r="I311">
            <v>1.24601E-2</v>
          </cell>
        </row>
        <row r="312">
          <cell r="I312">
            <v>1.25001E-2</v>
          </cell>
        </row>
        <row r="313">
          <cell r="I313">
            <v>1.25401E-2</v>
          </cell>
        </row>
        <row r="314">
          <cell r="I314">
            <v>1.25801E-2</v>
          </cell>
        </row>
        <row r="315">
          <cell r="I315">
            <v>1.26201E-2</v>
          </cell>
        </row>
        <row r="316">
          <cell r="I316">
            <v>1.2660100000000001E-2</v>
          </cell>
        </row>
        <row r="317">
          <cell r="I317">
            <v>1.2700100000000001E-2</v>
          </cell>
        </row>
        <row r="318">
          <cell r="I318">
            <v>1.2740100000000001E-2</v>
          </cell>
        </row>
        <row r="319">
          <cell r="I319">
            <v>1.2780100000000001E-2</v>
          </cell>
        </row>
        <row r="320">
          <cell r="I320">
            <v>1.2820099999999999E-2</v>
          </cell>
        </row>
        <row r="321">
          <cell r="I321">
            <v>1.2860099999999999E-2</v>
          </cell>
        </row>
        <row r="322">
          <cell r="I322">
            <v>1.2900099999999999E-2</v>
          </cell>
        </row>
        <row r="323">
          <cell r="I323">
            <v>1.29401E-2</v>
          </cell>
        </row>
        <row r="324">
          <cell r="I324">
            <v>1.29801E-2</v>
          </cell>
        </row>
        <row r="325">
          <cell r="I325">
            <v>1.30201E-2</v>
          </cell>
        </row>
        <row r="326">
          <cell r="I326">
            <v>1.30601E-2</v>
          </cell>
        </row>
        <row r="327">
          <cell r="I327">
            <v>1.31001E-2</v>
          </cell>
        </row>
        <row r="328">
          <cell r="I328">
            <v>1.31401E-2</v>
          </cell>
        </row>
        <row r="329">
          <cell r="I329">
            <v>1.31801E-2</v>
          </cell>
        </row>
        <row r="330">
          <cell r="I330">
            <v>1.32201E-2</v>
          </cell>
        </row>
        <row r="331">
          <cell r="I331">
            <v>1.32601E-2</v>
          </cell>
        </row>
        <row r="332">
          <cell r="I332">
            <v>1.33001E-2</v>
          </cell>
        </row>
        <row r="333">
          <cell r="I333">
            <v>1.3340100000000001E-2</v>
          </cell>
        </row>
        <row r="334">
          <cell r="I334">
            <v>1.3380100000000001E-2</v>
          </cell>
        </row>
        <row r="335">
          <cell r="I335">
            <v>1.3420100000000001E-2</v>
          </cell>
        </row>
        <row r="336">
          <cell r="I336">
            <v>1.3460099999999999E-2</v>
          </cell>
        </row>
        <row r="337">
          <cell r="I337">
            <v>1.3500099999999999E-2</v>
          </cell>
        </row>
        <row r="338">
          <cell r="I338">
            <v>1.3540099999999999E-2</v>
          </cell>
        </row>
        <row r="339">
          <cell r="I339">
            <v>1.3580099999999999E-2</v>
          </cell>
        </row>
        <row r="340">
          <cell r="I340">
            <v>1.36201E-2</v>
          </cell>
        </row>
        <row r="341">
          <cell r="I341">
            <v>1.36601E-2</v>
          </cell>
        </row>
        <row r="342">
          <cell r="I342">
            <v>1.37001E-2</v>
          </cell>
        </row>
        <row r="343">
          <cell r="I343">
            <v>1.37401E-2</v>
          </cell>
        </row>
        <row r="344">
          <cell r="I344">
            <v>1.37801E-2</v>
          </cell>
        </row>
        <row r="345">
          <cell r="I345">
            <v>1.38201E-2</v>
          </cell>
        </row>
        <row r="346">
          <cell r="I346">
            <v>1.38601E-2</v>
          </cell>
        </row>
        <row r="347">
          <cell r="I347">
            <v>1.39001E-2</v>
          </cell>
        </row>
        <row r="348">
          <cell r="I348">
            <v>1.39401E-2</v>
          </cell>
        </row>
        <row r="349">
          <cell r="I349">
            <v>1.3980100000000001E-2</v>
          </cell>
        </row>
        <row r="350">
          <cell r="I350">
            <v>1.4020100000000001E-2</v>
          </cell>
        </row>
        <row r="351">
          <cell r="I351">
            <v>1.4060100000000001E-2</v>
          </cell>
        </row>
        <row r="352">
          <cell r="I352">
            <v>1.4100100000000001E-2</v>
          </cell>
        </row>
        <row r="353">
          <cell r="I353">
            <v>1.4140099999999999E-2</v>
          </cell>
        </row>
        <row r="354">
          <cell r="I354">
            <v>1.4180099999999999E-2</v>
          </cell>
        </row>
        <row r="355">
          <cell r="I355">
            <v>1.4220099999999999E-2</v>
          </cell>
        </row>
        <row r="356">
          <cell r="I356">
            <v>1.42601E-2</v>
          </cell>
        </row>
        <row r="357">
          <cell r="I357">
            <v>1.43001E-2</v>
          </cell>
        </row>
        <row r="358">
          <cell r="I358">
            <v>1.43401E-2</v>
          </cell>
        </row>
        <row r="359">
          <cell r="I359">
            <v>1.43801E-2</v>
          </cell>
        </row>
        <row r="360">
          <cell r="I360">
            <v>1.44201E-2</v>
          </cell>
        </row>
        <row r="361">
          <cell r="I361">
            <v>1.44601E-2</v>
          </cell>
        </row>
        <row r="362">
          <cell r="I362">
            <v>1.45001E-2</v>
          </cell>
        </row>
        <row r="363">
          <cell r="I363">
            <v>1.45401E-2</v>
          </cell>
        </row>
        <row r="364">
          <cell r="I364">
            <v>1.45801E-2</v>
          </cell>
        </row>
        <row r="365">
          <cell r="I365">
            <v>1.46201E-2</v>
          </cell>
        </row>
        <row r="366">
          <cell r="I366">
            <v>1.4660100000000001E-2</v>
          </cell>
        </row>
        <row r="367">
          <cell r="I367">
            <v>1.4700100000000001E-2</v>
          </cell>
        </row>
        <row r="368">
          <cell r="I368">
            <v>1.4740100000000001E-2</v>
          </cell>
        </row>
        <row r="369">
          <cell r="I369">
            <v>1.4780099999999999E-2</v>
          </cell>
        </row>
        <row r="370">
          <cell r="I370">
            <v>1.4820099999999999E-2</v>
          </cell>
        </row>
        <row r="371">
          <cell r="I371">
            <v>1.4860099999999999E-2</v>
          </cell>
        </row>
        <row r="372">
          <cell r="I372">
            <v>1.4900099999999999E-2</v>
          </cell>
        </row>
        <row r="373">
          <cell r="I373">
            <v>1.49401E-2</v>
          </cell>
        </row>
        <row r="374">
          <cell r="I374">
            <v>1.49801E-2</v>
          </cell>
        </row>
        <row r="375">
          <cell r="I375">
            <v>1.50201E-2</v>
          </cell>
        </row>
        <row r="376">
          <cell r="I376">
            <v>1.50601E-2</v>
          </cell>
        </row>
        <row r="377">
          <cell r="I377">
            <v>1.51001E-2</v>
          </cell>
        </row>
        <row r="378">
          <cell r="I378">
            <v>1.51401E-2</v>
          </cell>
        </row>
        <row r="379">
          <cell r="I379">
            <v>1.51801E-2</v>
          </cell>
        </row>
        <row r="380">
          <cell r="I380">
            <v>1.52201E-2</v>
          </cell>
        </row>
        <row r="381">
          <cell r="I381">
            <v>1.52601E-2</v>
          </cell>
        </row>
        <row r="382">
          <cell r="I382">
            <v>1.5300100000000001E-2</v>
          </cell>
        </row>
        <row r="383">
          <cell r="I383">
            <v>1.5340100000000001E-2</v>
          </cell>
        </row>
        <row r="384">
          <cell r="I384">
            <v>1.5380100000000001E-2</v>
          </cell>
        </row>
        <row r="385">
          <cell r="I385">
            <v>1.5420100000000001E-2</v>
          </cell>
        </row>
        <row r="386">
          <cell r="I386">
            <v>1.5460099999999999E-2</v>
          </cell>
        </row>
        <row r="387">
          <cell r="I387">
            <v>1.5500099999999999E-2</v>
          </cell>
        </row>
        <row r="388">
          <cell r="I388">
            <v>1.5540099999999999E-2</v>
          </cell>
        </row>
        <row r="389">
          <cell r="I389">
            <v>1.55801E-2</v>
          </cell>
        </row>
        <row r="390">
          <cell r="I390">
            <v>1.56201E-2</v>
          </cell>
        </row>
        <row r="391">
          <cell r="I391">
            <v>1.56601E-2</v>
          </cell>
        </row>
        <row r="392">
          <cell r="I392">
            <v>1.5700100000000002E-2</v>
          </cell>
        </row>
        <row r="393">
          <cell r="I393">
            <v>1.57401E-2</v>
          </cell>
        </row>
        <row r="394">
          <cell r="I394">
            <v>1.5780099999999998E-2</v>
          </cell>
        </row>
        <row r="395">
          <cell r="I395">
            <v>1.58201E-2</v>
          </cell>
        </row>
        <row r="396">
          <cell r="I396">
            <v>1.5860099999999999E-2</v>
          </cell>
        </row>
        <row r="397">
          <cell r="I397">
            <v>1.59001E-2</v>
          </cell>
        </row>
        <row r="398">
          <cell r="I398">
            <v>1.5940099999999999E-2</v>
          </cell>
        </row>
        <row r="399">
          <cell r="I399">
            <v>1.5980100000000001E-2</v>
          </cell>
        </row>
        <row r="400">
          <cell r="I400">
            <v>1.6020099999999999E-2</v>
          </cell>
        </row>
        <row r="401">
          <cell r="I401">
            <v>1.6060100000000001E-2</v>
          </cell>
        </row>
        <row r="402">
          <cell r="I402">
            <v>1.6100099999999999E-2</v>
          </cell>
        </row>
        <row r="403">
          <cell r="I403">
            <v>1.6140100000000001E-2</v>
          </cell>
        </row>
        <row r="404">
          <cell r="I404">
            <v>1.6180099999999999E-2</v>
          </cell>
        </row>
        <row r="405">
          <cell r="I405">
            <v>1.6220100000000001E-2</v>
          </cell>
        </row>
        <row r="406">
          <cell r="I406">
            <v>1.62601E-2</v>
          </cell>
        </row>
        <row r="407">
          <cell r="I407">
            <v>1.6300100000000001E-2</v>
          </cell>
        </row>
        <row r="408">
          <cell r="I408">
            <v>1.63401E-2</v>
          </cell>
        </row>
        <row r="409">
          <cell r="I409">
            <v>1.6380100000000002E-2</v>
          </cell>
        </row>
        <row r="410">
          <cell r="I410">
            <v>1.64201E-2</v>
          </cell>
        </row>
        <row r="411">
          <cell r="I411">
            <v>1.6460099999999998E-2</v>
          </cell>
        </row>
        <row r="412">
          <cell r="I412">
            <v>1.65001E-2</v>
          </cell>
        </row>
        <row r="413">
          <cell r="I413">
            <v>1.6540099999999999E-2</v>
          </cell>
        </row>
        <row r="414">
          <cell r="I414">
            <v>1.65801E-2</v>
          </cell>
        </row>
        <row r="415">
          <cell r="I415">
            <v>1.6620099999999999E-2</v>
          </cell>
        </row>
        <row r="416">
          <cell r="I416">
            <v>1.6660100000000001E-2</v>
          </cell>
        </row>
        <row r="417">
          <cell r="I417">
            <v>1.6700099999999999E-2</v>
          </cell>
        </row>
        <row r="418">
          <cell r="I418">
            <v>1.6740100000000001E-2</v>
          </cell>
        </row>
        <row r="419">
          <cell r="I419">
            <v>1.6780099999999999E-2</v>
          </cell>
        </row>
        <row r="420">
          <cell r="I420">
            <v>1.6820100000000001E-2</v>
          </cell>
        </row>
        <row r="421">
          <cell r="I421">
            <v>1.6860099999999999E-2</v>
          </cell>
        </row>
        <row r="422">
          <cell r="I422">
            <v>1.6900100000000001E-2</v>
          </cell>
        </row>
        <row r="423">
          <cell r="I423">
            <v>1.69401E-2</v>
          </cell>
        </row>
        <row r="424">
          <cell r="I424">
            <v>1.6980100000000001E-2</v>
          </cell>
        </row>
        <row r="425">
          <cell r="I425">
            <v>1.70201E-2</v>
          </cell>
        </row>
        <row r="426">
          <cell r="I426">
            <v>1.7060100000000002E-2</v>
          </cell>
        </row>
        <row r="427">
          <cell r="I427">
            <v>1.71001E-2</v>
          </cell>
        </row>
        <row r="428">
          <cell r="I428">
            <v>1.7140099999999998E-2</v>
          </cell>
        </row>
        <row r="429">
          <cell r="I429">
            <v>1.71801E-2</v>
          </cell>
        </row>
        <row r="430">
          <cell r="I430">
            <v>1.7220099999999999E-2</v>
          </cell>
        </row>
        <row r="431">
          <cell r="I431">
            <v>1.72601E-2</v>
          </cell>
        </row>
        <row r="432">
          <cell r="I432">
            <v>1.7300099999999999E-2</v>
          </cell>
        </row>
        <row r="433">
          <cell r="I433">
            <v>1.7340100000000001E-2</v>
          </cell>
        </row>
        <row r="434">
          <cell r="I434">
            <v>1.7380099999999999E-2</v>
          </cell>
        </row>
        <row r="435">
          <cell r="I435">
            <v>1.7420100000000001E-2</v>
          </cell>
        </row>
        <row r="436">
          <cell r="I436">
            <v>1.7460099999999999E-2</v>
          </cell>
        </row>
        <row r="437">
          <cell r="I437">
            <v>1.7500100000000001E-2</v>
          </cell>
        </row>
        <row r="438">
          <cell r="I438">
            <v>1.7540099999999999E-2</v>
          </cell>
        </row>
        <row r="439">
          <cell r="I439">
            <v>1.7580100000000001E-2</v>
          </cell>
        </row>
        <row r="440">
          <cell r="I440">
            <v>1.76201E-2</v>
          </cell>
        </row>
        <row r="441">
          <cell r="I441">
            <v>1.7660100000000001E-2</v>
          </cell>
        </row>
        <row r="442">
          <cell r="I442">
            <v>1.77001E-2</v>
          </cell>
        </row>
        <row r="443">
          <cell r="I443">
            <v>1.7740100000000002E-2</v>
          </cell>
        </row>
        <row r="444">
          <cell r="I444">
            <v>1.77801E-2</v>
          </cell>
        </row>
        <row r="445">
          <cell r="I445">
            <v>1.7820099999999998E-2</v>
          </cell>
        </row>
        <row r="446">
          <cell r="I446">
            <v>1.78601E-2</v>
          </cell>
        </row>
        <row r="447">
          <cell r="I447">
            <v>1.7900099999999999E-2</v>
          </cell>
        </row>
        <row r="448">
          <cell r="I448">
            <v>1.79401E-2</v>
          </cell>
        </row>
        <row r="449">
          <cell r="I449">
            <v>1.7980099999999999E-2</v>
          </cell>
        </row>
        <row r="450">
          <cell r="I450">
            <v>1.8020100000000001E-2</v>
          </cell>
        </row>
        <row r="451">
          <cell r="I451">
            <v>1.8060099999999999E-2</v>
          </cell>
        </row>
        <row r="452">
          <cell r="I452">
            <v>1.8100100000000001E-2</v>
          </cell>
        </row>
        <row r="453">
          <cell r="I453">
            <v>1.8140099999999999E-2</v>
          </cell>
        </row>
        <row r="454">
          <cell r="I454">
            <v>1.8180100000000001E-2</v>
          </cell>
        </row>
        <row r="455">
          <cell r="I455">
            <v>1.8220099999999999E-2</v>
          </cell>
        </row>
        <row r="456">
          <cell r="I456">
            <v>1.8260100000000001E-2</v>
          </cell>
        </row>
        <row r="457">
          <cell r="I457">
            <v>1.83001E-2</v>
          </cell>
        </row>
        <row r="458">
          <cell r="I458">
            <v>1.8340100000000002E-2</v>
          </cell>
        </row>
        <row r="459">
          <cell r="I459">
            <v>1.83801E-2</v>
          </cell>
        </row>
        <row r="460">
          <cell r="I460">
            <v>1.8420099999999998E-2</v>
          </cell>
        </row>
        <row r="461">
          <cell r="I461">
            <v>1.84601E-2</v>
          </cell>
        </row>
        <row r="462">
          <cell r="I462">
            <v>1.8500099999999998E-2</v>
          </cell>
        </row>
        <row r="463">
          <cell r="I463">
            <v>1.85401E-2</v>
          </cell>
        </row>
        <row r="464">
          <cell r="I464">
            <v>1.8580099999999999E-2</v>
          </cell>
        </row>
        <row r="465">
          <cell r="I465">
            <v>1.8620100000000001E-2</v>
          </cell>
        </row>
        <row r="466">
          <cell r="I466">
            <v>1.8660099999999999E-2</v>
          </cell>
        </row>
        <row r="467">
          <cell r="I467">
            <v>1.8700100000000001E-2</v>
          </cell>
        </row>
        <row r="468">
          <cell r="I468">
            <v>1.8740099999999999E-2</v>
          </cell>
        </row>
        <row r="469">
          <cell r="I469">
            <v>1.8780100000000001E-2</v>
          </cell>
        </row>
        <row r="470">
          <cell r="I470">
            <v>1.8820099999999999E-2</v>
          </cell>
        </row>
        <row r="471">
          <cell r="I471">
            <v>1.8860100000000001E-2</v>
          </cell>
        </row>
        <row r="472">
          <cell r="I472">
            <v>1.89001E-2</v>
          </cell>
        </row>
        <row r="473">
          <cell r="I473">
            <v>1.8940100000000001E-2</v>
          </cell>
        </row>
        <row r="474">
          <cell r="I474">
            <v>1.89801E-2</v>
          </cell>
        </row>
        <row r="475">
          <cell r="I475">
            <v>1.9020100000000002E-2</v>
          </cell>
        </row>
        <row r="476">
          <cell r="I476">
            <v>1.90601E-2</v>
          </cell>
        </row>
        <row r="477">
          <cell r="I477">
            <v>1.9100099999999998E-2</v>
          </cell>
        </row>
        <row r="478">
          <cell r="I478">
            <v>1.91401E-2</v>
          </cell>
        </row>
        <row r="479">
          <cell r="I479">
            <v>1.9180099999999999E-2</v>
          </cell>
        </row>
        <row r="480">
          <cell r="I480">
            <v>1.92201E-2</v>
          </cell>
        </row>
        <row r="481">
          <cell r="I481">
            <v>1.9260099999999999E-2</v>
          </cell>
        </row>
        <row r="482">
          <cell r="I482">
            <v>1.9300100000000001E-2</v>
          </cell>
        </row>
        <row r="483">
          <cell r="I483">
            <v>1.9340099999999999E-2</v>
          </cell>
        </row>
        <row r="484">
          <cell r="I484">
            <v>1.9380100000000001E-2</v>
          </cell>
        </row>
        <row r="485">
          <cell r="I485">
            <v>1.9420099999999999E-2</v>
          </cell>
        </row>
        <row r="486">
          <cell r="I486">
            <v>1.9460100000000001E-2</v>
          </cell>
        </row>
        <row r="487">
          <cell r="I487">
            <v>1.9500099999999999E-2</v>
          </cell>
        </row>
        <row r="488">
          <cell r="I488">
            <v>1.9540100000000001E-2</v>
          </cell>
        </row>
        <row r="489">
          <cell r="I489">
            <v>1.95801E-2</v>
          </cell>
        </row>
        <row r="490">
          <cell r="I490">
            <v>1.9620100000000001E-2</v>
          </cell>
        </row>
        <row r="491">
          <cell r="I491">
            <v>1.96601E-2</v>
          </cell>
        </row>
        <row r="492">
          <cell r="I492">
            <v>1.9700100000000002E-2</v>
          </cell>
        </row>
        <row r="493">
          <cell r="I493">
            <v>1.97401E-2</v>
          </cell>
        </row>
        <row r="494">
          <cell r="I494">
            <v>1.9780099999999998E-2</v>
          </cell>
        </row>
        <row r="495">
          <cell r="I495">
            <v>1.98201E-2</v>
          </cell>
        </row>
        <row r="496">
          <cell r="I496">
            <v>1.9860099999999999E-2</v>
          </cell>
        </row>
        <row r="497">
          <cell r="I497">
            <v>1.99001E-2</v>
          </cell>
        </row>
        <row r="498">
          <cell r="I498">
            <v>1.9940099999999999E-2</v>
          </cell>
        </row>
        <row r="499">
          <cell r="I499">
            <v>1.9980100000000001E-2</v>
          </cell>
        </row>
        <row r="500">
          <cell r="I500">
            <v>2.0020099999999999E-2</v>
          </cell>
        </row>
        <row r="501">
          <cell r="I501">
            <v>2.0060100000000001E-2</v>
          </cell>
        </row>
        <row r="502">
          <cell r="I502">
            <v>2.0100099999999999E-2</v>
          </cell>
        </row>
        <row r="503">
          <cell r="I503">
            <v>2.0140100000000001E-2</v>
          </cell>
        </row>
        <row r="504">
          <cell r="I504">
            <v>2.0180099999999999E-2</v>
          </cell>
        </row>
        <row r="505">
          <cell r="I505">
            <v>2.0220100000000001E-2</v>
          </cell>
        </row>
        <row r="506">
          <cell r="I506">
            <v>2.02601E-2</v>
          </cell>
        </row>
        <row r="507">
          <cell r="I507">
            <v>2.0300100000000001E-2</v>
          </cell>
        </row>
        <row r="508">
          <cell r="I508">
            <v>2.03401E-2</v>
          </cell>
        </row>
        <row r="509">
          <cell r="I509">
            <v>2.0380100000000002E-2</v>
          </cell>
        </row>
        <row r="510">
          <cell r="I510">
            <v>2.04201E-2</v>
          </cell>
        </row>
        <row r="511">
          <cell r="I511">
            <v>2.0460099999999998E-2</v>
          </cell>
        </row>
        <row r="512">
          <cell r="I512">
            <v>2.05001E-2</v>
          </cell>
        </row>
        <row r="513">
          <cell r="I513">
            <v>2.0540099999999999E-2</v>
          </cell>
        </row>
        <row r="514">
          <cell r="I514">
            <v>2.05801E-2</v>
          </cell>
        </row>
        <row r="515">
          <cell r="I515">
            <v>2.0620099999999999E-2</v>
          </cell>
        </row>
        <row r="516">
          <cell r="I516">
            <v>2.0660100000000001E-2</v>
          </cell>
        </row>
        <row r="517">
          <cell r="I517">
            <v>2.0700099999999999E-2</v>
          </cell>
        </row>
        <row r="518">
          <cell r="I518">
            <v>2.0740100000000001E-2</v>
          </cell>
        </row>
        <row r="519">
          <cell r="I519">
            <v>2.0780099999999999E-2</v>
          </cell>
        </row>
        <row r="520">
          <cell r="I520">
            <v>2.0820100000000001E-2</v>
          </cell>
        </row>
        <row r="521">
          <cell r="I521">
            <v>2.0860099999999999E-2</v>
          </cell>
        </row>
        <row r="522">
          <cell r="I522">
            <v>2.0900100000000001E-2</v>
          </cell>
        </row>
        <row r="523">
          <cell r="I523">
            <v>2.09401E-2</v>
          </cell>
        </row>
        <row r="524">
          <cell r="I524">
            <v>2.0980100000000002E-2</v>
          </cell>
        </row>
        <row r="525">
          <cell r="I525">
            <v>2.10201E-2</v>
          </cell>
        </row>
        <row r="526">
          <cell r="I526">
            <v>2.1060099999999998E-2</v>
          </cell>
        </row>
        <row r="527">
          <cell r="I527">
            <v>2.11001E-2</v>
          </cell>
        </row>
        <row r="528">
          <cell r="I528">
            <v>2.1140099999999998E-2</v>
          </cell>
        </row>
        <row r="529">
          <cell r="I529">
            <v>2.11801E-2</v>
          </cell>
        </row>
        <row r="530">
          <cell r="I530">
            <v>2.1220099999999999E-2</v>
          </cell>
        </row>
        <row r="531">
          <cell r="I531">
            <v>2.1260100000000001E-2</v>
          </cell>
        </row>
        <row r="532">
          <cell r="I532">
            <v>2.1300099999999999E-2</v>
          </cell>
        </row>
        <row r="533">
          <cell r="I533">
            <v>2.1340100000000001E-2</v>
          </cell>
        </row>
        <row r="534">
          <cell r="I534">
            <v>2.1380099999999999E-2</v>
          </cell>
        </row>
        <row r="535">
          <cell r="I535">
            <v>2.1420100000000001E-2</v>
          </cell>
        </row>
        <row r="536">
          <cell r="I536">
            <v>2.1460099999999999E-2</v>
          </cell>
        </row>
        <row r="537">
          <cell r="I537">
            <v>2.1500100000000001E-2</v>
          </cell>
        </row>
        <row r="538">
          <cell r="I538">
            <v>2.15401E-2</v>
          </cell>
        </row>
        <row r="539">
          <cell r="I539">
            <v>2.1580100000000001E-2</v>
          </cell>
        </row>
        <row r="540">
          <cell r="I540">
            <v>2.16201E-2</v>
          </cell>
        </row>
        <row r="541">
          <cell r="I541">
            <v>2.1660100000000002E-2</v>
          </cell>
        </row>
        <row r="542">
          <cell r="I542">
            <v>2.17001E-2</v>
          </cell>
        </row>
        <row r="543">
          <cell r="I543">
            <v>2.1740099999999998E-2</v>
          </cell>
        </row>
        <row r="544">
          <cell r="I544">
            <v>2.17801E-2</v>
          </cell>
        </row>
        <row r="545">
          <cell r="I545">
            <v>2.1820099999999999E-2</v>
          </cell>
        </row>
        <row r="546">
          <cell r="I546">
            <v>2.18601E-2</v>
          </cell>
        </row>
        <row r="547">
          <cell r="I547">
            <v>2.1900099999999999E-2</v>
          </cell>
        </row>
        <row r="548">
          <cell r="I548">
            <v>2.1940100000000001E-2</v>
          </cell>
        </row>
        <row r="549">
          <cell r="I549">
            <v>2.1980099999999999E-2</v>
          </cell>
        </row>
        <row r="550">
          <cell r="I550">
            <v>2.2020100000000001E-2</v>
          </cell>
        </row>
        <row r="551">
          <cell r="I551">
            <v>2.2060099999999999E-2</v>
          </cell>
        </row>
        <row r="552">
          <cell r="I552">
            <v>2.2100100000000001E-2</v>
          </cell>
        </row>
        <row r="553">
          <cell r="I553">
            <v>2.2140099999999999E-2</v>
          </cell>
        </row>
        <row r="554">
          <cell r="I554">
            <v>2.2180100000000001E-2</v>
          </cell>
        </row>
        <row r="555">
          <cell r="I555">
            <v>2.22201E-2</v>
          </cell>
        </row>
        <row r="556">
          <cell r="I556">
            <v>2.2260100000000001E-2</v>
          </cell>
        </row>
        <row r="557">
          <cell r="I557">
            <v>2.23001E-2</v>
          </cell>
        </row>
        <row r="558">
          <cell r="I558">
            <v>2.2340100000000002E-2</v>
          </cell>
        </row>
        <row r="559">
          <cell r="I559">
            <v>2.23801E-2</v>
          </cell>
        </row>
        <row r="560">
          <cell r="I560">
            <v>2.2420099999999998E-2</v>
          </cell>
        </row>
        <row r="561">
          <cell r="I561">
            <v>2.24601E-2</v>
          </cell>
        </row>
        <row r="562">
          <cell r="I562">
            <v>2.2500099999999999E-2</v>
          </cell>
        </row>
        <row r="563">
          <cell r="I563">
            <v>2.25401E-2</v>
          </cell>
        </row>
        <row r="564">
          <cell r="I564">
            <v>2.2580099999999999E-2</v>
          </cell>
        </row>
        <row r="565">
          <cell r="I565">
            <v>2.2620100000000001E-2</v>
          </cell>
        </row>
        <row r="566">
          <cell r="I566">
            <v>2.2660099999999999E-2</v>
          </cell>
        </row>
        <row r="567">
          <cell r="I567">
            <v>2.2700100000000001E-2</v>
          </cell>
        </row>
        <row r="568">
          <cell r="I568">
            <v>2.2740099999999999E-2</v>
          </cell>
        </row>
        <row r="569">
          <cell r="I569">
            <v>2.2780100000000001E-2</v>
          </cell>
        </row>
        <row r="570">
          <cell r="I570">
            <v>2.2820099999999999E-2</v>
          </cell>
        </row>
        <row r="571">
          <cell r="I571">
            <v>2.2860100000000001E-2</v>
          </cell>
        </row>
        <row r="572">
          <cell r="I572">
            <v>2.29001E-2</v>
          </cell>
        </row>
        <row r="573">
          <cell r="I573">
            <v>2.2940100000000001E-2</v>
          </cell>
        </row>
        <row r="574">
          <cell r="I574">
            <v>2.29801E-2</v>
          </cell>
        </row>
        <row r="575">
          <cell r="I575">
            <v>2.3020100000000002E-2</v>
          </cell>
        </row>
        <row r="576">
          <cell r="I576">
            <v>2.30601E-2</v>
          </cell>
        </row>
        <row r="577">
          <cell r="I577">
            <v>2.3100099999999998E-2</v>
          </cell>
        </row>
        <row r="578">
          <cell r="I578">
            <v>2.31401E-2</v>
          </cell>
        </row>
        <row r="579">
          <cell r="I579">
            <v>2.3180099999999999E-2</v>
          </cell>
        </row>
        <row r="580">
          <cell r="I580">
            <v>2.32201E-2</v>
          </cell>
        </row>
        <row r="581">
          <cell r="I581">
            <v>2.3260099999999999E-2</v>
          </cell>
        </row>
        <row r="582">
          <cell r="I582">
            <v>2.3300100000000001E-2</v>
          </cell>
        </row>
        <row r="583">
          <cell r="I583">
            <v>2.3340099999999999E-2</v>
          </cell>
        </row>
        <row r="584">
          <cell r="I584">
            <v>2.3380100000000001E-2</v>
          </cell>
        </row>
        <row r="585">
          <cell r="I585">
            <v>2.3420099999999999E-2</v>
          </cell>
        </row>
        <row r="586">
          <cell r="I586">
            <v>2.3460100000000001E-2</v>
          </cell>
        </row>
        <row r="587">
          <cell r="I587">
            <v>2.3500099999999999E-2</v>
          </cell>
        </row>
        <row r="588">
          <cell r="I588">
            <v>2.3540100000000001E-2</v>
          </cell>
        </row>
        <row r="589">
          <cell r="I589">
            <v>2.35801E-2</v>
          </cell>
        </row>
        <row r="590">
          <cell r="I590">
            <v>2.3620100000000002E-2</v>
          </cell>
        </row>
        <row r="591">
          <cell r="I591">
            <v>2.36601E-2</v>
          </cell>
        </row>
        <row r="592">
          <cell r="I592">
            <v>2.3700100000000002E-2</v>
          </cell>
        </row>
        <row r="593">
          <cell r="I593">
            <v>2.37401E-2</v>
          </cell>
        </row>
        <row r="594">
          <cell r="I594">
            <v>2.3780099999999998E-2</v>
          </cell>
        </row>
        <row r="595">
          <cell r="I595">
            <v>2.38201E-2</v>
          </cell>
        </row>
        <row r="596">
          <cell r="I596">
            <v>2.3860099999999999E-2</v>
          </cell>
        </row>
        <row r="597">
          <cell r="I597">
            <v>2.3900100000000001E-2</v>
          </cell>
        </row>
        <row r="598">
          <cell r="I598">
            <v>2.3940099999999999E-2</v>
          </cell>
        </row>
        <row r="599">
          <cell r="I599">
            <v>2.3980100000000001E-2</v>
          </cell>
        </row>
        <row r="600">
          <cell r="I600">
            <v>2.4020099999999999E-2</v>
          </cell>
        </row>
        <row r="601">
          <cell r="I601">
            <v>2.4060100000000001E-2</v>
          </cell>
        </row>
        <row r="602">
          <cell r="I602">
            <v>2.4100099999999999E-2</v>
          </cell>
        </row>
        <row r="603">
          <cell r="I603">
            <v>2.4140100000000001E-2</v>
          </cell>
        </row>
        <row r="604">
          <cell r="I604">
            <v>2.41801E-2</v>
          </cell>
        </row>
        <row r="605">
          <cell r="I605">
            <v>2.4220100000000001E-2</v>
          </cell>
        </row>
        <row r="606">
          <cell r="I606">
            <v>2.42601E-2</v>
          </cell>
        </row>
        <row r="607">
          <cell r="I607">
            <v>2.4300100000000002E-2</v>
          </cell>
        </row>
        <row r="608">
          <cell r="I608">
            <v>2.43401E-2</v>
          </cell>
        </row>
        <row r="609">
          <cell r="I609">
            <v>2.4380099999999998E-2</v>
          </cell>
        </row>
        <row r="610">
          <cell r="I610">
            <v>2.44201E-2</v>
          </cell>
        </row>
        <row r="611">
          <cell r="I611">
            <v>2.4460099999999999E-2</v>
          </cell>
        </row>
        <row r="612">
          <cell r="I612">
            <v>2.45001E-2</v>
          </cell>
        </row>
        <row r="613">
          <cell r="I613">
            <v>2.4540099999999999E-2</v>
          </cell>
        </row>
        <row r="614">
          <cell r="I614">
            <v>2.4580100000000001E-2</v>
          </cell>
        </row>
        <row r="615">
          <cell r="I615">
            <v>2.4620099999999999E-2</v>
          </cell>
        </row>
        <row r="616">
          <cell r="I616">
            <v>2.4660100000000001E-2</v>
          </cell>
        </row>
        <row r="617">
          <cell r="I617">
            <v>2.4700099999999999E-2</v>
          </cell>
        </row>
        <row r="618">
          <cell r="I618">
            <v>2.4740100000000001E-2</v>
          </cell>
        </row>
        <row r="619">
          <cell r="I619">
            <v>2.4780099999999999E-2</v>
          </cell>
        </row>
        <row r="620">
          <cell r="I620">
            <v>2.4820100000000001E-2</v>
          </cell>
        </row>
        <row r="621">
          <cell r="I621">
            <v>2.48601E-2</v>
          </cell>
        </row>
        <row r="622">
          <cell r="I622">
            <v>2.4900100000000001E-2</v>
          </cell>
        </row>
        <row r="623">
          <cell r="I623">
            <v>2.49401E-2</v>
          </cell>
        </row>
        <row r="624">
          <cell r="I624">
            <v>2.4980100000000002E-2</v>
          </cell>
        </row>
        <row r="625">
          <cell r="I625">
            <v>2.50201E-2</v>
          </cell>
        </row>
        <row r="626">
          <cell r="I626">
            <v>2.5060099999999998E-2</v>
          </cell>
        </row>
        <row r="627">
          <cell r="I627">
            <v>2.51001E-2</v>
          </cell>
        </row>
        <row r="628">
          <cell r="I628">
            <v>2.5140099999999999E-2</v>
          </cell>
        </row>
        <row r="629">
          <cell r="I629">
            <v>2.51801E-2</v>
          </cell>
        </row>
        <row r="630">
          <cell r="I630">
            <v>2.5220099999999999E-2</v>
          </cell>
        </row>
        <row r="631">
          <cell r="I631">
            <v>2.5260100000000001E-2</v>
          </cell>
        </row>
        <row r="632">
          <cell r="I632">
            <v>2.5300099999999999E-2</v>
          </cell>
        </row>
        <row r="633">
          <cell r="I633">
            <v>2.5340100000000001E-2</v>
          </cell>
        </row>
        <row r="634">
          <cell r="I634">
            <v>2.5380099999999999E-2</v>
          </cell>
        </row>
        <row r="635">
          <cell r="I635">
            <v>2.5420100000000001E-2</v>
          </cell>
        </row>
        <row r="636">
          <cell r="I636">
            <v>2.5460099999999999E-2</v>
          </cell>
        </row>
        <row r="637">
          <cell r="I637">
            <v>2.5500100000000001E-2</v>
          </cell>
        </row>
        <row r="638">
          <cell r="I638">
            <v>2.55401E-2</v>
          </cell>
        </row>
        <row r="639">
          <cell r="I639">
            <v>2.5580100000000001E-2</v>
          </cell>
        </row>
        <row r="640">
          <cell r="I640">
            <v>2.56201E-2</v>
          </cell>
        </row>
        <row r="641">
          <cell r="I641">
            <v>2.5660100000000002E-2</v>
          </cell>
        </row>
        <row r="642">
          <cell r="I642">
            <v>2.57001E-2</v>
          </cell>
        </row>
        <row r="643">
          <cell r="I643">
            <v>2.5740099999999998E-2</v>
          </cell>
        </row>
        <row r="644">
          <cell r="I644">
            <v>2.57801E-2</v>
          </cell>
        </row>
        <row r="645">
          <cell r="I645">
            <v>2.5820099999999999E-2</v>
          </cell>
        </row>
        <row r="646">
          <cell r="I646">
            <v>2.58601E-2</v>
          </cell>
        </row>
        <row r="647">
          <cell r="I647">
            <v>2.5900099999999999E-2</v>
          </cell>
        </row>
        <row r="648">
          <cell r="I648">
            <v>2.5940100000000001E-2</v>
          </cell>
        </row>
        <row r="649">
          <cell r="I649">
            <v>2.5980099999999999E-2</v>
          </cell>
        </row>
        <row r="650">
          <cell r="I650">
            <v>2.6020100000000001E-2</v>
          </cell>
        </row>
        <row r="651">
          <cell r="I651">
            <v>2.6060099999999999E-2</v>
          </cell>
        </row>
        <row r="652">
          <cell r="I652">
            <v>2.6100100000000001E-2</v>
          </cell>
        </row>
        <row r="653">
          <cell r="I653">
            <v>2.6140099999999999E-2</v>
          </cell>
        </row>
        <row r="654">
          <cell r="I654">
            <v>2.6180100000000001E-2</v>
          </cell>
        </row>
        <row r="655">
          <cell r="I655">
            <v>2.62201E-2</v>
          </cell>
        </row>
        <row r="656">
          <cell r="I656">
            <v>2.6260100000000001E-2</v>
          </cell>
        </row>
        <row r="657">
          <cell r="I657">
            <v>2.63001E-2</v>
          </cell>
        </row>
        <row r="658">
          <cell r="I658">
            <v>2.6340100000000002E-2</v>
          </cell>
        </row>
        <row r="659">
          <cell r="I659">
            <v>2.63801E-2</v>
          </cell>
        </row>
        <row r="660">
          <cell r="I660">
            <v>2.6420099999999998E-2</v>
          </cell>
        </row>
        <row r="661">
          <cell r="I661">
            <v>2.64601E-2</v>
          </cell>
        </row>
        <row r="662">
          <cell r="I662">
            <v>2.6500099999999999E-2</v>
          </cell>
        </row>
        <row r="663">
          <cell r="I663">
            <v>2.65401E-2</v>
          </cell>
        </row>
        <row r="664">
          <cell r="I664">
            <v>2.6580099999999999E-2</v>
          </cell>
        </row>
        <row r="665">
          <cell r="I665">
            <v>2.6620100000000001E-2</v>
          </cell>
        </row>
        <row r="666">
          <cell r="I666">
            <v>2.6660099999999999E-2</v>
          </cell>
        </row>
        <row r="667">
          <cell r="I667">
            <v>2.6700100000000001E-2</v>
          </cell>
        </row>
        <row r="668">
          <cell r="I668">
            <v>2.6740099999999999E-2</v>
          </cell>
        </row>
        <row r="669">
          <cell r="I669">
            <v>2.6780100000000001E-2</v>
          </cell>
        </row>
        <row r="670">
          <cell r="I670">
            <v>2.6820099999999999E-2</v>
          </cell>
        </row>
        <row r="671">
          <cell r="I671">
            <v>2.6860100000000001E-2</v>
          </cell>
        </row>
        <row r="672">
          <cell r="I672">
            <v>2.69001E-2</v>
          </cell>
        </row>
        <row r="673">
          <cell r="I673">
            <v>2.6940100000000002E-2</v>
          </cell>
        </row>
        <row r="674">
          <cell r="I674">
            <v>2.69801E-2</v>
          </cell>
        </row>
        <row r="675">
          <cell r="I675">
            <v>2.7020099999999998E-2</v>
          </cell>
        </row>
        <row r="676">
          <cell r="I676">
            <v>2.70601E-2</v>
          </cell>
        </row>
        <row r="677">
          <cell r="I677">
            <v>2.7100099999999998E-2</v>
          </cell>
        </row>
        <row r="678">
          <cell r="I678">
            <v>2.71401E-2</v>
          </cell>
        </row>
        <row r="679">
          <cell r="I679">
            <v>2.7180099999999999E-2</v>
          </cell>
        </row>
        <row r="680">
          <cell r="I680">
            <v>2.7220100000000001E-2</v>
          </cell>
        </row>
        <row r="681">
          <cell r="I681">
            <v>2.7260099999999999E-2</v>
          </cell>
        </row>
        <row r="682">
          <cell r="I682">
            <v>2.7300100000000001E-2</v>
          </cell>
        </row>
        <row r="683">
          <cell r="I683">
            <v>2.7340099999999999E-2</v>
          </cell>
        </row>
        <row r="684">
          <cell r="I684">
            <v>2.7380100000000001E-2</v>
          </cell>
        </row>
        <row r="685">
          <cell r="I685">
            <v>2.7420099999999999E-2</v>
          </cell>
        </row>
        <row r="686">
          <cell r="I686">
            <v>2.7460100000000001E-2</v>
          </cell>
        </row>
        <row r="687">
          <cell r="I687">
            <v>2.75001E-2</v>
          </cell>
        </row>
        <row r="688">
          <cell r="I688">
            <v>2.7540100000000001E-2</v>
          </cell>
        </row>
        <row r="689">
          <cell r="I689">
            <v>2.75801E-2</v>
          </cell>
        </row>
        <row r="690">
          <cell r="I690">
            <v>2.7620100000000002E-2</v>
          </cell>
        </row>
        <row r="691">
          <cell r="I691">
            <v>2.76601E-2</v>
          </cell>
        </row>
        <row r="692">
          <cell r="I692">
            <v>2.7700099999999998E-2</v>
          </cell>
        </row>
        <row r="693">
          <cell r="I693">
            <v>2.77401E-2</v>
          </cell>
        </row>
        <row r="694">
          <cell r="I694">
            <v>2.7780099999999999E-2</v>
          </cell>
        </row>
        <row r="695">
          <cell r="I695">
            <v>2.78201E-2</v>
          </cell>
        </row>
        <row r="696">
          <cell r="I696">
            <v>2.7860099999999999E-2</v>
          </cell>
        </row>
        <row r="697">
          <cell r="I697">
            <v>2.7900100000000001E-2</v>
          </cell>
        </row>
        <row r="698">
          <cell r="I698">
            <v>2.7940099999999999E-2</v>
          </cell>
        </row>
        <row r="699">
          <cell r="I699">
            <v>2.7980100000000001E-2</v>
          </cell>
        </row>
        <row r="700">
          <cell r="I700">
            <v>2.8020099999999999E-2</v>
          </cell>
        </row>
        <row r="701">
          <cell r="I701">
            <v>2.8060100000000001E-2</v>
          </cell>
        </row>
        <row r="702">
          <cell r="I702">
            <v>2.8100099999999999E-2</v>
          </cell>
        </row>
        <row r="703">
          <cell r="I703">
            <v>2.8140100000000001E-2</v>
          </cell>
        </row>
        <row r="704">
          <cell r="I704">
            <v>2.81801E-2</v>
          </cell>
        </row>
        <row r="705">
          <cell r="I705">
            <v>2.8220100000000001E-2</v>
          </cell>
        </row>
        <row r="706">
          <cell r="I706">
            <v>2.82601E-2</v>
          </cell>
        </row>
        <row r="707">
          <cell r="I707">
            <v>2.8300100000000002E-2</v>
          </cell>
        </row>
        <row r="708">
          <cell r="I708">
            <v>2.83401E-2</v>
          </cell>
        </row>
        <row r="709">
          <cell r="I709">
            <v>2.8380099999999998E-2</v>
          </cell>
        </row>
        <row r="710">
          <cell r="I710">
            <v>2.84201E-2</v>
          </cell>
        </row>
        <row r="711">
          <cell r="I711">
            <v>2.8460099999999999E-2</v>
          </cell>
        </row>
        <row r="712">
          <cell r="I712">
            <v>2.85001E-2</v>
          </cell>
        </row>
        <row r="713">
          <cell r="I713">
            <v>2.8540099999999999E-2</v>
          </cell>
        </row>
        <row r="714">
          <cell r="I714">
            <v>2.8580100000000001E-2</v>
          </cell>
        </row>
        <row r="715">
          <cell r="I715">
            <v>2.8620099999999999E-2</v>
          </cell>
        </row>
        <row r="716">
          <cell r="I716">
            <v>2.8660100000000001E-2</v>
          </cell>
        </row>
        <row r="717">
          <cell r="I717">
            <v>2.8700099999999999E-2</v>
          </cell>
        </row>
        <row r="718">
          <cell r="I718">
            <v>2.8740100000000001E-2</v>
          </cell>
        </row>
        <row r="719">
          <cell r="I719">
            <v>2.8780099999999999E-2</v>
          </cell>
        </row>
        <row r="720">
          <cell r="I720">
            <v>2.8820100000000001E-2</v>
          </cell>
        </row>
        <row r="721">
          <cell r="I721">
            <v>2.88601E-2</v>
          </cell>
        </row>
        <row r="722">
          <cell r="I722">
            <v>2.8900100000000001E-2</v>
          </cell>
        </row>
        <row r="723">
          <cell r="I723">
            <v>2.89401E-2</v>
          </cell>
        </row>
        <row r="724">
          <cell r="I724">
            <v>2.8980100000000002E-2</v>
          </cell>
        </row>
        <row r="725">
          <cell r="I725">
            <v>2.90201E-2</v>
          </cell>
        </row>
        <row r="726">
          <cell r="I726">
            <v>2.9060099999999998E-2</v>
          </cell>
        </row>
        <row r="727">
          <cell r="I727">
            <v>2.91001E-2</v>
          </cell>
        </row>
        <row r="728">
          <cell r="I728">
            <v>2.9140099999999999E-2</v>
          </cell>
        </row>
        <row r="729">
          <cell r="I729">
            <v>2.91801E-2</v>
          </cell>
        </row>
        <row r="730">
          <cell r="I730">
            <v>2.9220099999999999E-2</v>
          </cell>
        </row>
        <row r="731">
          <cell r="I731">
            <v>2.9260100000000001E-2</v>
          </cell>
        </row>
        <row r="732">
          <cell r="I732">
            <v>2.9300099999999999E-2</v>
          </cell>
        </row>
        <row r="733">
          <cell r="I733">
            <v>2.9340100000000001E-2</v>
          </cell>
        </row>
        <row r="734">
          <cell r="I734">
            <v>2.9380099999999999E-2</v>
          </cell>
        </row>
        <row r="735">
          <cell r="I735">
            <v>2.9420100000000001E-2</v>
          </cell>
        </row>
        <row r="736">
          <cell r="I736">
            <v>2.9460099999999999E-2</v>
          </cell>
        </row>
        <row r="737">
          <cell r="I737">
            <v>2.9500100000000001E-2</v>
          </cell>
        </row>
        <row r="738">
          <cell r="I738">
            <v>2.95401E-2</v>
          </cell>
        </row>
        <row r="739">
          <cell r="I739">
            <v>2.9580100000000002E-2</v>
          </cell>
        </row>
        <row r="740">
          <cell r="I740">
            <v>2.96201E-2</v>
          </cell>
        </row>
        <row r="741">
          <cell r="I741">
            <v>2.9660099999999998E-2</v>
          </cell>
        </row>
        <row r="742">
          <cell r="I742">
            <v>2.97001E-2</v>
          </cell>
        </row>
        <row r="743">
          <cell r="I743">
            <v>2.9740099999999998E-2</v>
          </cell>
        </row>
        <row r="744">
          <cell r="I744">
            <v>2.97801E-2</v>
          </cell>
        </row>
        <row r="745">
          <cell r="I745">
            <v>2.9820099999999999E-2</v>
          </cell>
        </row>
        <row r="746">
          <cell r="I746">
            <v>2.9860100000000001E-2</v>
          </cell>
        </row>
        <row r="747">
          <cell r="I747">
            <v>2.9900099999999999E-2</v>
          </cell>
        </row>
        <row r="748">
          <cell r="I748">
            <v>2.9940100000000001E-2</v>
          </cell>
        </row>
        <row r="749">
          <cell r="I749">
            <v>2.9980099999999999E-2</v>
          </cell>
        </row>
        <row r="750">
          <cell r="I750">
            <v>3.0020100000000001E-2</v>
          </cell>
        </row>
        <row r="751">
          <cell r="I751">
            <v>3.0060099999999999E-2</v>
          </cell>
        </row>
        <row r="752">
          <cell r="I752">
            <v>3.0100100000000001E-2</v>
          </cell>
        </row>
        <row r="753">
          <cell r="I753">
            <v>3.01401E-2</v>
          </cell>
        </row>
        <row r="754">
          <cell r="I754">
            <v>3.0180100000000001E-2</v>
          </cell>
        </row>
        <row r="755">
          <cell r="I755">
            <v>3.02201E-2</v>
          </cell>
        </row>
        <row r="756">
          <cell r="I756">
            <v>3.0260100000000002E-2</v>
          </cell>
        </row>
        <row r="757">
          <cell r="I757">
            <v>3.03001E-2</v>
          </cell>
        </row>
        <row r="758">
          <cell r="I758">
            <v>3.0340099999999998E-2</v>
          </cell>
        </row>
        <row r="759">
          <cell r="I759">
            <v>3.03801E-2</v>
          </cell>
        </row>
        <row r="760">
          <cell r="I760">
            <v>3.0420099999999999E-2</v>
          </cell>
        </row>
        <row r="761">
          <cell r="I761">
            <v>3.04601E-2</v>
          </cell>
        </row>
        <row r="762">
          <cell r="I762">
            <v>3.0500099999999999E-2</v>
          </cell>
        </row>
        <row r="763">
          <cell r="I763">
            <v>3.0540100000000001E-2</v>
          </cell>
        </row>
        <row r="764">
          <cell r="I764">
            <v>3.0580099999999999E-2</v>
          </cell>
        </row>
        <row r="765">
          <cell r="I765">
            <v>3.0620100000000001E-2</v>
          </cell>
        </row>
        <row r="766">
          <cell r="I766">
            <v>3.0660099999999999E-2</v>
          </cell>
        </row>
        <row r="767">
          <cell r="I767">
            <v>3.0700100000000001E-2</v>
          </cell>
        </row>
        <row r="768">
          <cell r="I768">
            <v>3.0740099999999999E-2</v>
          </cell>
        </row>
        <row r="769">
          <cell r="I769">
            <v>3.0780100000000001E-2</v>
          </cell>
        </row>
        <row r="770">
          <cell r="I770">
            <v>3.08201E-2</v>
          </cell>
        </row>
        <row r="771">
          <cell r="I771">
            <v>3.0860100000000001E-2</v>
          </cell>
        </row>
        <row r="772">
          <cell r="I772">
            <v>3.09001E-2</v>
          </cell>
        </row>
        <row r="773">
          <cell r="I773">
            <v>3.0940100000000002E-2</v>
          </cell>
        </row>
        <row r="774">
          <cell r="I774">
            <v>3.09801E-2</v>
          </cell>
        </row>
        <row r="775">
          <cell r="I775">
            <v>3.1020099999999998E-2</v>
          </cell>
        </row>
        <row r="776">
          <cell r="I776">
            <v>3.10601E-2</v>
          </cell>
        </row>
        <row r="777">
          <cell r="I777">
            <v>3.1100099999999999E-2</v>
          </cell>
        </row>
        <row r="778">
          <cell r="I778">
            <v>3.11401E-2</v>
          </cell>
        </row>
        <row r="779">
          <cell r="I779">
            <v>3.1180099999999999E-2</v>
          </cell>
        </row>
        <row r="780">
          <cell r="I780">
            <v>3.1220100000000001E-2</v>
          </cell>
        </row>
        <row r="781">
          <cell r="I781">
            <v>3.1260099999999999E-2</v>
          </cell>
        </row>
        <row r="782">
          <cell r="I782">
            <v>3.1300099999999997E-2</v>
          </cell>
        </row>
        <row r="783">
          <cell r="I783">
            <v>3.1340100000000003E-2</v>
          </cell>
        </row>
        <row r="784">
          <cell r="I784">
            <v>3.1380100000000001E-2</v>
          </cell>
        </row>
        <row r="785">
          <cell r="I785">
            <v>3.1420099999999999E-2</v>
          </cell>
        </row>
        <row r="786">
          <cell r="I786">
            <v>3.1460099999999998E-2</v>
          </cell>
        </row>
        <row r="787">
          <cell r="I787">
            <v>3.1500100000000003E-2</v>
          </cell>
        </row>
        <row r="788">
          <cell r="I788">
            <v>3.1540100000000001E-2</v>
          </cell>
        </row>
        <row r="789">
          <cell r="I789">
            <v>3.15801E-2</v>
          </cell>
        </row>
        <row r="790">
          <cell r="I790">
            <v>3.1620099999999998E-2</v>
          </cell>
        </row>
        <row r="791">
          <cell r="I791">
            <v>3.1660099999999997E-2</v>
          </cell>
        </row>
        <row r="792">
          <cell r="I792">
            <v>3.1700100000000002E-2</v>
          </cell>
        </row>
        <row r="793">
          <cell r="I793">
            <v>3.17401E-2</v>
          </cell>
        </row>
        <row r="794">
          <cell r="I794">
            <v>3.1780099999999999E-2</v>
          </cell>
        </row>
        <row r="795">
          <cell r="I795">
            <v>3.1820099999999997E-2</v>
          </cell>
        </row>
        <row r="796">
          <cell r="I796">
            <v>3.1860100000000002E-2</v>
          </cell>
        </row>
        <row r="797">
          <cell r="I797">
            <v>3.1900100000000001E-2</v>
          </cell>
        </row>
        <row r="798">
          <cell r="I798">
            <v>3.1940099999999999E-2</v>
          </cell>
        </row>
        <row r="799">
          <cell r="I799">
            <v>3.1980099999999997E-2</v>
          </cell>
        </row>
        <row r="800">
          <cell r="I800">
            <v>3.2020100000000003E-2</v>
          </cell>
        </row>
        <row r="801">
          <cell r="I801">
            <v>3.2060100000000001E-2</v>
          </cell>
        </row>
        <row r="802">
          <cell r="I802">
            <v>3.2100099999999999E-2</v>
          </cell>
        </row>
        <row r="803">
          <cell r="I803">
            <v>3.2140099999999998E-2</v>
          </cell>
        </row>
        <row r="804">
          <cell r="I804">
            <v>3.2180100000000003E-2</v>
          </cell>
        </row>
        <row r="805">
          <cell r="I805">
            <v>3.2220100000000002E-2</v>
          </cell>
        </row>
        <row r="806">
          <cell r="I806">
            <v>3.22601E-2</v>
          </cell>
        </row>
        <row r="807">
          <cell r="I807">
            <v>3.2300099999999998E-2</v>
          </cell>
        </row>
        <row r="808">
          <cell r="I808">
            <v>3.2340099999999997E-2</v>
          </cell>
        </row>
        <row r="809">
          <cell r="I809">
            <v>3.2380100000000002E-2</v>
          </cell>
        </row>
        <row r="810">
          <cell r="I810">
            <v>3.24201E-2</v>
          </cell>
        </row>
        <row r="811">
          <cell r="I811">
            <v>3.2460099999999999E-2</v>
          </cell>
        </row>
        <row r="812">
          <cell r="I812">
            <v>3.2500099999999997E-2</v>
          </cell>
        </row>
        <row r="813">
          <cell r="I813">
            <v>3.2540100000000002E-2</v>
          </cell>
        </row>
        <row r="814">
          <cell r="I814">
            <v>3.2580100000000001E-2</v>
          </cell>
        </row>
        <row r="815">
          <cell r="I815">
            <v>3.2620099999999999E-2</v>
          </cell>
        </row>
        <row r="816">
          <cell r="I816">
            <v>3.2660099999999997E-2</v>
          </cell>
        </row>
        <row r="817">
          <cell r="I817">
            <v>3.2700100000000003E-2</v>
          </cell>
        </row>
        <row r="818">
          <cell r="I818">
            <v>3.2740100000000001E-2</v>
          </cell>
        </row>
        <row r="819">
          <cell r="I819">
            <v>3.27801E-2</v>
          </cell>
        </row>
        <row r="820">
          <cell r="I820">
            <v>3.2820099999999998E-2</v>
          </cell>
        </row>
        <row r="821">
          <cell r="I821">
            <v>3.2860100000000003E-2</v>
          </cell>
        </row>
        <row r="822">
          <cell r="I822">
            <v>3.2900100000000002E-2</v>
          </cell>
        </row>
        <row r="823">
          <cell r="I823">
            <v>3.29401E-2</v>
          </cell>
        </row>
        <row r="824">
          <cell r="I824">
            <v>3.2980099999999998E-2</v>
          </cell>
        </row>
        <row r="825">
          <cell r="I825">
            <v>3.3020099999999997E-2</v>
          </cell>
        </row>
        <row r="826">
          <cell r="I826">
            <v>3.3060100000000002E-2</v>
          </cell>
        </row>
        <row r="827">
          <cell r="I827">
            <v>3.31001E-2</v>
          </cell>
        </row>
        <row r="828">
          <cell r="I828">
            <v>3.3140099999999999E-2</v>
          </cell>
        </row>
        <row r="829">
          <cell r="I829">
            <v>3.3180099999999997E-2</v>
          </cell>
        </row>
        <row r="830">
          <cell r="I830">
            <v>3.3220100000000002E-2</v>
          </cell>
        </row>
        <row r="831">
          <cell r="I831">
            <v>3.3260100000000001E-2</v>
          </cell>
        </row>
        <row r="832">
          <cell r="I832">
            <v>3.3300099999999999E-2</v>
          </cell>
        </row>
        <row r="833">
          <cell r="I833">
            <v>3.3340099999999998E-2</v>
          </cell>
        </row>
        <row r="834">
          <cell r="I834">
            <v>3.3380100000000003E-2</v>
          </cell>
        </row>
        <row r="835">
          <cell r="I835">
            <v>3.3420100000000001E-2</v>
          </cell>
        </row>
        <row r="836">
          <cell r="I836">
            <v>3.34601E-2</v>
          </cell>
        </row>
        <row r="837">
          <cell r="I837">
            <v>3.3500099999999998E-2</v>
          </cell>
        </row>
        <row r="838">
          <cell r="I838">
            <v>3.3540100000000003E-2</v>
          </cell>
        </row>
        <row r="839">
          <cell r="I839">
            <v>3.3580100000000002E-2</v>
          </cell>
        </row>
        <row r="840">
          <cell r="I840">
            <v>3.36201E-2</v>
          </cell>
        </row>
        <row r="841">
          <cell r="I841">
            <v>3.3660099999999998E-2</v>
          </cell>
        </row>
        <row r="842">
          <cell r="I842">
            <v>3.3700099999999997E-2</v>
          </cell>
        </row>
        <row r="843">
          <cell r="I843">
            <v>3.3740100000000002E-2</v>
          </cell>
        </row>
        <row r="844">
          <cell r="I844">
            <v>3.37801E-2</v>
          </cell>
        </row>
        <row r="845">
          <cell r="I845">
            <v>3.3820099999999999E-2</v>
          </cell>
        </row>
        <row r="846">
          <cell r="I846">
            <v>3.3860099999999997E-2</v>
          </cell>
        </row>
        <row r="847">
          <cell r="I847">
            <v>3.3900100000000002E-2</v>
          </cell>
        </row>
        <row r="848">
          <cell r="I848">
            <v>3.3940100000000001E-2</v>
          </cell>
        </row>
        <row r="849">
          <cell r="I849">
            <v>3.3980099999999999E-2</v>
          </cell>
        </row>
        <row r="850">
          <cell r="I850">
            <v>3.4020099999999998E-2</v>
          </cell>
        </row>
        <row r="851">
          <cell r="I851">
            <v>3.4060100000000003E-2</v>
          </cell>
        </row>
        <row r="852">
          <cell r="I852">
            <v>3.4100100000000001E-2</v>
          </cell>
        </row>
        <row r="853">
          <cell r="I853">
            <v>3.41401E-2</v>
          </cell>
        </row>
        <row r="854">
          <cell r="I854">
            <v>3.4180099999999998E-2</v>
          </cell>
        </row>
        <row r="855">
          <cell r="I855">
            <v>3.4220100000000003E-2</v>
          </cell>
        </row>
        <row r="856">
          <cell r="I856">
            <v>3.4260100000000002E-2</v>
          </cell>
        </row>
        <row r="857">
          <cell r="I857">
            <v>3.43001E-2</v>
          </cell>
        </row>
        <row r="858">
          <cell r="I858">
            <v>3.4340099999999998E-2</v>
          </cell>
        </row>
        <row r="859">
          <cell r="I859">
            <v>3.4380099999999997E-2</v>
          </cell>
        </row>
        <row r="860">
          <cell r="I860">
            <v>3.4420100000000002E-2</v>
          </cell>
        </row>
        <row r="861">
          <cell r="I861">
            <v>3.44601E-2</v>
          </cell>
        </row>
        <row r="862">
          <cell r="I862">
            <v>3.4500099999999999E-2</v>
          </cell>
        </row>
        <row r="863">
          <cell r="I863">
            <v>3.4540099999999997E-2</v>
          </cell>
        </row>
        <row r="864">
          <cell r="I864">
            <v>3.4580100000000003E-2</v>
          </cell>
        </row>
        <row r="865">
          <cell r="I865">
            <v>3.4620100000000001E-2</v>
          </cell>
        </row>
        <row r="866">
          <cell r="I866">
            <v>3.4660099999999999E-2</v>
          </cell>
        </row>
        <row r="867">
          <cell r="I867">
            <v>3.4700099999999998E-2</v>
          </cell>
        </row>
        <row r="868">
          <cell r="I868">
            <v>3.4740100000000003E-2</v>
          </cell>
        </row>
        <row r="869">
          <cell r="I869">
            <v>3.4780100000000001E-2</v>
          </cell>
        </row>
        <row r="870">
          <cell r="I870">
            <v>3.48201E-2</v>
          </cell>
        </row>
        <row r="871">
          <cell r="I871">
            <v>3.4860099999999998E-2</v>
          </cell>
        </row>
        <row r="872">
          <cell r="I872">
            <v>3.4900100000000003E-2</v>
          </cell>
        </row>
        <row r="873">
          <cell r="I873">
            <v>3.4940100000000002E-2</v>
          </cell>
        </row>
        <row r="874">
          <cell r="I874">
            <v>3.49801E-2</v>
          </cell>
        </row>
        <row r="875">
          <cell r="I875">
            <v>3.5020099999999998E-2</v>
          </cell>
        </row>
        <row r="876">
          <cell r="I876">
            <v>3.5060099999999997E-2</v>
          </cell>
        </row>
        <row r="877">
          <cell r="I877">
            <v>3.5100100000000002E-2</v>
          </cell>
        </row>
        <row r="878">
          <cell r="I878">
            <v>3.5140100000000001E-2</v>
          </cell>
        </row>
        <row r="879">
          <cell r="I879">
            <v>3.5180099999999999E-2</v>
          </cell>
        </row>
        <row r="880">
          <cell r="I880">
            <v>3.5220099999999997E-2</v>
          </cell>
        </row>
        <row r="881">
          <cell r="I881">
            <v>3.5260100000000003E-2</v>
          </cell>
        </row>
        <row r="882">
          <cell r="I882">
            <v>3.5300100000000001E-2</v>
          </cell>
        </row>
        <row r="883">
          <cell r="I883">
            <v>3.5340099999999999E-2</v>
          </cell>
        </row>
        <row r="884">
          <cell r="I884">
            <v>3.5380099999999998E-2</v>
          </cell>
        </row>
        <row r="885">
          <cell r="I885">
            <v>3.5420100000000003E-2</v>
          </cell>
        </row>
        <row r="886">
          <cell r="I886">
            <v>3.5460100000000001E-2</v>
          </cell>
        </row>
        <row r="887">
          <cell r="I887">
            <v>3.55001E-2</v>
          </cell>
        </row>
        <row r="888">
          <cell r="I888">
            <v>3.5540099999999998E-2</v>
          </cell>
        </row>
        <row r="889">
          <cell r="I889">
            <v>3.5580100000000003E-2</v>
          </cell>
        </row>
        <row r="890">
          <cell r="I890">
            <v>3.5620100000000002E-2</v>
          </cell>
        </row>
        <row r="891">
          <cell r="I891">
            <v>3.56601E-2</v>
          </cell>
        </row>
        <row r="892">
          <cell r="I892">
            <v>3.5700099999999999E-2</v>
          </cell>
        </row>
        <row r="893">
          <cell r="I893">
            <v>3.5740099999999997E-2</v>
          </cell>
        </row>
        <row r="894">
          <cell r="I894">
            <v>3.5780100000000002E-2</v>
          </cell>
        </row>
        <row r="895">
          <cell r="I895">
            <v>3.5820100000000001E-2</v>
          </cell>
        </row>
        <row r="896">
          <cell r="I896">
            <v>3.5860099999999999E-2</v>
          </cell>
        </row>
        <row r="897">
          <cell r="I897">
            <v>3.5900099999999997E-2</v>
          </cell>
        </row>
        <row r="898">
          <cell r="I898">
            <v>3.5940100000000003E-2</v>
          </cell>
        </row>
        <row r="899">
          <cell r="I899">
            <v>3.5980100000000001E-2</v>
          </cell>
        </row>
        <row r="900">
          <cell r="I900">
            <v>3.6020099999999999E-2</v>
          </cell>
        </row>
        <row r="901">
          <cell r="I901">
            <v>3.6060099999999998E-2</v>
          </cell>
        </row>
        <row r="902">
          <cell r="I902">
            <v>3.6100100000000003E-2</v>
          </cell>
        </row>
        <row r="903">
          <cell r="I903">
            <v>3.6140100000000001E-2</v>
          </cell>
        </row>
        <row r="904">
          <cell r="I904">
            <v>3.61801E-2</v>
          </cell>
        </row>
        <row r="905">
          <cell r="I905">
            <v>3.6220099999999998E-2</v>
          </cell>
        </row>
        <row r="906">
          <cell r="I906">
            <v>3.6260100000000003E-2</v>
          </cell>
        </row>
        <row r="907">
          <cell r="I907">
            <v>3.6300100000000002E-2</v>
          </cell>
        </row>
        <row r="908">
          <cell r="I908">
            <v>3.63401E-2</v>
          </cell>
        </row>
        <row r="909">
          <cell r="I909">
            <v>3.6380099999999999E-2</v>
          </cell>
        </row>
        <row r="910">
          <cell r="I910">
            <v>3.6420099999999997E-2</v>
          </cell>
        </row>
        <row r="911">
          <cell r="I911">
            <v>3.6460100000000002E-2</v>
          </cell>
        </row>
        <row r="912">
          <cell r="I912">
            <v>3.6500100000000001E-2</v>
          </cell>
        </row>
        <row r="913">
          <cell r="I913">
            <v>3.6540099999999999E-2</v>
          </cell>
        </row>
        <row r="914">
          <cell r="I914">
            <v>3.6580099999999997E-2</v>
          </cell>
        </row>
        <row r="915">
          <cell r="I915">
            <v>3.6620100000000003E-2</v>
          </cell>
        </row>
        <row r="916">
          <cell r="I916">
            <v>3.6660100000000001E-2</v>
          </cell>
        </row>
        <row r="917">
          <cell r="I917">
            <v>3.6700099999999999E-2</v>
          </cell>
        </row>
        <row r="918">
          <cell r="I918">
            <v>3.6740099999999998E-2</v>
          </cell>
        </row>
        <row r="919">
          <cell r="I919">
            <v>3.6780100000000003E-2</v>
          </cell>
        </row>
        <row r="920">
          <cell r="I920">
            <v>3.6820100000000001E-2</v>
          </cell>
        </row>
        <row r="921">
          <cell r="I921">
            <v>3.68601E-2</v>
          </cell>
        </row>
        <row r="922">
          <cell r="I922">
            <v>3.6900099999999998E-2</v>
          </cell>
        </row>
        <row r="923">
          <cell r="I923">
            <v>3.6940099999999997E-2</v>
          </cell>
        </row>
        <row r="924">
          <cell r="I924">
            <v>3.6980100000000002E-2</v>
          </cell>
        </row>
        <row r="925">
          <cell r="I925">
            <v>3.70201E-2</v>
          </cell>
        </row>
        <row r="926">
          <cell r="I926">
            <v>3.7060099999999999E-2</v>
          </cell>
        </row>
        <row r="927">
          <cell r="I927">
            <v>3.7100099999999997E-2</v>
          </cell>
        </row>
        <row r="928">
          <cell r="I928">
            <v>3.7140100000000002E-2</v>
          </cell>
        </row>
        <row r="929">
          <cell r="I929">
            <v>3.7180100000000001E-2</v>
          </cell>
        </row>
        <row r="930">
          <cell r="I930">
            <v>3.7220099999999999E-2</v>
          </cell>
        </row>
        <row r="931">
          <cell r="I931">
            <v>3.7260099999999997E-2</v>
          </cell>
        </row>
        <row r="932">
          <cell r="I932">
            <v>3.7300100000000003E-2</v>
          </cell>
        </row>
        <row r="933">
          <cell r="I933">
            <v>3.7340100000000001E-2</v>
          </cell>
        </row>
        <row r="934">
          <cell r="I934">
            <v>3.7380099999999999E-2</v>
          </cell>
        </row>
        <row r="935">
          <cell r="I935">
            <v>3.7420099999999998E-2</v>
          </cell>
        </row>
        <row r="936">
          <cell r="I936">
            <v>3.7460100000000003E-2</v>
          </cell>
        </row>
        <row r="937">
          <cell r="I937">
            <v>3.7500100000000001E-2</v>
          </cell>
        </row>
        <row r="938">
          <cell r="I938">
            <v>3.75401E-2</v>
          </cell>
        </row>
        <row r="939">
          <cell r="I939">
            <v>3.7580099999999998E-2</v>
          </cell>
        </row>
        <row r="940">
          <cell r="I940">
            <v>3.7620099999999997E-2</v>
          </cell>
        </row>
        <row r="941">
          <cell r="I941">
            <v>3.7660100000000002E-2</v>
          </cell>
        </row>
        <row r="942">
          <cell r="I942">
            <v>3.77001E-2</v>
          </cell>
        </row>
        <row r="943">
          <cell r="I943">
            <v>3.7740099999999999E-2</v>
          </cell>
        </row>
        <row r="944">
          <cell r="I944">
            <v>3.7780099999999997E-2</v>
          </cell>
        </row>
        <row r="945">
          <cell r="I945">
            <v>3.7820100000000002E-2</v>
          </cell>
        </row>
        <row r="946">
          <cell r="I946">
            <v>3.7860100000000001E-2</v>
          </cell>
        </row>
        <row r="947">
          <cell r="I947">
            <v>3.7900099999999999E-2</v>
          </cell>
        </row>
        <row r="948">
          <cell r="I948">
            <v>3.7940099999999997E-2</v>
          </cell>
        </row>
        <row r="949">
          <cell r="I949">
            <v>3.7980100000000003E-2</v>
          </cell>
        </row>
        <row r="950">
          <cell r="I950">
            <v>3.8020100000000001E-2</v>
          </cell>
        </row>
        <row r="951">
          <cell r="I951">
            <v>3.8060099999999999E-2</v>
          </cell>
        </row>
        <row r="952">
          <cell r="I952">
            <v>3.8100099999999998E-2</v>
          </cell>
        </row>
        <row r="953">
          <cell r="I953">
            <v>3.8140100000000003E-2</v>
          </cell>
        </row>
        <row r="954">
          <cell r="I954">
            <v>3.8180100000000002E-2</v>
          </cell>
        </row>
        <row r="955">
          <cell r="I955">
            <v>3.82201E-2</v>
          </cell>
        </row>
        <row r="956">
          <cell r="I956">
            <v>3.8260099999999998E-2</v>
          </cell>
        </row>
        <row r="957">
          <cell r="I957">
            <v>3.8300099999999997E-2</v>
          </cell>
        </row>
        <row r="958">
          <cell r="I958">
            <v>3.8340100000000002E-2</v>
          </cell>
        </row>
        <row r="959">
          <cell r="I959">
            <v>3.83801E-2</v>
          </cell>
        </row>
        <row r="960">
          <cell r="I960">
            <v>3.8420099999999999E-2</v>
          </cell>
        </row>
        <row r="961">
          <cell r="I961">
            <v>3.8460099999999997E-2</v>
          </cell>
        </row>
        <row r="962">
          <cell r="I962">
            <v>3.8500100000000002E-2</v>
          </cell>
        </row>
        <row r="963">
          <cell r="I963">
            <v>3.8540100000000001E-2</v>
          </cell>
        </row>
        <row r="964">
          <cell r="I964">
            <v>3.8580099999999999E-2</v>
          </cell>
        </row>
        <row r="965">
          <cell r="I965">
            <v>3.8620099999999997E-2</v>
          </cell>
        </row>
        <row r="966">
          <cell r="I966">
            <v>3.8660100000000003E-2</v>
          </cell>
        </row>
        <row r="967">
          <cell r="I967">
            <v>3.8700100000000001E-2</v>
          </cell>
        </row>
        <row r="968">
          <cell r="I968">
            <v>3.87401E-2</v>
          </cell>
        </row>
        <row r="969">
          <cell r="I969">
            <v>3.8780099999999998E-2</v>
          </cell>
        </row>
        <row r="970">
          <cell r="I970">
            <v>3.8820100000000003E-2</v>
          </cell>
        </row>
        <row r="971">
          <cell r="I971">
            <v>3.8860100000000002E-2</v>
          </cell>
        </row>
        <row r="972">
          <cell r="I972">
            <v>3.89001E-2</v>
          </cell>
        </row>
        <row r="973">
          <cell r="I973">
            <v>3.8940099999999998E-2</v>
          </cell>
        </row>
        <row r="974">
          <cell r="I974">
            <v>3.8980099999999997E-2</v>
          </cell>
        </row>
        <row r="975">
          <cell r="I975">
            <v>3.9020100000000002E-2</v>
          </cell>
        </row>
        <row r="976">
          <cell r="I976">
            <v>3.90601E-2</v>
          </cell>
        </row>
        <row r="977">
          <cell r="I977">
            <v>3.9100099999999999E-2</v>
          </cell>
        </row>
        <row r="978">
          <cell r="I978">
            <v>3.9140099999999997E-2</v>
          </cell>
        </row>
        <row r="979">
          <cell r="I979">
            <v>3.9180100000000002E-2</v>
          </cell>
        </row>
        <row r="980">
          <cell r="I980">
            <v>3.9220100000000001E-2</v>
          </cell>
        </row>
        <row r="981">
          <cell r="I981">
            <v>3.9260099999999999E-2</v>
          </cell>
        </row>
        <row r="982">
          <cell r="I982">
            <v>3.9300099999999998E-2</v>
          </cell>
        </row>
        <row r="983">
          <cell r="I983">
            <v>3.9340100000000003E-2</v>
          </cell>
        </row>
        <row r="984">
          <cell r="I984">
            <v>3.9380100000000001E-2</v>
          </cell>
        </row>
        <row r="985">
          <cell r="I985">
            <v>3.94201E-2</v>
          </cell>
        </row>
        <row r="986">
          <cell r="I986">
            <v>3.9460099999999998E-2</v>
          </cell>
        </row>
        <row r="987">
          <cell r="I987">
            <v>3.9500100000000003E-2</v>
          </cell>
        </row>
        <row r="988">
          <cell r="I988">
            <v>3.9540100000000002E-2</v>
          </cell>
        </row>
        <row r="989">
          <cell r="I989">
            <v>3.95801E-2</v>
          </cell>
        </row>
        <row r="990">
          <cell r="I990">
            <v>3.9620099999999998E-2</v>
          </cell>
        </row>
        <row r="991">
          <cell r="I991">
            <v>3.9660099999999997E-2</v>
          </cell>
        </row>
        <row r="992">
          <cell r="I992">
            <v>3.9700100000000002E-2</v>
          </cell>
        </row>
        <row r="993">
          <cell r="I993">
            <v>3.97401E-2</v>
          </cell>
        </row>
        <row r="994">
          <cell r="I994">
            <v>3.9780099999999999E-2</v>
          </cell>
        </row>
        <row r="995">
          <cell r="I995">
            <v>3.9820099999999997E-2</v>
          </cell>
        </row>
        <row r="996">
          <cell r="I996">
            <v>3.9860100000000002E-2</v>
          </cell>
        </row>
        <row r="997">
          <cell r="I997">
            <v>3.9900100000000001E-2</v>
          </cell>
        </row>
        <row r="998">
          <cell r="I998">
            <v>3.9940099999999999E-2</v>
          </cell>
        </row>
        <row r="999">
          <cell r="I999">
            <v>3.9980099999999998E-2</v>
          </cell>
        </row>
        <row r="1000">
          <cell r="I1000">
            <v>4.0020100000000003E-2</v>
          </cell>
        </row>
        <row r="1001">
          <cell r="I1001">
            <v>4.0060100000000001E-2</v>
          </cell>
        </row>
        <row r="1002">
          <cell r="I1002">
            <v>4.01001E-2</v>
          </cell>
        </row>
        <row r="1003">
          <cell r="I1003">
            <v>4.0140099999999998E-2</v>
          </cell>
        </row>
        <row r="1004">
          <cell r="I1004">
            <v>4.0180100000000003E-2</v>
          </cell>
        </row>
        <row r="1005">
          <cell r="I1005">
            <v>4.0220100000000002E-2</v>
          </cell>
        </row>
        <row r="1006">
          <cell r="I1006">
            <v>4.02601E-2</v>
          </cell>
        </row>
        <row r="1007">
          <cell r="I1007">
            <v>4.0300099999999998E-2</v>
          </cell>
        </row>
        <row r="1008">
          <cell r="I1008">
            <v>4.0340099999999997E-2</v>
          </cell>
        </row>
        <row r="1009">
          <cell r="I1009">
            <v>4.0380100000000002E-2</v>
          </cell>
        </row>
        <row r="1010">
          <cell r="I1010">
            <v>4.04201E-2</v>
          </cell>
        </row>
        <row r="1011">
          <cell r="I1011">
            <v>4.0460099999999999E-2</v>
          </cell>
        </row>
        <row r="1012">
          <cell r="I1012">
            <v>4.0500099999999997E-2</v>
          </cell>
        </row>
        <row r="1013">
          <cell r="I1013">
            <v>4.0540100000000003E-2</v>
          </cell>
        </row>
        <row r="1014">
          <cell r="I1014">
            <v>4.0580100000000001E-2</v>
          </cell>
        </row>
        <row r="1015">
          <cell r="I1015">
            <v>4.0620099999999999E-2</v>
          </cell>
        </row>
        <row r="1016">
          <cell r="I1016">
            <v>4.0660099999999998E-2</v>
          </cell>
        </row>
        <row r="1017">
          <cell r="I1017">
            <v>4.0700100000000003E-2</v>
          </cell>
        </row>
        <row r="1018">
          <cell r="I1018">
            <v>4.0740100000000001E-2</v>
          </cell>
        </row>
        <row r="1019">
          <cell r="I1019">
            <v>4.07801E-2</v>
          </cell>
        </row>
        <row r="1020">
          <cell r="I1020">
            <v>4.0820099999999998E-2</v>
          </cell>
        </row>
        <row r="1021">
          <cell r="I1021">
            <v>4.0860100000000003E-2</v>
          </cell>
        </row>
        <row r="1022">
          <cell r="I1022">
            <v>4.0900100000000002E-2</v>
          </cell>
        </row>
        <row r="1023">
          <cell r="I1023">
            <v>4.09401E-2</v>
          </cell>
        </row>
        <row r="1024">
          <cell r="I1024">
            <v>4.0980099999999998E-2</v>
          </cell>
        </row>
        <row r="1025">
          <cell r="I1025">
            <v>4.1020099999999997E-2</v>
          </cell>
        </row>
        <row r="1026">
          <cell r="I1026">
            <v>4.1060100000000002E-2</v>
          </cell>
        </row>
        <row r="1027">
          <cell r="I1027">
            <v>4.1100100000000001E-2</v>
          </cell>
        </row>
        <row r="1028">
          <cell r="I1028">
            <v>4.1140099999999999E-2</v>
          </cell>
        </row>
        <row r="1029">
          <cell r="I1029">
            <v>4.1180099999999997E-2</v>
          </cell>
        </row>
        <row r="1030">
          <cell r="I1030">
            <v>4.1220100000000003E-2</v>
          </cell>
        </row>
        <row r="1031">
          <cell r="I1031">
            <v>4.1260100000000001E-2</v>
          </cell>
        </row>
        <row r="1032">
          <cell r="I1032">
            <v>4.1300099999999999E-2</v>
          </cell>
        </row>
        <row r="1033">
          <cell r="I1033">
            <v>4.1340099999999998E-2</v>
          </cell>
        </row>
        <row r="1034">
          <cell r="I1034">
            <v>4.1380100000000003E-2</v>
          </cell>
        </row>
        <row r="1035">
          <cell r="I1035">
            <v>4.1420100000000001E-2</v>
          </cell>
        </row>
        <row r="1036">
          <cell r="I1036">
            <v>4.14601E-2</v>
          </cell>
        </row>
        <row r="1037">
          <cell r="I1037">
            <v>4.1500099999999998E-2</v>
          </cell>
        </row>
        <row r="1038">
          <cell r="I1038">
            <v>4.1540100000000003E-2</v>
          </cell>
        </row>
        <row r="1039">
          <cell r="I1039">
            <v>4.1580100000000002E-2</v>
          </cell>
        </row>
        <row r="1040">
          <cell r="I1040">
            <v>4.16201E-2</v>
          </cell>
        </row>
        <row r="1041">
          <cell r="I1041">
            <v>4.1660099999999999E-2</v>
          </cell>
        </row>
        <row r="1042">
          <cell r="I1042">
            <v>4.1700099999999997E-2</v>
          </cell>
        </row>
        <row r="1043">
          <cell r="I1043">
            <v>4.1740100000000002E-2</v>
          </cell>
        </row>
        <row r="1044">
          <cell r="I1044">
            <v>4.1780100000000001E-2</v>
          </cell>
        </row>
        <row r="1045">
          <cell r="I1045">
            <v>4.1820099999999999E-2</v>
          </cell>
        </row>
        <row r="1046">
          <cell r="I1046">
            <v>4.1860099999999997E-2</v>
          </cell>
        </row>
        <row r="1047">
          <cell r="I1047">
            <v>4.1900100000000003E-2</v>
          </cell>
        </row>
        <row r="1048">
          <cell r="I1048">
            <v>4.1940100000000001E-2</v>
          </cell>
        </row>
        <row r="1049">
          <cell r="I1049">
            <v>4.1980099999999999E-2</v>
          </cell>
        </row>
        <row r="1050">
          <cell r="I1050">
            <v>4.2020099999999998E-2</v>
          </cell>
        </row>
        <row r="1051">
          <cell r="I1051">
            <v>4.2060100000000003E-2</v>
          </cell>
        </row>
        <row r="1052">
          <cell r="I1052">
            <v>4.2100100000000001E-2</v>
          </cell>
        </row>
        <row r="1053">
          <cell r="I1053">
            <v>4.21401E-2</v>
          </cell>
        </row>
        <row r="1054">
          <cell r="I1054">
            <v>4.2180099999999998E-2</v>
          </cell>
        </row>
        <row r="1055">
          <cell r="I1055">
            <v>4.2220100000000003E-2</v>
          </cell>
        </row>
        <row r="1056">
          <cell r="I1056">
            <v>4.2260100000000002E-2</v>
          </cell>
        </row>
        <row r="1057">
          <cell r="I1057">
            <v>4.23001E-2</v>
          </cell>
        </row>
        <row r="1058">
          <cell r="I1058">
            <v>4.2340099999999999E-2</v>
          </cell>
        </row>
        <row r="1059">
          <cell r="I1059">
            <v>4.2380099999999997E-2</v>
          </cell>
        </row>
        <row r="1060">
          <cell r="I1060">
            <v>4.2420100000000002E-2</v>
          </cell>
        </row>
        <row r="1061">
          <cell r="I1061">
            <v>4.2460100000000001E-2</v>
          </cell>
        </row>
        <row r="1062">
          <cell r="I1062">
            <v>4.2500099999999999E-2</v>
          </cell>
        </row>
        <row r="1063">
          <cell r="I1063">
            <v>4.2540099999999997E-2</v>
          </cell>
        </row>
        <row r="1064">
          <cell r="I1064">
            <v>4.2580100000000003E-2</v>
          </cell>
        </row>
        <row r="1065">
          <cell r="I1065">
            <v>4.2620100000000001E-2</v>
          </cell>
        </row>
        <row r="1066">
          <cell r="I1066">
            <v>4.2660099999999999E-2</v>
          </cell>
        </row>
        <row r="1067">
          <cell r="I1067">
            <v>4.2700099999999998E-2</v>
          </cell>
        </row>
        <row r="1068">
          <cell r="I1068">
            <v>4.2740100000000003E-2</v>
          </cell>
        </row>
        <row r="1069">
          <cell r="I1069">
            <v>4.2780100000000001E-2</v>
          </cell>
        </row>
        <row r="1070">
          <cell r="I1070">
            <v>4.28201E-2</v>
          </cell>
        </row>
        <row r="1071">
          <cell r="I1071">
            <v>4.2860099999999998E-2</v>
          </cell>
        </row>
        <row r="1072">
          <cell r="I1072">
            <v>4.2900099999999997E-2</v>
          </cell>
        </row>
        <row r="1073">
          <cell r="I1073">
            <v>4.2940100000000002E-2</v>
          </cell>
        </row>
        <row r="1074">
          <cell r="I1074">
            <v>4.29801E-2</v>
          </cell>
        </row>
        <row r="1075">
          <cell r="I1075">
            <v>4.3020099999999999E-2</v>
          </cell>
        </row>
        <row r="1076">
          <cell r="I1076">
            <v>4.3060099999999997E-2</v>
          </cell>
        </row>
        <row r="1077">
          <cell r="I1077">
            <v>4.3100100000000002E-2</v>
          </cell>
        </row>
        <row r="1078">
          <cell r="I1078">
            <v>4.3140100000000001E-2</v>
          </cell>
        </row>
        <row r="1079">
          <cell r="I1079">
            <v>4.3180099999999999E-2</v>
          </cell>
        </row>
        <row r="1080">
          <cell r="I1080">
            <v>4.3220099999999997E-2</v>
          </cell>
        </row>
        <row r="1081">
          <cell r="I1081">
            <v>4.3260100000000003E-2</v>
          </cell>
        </row>
        <row r="1082">
          <cell r="I1082">
            <v>4.3300100000000001E-2</v>
          </cell>
        </row>
        <row r="1083">
          <cell r="I1083">
            <v>4.3340099999999999E-2</v>
          </cell>
        </row>
        <row r="1084">
          <cell r="I1084">
            <v>4.3380099999999998E-2</v>
          </cell>
        </row>
        <row r="1085">
          <cell r="I1085">
            <v>4.3420100000000003E-2</v>
          </cell>
        </row>
        <row r="1086">
          <cell r="I1086">
            <v>4.3460100000000002E-2</v>
          </cell>
        </row>
        <row r="1087">
          <cell r="I1087">
            <v>4.35001E-2</v>
          </cell>
        </row>
        <row r="1088">
          <cell r="I1088">
            <v>4.3540099999999998E-2</v>
          </cell>
        </row>
        <row r="1089">
          <cell r="I1089">
            <v>4.3580099999999997E-2</v>
          </cell>
        </row>
        <row r="1090">
          <cell r="I1090">
            <v>4.3620100000000002E-2</v>
          </cell>
        </row>
        <row r="1091">
          <cell r="I1091">
            <v>4.36601E-2</v>
          </cell>
        </row>
        <row r="1092">
          <cell r="I1092">
            <v>4.3700099999999999E-2</v>
          </cell>
        </row>
        <row r="1093">
          <cell r="I1093">
            <v>4.3740099999999997E-2</v>
          </cell>
        </row>
        <row r="1094">
          <cell r="I1094">
            <v>4.3780100000000002E-2</v>
          </cell>
        </row>
        <row r="1095">
          <cell r="I1095">
            <v>4.3820100000000001E-2</v>
          </cell>
        </row>
        <row r="1096">
          <cell r="I1096">
            <v>4.3860099999999999E-2</v>
          </cell>
        </row>
        <row r="1097">
          <cell r="I1097">
            <v>4.3900099999999997E-2</v>
          </cell>
        </row>
        <row r="1098">
          <cell r="I1098">
            <v>4.3940100000000003E-2</v>
          </cell>
        </row>
        <row r="1099">
          <cell r="I1099">
            <v>4.3980100000000001E-2</v>
          </cell>
        </row>
        <row r="1100">
          <cell r="I1100">
            <v>4.40201E-2</v>
          </cell>
        </row>
        <row r="1101">
          <cell r="I1101">
            <v>4.4060099999999998E-2</v>
          </cell>
        </row>
        <row r="1102">
          <cell r="I1102">
            <v>4.4100100000000003E-2</v>
          </cell>
        </row>
        <row r="1103">
          <cell r="I1103">
            <v>4.4140100000000002E-2</v>
          </cell>
        </row>
        <row r="1104">
          <cell r="I1104">
            <v>4.41801E-2</v>
          </cell>
        </row>
        <row r="1105">
          <cell r="I1105">
            <v>4.4220099999999998E-2</v>
          </cell>
        </row>
        <row r="1106">
          <cell r="I1106">
            <v>4.4260099999999997E-2</v>
          </cell>
        </row>
        <row r="1107">
          <cell r="I1107">
            <v>4.4300100000000002E-2</v>
          </cell>
        </row>
        <row r="1108">
          <cell r="I1108">
            <v>4.43401E-2</v>
          </cell>
        </row>
        <row r="1109">
          <cell r="I1109">
            <v>4.4380099999999999E-2</v>
          </cell>
        </row>
        <row r="1110">
          <cell r="I1110">
            <v>4.4420099999999997E-2</v>
          </cell>
        </row>
        <row r="1111">
          <cell r="I1111">
            <v>4.4460100000000002E-2</v>
          </cell>
        </row>
        <row r="1112">
          <cell r="I1112">
            <v>4.4500100000000001E-2</v>
          </cell>
        </row>
        <row r="1113">
          <cell r="I1113">
            <v>4.4540099999999999E-2</v>
          </cell>
        </row>
        <row r="1114">
          <cell r="I1114">
            <v>4.4580099999999998E-2</v>
          </cell>
        </row>
        <row r="1115">
          <cell r="I1115">
            <v>4.4620100000000003E-2</v>
          </cell>
        </row>
        <row r="1116">
          <cell r="I1116">
            <v>4.4660100000000001E-2</v>
          </cell>
        </row>
        <row r="1117">
          <cell r="I1117">
            <v>4.47001E-2</v>
          </cell>
        </row>
        <row r="1118">
          <cell r="I1118">
            <v>4.4740099999999998E-2</v>
          </cell>
        </row>
        <row r="1119">
          <cell r="I1119">
            <v>4.4780100000000003E-2</v>
          </cell>
        </row>
        <row r="1120">
          <cell r="I1120">
            <v>4.4820100000000002E-2</v>
          </cell>
        </row>
        <row r="1121">
          <cell r="I1121">
            <v>4.48601E-2</v>
          </cell>
        </row>
        <row r="1122">
          <cell r="I1122">
            <v>4.4900099999999998E-2</v>
          </cell>
        </row>
        <row r="1123">
          <cell r="I1123">
            <v>4.4940099999999997E-2</v>
          </cell>
        </row>
        <row r="1124">
          <cell r="I1124">
            <v>4.4980100000000002E-2</v>
          </cell>
        </row>
        <row r="1125">
          <cell r="I1125">
            <v>4.50201E-2</v>
          </cell>
        </row>
        <row r="1126">
          <cell r="I1126">
            <v>4.5060099999999999E-2</v>
          </cell>
        </row>
        <row r="1127">
          <cell r="I1127">
            <v>4.5100099999999997E-2</v>
          </cell>
        </row>
        <row r="1128">
          <cell r="I1128">
            <v>4.5140100000000002E-2</v>
          </cell>
        </row>
        <row r="1129">
          <cell r="I1129">
            <v>4.5180100000000001E-2</v>
          </cell>
        </row>
        <row r="1130">
          <cell r="I1130">
            <v>4.5220099999999999E-2</v>
          </cell>
        </row>
        <row r="1131">
          <cell r="I1131">
            <v>4.5260099999999998E-2</v>
          </cell>
        </row>
        <row r="1132">
          <cell r="I1132">
            <v>4.5300100000000003E-2</v>
          </cell>
        </row>
        <row r="1133">
          <cell r="I1133">
            <v>4.5340100000000001E-2</v>
          </cell>
        </row>
        <row r="1134">
          <cell r="I1134">
            <v>4.53801E-2</v>
          </cell>
        </row>
        <row r="1135">
          <cell r="I1135">
            <v>4.5420099999999998E-2</v>
          </cell>
        </row>
        <row r="1136">
          <cell r="I1136">
            <v>4.5460100000000003E-2</v>
          </cell>
        </row>
        <row r="1137">
          <cell r="I1137">
            <v>4.5500100000000002E-2</v>
          </cell>
        </row>
        <row r="1138">
          <cell r="I1138">
            <v>4.55401E-2</v>
          </cell>
        </row>
        <row r="1139">
          <cell r="I1139">
            <v>4.5580099999999998E-2</v>
          </cell>
        </row>
        <row r="1140">
          <cell r="I1140">
            <v>4.5620099999999997E-2</v>
          </cell>
        </row>
        <row r="1141">
          <cell r="I1141">
            <v>4.5660100000000002E-2</v>
          </cell>
        </row>
        <row r="1142">
          <cell r="I1142">
            <v>4.57001E-2</v>
          </cell>
        </row>
        <row r="1143">
          <cell r="I1143">
            <v>4.5740099999999999E-2</v>
          </cell>
        </row>
        <row r="1144">
          <cell r="I1144">
            <v>4.5780099999999997E-2</v>
          </cell>
        </row>
        <row r="1145">
          <cell r="I1145">
            <v>4.5820100000000002E-2</v>
          </cell>
        </row>
        <row r="1146">
          <cell r="I1146">
            <v>4.5860100000000001E-2</v>
          </cell>
        </row>
        <row r="1147">
          <cell r="I1147">
            <v>4.5900099999999999E-2</v>
          </cell>
        </row>
        <row r="1148">
          <cell r="I1148">
            <v>4.5940099999999998E-2</v>
          </cell>
        </row>
        <row r="1149">
          <cell r="I1149">
            <v>4.5980100000000003E-2</v>
          </cell>
        </row>
        <row r="1150">
          <cell r="I1150">
            <v>4.6020100000000001E-2</v>
          </cell>
        </row>
        <row r="1151">
          <cell r="I1151">
            <v>4.60601E-2</v>
          </cell>
        </row>
        <row r="1152">
          <cell r="I1152">
            <v>4.6100099999999998E-2</v>
          </cell>
        </row>
        <row r="1153">
          <cell r="I1153">
            <v>4.6140100000000003E-2</v>
          </cell>
        </row>
        <row r="1154">
          <cell r="I1154">
            <v>4.6180100000000002E-2</v>
          </cell>
        </row>
        <row r="1155">
          <cell r="I1155">
            <v>4.62201E-2</v>
          </cell>
        </row>
        <row r="1156">
          <cell r="I1156">
            <v>4.6260099999999998E-2</v>
          </cell>
        </row>
        <row r="1157">
          <cell r="I1157">
            <v>4.6300099999999997E-2</v>
          </cell>
        </row>
        <row r="1158">
          <cell r="I1158">
            <v>4.6340100000000002E-2</v>
          </cell>
        </row>
        <row r="1159">
          <cell r="I1159">
            <v>4.63801E-2</v>
          </cell>
        </row>
        <row r="1160">
          <cell r="I1160">
            <v>4.6420099999999999E-2</v>
          </cell>
        </row>
        <row r="1161">
          <cell r="I1161">
            <v>4.6460099999999997E-2</v>
          </cell>
        </row>
        <row r="1162">
          <cell r="I1162">
            <v>4.6500100000000003E-2</v>
          </cell>
        </row>
        <row r="1163">
          <cell r="I1163">
            <v>4.6540100000000001E-2</v>
          </cell>
        </row>
        <row r="1164">
          <cell r="I1164">
            <v>4.6580099999999999E-2</v>
          </cell>
        </row>
        <row r="1165">
          <cell r="I1165">
            <v>4.6620099999999998E-2</v>
          </cell>
        </row>
        <row r="1166">
          <cell r="I1166">
            <v>4.6660100000000003E-2</v>
          </cell>
        </row>
        <row r="1167">
          <cell r="I1167">
            <v>4.6700100000000001E-2</v>
          </cell>
        </row>
        <row r="1168">
          <cell r="I1168">
            <v>4.67401E-2</v>
          </cell>
        </row>
        <row r="1169">
          <cell r="I1169">
            <v>4.6780099999999998E-2</v>
          </cell>
        </row>
        <row r="1170">
          <cell r="I1170">
            <v>4.6820100000000003E-2</v>
          </cell>
        </row>
        <row r="1171">
          <cell r="I1171">
            <v>4.6860100000000002E-2</v>
          </cell>
        </row>
        <row r="1172">
          <cell r="I1172">
            <v>4.69001E-2</v>
          </cell>
        </row>
        <row r="1173">
          <cell r="I1173">
            <v>4.6940099999999998E-2</v>
          </cell>
        </row>
        <row r="1174">
          <cell r="I1174">
            <v>4.6980099999999997E-2</v>
          </cell>
        </row>
        <row r="1175">
          <cell r="I1175">
            <v>4.7020100000000002E-2</v>
          </cell>
        </row>
        <row r="1176">
          <cell r="I1176">
            <v>4.7060100000000001E-2</v>
          </cell>
        </row>
        <row r="1177">
          <cell r="I1177">
            <v>4.7100099999999999E-2</v>
          </cell>
        </row>
        <row r="1178">
          <cell r="I1178">
            <v>4.7140099999999997E-2</v>
          </cell>
        </row>
        <row r="1179">
          <cell r="I1179">
            <v>4.7180100000000003E-2</v>
          </cell>
        </row>
        <row r="1180">
          <cell r="I1180">
            <v>4.7220100000000001E-2</v>
          </cell>
        </row>
        <row r="1181">
          <cell r="I1181">
            <v>4.7260099999999999E-2</v>
          </cell>
        </row>
        <row r="1182">
          <cell r="I1182">
            <v>4.7300099999999998E-2</v>
          </cell>
        </row>
        <row r="1183">
          <cell r="I1183">
            <v>4.7340100000000003E-2</v>
          </cell>
        </row>
        <row r="1184">
          <cell r="I1184">
            <v>4.7380100000000001E-2</v>
          </cell>
        </row>
        <row r="1185">
          <cell r="I1185">
            <v>4.74201E-2</v>
          </cell>
        </row>
        <row r="1186">
          <cell r="I1186">
            <v>4.7460099999999998E-2</v>
          </cell>
        </row>
        <row r="1187">
          <cell r="I1187">
            <v>4.7500100000000003E-2</v>
          </cell>
        </row>
        <row r="1188">
          <cell r="I1188">
            <v>4.7540100000000002E-2</v>
          </cell>
        </row>
        <row r="1189">
          <cell r="I1189">
            <v>4.75801E-2</v>
          </cell>
        </row>
        <row r="1190">
          <cell r="I1190">
            <v>4.7620099999999999E-2</v>
          </cell>
        </row>
        <row r="1191">
          <cell r="I1191">
            <v>4.7660099999999997E-2</v>
          </cell>
        </row>
        <row r="1192">
          <cell r="I1192">
            <v>4.7700100000000002E-2</v>
          </cell>
        </row>
        <row r="1193">
          <cell r="I1193">
            <v>4.7740100000000001E-2</v>
          </cell>
        </row>
        <row r="1194">
          <cell r="I1194">
            <v>4.7780099999999999E-2</v>
          </cell>
        </row>
        <row r="1195">
          <cell r="I1195">
            <v>4.7820099999999997E-2</v>
          </cell>
        </row>
        <row r="1196">
          <cell r="I1196">
            <v>4.7860100000000003E-2</v>
          </cell>
        </row>
        <row r="1197">
          <cell r="I1197">
            <v>4.7900100000000001E-2</v>
          </cell>
        </row>
        <row r="1198">
          <cell r="I1198">
            <v>4.7940099999999999E-2</v>
          </cell>
        </row>
        <row r="1199">
          <cell r="I1199">
            <v>4.7980099999999998E-2</v>
          </cell>
        </row>
        <row r="1200">
          <cell r="I1200">
            <v>4.8020100000000003E-2</v>
          </cell>
        </row>
        <row r="1201">
          <cell r="I1201">
            <v>4.8060100000000001E-2</v>
          </cell>
        </row>
        <row r="1202">
          <cell r="I1202">
            <v>4.81001E-2</v>
          </cell>
        </row>
        <row r="1203">
          <cell r="I1203">
            <v>4.8140099999999998E-2</v>
          </cell>
        </row>
        <row r="1204">
          <cell r="I1204">
            <v>4.8180099999999997E-2</v>
          </cell>
        </row>
        <row r="1205">
          <cell r="I1205">
            <v>4.8220100000000002E-2</v>
          </cell>
        </row>
        <row r="1206">
          <cell r="I1206">
            <v>4.82601E-2</v>
          </cell>
        </row>
        <row r="1207">
          <cell r="I1207">
            <v>4.8300099999999999E-2</v>
          </cell>
        </row>
        <row r="1208">
          <cell r="I1208">
            <v>4.8340099999999997E-2</v>
          </cell>
        </row>
        <row r="1209">
          <cell r="I1209">
            <v>4.8380100000000002E-2</v>
          </cell>
        </row>
        <row r="1210">
          <cell r="I1210">
            <v>4.8420100000000001E-2</v>
          </cell>
        </row>
        <row r="1211">
          <cell r="I1211">
            <v>4.8460099999999999E-2</v>
          </cell>
        </row>
        <row r="1212">
          <cell r="I1212">
            <v>4.8500099999999997E-2</v>
          </cell>
        </row>
        <row r="1213">
          <cell r="I1213">
            <v>4.8540100000000003E-2</v>
          </cell>
        </row>
        <row r="1214">
          <cell r="I1214">
            <v>4.8580100000000001E-2</v>
          </cell>
        </row>
        <row r="1215">
          <cell r="I1215">
            <v>4.8620099999999999E-2</v>
          </cell>
        </row>
        <row r="1216">
          <cell r="I1216">
            <v>4.8660099999999998E-2</v>
          </cell>
        </row>
        <row r="1217">
          <cell r="I1217">
            <v>4.8700100000000003E-2</v>
          </cell>
        </row>
        <row r="1218">
          <cell r="I1218">
            <v>4.8740100000000001E-2</v>
          </cell>
        </row>
        <row r="1219">
          <cell r="I1219">
            <v>4.87801E-2</v>
          </cell>
        </row>
        <row r="1220">
          <cell r="I1220">
            <v>4.8820099999999998E-2</v>
          </cell>
        </row>
        <row r="1221">
          <cell r="I1221">
            <v>4.8860099999999997E-2</v>
          </cell>
        </row>
        <row r="1222">
          <cell r="I1222">
            <v>4.8900100000000002E-2</v>
          </cell>
        </row>
        <row r="1223">
          <cell r="I1223">
            <v>4.89401E-2</v>
          </cell>
        </row>
        <row r="1224">
          <cell r="I1224">
            <v>4.8980099999999999E-2</v>
          </cell>
        </row>
        <row r="1225">
          <cell r="I1225">
            <v>4.9020099999999997E-2</v>
          </cell>
        </row>
        <row r="1226">
          <cell r="I1226">
            <v>4.9060100000000002E-2</v>
          </cell>
        </row>
        <row r="1227">
          <cell r="I1227">
            <v>4.9100100000000001E-2</v>
          </cell>
        </row>
        <row r="1228">
          <cell r="I1228">
            <v>4.9140099999999999E-2</v>
          </cell>
        </row>
        <row r="1229">
          <cell r="I1229">
            <v>4.9180099999999997E-2</v>
          </cell>
        </row>
        <row r="1230">
          <cell r="I1230">
            <v>4.9220100000000003E-2</v>
          </cell>
        </row>
        <row r="1231">
          <cell r="I1231">
            <v>4.9260100000000001E-2</v>
          </cell>
        </row>
        <row r="1232">
          <cell r="I1232">
            <v>4.9300099999999999E-2</v>
          </cell>
        </row>
        <row r="1233">
          <cell r="I1233">
            <v>4.9340099999999998E-2</v>
          </cell>
        </row>
        <row r="1234">
          <cell r="I1234">
            <v>4.9380100000000003E-2</v>
          </cell>
        </row>
        <row r="1235">
          <cell r="I1235">
            <v>4.9420100000000002E-2</v>
          </cell>
        </row>
        <row r="1236">
          <cell r="I1236">
            <v>4.94601E-2</v>
          </cell>
        </row>
        <row r="1237">
          <cell r="I1237">
            <v>4.9500099999999998E-2</v>
          </cell>
        </row>
        <row r="1238">
          <cell r="I1238">
            <v>4.9540099999999997E-2</v>
          </cell>
        </row>
        <row r="1239">
          <cell r="I1239">
            <v>4.9580100000000002E-2</v>
          </cell>
        </row>
        <row r="1240">
          <cell r="I1240">
            <v>4.96201E-2</v>
          </cell>
        </row>
        <row r="1241">
          <cell r="I1241">
            <v>4.9660099999999999E-2</v>
          </cell>
        </row>
        <row r="1242">
          <cell r="I1242">
            <v>4.9700099999999997E-2</v>
          </cell>
        </row>
        <row r="1243">
          <cell r="I1243">
            <v>4.9740100000000002E-2</v>
          </cell>
        </row>
        <row r="1244">
          <cell r="I1244">
            <v>4.9780100000000001E-2</v>
          </cell>
        </row>
        <row r="1245">
          <cell r="I1245">
            <v>4.9820099999999999E-2</v>
          </cell>
        </row>
        <row r="1246">
          <cell r="I1246">
            <v>4.9860099999999997E-2</v>
          </cell>
        </row>
        <row r="1247">
          <cell r="I1247">
            <v>4.9900100000000003E-2</v>
          </cell>
        </row>
        <row r="1248">
          <cell r="I1248">
            <v>4.9940100000000001E-2</v>
          </cell>
        </row>
        <row r="1249">
          <cell r="I1249">
            <v>4.99801E-2</v>
          </cell>
        </row>
        <row r="1250">
          <cell r="I1250">
            <v>5.0020099999999998E-2</v>
          </cell>
        </row>
        <row r="1251">
          <cell r="I1251">
            <v>5.0060100000000003E-2</v>
          </cell>
        </row>
        <row r="1252">
          <cell r="I1252">
            <v>5.0100100000000002E-2</v>
          </cell>
        </row>
        <row r="1253">
          <cell r="I1253">
            <v>5.01401E-2</v>
          </cell>
        </row>
        <row r="1254">
          <cell r="I1254">
            <v>5.0180099999999998E-2</v>
          </cell>
        </row>
        <row r="1255">
          <cell r="I1255">
            <v>5.0220099999999997E-2</v>
          </cell>
        </row>
        <row r="1256">
          <cell r="I1256">
            <v>5.0260100000000002E-2</v>
          </cell>
        </row>
        <row r="1257">
          <cell r="I1257">
            <v>5.03001E-2</v>
          </cell>
        </row>
        <row r="1258">
          <cell r="I1258">
            <v>5.0340099999999999E-2</v>
          </cell>
        </row>
        <row r="1259">
          <cell r="I1259">
            <v>5.0380099999999997E-2</v>
          </cell>
        </row>
        <row r="1260">
          <cell r="I1260">
            <v>5.0420100000000002E-2</v>
          </cell>
        </row>
        <row r="1261">
          <cell r="I1261">
            <v>5.0460100000000001E-2</v>
          </cell>
        </row>
        <row r="1262">
          <cell r="I1262">
            <v>5.0500099999999999E-2</v>
          </cell>
        </row>
        <row r="1263">
          <cell r="I1263">
            <v>5.0540099999999998E-2</v>
          </cell>
        </row>
        <row r="1264">
          <cell r="I1264">
            <v>5.0580100000000003E-2</v>
          </cell>
        </row>
        <row r="1265">
          <cell r="I1265">
            <v>5.0620100000000001E-2</v>
          </cell>
        </row>
        <row r="1266">
          <cell r="I1266">
            <v>5.06601E-2</v>
          </cell>
        </row>
        <row r="1267">
          <cell r="I1267">
            <v>5.0700099999999998E-2</v>
          </cell>
        </row>
        <row r="1268">
          <cell r="I1268">
            <v>5.0740100000000003E-2</v>
          </cell>
        </row>
        <row r="1269">
          <cell r="I1269">
            <v>5.0780100000000002E-2</v>
          </cell>
        </row>
        <row r="1270">
          <cell r="I1270">
            <v>5.08201E-2</v>
          </cell>
        </row>
        <row r="1271">
          <cell r="I1271">
            <v>5.0860099999999998E-2</v>
          </cell>
        </row>
        <row r="1272">
          <cell r="I1272">
            <v>5.0900099999999997E-2</v>
          </cell>
        </row>
        <row r="1273">
          <cell r="I1273">
            <v>5.0940100000000002E-2</v>
          </cell>
        </row>
        <row r="1274">
          <cell r="I1274">
            <v>5.09801E-2</v>
          </cell>
        </row>
        <row r="1275">
          <cell r="I1275">
            <v>5.1020099999999999E-2</v>
          </cell>
        </row>
        <row r="1276">
          <cell r="I1276">
            <v>5.1060099999999997E-2</v>
          </cell>
        </row>
        <row r="1277">
          <cell r="I1277">
            <v>5.1100100000000002E-2</v>
          </cell>
        </row>
        <row r="1278">
          <cell r="I1278">
            <v>5.1140100000000001E-2</v>
          </cell>
        </row>
        <row r="1279">
          <cell r="I1279">
            <v>5.1180099999999999E-2</v>
          </cell>
        </row>
        <row r="1280">
          <cell r="I1280">
            <v>5.1220099999999998E-2</v>
          </cell>
        </row>
        <row r="1281">
          <cell r="I1281">
            <v>5.1260100000000003E-2</v>
          </cell>
        </row>
        <row r="1282">
          <cell r="I1282">
            <v>5.1300100000000001E-2</v>
          </cell>
        </row>
        <row r="1283">
          <cell r="I1283">
            <v>5.13401E-2</v>
          </cell>
        </row>
        <row r="1284">
          <cell r="I1284">
            <v>5.1380099999999998E-2</v>
          </cell>
        </row>
        <row r="1285">
          <cell r="I1285">
            <v>5.1420100000000003E-2</v>
          </cell>
        </row>
        <row r="1286">
          <cell r="I1286">
            <v>5.1460100000000002E-2</v>
          </cell>
        </row>
        <row r="1287">
          <cell r="I1287">
            <v>5.15001E-2</v>
          </cell>
        </row>
        <row r="1288">
          <cell r="I1288">
            <v>5.1540099999999998E-2</v>
          </cell>
        </row>
        <row r="1289">
          <cell r="I1289">
            <v>5.1580099999999997E-2</v>
          </cell>
        </row>
        <row r="1290">
          <cell r="I1290">
            <v>5.1620100000000002E-2</v>
          </cell>
        </row>
        <row r="1291">
          <cell r="I1291">
            <v>5.16601E-2</v>
          </cell>
        </row>
        <row r="1292">
          <cell r="I1292">
            <v>5.1700099999999999E-2</v>
          </cell>
        </row>
        <row r="1293">
          <cell r="I1293">
            <v>5.1740099999999997E-2</v>
          </cell>
        </row>
        <row r="1294">
          <cell r="I1294">
            <v>5.1780100000000003E-2</v>
          </cell>
        </row>
        <row r="1295">
          <cell r="I1295">
            <v>5.1820100000000001E-2</v>
          </cell>
        </row>
        <row r="1296">
          <cell r="I1296">
            <v>5.1860099999999999E-2</v>
          </cell>
        </row>
        <row r="1297">
          <cell r="I1297">
            <v>5.1900099999999998E-2</v>
          </cell>
        </row>
        <row r="1298">
          <cell r="I1298">
            <v>5.1940100000000003E-2</v>
          </cell>
        </row>
        <row r="1299">
          <cell r="I1299">
            <v>5.1980100000000001E-2</v>
          </cell>
        </row>
        <row r="1300">
          <cell r="I1300">
            <v>5.20201E-2</v>
          </cell>
        </row>
        <row r="1301">
          <cell r="I1301">
            <v>5.2060099999999998E-2</v>
          </cell>
        </row>
        <row r="1302">
          <cell r="I1302">
            <v>5.2100100000000003E-2</v>
          </cell>
        </row>
        <row r="1303">
          <cell r="I1303">
            <v>5.2140100000000002E-2</v>
          </cell>
        </row>
        <row r="1304">
          <cell r="I1304">
            <v>5.21801E-2</v>
          </cell>
        </row>
        <row r="1305">
          <cell r="I1305">
            <v>5.2220099999999998E-2</v>
          </cell>
        </row>
        <row r="1306">
          <cell r="I1306">
            <v>5.2260099999999997E-2</v>
          </cell>
        </row>
        <row r="1307">
          <cell r="I1307">
            <v>5.2300100000000002E-2</v>
          </cell>
        </row>
        <row r="1308">
          <cell r="I1308">
            <v>5.2340100000000001E-2</v>
          </cell>
        </row>
        <row r="1309">
          <cell r="I1309">
            <v>5.2380099999999999E-2</v>
          </cell>
        </row>
        <row r="1310">
          <cell r="I1310">
            <v>5.2420099999999997E-2</v>
          </cell>
        </row>
        <row r="1311">
          <cell r="I1311">
            <v>5.2460100000000003E-2</v>
          </cell>
        </row>
        <row r="1312">
          <cell r="I1312">
            <v>5.2500100000000001E-2</v>
          </cell>
        </row>
        <row r="1313">
          <cell r="I1313">
            <v>5.2540099999999999E-2</v>
          </cell>
        </row>
        <row r="1314">
          <cell r="I1314">
            <v>5.2580099999999998E-2</v>
          </cell>
        </row>
        <row r="1315">
          <cell r="I1315">
            <v>5.2620100000000003E-2</v>
          </cell>
        </row>
        <row r="1316">
          <cell r="I1316">
            <v>5.2660100000000001E-2</v>
          </cell>
        </row>
        <row r="1317">
          <cell r="I1317">
            <v>5.27001E-2</v>
          </cell>
        </row>
        <row r="1318">
          <cell r="I1318">
            <v>5.2740099999999998E-2</v>
          </cell>
        </row>
        <row r="1319">
          <cell r="I1319">
            <v>5.2780100000000003E-2</v>
          </cell>
        </row>
        <row r="1320">
          <cell r="I1320">
            <v>5.2820100000000002E-2</v>
          </cell>
        </row>
        <row r="1321">
          <cell r="I1321">
            <v>5.28601E-2</v>
          </cell>
        </row>
        <row r="1322">
          <cell r="I1322">
            <v>5.2900099999999999E-2</v>
          </cell>
        </row>
        <row r="1323">
          <cell r="I1323">
            <v>5.2940099999999997E-2</v>
          </cell>
        </row>
        <row r="1324">
          <cell r="I1324">
            <v>5.2980100000000002E-2</v>
          </cell>
        </row>
        <row r="1325">
          <cell r="I1325">
            <v>5.3020100000000001E-2</v>
          </cell>
        </row>
        <row r="1326">
          <cell r="I1326">
            <v>5.3060099999999999E-2</v>
          </cell>
        </row>
        <row r="1327">
          <cell r="I1327">
            <v>5.3100099999999997E-2</v>
          </cell>
        </row>
        <row r="1328">
          <cell r="I1328">
            <v>5.3140100000000003E-2</v>
          </cell>
        </row>
        <row r="1329">
          <cell r="I1329">
            <v>5.3180100000000001E-2</v>
          </cell>
        </row>
        <row r="1330">
          <cell r="I1330">
            <v>5.3220099999999999E-2</v>
          </cell>
        </row>
        <row r="1331">
          <cell r="I1331">
            <v>5.3260099999999998E-2</v>
          </cell>
        </row>
        <row r="1332">
          <cell r="I1332">
            <v>5.3300100000000003E-2</v>
          </cell>
        </row>
        <row r="1333">
          <cell r="I1333">
            <v>5.3340100000000001E-2</v>
          </cell>
        </row>
        <row r="1334">
          <cell r="I1334">
            <v>5.33801E-2</v>
          </cell>
        </row>
        <row r="1335">
          <cell r="I1335">
            <v>5.3420099999999998E-2</v>
          </cell>
        </row>
        <row r="1336">
          <cell r="I1336">
            <v>5.3460100000000003E-2</v>
          </cell>
        </row>
        <row r="1337">
          <cell r="I1337">
            <v>5.3500100000000002E-2</v>
          </cell>
        </row>
        <row r="1338">
          <cell r="I1338">
            <v>5.35401E-2</v>
          </cell>
        </row>
        <row r="1339">
          <cell r="I1339">
            <v>5.3580099999999999E-2</v>
          </cell>
        </row>
        <row r="1340">
          <cell r="I1340">
            <v>5.3620099999999997E-2</v>
          </cell>
        </row>
        <row r="1341">
          <cell r="I1341">
            <v>5.3660100000000002E-2</v>
          </cell>
        </row>
        <row r="1342">
          <cell r="I1342">
            <v>5.3700100000000001E-2</v>
          </cell>
        </row>
        <row r="1343">
          <cell r="I1343">
            <v>5.3740099999999999E-2</v>
          </cell>
        </row>
        <row r="1344">
          <cell r="I1344">
            <v>5.3780099999999997E-2</v>
          </cell>
        </row>
        <row r="1345">
          <cell r="I1345">
            <v>5.3820100000000003E-2</v>
          </cell>
        </row>
        <row r="1346">
          <cell r="I1346">
            <v>5.3860100000000001E-2</v>
          </cell>
        </row>
        <row r="1347">
          <cell r="I1347">
            <v>5.3900099999999999E-2</v>
          </cell>
        </row>
        <row r="1348">
          <cell r="I1348">
            <v>5.3940099999999998E-2</v>
          </cell>
        </row>
        <row r="1349">
          <cell r="I1349">
            <v>5.3980100000000003E-2</v>
          </cell>
        </row>
        <row r="1350">
          <cell r="I1350">
            <v>5.4020100000000001E-2</v>
          </cell>
        </row>
        <row r="1351">
          <cell r="I1351">
            <v>5.40601E-2</v>
          </cell>
        </row>
        <row r="1352">
          <cell r="I1352">
            <v>5.4100099999999998E-2</v>
          </cell>
        </row>
        <row r="1353">
          <cell r="I1353">
            <v>5.4140099999999997E-2</v>
          </cell>
        </row>
        <row r="1354">
          <cell r="I1354">
            <v>5.4180100000000002E-2</v>
          </cell>
        </row>
        <row r="1355">
          <cell r="I1355">
            <v>5.42201E-2</v>
          </cell>
        </row>
        <row r="1356">
          <cell r="I1356">
            <v>5.4260099999999999E-2</v>
          </cell>
        </row>
        <row r="1357">
          <cell r="I1357">
            <v>5.4300099999999997E-2</v>
          </cell>
        </row>
        <row r="1358">
          <cell r="I1358">
            <v>5.4340100000000002E-2</v>
          </cell>
        </row>
        <row r="1359">
          <cell r="I1359">
            <v>5.4380100000000001E-2</v>
          </cell>
        </row>
        <row r="1360">
          <cell r="I1360">
            <v>5.4420099999999999E-2</v>
          </cell>
        </row>
        <row r="1361">
          <cell r="I1361">
            <v>5.4460099999999997E-2</v>
          </cell>
        </row>
        <row r="1362">
          <cell r="I1362">
            <v>5.4500100000000003E-2</v>
          </cell>
        </row>
        <row r="1363">
          <cell r="I1363">
            <v>5.4540100000000001E-2</v>
          </cell>
        </row>
        <row r="1364">
          <cell r="I1364">
            <v>5.4580099999999999E-2</v>
          </cell>
        </row>
        <row r="1365">
          <cell r="I1365">
            <v>5.4620099999999998E-2</v>
          </cell>
        </row>
        <row r="1366">
          <cell r="I1366">
            <v>5.4660100000000003E-2</v>
          </cell>
        </row>
        <row r="1367">
          <cell r="I1367">
            <v>5.4700100000000001E-2</v>
          </cell>
        </row>
        <row r="1368">
          <cell r="I1368">
            <v>5.47401E-2</v>
          </cell>
        </row>
        <row r="1369">
          <cell r="I1369">
            <v>5.4780099999999998E-2</v>
          </cell>
        </row>
        <row r="1370">
          <cell r="I1370">
            <v>5.4820099999999997E-2</v>
          </cell>
        </row>
        <row r="1371">
          <cell r="I1371">
            <v>5.4860100000000002E-2</v>
          </cell>
        </row>
        <row r="1372">
          <cell r="I1372">
            <v>5.49001E-2</v>
          </cell>
        </row>
        <row r="1373">
          <cell r="I1373">
            <v>5.4940099999999999E-2</v>
          </cell>
        </row>
        <row r="1374">
          <cell r="I1374">
            <v>5.4980099999999997E-2</v>
          </cell>
        </row>
        <row r="1375">
          <cell r="I1375">
            <v>5.5020100000000002E-2</v>
          </cell>
        </row>
        <row r="1376">
          <cell r="I1376">
            <v>5.5060100000000001E-2</v>
          </cell>
        </row>
        <row r="1377">
          <cell r="I1377">
            <v>5.5100099999999999E-2</v>
          </cell>
        </row>
        <row r="1378">
          <cell r="I1378">
            <v>5.5140099999999997E-2</v>
          </cell>
        </row>
        <row r="1379">
          <cell r="I1379">
            <v>5.5180100000000003E-2</v>
          </cell>
        </row>
        <row r="1380">
          <cell r="I1380">
            <v>5.5220100000000001E-2</v>
          </cell>
        </row>
        <row r="1381">
          <cell r="I1381">
            <v>5.5260099999999999E-2</v>
          </cell>
        </row>
        <row r="1382">
          <cell r="I1382">
            <v>5.5300099999999998E-2</v>
          </cell>
        </row>
        <row r="1383">
          <cell r="I1383">
            <v>5.5340100000000003E-2</v>
          </cell>
        </row>
        <row r="1384">
          <cell r="I1384">
            <v>5.5380100000000002E-2</v>
          </cell>
        </row>
        <row r="1385">
          <cell r="I1385">
            <v>5.54201E-2</v>
          </cell>
        </row>
        <row r="1386">
          <cell r="I1386">
            <v>5.5460099999999998E-2</v>
          </cell>
        </row>
        <row r="1387">
          <cell r="I1387">
            <v>5.5500099999999997E-2</v>
          </cell>
        </row>
        <row r="1388">
          <cell r="I1388">
            <v>5.5540100000000002E-2</v>
          </cell>
        </row>
        <row r="1389">
          <cell r="I1389">
            <v>5.55801E-2</v>
          </cell>
        </row>
        <row r="1390">
          <cell r="I1390">
            <v>5.5620099999999999E-2</v>
          </cell>
        </row>
        <row r="1391">
          <cell r="I1391">
            <v>5.5660099999999997E-2</v>
          </cell>
        </row>
        <row r="1392">
          <cell r="I1392">
            <v>5.5700100000000002E-2</v>
          </cell>
        </row>
        <row r="1393">
          <cell r="I1393">
            <v>5.5740100000000001E-2</v>
          </cell>
        </row>
        <row r="1394">
          <cell r="I1394">
            <v>5.5780099999999999E-2</v>
          </cell>
        </row>
        <row r="1395">
          <cell r="I1395">
            <v>5.5820099999999997E-2</v>
          </cell>
        </row>
        <row r="1396">
          <cell r="I1396">
            <v>5.5860100000000003E-2</v>
          </cell>
        </row>
        <row r="1397">
          <cell r="I1397">
            <v>5.5900100000000001E-2</v>
          </cell>
        </row>
        <row r="1398">
          <cell r="I1398">
            <v>5.59401E-2</v>
          </cell>
        </row>
        <row r="1399">
          <cell r="I1399">
            <v>5.5980099999999998E-2</v>
          </cell>
        </row>
        <row r="1400">
          <cell r="I1400">
            <v>5.6020100000000003E-2</v>
          </cell>
        </row>
        <row r="1401">
          <cell r="I1401">
            <v>5.6060100000000002E-2</v>
          </cell>
        </row>
        <row r="1402">
          <cell r="I1402">
            <v>5.61001E-2</v>
          </cell>
        </row>
        <row r="1403">
          <cell r="I1403">
            <v>5.6140099999999998E-2</v>
          </cell>
        </row>
        <row r="1404">
          <cell r="I1404">
            <v>5.6180099999999997E-2</v>
          </cell>
        </row>
        <row r="1405">
          <cell r="I1405">
            <v>5.6220100000000002E-2</v>
          </cell>
        </row>
        <row r="1406">
          <cell r="I1406">
            <v>5.62601E-2</v>
          </cell>
        </row>
        <row r="1407">
          <cell r="I1407">
            <v>5.6300099999999999E-2</v>
          </cell>
        </row>
        <row r="1408">
          <cell r="I1408">
            <v>5.6340099999999997E-2</v>
          </cell>
        </row>
        <row r="1409">
          <cell r="I1409">
            <v>5.6380100000000002E-2</v>
          </cell>
        </row>
        <row r="1410">
          <cell r="I1410">
            <v>5.6420100000000001E-2</v>
          </cell>
        </row>
        <row r="1411">
          <cell r="I1411">
            <v>5.6460099999999999E-2</v>
          </cell>
        </row>
        <row r="1412">
          <cell r="I1412">
            <v>5.6500099999999998E-2</v>
          </cell>
        </row>
        <row r="1413">
          <cell r="I1413">
            <v>5.6540100000000003E-2</v>
          </cell>
        </row>
        <row r="1414">
          <cell r="I1414">
            <v>5.6580100000000001E-2</v>
          </cell>
        </row>
        <row r="1415">
          <cell r="I1415">
            <v>5.66201E-2</v>
          </cell>
        </row>
        <row r="1416">
          <cell r="I1416">
            <v>5.6660099999999998E-2</v>
          </cell>
        </row>
        <row r="1417">
          <cell r="I1417">
            <v>5.6700100000000003E-2</v>
          </cell>
        </row>
        <row r="1418">
          <cell r="I1418">
            <v>5.6740100000000002E-2</v>
          </cell>
        </row>
        <row r="1419">
          <cell r="I1419">
            <v>5.67801E-2</v>
          </cell>
        </row>
        <row r="1420">
          <cell r="I1420">
            <v>5.6820099999999998E-2</v>
          </cell>
        </row>
        <row r="1421">
          <cell r="I1421">
            <v>5.6860099999999997E-2</v>
          </cell>
        </row>
        <row r="1422">
          <cell r="I1422">
            <v>5.6900100000000002E-2</v>
          </cell>
        </row>
        <row r="1423">
          <cell r="I1423">
            <v>5.69401E-2</v>
          </cell>
        </row>
        <row r="1424">
          <cell r="I1424">
            <v>5.6980099999999999E-2</v>
          </cell>
        </row>
        <row r="1425">
          <cell r="I1425">
            <v>5.7020099999999997E-2</v>
          </cell>
        </row>
        <row r="1426">
          <cell r="I1426">
            <v>5.7060100000000002E-2</v>
          </cell>
        </row>
        <row r="1427">
          <cell r="I1427">
            <v>5.7100100000000001E-2</v>
          </cell>
        </row>
        <row r="1428">
          <cell r="I1428">
            <v>5.7140099999999999E-2</v>
          </cell>
        </row>
        <row r="1429">
          <cell r="I1429">
            <v>5.7180099999999998E-2</v>
          </cell>
        </row>
        <row r="1430">
          <cell r="I1430">
            <v>5.7220100000000003E-2</v>
          </cell>
        </row>
        <row r="1431">
          <cell r="I1431">
            <v>5.7260100000000001E-2</v>
          </cell>
        </row>
        <row r="1432">
          <cell r="I1432">
            <v>5.73001E-2</v>
          </cell>
        </row>
        <row r="1433">
          <cell r="I1433">
            <v>5.7340099999999998E-2</v>
          </cell>
        </row>
        <row r="1434">
          <cell r="I1434">
            <v>5.7380100000000003E-2</v>
          </cell>
        </row>
        <row r="1435">
          <cell r="I1435">
            <v>5.7420100000000002E-2</v>
          </cell>
        </row>
        <row r="1436">
          <cell r="I1436">
            <v>5.74601E-2</v>
          </cell>
        </row>
        <row r="1437">
          <cell r="I1437">
            <v>5.7500099999999998E-2</v>
          </cell>
        </row>
        <row r="1438">
          <cell r="I1438">
            <v>5.7540099999999997E-2</v>
          </cell>
        </row>
        <row r="1439">
          <cell r="I1439">
            <v>5.7580100000000002E-2</v>
          </cell>
        </row>
        <row r="1440">
          <cell r="I1440">
            <v>5.76201E-2</v>
          </cell>
        </row>
        <row r="1441">
          <cell r="I1441">
            <v>5.7660099999999999E-2</v>
          </cell>
        </row>
        <row r="1442">
          <cell r="I1442">
            <v>5.7700099999999997E-2</v>
          </cell>
        </row>
        <row r="1443">
          <cell r="I1443">
            <v>5.7740100000000003E-2</v>
          </cell>
        </row>
        <row r="1444">
          <cell r="I1444">
            <v>5.7780100000000001E-2</v>
          </cell>
        </row>
        <row r="1445">
          <cell r="I1445">
            <v>5.7820099999999999E-2</v>
          </cell>
        </row>
        <row r="1446">
          <cell r="I1446">
            <v>5.7860099999999998E-2</v>
          </cell>
        </row>
        <row r="1447">
          <cell r="I1447">
            <v>5.7900100000000003E-2</v>
          </cell>
        </row>
        <row r="1448">
          <cell r="I1448">
            <v>5.7940100000000001E-2</v>
          </cell>
        </row>
        <row r="1449">
          <cell r="I1449">
            <v>5.79801E-2</v>
          </cell>
        </row>
        <row r="1450">
          <cell r="I1450">
            <v>5.8020099999999998E-2</v>
          </cell>
        </row>
        <row r="1451">
          <cell r="I1451">
            <v>5.8060100000000003E-2</v>
          </cell>
        </row>
        <row r="1452">
          <cell r="I1452">
            <v>5.8100100000000002E-2</v>
          </cell>
        </row>
        <row r="1453">
          <cell r="I1453">
            <v>5.81401E-2</v>
          </cell>
        </row>
        <row r="1454">
          <cell r="I1454">
            <v>5.8180099999999998E-2</v>
          </cell>
        </row>
        <row r="1455">
          <cell r="I1455">
            <v>5.8220099999999997E-2</v>
          </cell>
        </row>
        <row r="1456">
          <cell r="I1456">
            <v>5.8260100000000002E-2</v>
          </cell>
        </row>
        <row r="1457">
          <cell r="I1457">
            <v>5.8300100000000001E-2</v>
          </cell>
        </row>
        <row r="1458">
          <cell r="I1458">
            <v>5.8340099999999999E-2</v>
          </cell>
        </row>
        <row r="1459">
          <cell r="I1459">
            <v>5.8380099999999997E-2</v>
          </cell>
        </row>
        <row r="1460">
          <cell r="I1460">
            <v>5.8420100000000003E-2</v>
          </cell>
        </row>
        <row r="1461">
          <cell r="I1461">
            <v>5.8460100000000001E-2</v>
          </cell>
        </row>
        <row r="1462">
          <cell r="I1462">
            <v>5.8500099999999999E-2</v>
          </cell>
        </row>
        <row r="1463">
          <cell r="I1463">
            <v>5.8540099999999998E-2</v>
          </cell>
        </row>
        <row r="1464">
          <cell r="I1464">
            <v>5.8580100000000003E-2</v>
          </cell>
        </row>
        <row r="1465">
          <cell r="I1465">
            <v>5.8620100000000001E-2</v>
          </cell>
        </row>
        <row r="1466">
          <cell r="I1466">
            <v>5.86601E-2</v>
          </cell>
        </row>
        <row r="1467">
          <cell r="I1467">
            <v>5.8700099999999998E-2</v>
          </cell>
        </row>
        <row r="1468">
          <cell r="I1468">
            <v>5.8740100000000003E-2</v>
          </cell>
        </row>
        <row r="1469">
          <cell r="I1469">
            <v>5.8780100000000002E-2</v>
          </cell>
        </row>
        <row r="1470">
          <cell r="I1470">
            <v>5.88201E-2</v>
          </cell>
        </row>
        <row r="1471">
          <cell r="I1471">
            <v>5.8860099999999999E-2</v>
          </cell>
        </row>
        <row r="1472">
          <cell r="I1472">
            <v>5.8900099999999997E-2</v>
          </cell>
        </row>
        <row r="1473">
          <cell r="I1473">
            <v>5.8940100000000002E-2</v>
          </cell>
        </row>
        <row r="1474">
          <cell r="I1474">
            <v>5.8980100000000001E-2</v>
          </cell>
        </row>
        <row r="1475">
          <cell r="I1475">
            <v>5.9020099999999999E-2</v>
          </cell>
        </row>
        <row r="1476">
          <cell r="I1476">
            <v>5.9060099999999997E-2</v>
          </cell>
        </row>
        <row r="1477">
          <cell r="I1477">
            <v>5.9100100000000003E-2</v>
          </cell>
        </row>
        <row r="1478">
          <cell r="I1478">
            <v>5.9140100000000001E-2</v>
          </cell>
        </row>
        <row r="1479">
          <cell r="I1479">
            <v>5.9180099999999999E-2</v>
          </cell>
        </row>
        <row r="1480">
          <cell r="I1480">
            <v>5.9220099999999998E-2</v>
          </cell>
        </row>
        <row r="1481">
          <cell r="I1481">
            <v>5.9260100000000003E-2</v>
          </cell>
        </row>
        <row r="1482">
          <cell r="I1482">
            <v>5.9300100000000001E-2</v>
          </cell>
        </row>
        <row r="1483">
          <cell r="I1483">
            <v>5.93401E-2</v>
          </cell>
        </row>
        <row r="1484">
          <cell r="I1484">
            <v>5.9380099999999998E-2</v>
          </cell>
        </row>
        <row r="1485">
          <cell r="I1485">
            <v>5.9420099999999997E-2</v>
          </cell>
        </row>
        <row r="1486">
          <cell r="I1486">
            <v>5.9460100000000002E-2</v>
          </cell>
        </row>
        <row r="1487">
          <cell r="I1487">
            <v>5.95001E-2</v>
          </cell>
        </row>
        <row r="1488">
          <cell r="I1488">
            <v>5.9540099999999999E-2</v>
          </cell>
        </row>
        <row r="1489">
          <cell r="I1489">
            <v>5.9580099999999997E-2</v>
          </cell>
        </row>
        <row r="1490">
          <cell r="I1490">
            <v>5.9620100000000002E-2</v>
          </cell>
        </row>
        <row r="1491">
          <cell r="I1491">
            <v>5.9660100000000001E-2</v>
          </cell>
        </row>
        <row r="1492">
          <cell r="I1492">
            <v>5.9700099999999999E-2</v>
          </cell>
        </row>
        <row r="1493">
          <cell r="I1493">
            <v>5.9740099999999997E-2</v>
          </cell>
        </row>
        <row r="1494">
          <cell r="I1494">
            <v>5.9780100000000003E-2</v>
          </cell>
        </row>
        <row r="1495">
          <cell r="I1495">
            <v>5.9820100000000001E-2</v>
          </cell>
        </row>
        <row r="1496">
          <cell r="I1496">
            <v>5.9860099999999999E-2</v>
          </cell>
        </row>
        <row r="1497">
          <cell r="I1497">
            <v>5.9900099999999998E-2</v>
          </cell>
        </row>
        <row r="1498">
          <cell r="I1498">
            <v>5.9940100000000003E-2</v>
          </cell>
        </row>
        <row r="1499">
          <cell r="I1499">
            <v>5.9980100000000001E-2</v>
          </cell>
        </row>
        <row r="1500">
          <cell r="I1500">
            <v>6.00201E-2</v>
          </cell>
        </row>
        <row r="1501">
          <cell r="I1501">
            <v>6.0060099999999998E-2</v>
          </cell>
        </row>
        <row r="1502">
          <cell r="I1502">
            <v>6.0100099999999997E-2</v>
          </cell>
        </row>
        <row r="1503">
          <cell r="I1503">
            <v>6.0140100000000002E-2</v>
          </cell>
        </row>
        <row r="1504">
          <cell r="I1504">
            <v>6.01801E-2</v>
          </cell>
        </row>
        <row r="1505">
          <cell r="I1505">
            <v>6.0220099999999999E-2</v>
          </cell>
        </row>
        <row r="1506">
          <cell r="I1506">
            <v>6.0260099999999997E-2</v>
          </cell>
        </row>
        <row r="1507">
          <cell r="I1507">
            <v>6.0300100000000002E-2</v>
          </cell>
        </row>
        <row r="1508">
          <cell r="I1508">
            <v>6.0340100000000001E-2</v>
          </cell>
        </row>
        <row r="1509">
          <cell r="I1509">
            <v>6.0380099999999999E-2</v>
          </cell>
        </row>
        <row r="1510">
          <cell r="I1510">
            <v>6.0420099999999997E-2</v>
          </cell>
        </row>
        <row r="1511">
          <cell r="I1511">
            <v>6.0460100000000003E-2</v>
          </cell>
        </row>
        <row r="1512">
          <cell r="I1512">
            <v>6.0500100000000001E-2</v>
          </cell>
        </row>
        <row r="1513">
          <cell r="I1513">
            <v>6.0540099999999999E-2</v>
          </cell>
        </row>
        <row r="1514">
          <cell r="I1514">
            <v>6.0580099999999998E-2</v>
          </cell>
        </row>
        <row r="1515">
          <cell r="I1515">
            <v>6.0620100000000003E-2</v>
          </cell>
        </row>
        <row r="1516">
          <cell r="I1516">
            <v>6.0660100000000002E-2</v>
          </cell>
        </row>
        <row r="1517">
          <cell r="I1517">
            <v>6.07001E-2</v>
          </cell>
        </row>
        <row r="1518">
          <cell r="I1518">
            <v>6.0740099999999998E-2</v>
          </cell>
        </row>
        <row r="1519">
          <cell r="I1519">
            <v>6.0780099999999997E-2</v>
          </cell>
        </row>
        <row r="1520">
          <cell r="I1520">
            <v>6.0820100000000002E-2</v>
          </cell>
        </row>
        <row r="1521">
          <cell r="I1521">
            <v>6.08601E-2</v>
          </cell>
        </row>
        <row r="1522">
          <cell r="I1522">
            <v>6.0900099999999999E-2</v>
          </cell>
        </row>
        <row r="1523">
          <cell r="I1523">
            <v>6.0940099999999997E-2</v>
          </cell>
        </row>
        <row r="1524">
          <cell r="I1524">
            <v>6.0980100000000002E-2</v>
          </cell>
        </row>
        <row r="1525">
          <cell r="I1525">
            <v>6.1020100000000001E-2</v>
          </cell>
        </row>
        <row r="1526">
          <cell r="I1526">
            <v>6.1060099999999999E-2</v>
          </cell>
        </row>
        <row r="1527">
          <cell r="I1527">
            <v>6.1100099999999997E-2</v>
          </cell>
        </row>
        <row r="1528">
          <cell r="I1528">
            <v>6.1140100000000003E-2</v>
          </cell>
        </row>
        <row r="1529">
          <cell r="I1529">
            <v>6.1180100000000001E-2</v>
          </cell>
        </row>
        <row r="1530">
          <cell r="I1530">
            <v>6.12201E-2</v>
          </cell>
        </row>
        <row r="1531">
          <cell r="I1531">
            <v>6.1260099999999998E-2</v>
          </cell>
        </row>
        <row r="1532">
          <cell r="I1532">
            <v>6.1300100000000003E-2</v>
          </cell>
        </row>
        <row r="1533">
          <cell r="I1533">
            <v>6.1340100000000002E-2</v>
          </cell>
        </row>
        <row r="1534">
          <cell r="I1534">
            <v>6.13801E-2</v>
          </cell>
        </row>
        <row r="1535">
          <cell r="I1535">
            <v>6.1420099999999998E-2</v>
          </cell>
        </row>
        <row r="1536">
          <cell r="I1536">
            <v>6.1460099999999997E-2</v>
          </cell>
        </row>
        <row r="1537">
          <cell r="I1537">
            <v>6.1500100000000002E-2</v>
          </cell>
        </row>
        <row r="1538">
          <cell r="I1538">
            <v>6.15401E-2</v>
          </cell>
        </row>
        <row r="1539">
          <cell r="I1539">
            <v>6.1580099999999999E-2</v>
          </cell>
        </row>
        <row r="1540">
          <cell r="I1540">
            <v>6.1620099999999997E-2</v>
          </cell>
        </row>
        <row r="1541">
          <cell r="I1541">
            <v>6.1660100000000002E-2</v>
          </cell>
        </row>
        <row r="1542">
          <cell r="I1542">
            <v>6.1700100000000001E-2</v>
          </cell>
        </row>
        <row r="1543">
          <cell r="I1543">
            <v>6.1740099999999999E-2</v>
          </cell>
        </row>
        <row r="1544">
          <cell r="I1544">
            <v>6.1780099999999998E-2</v>
          </cell>
        </row>
        <row r="1545">
          <cell r="I1545">
            <v>6.1820100000000003E-2</v>
          </cell>
        </row>
        <row r="1546">
          <cell r="I1546">
            <v>6.1860100000000001E-2</v>
          </cell>
        </row>
        <row r="1547">
          <cell r="I1547">
            <v>6.19001E-2</v>
          </cell>
        </row>
        <row r="1548">
          <cell r="I1548">
            <v>6.1940099999999998E-2</v>
          </cell>
        </row>
        <row r="1549">
          <cell r="I1549">
            <v>6.1980100000000003E-2</v>
          </cell>
        </row>
        <row r="1550">
          <cell r="I1550">
            <v>6.2020100000000002E-2</v>
          </cell>
        </row>
        <row r="1551">
          <cell r="I1551">
            <v>6.20601E-2</v>
          </cell>
        </row>
        <row r="1552">
          <cell r="I1552">
            <v>6.2100099999999998E-2</v>
          </cell>
        </row>
        <row r="1553">
          <cell r="I1553">
            <v>6.2140099999999997E-2</v>
          </cell>
        </row>
        <row r="1554">
          <cell r="I1554">
            <v>6.2180100000000002E-2</v>
          </cell>
        </row>
        <row r="1555">
          <cell r="I1555">
            <v>6.22201E-2</v>
          </cell>
        </row>
        <row r="1556">
          <cell r="I1556">
            <v>6.2260099999999999E-2</v>
          </cell>
        </row>
        <row r="1557">
          <cell r="I1557">
            <v>6.2300099999999997E-2</v>
          </cell>
        </row>
        <row r="1558">
          <cell r="I1558">
            <v>6.2340100000000002E-2</v>
          </cell>
        </row>
        <row r="1559">
          <cell r="I1559">
            <v>6.2380100000000001E-2</v>
          </cell>
        </row>
        <row r="1560">
          <cell r="I1560">
            <v>6.2420099999999999E-2</v>
          </cell>
        </row>
        <row r="1561">
          <cell r="I1561">
            <v>6.2460099999999998E-2</v>
          </cell>
        </row>
        <row r="1562">
          <cell r="I1562">
            <v>6.2500100000000003E-2</v>
          </cell>
        </row>
        <row r="1563">
          <cell r="I1563">
            <v>6.2540100000000001E-2</v>
          </cell>
        </row>
        <row r="1564">
          <cell r="I1564">
            <v>6.25801E-2</v>
          </cell>
        </row>
        <row r="1565">
          <cell r="I1565">
            <v>6.2620099999999998E-2</v>
          </cell>
        </row>
        <row r="1566">
          <cell r="I1566">
            <v>6.2660099999999996E-2</v>
          </cell>
        </row>
        <row r="1567">
          <cell r="I1567">
            <v>6.2700099999999995E-2</v>
          </cell>
        </row>
        <row r="1568">
          <cell r="I1568">
            <v>6.2740099999999993E-2</v>
          </cell>
        </row>
        <row r="1569">
          <cell r="I1569">
            <v>6.2780100000000005E-2</v>
          </cell>
        </row>
        <row r="1570">
          <cell r="I1570">
            <v>6.2820100000000004E-2</v>
          </cell>
        </row>
        <row r="1571">
          <cell r="I1571">
            <v>6.2860100000000002E-2</v>
          </cell>
        </row>
        <row r="1572">
          <cell r="I1572">
            <v>6.29001E-2</v>
          </cell>
        </row>
        <row r="1573">
          <cell r="I1573">
            <v>6.2940099999999999E-2</v>
          </cell>
        </row>
        <row r="1574">
          <cell r="I1574">
            <v>6.2980099999999997E-2</v>
          </cell>
        </row>
        <row r="1575">
          <cell r="I1575">
            <v>6.3020099999999996E-2</v>
          </cell>
        </row>
        <row r="1576">
          <cell r="I1576">
            <v>6.3060099999999994E-2</v>
          </cell>
        </row>
        <row r="1577">
          <cell r="I1577">
            <v>6.3100100000000006E-2</v>
          </cell>
        </row>
        <row r="1578">
          <cell r="I1578">
            <v>6.3140100000000005E-2</v>
          </cell>
        </row>
        <row r="1579">
          <cell r="I1579">
            <v>6.3180100000000003E-2</v>
          </cell>
        </row>
        <row r="1580">
          <cell r="I1580">
            <v>6.3220100000000001E-2</v>
          </cell>
        </row>
        <row r="1581">
          <cell r="I1581">
            <v>6.32601E-2</v>
          </cell>
        </row>
        <row r="1582">
          <cell r="I1582">
            <v>6.3300099999999998E-2</v>
          </cell>
        </row>
        <row r="1583">
          <cell r="I1583">
            <v>6.3340099999999996E-2</v>
          </cell>
        </row>
        <row r="1584">
          <cell r="I1584">
            <v>6.3380099999999995E-2</v>
          </cell>
        </row>
        <row r="1585">
          <cell r="I1585">
            <v>6.3420099999999993E-2</v>
          </cell>
        </row>
        <row r="1586">
          <cell r="I1586">
            <v>6.3460100000000005E-2</v>
          </cell>
        </row>
        <row r="1587">
          <cell r="I1587">
            <v>6.3500100000000004E-2</v>
          </cell>
        </row>
        <row r="1588">
          <cell r="I1588">
            <v>6.3540100000000002E-2</v>
          </cell>
        </row>
        <row r="1589">
          <cell r="I1589">
            <v>6.3580100000000001E-2</v>
          </cell>
        </row>
        <row r="1590">
          <cell r="I1590">
            <v>6.3620099999999999E-2</v>
          </cell>
        </row>
        <row r="1591">
          <cell r="I1591">
            <v>6.3660099999999997E-2</v>
          </cell>
        </row>
        <row r="1592">
          <cell r="I1592">
            <v>6.3700099999999996E-2</v>
          </cell>
        </row>
        <row r="1593">
          <cell r="I1593">
            <v>6.3740099999999994E-2</v>
          </cell>
        </row>
        <row r="1594">
          <cell r="I1594">
            <v>6.3780100000000006E-2</v>
          </cell>
        </row>
        <row r="1595">
          <cell r="I1595">
            <v>6.3820100000000005E-2</v>
          </cell>
        </row>
        <row r="1596">
          <cell r="I1596">
            <v>6.3860100000000003E-2</v>
          </cell>
        </row>
        <row r="1597">
          <cell r="I1597">
            <v>6.3900100000000001E-2</v>
          </cell>
        </row>
        <row r="1598">
          <cell r="I1598">
            <v>6.39401E-2</v>
          </cell>
        </row>
        <row r="1599">
          <cell r="I1599">
            <v>6.3980099999999998E-2</v>
          </cell>
        </row>
        <row r="1600">
          <cell r="I1600">
            <v>6.4020099999999996E-2</v>
          </cell>
        </row>
        <row r="1601">
          <cell r="I1601">
            <v>6.4060099999999995E-2</v>
          </cell>
        </row>
        <row r="1602">
          <cell r="I1602">
            <v>6.4100099999999993E-2</v>
          </cell>
        </row>
        <row r="1603">
          <cell r="I1603">
            <v>6.4140100000000005E-2</v>
          </cell>
        </row>
        <row r="1604">
          <cell r="I1604">
            <v>6.4180100000000004E-2</v>
          </cell>
        </row>
        <row r="1605">
          <cell r="I1605">
            <v>6.4220100000000002E-2</v>
          </cell>
        </row>
        <row r="1606">
          <cell r="I1606">
            <v>6.4260100000000001E-2</v>
          </cell>
        </row>
        <row r="1607">
          <cell r="I1607">
            <v>6.4300099999999999E-2</v>
          </cell>
        </row>
        <row r="1608">
          <cell r="I1608">
            <v>6.4340099999999997E-2</v>
          </cell>
        </row>
        <row r="1609">
          <cell r="I1609">
            <v>6.4380099999999996E-2</v>
          </cell>
        </row>
        <row r="1610">
          <cell r="I1610">
            <v>6.4420099999999994E-2</v>
          </cell>
        </row>
        <row r="1611">
          <cell r="I1611">
            <v>6.4460100000000006E-2</v>
          </cell>
        </row>
        <row r="1612">
          <cell r="I1612">
            <v>6.4500100000000005E-2</v>
          </cell>
        </row>
        <row r="1613">
          <cell r="I1613">
            <v>6.4540100000000003E-2</v>
          </cell>
        </row>
        <row r="1614">
          <cell r="I1614">
            <v>6.4580100000000001E-2</v>
          </cell>
        </row>
        <row r="1615">
          <cell r="I1615">
            <v>6.46201E-2</v>
          </cell>
        </row>
        <row r="1616">
          <cell r="I1616">
            <v>6.4660099999999998E-2</v>
          </cell>
        </row>
        <row r="1617">
          <cell r="I1617">
            <v>6.4700099999999997E-2</v>
          </cell>
        </row>
        <row r="1618">
          <cell r="I1618">
            <v>6.4740099999999995E-2</v>
          </cell>
        </row>
        <row r="1619">
          <cell r="I1619">
            <v>6.4780099999999993E-2</v>
          </cell>
        </row>
        <row r="1620">
          <cell r="I1620">
            <v>6.4820100000000005E-2</v>
          </cell>
        </row>
        <row r="1621">
          <cell r="I1621">
            <v>6.4860100000000004E-2</v>
          </cell>
        </row>
        <row r="1622">
          <cell r="I1622">
            <v>6.4900100000000002E-2</v>
          </cell>
        </row>
        <row r="1623">
          <cell r="I1623">
            <v>6.4940100000000001E-2</v>
          </cell>
        </row>
        <row r="1624">
          <cell r="I1624">
            <v>6.4980099999999999E-2</v>
          </cell>
        </row>
        <row r="1625">
          <cell r="I1625">
            <v>6.5020099999999997E-2</v>
          </cell>
        </row>
        <row r="1626">
          <cell r="I1626">
            <v>6.5060099999999996E-2</v>
          </cell>
        </row>
        <row r="1627">
          <cell r="I1627">
            <v>6.5100099999999994E-2</v>
          </cell>
        </row>
        <row r="1628">
          <cell r="I1628">
            <v>6.5140100000000006E-2</v>
          </cell>
        </row>
        <row r="1629">
          <cell r="I1629">
            <v>6.5180100000000005E-2</v>
          </cell>
        </row>
        <row r="1630">
          <cell r="I1630">
            <v>6.5220100000000003E-2</v>
          </cell>
        </row>
        <row r="1631">
          <cell r="I1631">
            <v>6.5260100000000001E-2</v>
          </cell>
        </row>
        <row r="1632">
          <cell r="I1632">
            <v>6.53001E-2</v>
          </cell>
        </row>
        <row r="1633">
          <cell r="I1633">
            <v>6.5340099999999998E-2</v>
          </cell>
        </row>
        <row r="1634">
          <cell r="I1634">
            <v>6.5380099999999997E-2</v>
          </cell>
        </row>
        <row r="1635">
          <cell r="I1635">
            <v>6.5420099999999995E-2</v>
          </cell>
        </row>
        <row r="1636">
          <cell r="I1636">
            <v>6.5460099999999993E-2</v>
          </cell>
        </row>
        <row r="1637">
          <cell r="I1637">
            <v>6.5500100000000006E-2</v>
          </cell>
        </row>
        <row r="1638">
          <cell r="I1638">
            <v>6.5540100000000004E-2</v>
          </cell>
        </row>
        <row r="1639">
          <cell r="I1639">
            <v>6.5580100000000002E-2</v>
          </cell>
        </row>
        <row r="1640">
          <cell r="I1640">
            <v>6.5620100000000001E-2</v>
          </cell>
        </row>
        <row r="1641">
          <cell r="I1641">
            <v>6.5660099999999999E-2</v>
          </cell>
        </row>
        <row r="1642">
          <cell r="I1642">
            <v>6.5700099999999997E-2</v>
          </cell>
        </row>
        <row r="1643">
          <cell r="I1643">
            <v>6.5740099999999996E-2</v>
          </cell>
        </row>
        <row r="1644">
          <cell r="I1644">
            <v>6.5780099999999994E-2</v>
          </cell>
        </row>
        <row r="1645">
          <cell r="I1645">
            <v>6.5820100000000006E-2</v>
          </cell>
        </row>
        <row r="1646">
          <cell r="I1646">
            <v>6.5860100000000005E-2</v>
          </cell>
        </row>
        <row r="1647">
          <cell r="I1647">
            <v>6.5900100000000003E-2</v>
          </cell>
        </row>
        <row r="1648">
          <cell r="I1648">
            <v>6.5940100000000001E-2</v>
          </cell>
        </row>
        <row r="1649">
          <cell r="I1649">
            <v>6.59801E-2</v>
          </cell>
        </row>
        <row r="1650">
          <cell r="I1650">
            <v>6.6020099999999998E-2</v>
          </cell>
        </row>
        <row r="1651">
          <cell r="I1651">
            <v>6.6060099999999997E-2</v>
          </cell>
        </row>
        <row r="1652">
          <cell r="I1652">
            <v>6.6100099999999995E-2</v>
          </cell>
        </row>
        <row r="1653">
          <cell r="I1653">
            <v>6.6140099999999993E-2</v>
          </cell>
        </row>
        <row r="1654">
          <cell r="I1654">
            <v>6.6180100000000006E-2</v>
          </cell>
        </row>
        <row r="1655">
          <cell r="I1655">
            <v>6.6220100000000004E-2</v>
          </cell>
        </row>
        <row r="1656">
          <cell r="I1656">
            <v>6.6260100000000002E-2</v>
          </cell>
        </row>
        <row r="1657">
          <cell r="I1657">
            <v>6.6300100000000001E-2</v>
          </cell>
        </row>
        <row r="1658">
          <cell r="I1658">
            <v>6.6340099999999999E-2</v>
          </cell>
        </row>
        <row r="1659">
          <cell r="I1659">
            <v>6.6380099999999997E-2</v>
          </cell>
        </row>
        <row r="1660">
          <cell r="I1660">
            <v>6.6420099999999996E-2</v>
          </cell>
        </row>
        <row r="1661">
          <cell r="I1661">
            <v>6.6460099999999994E-2</v>
          </cell>
        </row>
        <row r="1662">
          <cell r="I1662">
            <v>6.6500100000000006E-2</v>
          </cell>
        </row>
        <row r="1663">
          <cell r="I1663">
            <v>6.6540100000000005E-2</v>
          </cell>
        </row>
        <row r="1664">
          <cell r="I1664">
            <v>6.6580100000000003E-2</v>
          </cell>
        </row>
        <row r="1665">
          <cell r="I1665">
            <v>6.6620100000000002E-2</v>
          </cell>
        </row>
        <row r="1666">
          <cell r="I1666">
            <v>6.66601E-2</v>
          </cell>
        </row>
        <row r="1667">
          <cell r="I1667">
            <v>6.6700099999999998E-2</v>
          </cell>
        </row>
        <row r="1668">
          <cell r="I1668">
            <v>6.6740099999999997E-2</v>
          </cell>
        </row>
        <row r="1669">
          <cell r="I1669">
            <v>6.6780099999999995E-2</v>
          </cell>
        </row>
        <row r="1670">
          <cell r="I1670">
            <v>6.6820099999999993E-2</v>
          </cell>
        </row>
        <row r="1671">
          <cell r="I1671">
            <v>6.6860100000000006E-2</v>
          </cell>
        </row>
        <row r="1672">
          <cell r="I1672">
            <v>6.6900100000000004E-2</v>
          </cell>
        </row>
        <row r="1673">
          <cell r="I1673">
            <v>6.6940100000000002E-2</v>
          </cell>
        </row>
        <row r="1674">
          <cell r="I1674">
            <v>6.6980100000000001E-2</v>
          </cell>
        </row>
        <row r="1675">
          <cell r="I1675">
            <v>6.7020099999999999E-2</v>
          </cell>
        </row>
        <row r="1676">
          <cell r="I1676">
            <v>6.7060099999999997E-2</v>
          </cell>
        </row>
        <row r="1677">
          <cell r="I1677">
            <v>6.7100099999999996E-2</v>
          </cell>
        </row>
        <row r="1678">
          <cell r="I1678">
            <v>6.7140099999999994E-2</v>
          </cell>
        </row>
        <row r="1679">
          <cell r="I1679">
            <v>6.7180100000000006E-2</v>
          </cell>
        </row>
        <row r="1680">
          <cell r="I1680">
            <v>6.7220100000000005E-2</v>
          </cell>
        </row>
        <row r="1681">
          <cell r="I1681">
            <v>6.7260100000000003E-2</v>
          </cell>
        </row>
        <row r="1682">
          <cell r="I1682">
            <v>6.7300100000000002E-2</v>
          </cell>
        </row>
        <row r="1683">
          <cell r="I1683">
            <v>6.73401E-2</v>
          </cell>
        </row>
        <row r="1684">
          <cell r="I1684">
            <v>6.7380099999999998E-2</v>
          </cell>
        </row>
        <row r="1685">
          <cell r="I1685">
            <v>6.7420099999999997E-2</v>
          </cell>
        </row>
        <row r="1686">
          <cell r="I1686">
            <v>6.7460099999999995E-2</v>
          </cell>
        </row>
        <row r="1687">
          <cell r="I1687">
            <v>6.7500099999999993E-2</v>
          </cell>
        </row>
        <row r="1688">
          <cell r="I1688">
            <v>6.7540100000000006E-2</v>
          </cell>
        </row>
        <row r="1689">
          <cell r="I1689">
            <v>6.7580100000000004E-2</v>
          </cell>
        </row>
        <row r="1690">
          <cell r="I1690">
            <v>6.7620100000000002E-2</v>
          </cell>
        </row>
        <row r="1691">
          <cell r="I1691">
            <v>6.7660100000000001E-2</v>
          </cell>
        </row>
        <row r="1692">
          <cell r="I1692">
            <v>6.7700099999999999E-2</v>
          </cell>
        </row>
        <row r="1693">
          <cell r="I1693">
            <v>6.7740099999999998E-2</v>
          </cell>
        </row>
        <row r="1694">
          <cell r="I1694">
            <v>6.7780099999999996E-2</v>
          </cell>
        </row>
        <row r="1695">
          <cell r="I1695">
            <v>6.7820099999999994E-2</v>
          </cell>
        </row>
        <row r="1696">
          <cell r="I1696">
            <v>6.7860100000000007E-2</v>
          </cell>
        </row>
        <row r="1697">
          <cell r="I1697">
            <v>6.7900100000000005E-2</v>
          </cell>
        </row>
        <row r="1698">
          <cell r="I1698">
            <v>6.7940100000000003E-2</v>
          </cell>
        </row>
        <row r="1699">
          <cell r="I1699">
            <v>6.7980100000000002E-2</v>
          </cell>
        </row>
        <row r="1700">
          <cell r="I1700">
            <v>6.80201E-2</v>
          </cell>
        </row>
        <row r="1701">
          <cell r="I1701">
            <v>6.8060099999999998E-2</v>
          </cell>
        </row>
        <row r="1702">
          <cell r="I1702">
            <v>6.8100099999999997E-2</v>
          </cell>
        </row>
        <row r="1703">
          <cell r="I1703">
            <v>6.8140099999999995E-2</v>
          </cell>
        </row>
        <row r="1704">
          <cell r="I1704">
            <v>6.8180099999999993E-2</v>
          </cell>
        </row>
        <row r="1705">
          <cell r="I1705">
            <v>6.8220100000000006E-2</v>
          </cell>
        </row>
        <row r="1706">
          <cell r="I1706">
            <v>6.8260100000000004E-2</v>
          </cell>
        </row>
        <row r="1707">
          <cell r="I1707">
            <v>6.8300100000000002E-2</v>
          </cell>
        </row>
        <row r="1708">
          <cell r="I1708">
            <v>6.8340100000000001E-2</v>
          </cell>
        </row>
        <row r="1709">
          <cell r="I1709">
            <v>6.8380099999999999E-2</v>
          </cell>
        </row>
        <row r="1710">
          <cell r="I1710">
            <v>6.8420099999999998E-2</v>
          </cell>
        </row>
        <row r="1711">
          <cell r="I1711">
            <v>6.8460099999999996E-2</v>
          </cell>
        </row>
        <row r="1712">
          <cell r="I1712">
            <v>6.8500099999999994E-2</v>
          </cell>
        </row>
        <row r="1713">
          <cell r="I1713">
            <v>6.8540100000000007E-2</v>
          </cell>
        </row>
        <row r="1714">
          <cell r="I1714">
            <v>6.8580100000000005E-2</v>
          </cell>
        </row>
        <row r="1715">
          <cell r="I1715">
            <v>6.8620100000000003E-2</v>
          </cell>
        </row>
        <row r="1716">
          <cell r="I1716">
            <v>6.8660100000000002E-2</v>
          </cell>
        </row>
        <row r="1717">
          <cell r="I1717">
            <v>6.87001E-2</v>
          </cell>
        </row>
        <row r="1718">
          <cell r="I1718">
            <v>6.8740099999999998E-2</v>
          </cell>
        </row>
        <row r="1719">
          <cell r="I1719">
            <v>6.8780099999999997E-2</v>
          </cell>
        </row>
        <row r="1720">
          <cell r="I1720">
            <v>6.8820099999999995E-2</v>
          </cell>
        </row>
        <row r="1721">
          <cell r="I1721">
            <v>6.8860099999999994E-2</v>
          </cell>
        </row>
        <row r="1722">
          <cell r="I1722">
            <v>6.8900100000000006E-2</v>
          </cell>
        </row>
        <row r="1723">
          <cell r="I1723">
            <v>6.8940100000000004E-2</v>
          </cell>
        </row>
        <row r="1724">
          <cell r="I1724">
            <v>6.8980100000000003E-2</v>
          </cell>
        </row>
        <row r="1725">
          <cell r="I1725">
            <v>6.9020100000000001E-2</v>
          </cell>
        </row>
        <row r="1726">
          <cell r="I1726">
            <v>6.9060099999999999E-2</v>
          </cell>
        </row>
        <row r="1727">
          <cell r="I1727">
            <v>6.9100099999999998E-2</v>
          </cell>
        </row>
        <row r="1728">
          <cell r="I1728">
            <v>6.9140099999999996E-2</v>
          </cell>
        </row>
        <row r="1729">
          <cell r="I1729">
            <v>6.9180099999999994E-2</v>
          </cell>
        </row>
        <row r="1730">
          <cell r="I1730">
            <v>6.9220100000000007E-2</v>
          </cell>
        </row>
        <row r="1731">
          <cell r="I1731">
            <v>6.9260100000000005E-2</v>
          </cell>
        </row>
        <row r="1732">
          <cell r="I1732">
            <v>6.9300100000000003E-2</v>
          </cell>
        </row>
        <row r="1733">
          <cell r="I1733">
            <v>6.9340100000000002E-2</v>
          </cell>
        </row>
        <row r="1734">
          <cell r="I1734">
            <v>6.93801E-2</v>
          </cell>
        </row>
        <row r="1735">
          <cell r="I1735">
            <v>6.9420099999999998E-2</v>
          </cell>
        </row>
        <row r="1736">
          <cell r="I1736">
            <v>6.9460099999999997E-2</v>
          </cell>
        </row>
        <row r="1737">
          <cell r="I1737">
            <v>6.9500099999999995E-2</v>
          </cell>
        </row>
        <row r="1738">
          <cell r="I1738">
            <v>6.9540099999999994E-2</v>
          </cell>
        </row>
        <row r="1739">
          <cell r="I1739">
            <v>6.9580100000000006E-2</v>
          </cell>
        </row>
        <row r="1740">
          <cell r="I1740">
            <v>6.9620100000000004E-2</v>
          </cell>
        </row>
        <row r="1741">
          <cell r="I1741">
            <v>6.9660100000000003E-2</v>
          </cell>
        </row>
        <row r="1742">
          <cell r="I1742">
            <v>6.9700100000000001E-2</v>
          </cell>
        </row>
        <row r="1743">
          <cell r="I1743">
            <v>6.9740099999999999E-2</v>
          </cell>
        </row>
        <row r="1744">
          <cell r="I1744">
            <v>6.9780099999999998E-2</v>
          </cell>
        </row>
        <row r="1745">
          <cell r="I1745">
            <v>6.9820099999999996E-2</v>
          </cell>
        </row>
        <row r="1746">
          <cell r="I1746">
            <v>6.9860099999999994E-2</v>
          </cell>
        </row>
        <row r="1747">
          <cell r="I1747">
            <v>6.9900100000000007E-2</v>
          </cell>
        </row>
        <row r="1748">
          <cell r="I1748">
            <v>6.9940100000000005E-2</v>
          </cell>
        </row>
        <row r="1749">
          <cell r="I1749">
            <v>6.9980100000000003E-2</v>
          </cell>
        </row>
        <row r="1750">
          <cell r="I1750">
            <v>7.0020100000000002E-2</v>
          </cell>
        </row>
        <row r="1751">
          <cell r="I1751">
            <v>7.00601E-2</v>
          </cell>
        </row>
        <row r="1752">
          <cell r="I1752">
            <v>7.0100099999999999E-2</v>
          </cell>
        </row>
        <row r="1753">
          <cell r="I1753">
            <v>7.0140099999999997E-2</v>
          </cell>
        </row>
        <row r="1754">
          <cell r="I1754">
            <v>7.0180099999999995E-2</v>
          </cell>
        </row>
        <row r="1755">
          <cell r="I1755">
            <v>7.0220099999999994E-2</v>
          </cell>
        </row>
        <row r="1756">
          <cell r="I1756">
            <v>7.0260100000000006E-2</v>
          </cell>
        </row>
        <row r="1757">
          <cell r="I1757">
            <v>7.0300100000000004E-2</v>
          </cell>
        </row>
        <row r="1758">
          <cell r="I1758">
            <v>7.0340100000000003E-2</v>
          </cell>
        </row>
        <row r="1759">
          <cell r="I1759">
            <v>7.0380100000000001E-2</v>
          </cell>
        </row>
        <row r="1760">
          <cell r="I1760">
            <v>7.0420099999999999E-2</v>
          </cell>
        </row>
        <row r="1761">
          <cell r="I1761">
            <v>7.0460099999999998E-2</v>
          </cell>
        </row>
        <row r="1762">
          <cell r="I1762">
            <v>7.0500099999999996E-2</v>
          </cell>
        </row>
        <row r="1763">
          <cell r="I1763">
            <v>7.0540099999999994E-2</v>
          </cell>
        </row>
        <row r="1764">
          <cell r="I1764">
            <v>7.0580100000000007E-2</v>
          </cell>
        </row>
        <row r="1765">
          <cell r="I1765">
            <v>7.0620100000000005E-2</v>
          </cell>
        </row>
        <row r="1766">
          <cell r="I1766">
            <v>7.0660100000000003E-2</v>
          </cell>
        </row>
        <row r="1767">
          <cell r="I1767">
            <v>7.0700100000000002E-2</v>
          </cell>
        </row>
        <row r="1768">
          <cell r="I1768">
            <v>7.07401E-2</v>
          </cell>
        </row>
        <row r="1769">
          <cell r="I1769">
            <v>7.0780099999999999E-2</v>
          </cell>
        </row>
        <row r="1770">
          <cell r="I1770">
            <v>7.0820099999999997E-2</v>
          </cell>
        </row>
        <row r="1771">
          <cell r="I1771">
            <v>7.0860099999999995E-2</v>
          </cell>
        </row>
        <row r="1772">
          <cell r="I1772">
            <v>7.0900099999999994E-2</v>
          </cell>
        </row>
        <row r="1773">
          <cell r="I1773">
            <v>7.0940100000000006E-2</v>
          </cell>
        </row>
        <row r="1774">
          <cell r="I1774">
            <v>7.0980100000000004E-2</v>
          </cell>
        </row>
        <row r="1775">
          <cell r="I1775">
            <v>7.1020100000000003E-2</v>
          </cell>
        </row>
        <row r="1776">
          <cell r="I1776">
            <v>7.1060100000000001E-2</v>
          </cell>
        </row>
        <row r="1777">
          <cell r="I1777">
            <v>7.1100099999999999E-2</v>
          </cell>
        </row>
        <row r="1778">
          <cell r="I1778">
            <v>7.1140099999999998E-2</v>
          </cell>
        </row>
        <row r="1779">
          <cell r="I1779">
            <v>7.1180099999999996E-2</v>
          </cell>
        </row>
        <row r="1780">
          <cell r="I1780">
            <v>7.1220099999999995E-2</v>
          </cell>
        </row>
        <row r="1781">
          <cell r="I1781">
            <v>7.1260100000000007E-2</v>
          </cell>
        </row>
        <row r="1782">
          <cell r="I1782">
            <v>7.1300100000000005E-2</v>
          </cell>
        </row>
        <row r="1783">
          <cell r="I1783">
            <v>7.1340100000000004E-2</v>
          </cell>
        </row>
        <row r="1784">
          <cell r="I1784">
            <v>7.1380100000000002E-2</v>
          </cell>
        </row>
        <row r="1785">
          <cell r="I1785">
            <v>7.14201E-2</v>
          </cell>
        </row>
        <row r="1786">
          <cell r="I1786">
            <v>7.1460099999999999E-2</v>
          </cell>
        </row>
        <row r="1787">
          <cell r="I1787">
            <v>7.1500099999999997E-2</v>
          </cell>
        </row>
        <row r="1788">
          <cell r="I1788">
            <v>7.1540099999999995E-2</v>
          </cell>
        </row>
        <row r="1789">
          <cell r="I1789">
            <v>7.1580099999999994E-2</v>
          </cell>
        </row>
        <row r="1790">
          <cell r="I1790">
            <v>7.1620100000000006E-2</v>
          </cell>
        </row>
        <row r="1791">
          <cell r="I1791">
            <v>7.1660100000000004E-2</v>
          </cell>
        </row>
        <row r="1792">
          <cell r="I1792">
            <v>7.1700100000000003E-2</v>
          </cell>
        </row>
        <row r="1793">
          <cell r="I1793">
            <v>7.1740100000000001E-2</v>
          </cell>
        </row>
        <row r="1794">
          <cell r="I1794">
            <v>7.1780099999999999E-2</v>
          </cell>
        </row>
        <row r="1795">
          <cell r="I1795">
            <v>7.1820099999999998E-2</v>
          </cell>
        </row>
        <row r="1796">
          <cell r="I1796">
            <v>7.1860099999999996E-2</v>
          </cell>
        </row>
        <row r="1797">
          <cell r="I1797">
            <v>7.1900099999999995E-2</v>
          </cell>
        </row>
        <row r="1798">
          <cell r="I1798">
            <v>7.1940100000000007E-2</v>
          </cell>
        </row>
        <row r="1799">
          <cell r="I1799">
            <v>7.1980100000000005E-2</v>
          </cell>
        </row>
        <row r="1800">
          <cell r="I1800">
            <v>7.2020100000000004E-2</v>
          </cell>
        </row>
        <row r="1801">
          <cell r="I1801">
            <v>7.2060100000000002E-2</v>
          </cell>
        </row>
        <row r="1802">
          <cell r="I1802">
            <v>7.21001E-2</v>
          </cell>
        </row>
        <row r="1803">
          <cell r="I1803">
            <v>7.2140099999999999E-2</v>
          </cell>
        </row>
        <row r="1804">
          <cell r="I1804">
            <v>7.2180099999999997E-2</v>
          </cell>
        </row>
        <row r="1805">
          <cell r="I1805">
            <v>7.2220099999999995E-2</v>
          </cell>
        </row>
        <row r="1806">
          <cell r="I1806">
            <v>7.2260099999999994E-2</v>
          </cell>
        </row>
        <row r="1807">
          <cell r="I1807">
            <v>7.2300100000000006E-2</v>
          </cell>
        </row>
        <row r="1808">
          <cell r="I1808">
            <v>7.2340100000000004E-2</v>
          </cell>
        </row>
        <row r="1809">
          <cell r="I1809">
            <v>7.2380100000000003E-2</v>
          </cell>
        </row>
        <row r="1810">
          <cell r="I1810">
            <v>7.2420100000000001E-2</v>
          </cell>
        </row>
        <row r="1811">
          <cell r="I1811">
            <v>7.24601E-2</v>
          </cell>
        </row>
        <row r="1812">
          <cell r="I1812">
            <v>7.2500099999999998E-2</v>
          </cell>
        </row>
        <row r="1813">
          <cell r="I1813">
            <v>7.2540099999999996E-2</v>
          </cell>
        </row>
        <row r="1814">
          <cell r="I1814">
            <v>7.2580099999999995E-2</v>
          </cell>
        </row>
        <row r="1815">
          <cell r="I1815">
            <v>7.2620100000000007E-2</v>
          </cell>
        </row>
        <row r="1816">
          <cell r="I1816">
            <v>7.2660100000000005E-2</v>
          </cell>
        </row>
        <row r="1817">
          <cell r="I1817">
            <v>7.2700100000000004E-2</v>
          </cell>
        </row>
        <row r="1818">
          <cell r="I1818">
            <v>7.2740100000000002E-2</v>
          </cell>
        </row>
        <row r="1819">
          <cell r="I1819">
            <v>7.27801E-2</v>
          </cell>
        </row>
        <row r="1820">
          <cell r="I1820">
            <v>7.2820099999999999E-2</v>
          </cell>
        </row>
        <row r="1821">
          <cell r="I1821">
            <v>7.2860099999999997E-2</v>
          </cell>
        </row>
        <row r="1822">
          <cell r="I1822">
            <v>7.2900099999999995E-2</v>
          </cell>
        </row>
        <row r="1823">
          <cell r="I1823">
            <v>7.2940099999999994E-2</v>
          </cell>
        </row>
        <row r="1824">
          <cell r="I1824">
            <v>7.2980100000000006E-2</v>
          </cell>
        </row>
        <row r="1825">
          <cell r="I1825">
            <v>7.3020100000000004E-2</v>
          </cell>
        </row>
        <row r="1826">
          <cell r="I1826">
            <v>7.3060100000000003E-2</v>
          </cell>
        </row>
        <row r="1827">
          <cell r="I1827">
            <v>7.3100100000000001E-2</v>
          </cell>
        </row>
        <row r="1828">
          <cell r="I1828">
            <v>7.31401E-2</v>
          </cell>
        </row>
        <row r="1829">
          <cell r="I1829">
            <v>7.3180099999999998E-2</v>
          </cell>
        </row>
        <row r="1830">
          <cell r="I1830">
            <v>7.3220099999999996E-2</v>
          </cell>
        </row>
        <row r="1831">
          <cell r="I1831">
            <v>7.3260099999999995E-2</v>
          </cell>
        </row>
        <row r="1832">
          <cell r="I1832">
            <v>7.3300100000000007E-2</v>
          </cell>
        </row>
        <row r="1833">
          <cell r="I1833">
            <v>7.3340100000000005E-2</v>
          </cell>
        </row>
        <row r="1834">
          <cell r="I1834">
            <v>7.3380100000000004E-2</v>
          </cell>
        </row>
        <row r="1835">
          <cell r="I1835">
            <v>7.3420100000000002E-2</v>
          </cell>
        </row>
        <row r="1836">
          <cell r="I1836">
            <v>7.34601E-2</v>
          </cell>
        </row>
        <row r="1837">
          <cell r="I1837">
            <v>7.3500099999999999E-2</v>
          </cell>
        </row>
        <row r="1838">
          <cell r="I1838">
            <v>7.3540099999999997E-2</v>
          </cell>
        </row>
        <row r="1839">
          <cell r="I1839">
            <v>7.3580099999999996E-2</v>
          </cell>
        </row>
        <row r="1840">
          <cell r="I1840">
            <v>7.3620099999999994E-2</v>
          </cell>
        </row>
        <row r="1841">
          <cell r="I1841">
            <v>7.3660100000000006E-2</v>
          </cell>
        </row>
        <row r="1842">
          <cell r="I1842">
            <v>7.3700100000000004E-2</v>
          </cell>
        </row>
        <row r="1843">
          <cell r="I1843">
            <v>7.3740100000000003E-2</v>
          </cell>
        </row>
        <row r="1844">
          <cell r="I1844">
            <v>7.3780100000000001E-2</v>
          </cell>
        </row>
        <row r="1845">
          <cell r="I1845">
            <v>7.38201E-2</v>
          </cell>
        </row>
        <row r="1846">
          <cell r="I1846">
            <v>7.3860099999999998E-2</v>
          </cell>
        </row>
        <row r="1847">
          <cell r="I1847">
            <v>7.3900099999999996E-2</v>
          </cell>
        </row>
        <row r="1848">
          <cell r="I1848">
            <v>7.3940099999999995E-2</v>
          </cell>
        </row>
        <row r="1849">
          <cell r="I1849">
            <v>7.3980099999999993E-2</v>
          </cell>
        </row>
        <row r="1850">
          <cell r="I1850">
            <v>7.4020100000000005E-2</v>
          </cell>
        </row>
        <row r="1851">
          <cell r="I1851">
            <v>7.4060100000000004E-2</v>
          </cell>
        </row>
        <row r="1852">
          <cell r="I1852">
            <v>7.4100100000000002E-2</v>
          </cell>
        </row>
        <row r="1853">
          <cell r="I1853">
            <v>7.41401E-2</v>
          </cell>
        </row>
        <row r="1854">
          <cell r="I1854">
            <v>7.4180099999999999E-2</v>
          </cell>
        </row>
        <row r="1855">
          <cell r="I1855">
            <v>7.4220099999999997E-2</v>
          </cell>
        </row>
        <row r="1856">
          <cell r="I1856">
            <v>7.4260099999999996E-2</v>
          </cell>
        </row>
        <row r="1857">
          <cell r="I1857">
            <v>7.4300099999999994E-2</v>
          </cell>
        </row>
        <row r="1858">
          <cell r="I1858">
            <v>7.4340100000000006E-2</v>
          </cell>
        </row>
        <row r="1859">
          <cell r="I1859">
            <v>7.4380100000000005E-2</v>
          </cell>
        </row>
        <row r="1860">
          <cell r="I1860">
            <v>7.4420100000000003E-2</v>
          </cell>
        </row>
        <row r="1861">
          <cell r="I1861">
            <v>7.4460100000000001E-2</v>
          </cell>
        </row>
        <row r="1862">
          <cell r="I1862">
            <v>7.45001E-2</v>
          </cell>
        </row>
        <row r="1863">
          <cell r="I1863">
            <v>7.4540099999999998E-2</v>
          </cell>
        </row>
        <row r="1864">
          <cell r="I1864">
            <v>7.4580099999999996E-2</v>
          </cell>
        </row>
        <row r="1865">
          <cell r="I1865">
            <v>7.4620099999999995E-2</v>
          </cell>
        </row>
        <row r="1866">
          <cell r="I1866">
            <v>7.4660099999999993E-2</v>
          </cell>
        </row>
        <row r="1867">
          <cell r="I1867">
            <v>7.4700100000000005E-2</v>
          </cell>
        </row>
        <row r="1868">
          <cell r="I1868">
            <v>7.4740100000000004E-2</v>
          </cell>
        </row>
        <row r="1869">
          <cell r="I1869">
            <v>7.4780100000000002E-2</v>
          </cell>
        </row>
        <row r="1870">
          <cell r="I1870">
            <v>7.48201E-2</v>
          </cell>
        </row>
        <row r="1871">
          <cell r="I1871">
            <v>7.4860099999999999E-2</v>
          </cell>
        </row>
        <row r="1872">
          <cell r="I1872">
            <v>7.4900099999999997E-2</v>
          </cell>
        </row>
        <row r="1873">
          <cell r="I1873">
            <v>7.4940099999999996E-2</v>
          </cell>
        </row>
        <row r="1874">
          <cell r="I1874">
            <v>7.4980099999999994E-2</v>
          </cell>
        </row>
        <row r="1875">
          <cell r="I1875">
            <v>7.5020100000000006E-2</v>
          </cell>
        </row>
        <row r="1876">
          <cell r="I1876">
            <v>7.5060100000000005E-2</v>
          </cell>
        </row>
        <row r="1877">
          <cell r="I1877">
            <v>7.5100100000000003E-2</v>
          </cell>
        </row>
        <row r="1878">
          <cell r="I1878">
            <v>7.5140100000000001E-2</v>
          </cell>
        </row>
        <row r="1879">
          <cell r="I1879">
            <v>7.51801E-2</v>
          </cell>
        </row>
        <row r="1880">
          <cell r="I1880">
            <v>7.5220099999999998E-2</v>
          </cell>
        </row>
        <row r="1881">
          <cell r="I1881">
            <v>7.5260099999999996E-2</v>
          </cell>
        </row>
        <row r="1882">
          <cell r="I1882">
            <v>7.5300099999999995E-2</v>
          </cell>
        </row>
        <row r="1883">
          <cell r="I1883">
            <v>7.5340099999999993E-2</v>
          </cell>
        </row>
        <row r="1884">
          <cell r="I1884">
            <v>7.5380100000000005E-2</v>
          </cell>
        </row>
        <row r="1885">
          <cell r="I1885">
            <v>7.5420100000000004E-2</v>
          </cell>
        </row>
        <row r="1886">
          <cell r="I1886">
            <v>7.5460100000000002E-2</v>
          </cell>
        </row>
        <row r="1887">
          <cell r="I1887">
            <v>7.5500100000000001E-2</v>
          </cell>
        </row>
        <row r="1888">
          <cell r="I1888">
            <v>7.5540099999999999E-2</v>
          </cell>
        </row>
        <row r="1889">
          <cell r="I1889">
            <v>7.5580099999999997E-2</v>
          </cell>
        </row>
        <row r="1890">
          <cell r="I1890">
            <v>7.5620099999999996E-2</v>
          </cell>
        </row>
        <row r="1891">
          <cell r="I1891">
            <v>7.5660099999999994E-2</v>
          </cell>
        </row>
        <row r="1892">
          <cell r="I1892">
            <v>7.5700100000000006E-2</v>
          </cell>
        </row>
        <row r="1893">
          <cell r="I1893">
            <v>7.5740100000000005E-2</v>
          </cell>
        </row>
        <row r="1894">
          <cell r="I1894">
            <v>7.5780100000000003E-2</v>
          </cell>
        </row>
        <row r="1895">
          <cell r="I1895">
            <v>7.5820100000000001E-2</v>
          </cell>
        </row>
        <row r="1896">
          <cell r="I1896">
            <v>7.58601E-2</v>
          </cell>
        </row>
        <row r="1897">
          <cell r="I1897">
            <v>7.5900099999999998E-2</v>
          </cell>
        </row>
        <row r="1898">
          <cell r="I1898">
            <v>7.5940099999999996E-2</v>
          </cell>
        </row>
        <row r="1899">
          <cell r="I1899">
            <v>7.5980099999999995E-2</v>
          </cell>
        </row>
        <row r="1900">
          <cell r="I1900">
            <v>7.6020099999999993E-2</v>
          </cell>
        </row>
        <row r="1901">
          <cell r="I1901">
            <v>7.6060100000000005E-2</v>
          </cell>
        </row>
        <row r="1902">
          <cell r="I1902">
            <v>7.6100100000000004E-2</v>
          </cell>
        </row>
        <row r="1903">
          <cell r="I1903">
            <v>7.6140100000000002E-2</v>
          </cell>
        </row>
        <row r="1904">
          <cell r="I1904">
            <v>7.6180100000000001E-2</v>
          </cell>
        </row>
        <row r="1905">
          <cell r="I1905">
            <v>7.6220099999999999E-2</v>
          </cell>
        </row>
        <row r="1906">
          <cell r="I1906">
            <v>7.6260099999999997E-2</v>
          </cell>
        </row>
        <row r="1907">
          <cell r="I1907">
            <v>7.6300099999999996E-2</v>
          </cell>
        </row>
        <row r="1908">
          <cell r="I1908">
            <v>7.6340099999999994E-2</v>
          </cell>
        </row>
        <row r="1909">
          <cell r="I1909">
            <v>7.6380100000000006E-2</v>
          </cell>
        </row>
        <row r="1910">
          <cell r="I1910">
            <v>7.6420100000000005E-2</v>
          </cell>
        </row>
        <row r="1911">
          <cell r="I1911">
            <v>7.6460100000000003E-2</v>
          </cell>
        </row>
        <row r="1912">
          <cell r="I1912">
            <v>7.6500100000000001E-2</v>
          </cell>
        </row>
        <row r="1913">
          <cell r="I1913">
            <v>7.65401E-2</v>
          </cell>
        </row>
        <row r="1914">
          <cell r="I1914">
            <v>7.6580099999999998E-2</v>
          </cell>
        </row>
        <row r="1915">
          <cell r="I1915">
            <v>7.6620099999999997E-2</v>
          </cell>
        </row>
        <row r="1916">
          <cell r="I1916">
            <v>7.6660099999999995E-2</v>
          </cell>
        </row>
        <row r="1917">
          <cell r="I1917">
            <v>7.6700099999999993E-2</v>
          </cell>
        </row>
        <row r="1918">
          <cell r="I1918">
            <v>7.6740100000000006E-2</v>
          </cell>
        </row>
        <row r="1919">
          <cell r="I1919">
            <v>7.6780100000000004E-2</v>
          </cell>
        </row>
        <row r="1920">
          <cell r="I1920">
            <v>7.6820100000000002E-2</v>
          </cell>
        </row>
        <row r="1921">
          <cell r="I1921">
            <v>7.6860100000000001E-2</v>
          </cell>
        </row>
        <row r="1922">
          <cell r="I1922">
            <v>7.6900099999999999E-2</v>
          </cell>
        </row>
        <row r="1923">
          <cell r="I1923">
            <v>7.6940099999999997E-2</v>
          </cell>
        </row>
        <row r="1924">
          <cell r="I1924">
            <v>7.6980099999999996E-2</v>
          </cell>
        </row>
        <row r="1925">
          <cell r="I1925">
            <v>7.7020099999999994E-2</v>
          </cell>
        </row>
        <row r="1926">
          <cell r="I1926">
            <v>7.7060100000000006E-2</v>
          </cell>
        </row>
        <row r="1927">
          <cell r="I1927">
            <v>7.7100100000000005E-2</v>
          </cell>
        </row>
        <row r="1928">
          <cell r="I1928">
            <v>7.7140100000000003E-2</v>
          </cell>
        </row>
        <row r="1929">
          <cell r="I1929">
            <v>7.7180100000000001E-2</v>
          </cell>
        </row>
        <row r="1930">
          <cell r="I1930">
            <v>7.72201E-2</v>
          </cell>
        </row>
        <row r="1931">
          <cell r="I1931">
            <v>7.7260099999999998E-2</v>
          </cell>
        </row>
        <row r="1932">
          <cell r="I1932">
            <v>7.7300099999999997E-2</v>
          </cell>
        </row>
        <row r="1933">
          <cell r="I1933">
            <v>7.7340099999999995E-2</v>
          </cell>
        </row>
        <row r="1934">
          <cell r="I1934">
            <v>7.7380099999999993E-2</v>
          </cell>
        </row>
        <row r="1935">
          <cell r="I1935">
            <v>7.7420100000000006E-2</v>
          </cell>
        </row>
        <row r="1936">
          <cell r="I1936">
            <v>7.7460100000000004E-2</v>
          </cell>
        </row>
        <row r="1937">
          <cell r="I1937">
            <v>7.7500100000000002E-2</v>
          </cell>
        </row>
        <row r="1938">
          <cell r="I1938">
            <v>7.7540100000000001E-2</v>
          </cell>
        </row>
        <row r="1939">
          <cell r="I1939">
            <v>7.7580099999999999E-2</v>
          </cell>
        </row>
        <row r="1940">
          <cell r="I1940">
            <v>7.7620099999999997E-2</v>
          </cell>
        </row>
        <row r="1941">
          <cell r="I1941">
            <v>7.7660099999999996E-2</v>
          </cell>
        </row>
        <row r="1942">
          <cell r="I1942">
            <v>7.7700099999999994E-2</v>
          </cell>
        </row>
        <row r="1943">
          <cell r="I1943">
            <v>7.7740100000000006E-2</v>
          </cell>
        </row>
        <row r="1944">
          <cell r="I1944">
            <v>7.7780100000000005E-2</v>
          </cell>
        </row>
        <row r="1945">
          <cell r="I1945">
            <v>7.7820100000000003E-2</v>
          </cell>
        </row>
        <row r="1946">
          <cell r="I1946">
            <v>7.7860100000000002E-2</v>
          </cell>
        </row>
        <row r="1947">
          <cell r="I1947">
            <v>7.79001E-2</v>
          </cell>
        </row>
        <row r="1948">
          <cell r="I1948">
            <v>7.7940099999999998E-2</v>
          </cell>
        </row>
        <row r="1949">
          <cell r="I1949">
            <v>7.7980099999999997E-2</v>
          </cell>
        </row>
        <row r="1950">
          <cell r="I1950">
            <v>7.8020099999999995E-2</v>
          </cell>
        </row>
        <row r="1951">
          <cell r="I1951">
            <v>7.8060099999999993E-2</v>
          </cell>
        </row>
        <row r="1952">
          <cell r="I1952">
            <v>7.8100100000000006E-2</v>
          </cell>
        </row>
        <row r="1953">
          <cell r="I1953">
            <v>7.8140100000000004E-2</v>
          </cell>
        </row>
        <row r="1954">
          <cell r="I1954">
            <v>7.8180100000000002E-2</v>
          </cell>
        </row>
        <row r="1955">
          <cell r="I1955">
            <v>7.8220100000000001E-2</v>
          </cell>
        </row>
        <row r="1956">
          <cell r="I1956">
            <v>7.8260099999999999E-2</v>
          </cell>
        </row>
        <row r="1957">
          <cell r="I1957">
            <v>7.8300099999999997E-2</v>
          </cell>
        </row>
        <row r="1958">
          <cell r="I1958">
            <v>7.8340099999999996E-2</v>
          </cell>
        </row>
        <row r="1959">
          <cell r="I1959">
            <v>7.8380099999999994E-2</v>
          </cell>
        </row>
        <row r="1960">
          <cell r="I1960">
            <v>7.8420100000000006E-2</v>
          </cell>
        </row>
        <row r="1961">
          <cell r="I1961">
            <v>7.8460100000000005E-2</v>
          </cell>
        </row>
        <row r="1962">
          <cell r="I1962">
            <v>7.8500100000000003E-2</v>
          </cell>
        </row>
        <row r="1963">
          <cell r="I1963">
            <v>7.8540100000000002E-2</v>
          </cell>
        </row>
        <row r="1964">
          <cell r="I1964">
            <v>7.85801E-2</v>
          </cell>
        </row>
        <row r="1965">
          <cell r="I1965">
            <v>7.8620099999999998E-2</v>
          </cell>
        </row>
        <row r="1966">
          <cell r="I1966">
            <v>7.8660099999999997E-2</v>
          </cell>
        </row>
        <row r="1967">
          <cell r="I1967">
            <v>7.8700099999999995E-2</v>
          </cell>
        </row>
        <row r="1968">
          <cell r="I1968">
            <v>7.8740099999999993E-2</v>
          </cell>
        </row>
        <row r="1969">
          <cell r="I1969">
            <v>7.8780100000000006E-2</v>
          </cell>
        </row>
        <row r="1970">
          <cell r="I1970">
            <v>7.8820100000000004E-2</v>
          </cell>
        </row>
        <row r="1971">
          <cell r="I1971">
            <v>7.8860100000000002E-2</v>
          </cell>
        </row>
        <row r="1972">
          <cell r="I1972">
            <v>7.8900100000000001E-2</v>
          </cell>
        </row>
        <row r="1973">
          <cell r="I1973">
            <v>7.8940099999999999E-2</v>
          </cell>
        </row>
        <row r="1974">
          <cell r="I1974">
            <v>7.8980099999999998E-2</v>
          </cell>
        </row>
        <row r="1975">
          <cell r="I1975">
            <v>7.9020099999999996E-2</v>
          </cell>
        </row>
        <row r="1976">
          <cell r="I1976">
            <v>7.9060099999999994E-2</v>
          </cell>
        </row>
        <row r="1977">
          <cell r="I1977">
            <v>7.9100100000000007E-2</v>
          </cell>
        </row>
        <row r="1978">
          <cell r="I1978">
            <v>7.9140100000000005E-2</v>
          </cell>
        </row>
        <row r="1979">
          <cell r="I1979">
            <v>7.9180100000000003E-2</v>
          </cell>
        </row>
        <row r="1980">
          <cell r="I1980">
            <v>7.9220100000000002E-2</v>
          </cell>
        </row>
        <row r="1981">
          <cell r="I1981">
            <v>7.92601E-2</v>
          </cell>
        </row>
        <row r="1982">
          <cell r="I1982">
            <v>7.9300099999999998E-2</v>
          </cell>
        </row>
        <row r="1983">
          <cell r="I1983">
            <v>7.9340099999999997E-2</v>
          </cell>
        </row>
        <row r="1984">
          <cell r="I1984">
            <v>7.9380099999999995E-2</v>
          </cell>
        </row>
        <row r="1985">
          <cell r="I1985">
            <v>7.9420099999999993E-2</v>
          </cell>
        </row>
        <row r="1986">
          <cell r="I1986">
            <v>7.9460100000000006E-2</v>
          </cell>
        </row>
        <row r="1987">
          <cell r="I1987">
            <v>7.9500100000000004E-2</v>
          </cell>
        </row>
        <row r="1988">
          <cell r="I1988">
            <v>7.9540100000000002E-2</v>
          </cell>
        </row>
        <row r="1989">
          <cell r="I1989">
            <v>7.9580100000000001E-2</v>
          </cell>
        </row>
        <row r="1990">
          <cell r="I1990">
            <v>7.9620099999999999E-2</v>
          </cell>
        </row>
        <row r="1991">
          <cell r="I1991">
            <v>7.9660099999999998E-2</v>
          </cell>
        </row>
        <row r="1992">
          <cell r="I1992">
            <v>7.9700099999999996E-2</v>
          </cell>
        </row>
        <row r="1993">
          <cell r="I1993">
            <v>7.9740099999999994E-2</v>
          </cell>
        </row>
        <row r="1994">
          <cell r="I1994">
            <v>7.9780100000000007E-2</v>
          </cell>
        </row>
        <row r="1995">
          <cell r="I1995">
            <v>7.9820100000000005E-2</v>
          </cell>
        </row>
        <row r="1996">
          <cell r="I1996">
            <v>7.9860100000000003E-2</v>
          </cell>
        </row>
        <row r="1997">
          <cell r="I1997">
            <v>7.9900100000000002E-2</v>
          </cell>
        </row>
        <row r="1998">
          <cell r="I1998">
            <v>7.99401E-2</v>
          </cell>
        </row>
        <row r="1999">
          <cell r="I1999">
            <v>7.9980099999999998E-2</v>
          </cell>
        </row>
        <row r="2000">
          <cell r="I2000">
            <v>8.0020099999999997E-2</v>
          </cell>
        </row>
        <row r="2001">
          <cell r="I2001">
            <v>8.0060099999999995E-2</v>
          </cell>
        </row>
        <row r="2002">
          <cell r="I2002">
            <v>8.0100099999999994E-2</v>
          </cell>
        </row>
        <row r="2003">
          <cell r="I2003">
            <v>8.0140100000000006E-2</v>
          </cell>
        </row>
        <row r="2004">
          <cell r="I2004">
            <v>8.0180100000000004E-2</v>
          </cell>
        </row>
        <row r="2005">
          <cell r="I2005">
            <v>8.0220100000000003E-2</v>
          </cell>
        </row>
        <row r="2006">
          <cell r="I2006">
            <v>8.0260100000000001E-2</v>
          </cell>
        </row>
        <row r="2007">
          <cell r="I2007">
            <v>8.0300099999999999E-2</v>
          </cell>
        </row>
        <row r="2008">
          <cell r="I2008">
            <v>8.0340099999999998E-2</v>
          </cell>
        </row>
        <row r="2009">
          <cell r="I2009">
            <v>8.0380099999999996E-2</v>
          </cell>
        </row>
        <row r="2010">
          <cell r="I2010">
            <v>8.0420099999999994E-2</v>
          </cell>
        </row>
        <row r="2011">
          <cell r="I2011">
            <v>8.0460100000000007E-2</v>
          </cell>
        </row>
        <row r="2012">
          <cell r="I2012">
            <v>8.0500100000000005E-2</v>
          </cell>
        </row>
        <row r="2013">
          <cell r="I2013">
            <v>8.0540100000000003E-2</v>
          </cell>
        </row>
        <row r="2014">
          <cell r="I2014">
            <v>8.0580100000000002E-2</v>
          </cell>
        </row>
        <row r="2015">
          <cell r="I2015">
            <v>8.06201E-2</v>
          </cell>
        </row>
        <row r="2016">
          <cell r="I2016">
            <v>8.0660099999999998E-2</v>
          </cell>
        </row>
        <row r="2017">
          <cell r="I2017">
            <v>8.0700099999999997E-2</v>
          </cell>
        </row>
        <row r="2018">
          <cell r="I2018">
            <v>8.0740099999999995E-2</v>
          </cell>
        </row>
        <row r="2019">
          <cell r="I2019">
            <v>8.0780099999999994E-2</v>
          </cell>
        </row>
        <row r="2020">
          <cell r="I2020">
            <v>8.0820100000000006E-2</v>
          </cell>
        </row>
        <row r="2021">
          <cell r="I2021">
            <v>8.0860100000000004E-2</v>
          </cell>
        </row>
        <row r="2022">
          <cell r="I2022">
            <v>8.0900100000000003E-2</v>
          </cell>
        </row>
        <row r="2023">
          <cell r="I2023">
            <v>8.0940100000000001E-2</v>
          </cell>
        </row>
        <row r="2024">
          <cell r="I2024">
            <v>8.0980099999999999E-2</v>
          </cell>
        </row>
        <row r="2025">
          <cell r="I2025">
            <v>8.1020099999999998E-2</v>
          </cell>
        </row>
        <row r="2026">
          <cell r="I2026">
            <v>8.1060099999999996E-2</v>
          </cell>
        </row>
        <row r="2027">
          <cell r="I2027">
            <v>8.1100099999999994E-2</v>
          </cell>
        </row>
        <row r="2028">
          <cell r="I2028">
            <v>8.1140100000000007E-2</v>
          </cell>
        </row>
        <row r="2029">
          <cell r="I2029">
            <v>8.1180100000000005E-2</v>
          </cell>
        </row>
        <row r="2030">
          <cell r="I2030">
            <v>8.1220100000000003E-2</v>
          </cell>
        </row>
        <row r="2031">
          <cell r="I2031">
            <v>8.1260100000000002E-2</v>
          </cell>
        </row>
        <row r="2032">
          <cell r="I2032">
            <v>8.13001E-2</v>
          </cell>
        </row>
        <row r="2033">
          <cell r="I2033">
            <v>8.1340099999999999E-2</v>
          </cell>
        </row>
        <row r="2034">
          <cell r="I2034">
            <v>8.1380099999999997E-2</v>
          </cell>
        </row>
        <row r="2035">
          <cell r="I2035">
            <v>8.1420099999999995E-2</v>
          </cell>
        </row>
        <row r="2036">
          <cell r="I2036">
            <v>8.1460099999999994E-2</v>
          </cell>
        </row>
        <row r="2037">
          <cell r="I2037">
            <v>8.1500100000000006E-2</v>
          </cell>
        </row>
        <row r="2038">
          <cell r="I2038">
            <v>8.1540100000000004E-2</v>
          </cell>
        </row>
        <row r="2039">
          <cell r="I2039">
            <v>8.1580100000000003E-2</v>
          </cell>
        </row>
        <row r="2040">
          <cell r="I2040">
            <v>8.1620100000000001E-2</v>
          </cell>
        </row>
        <row r="2041">
          <cell r="I2041">
            <v>8.1660099999999999E-2</v>
          </cell>
        </row>
        <row r="2042">
          <cell r="I2042">
            <v>8.1700099999999998E-2</v>
          </cell>
        </row>
        <row r="2043">
          <cell r="I2043">
            <v>8.1740099999999996E-2</v>
          </cell>
        </row>
        <row r="2044">
          <cell r="I2044">
            <v>8.1780099999999994E-2</v>
          </cell>
        </row>
        <row r="2045">
          <cell r="I2045">
            <v>8.1820100000000007E-2</v>
          </cell>
        </row>
        <row r="2046">
          <cell r="I2046">
            <v>8.1860100000000005E-2</v>
          </cell>
        </row>
        <row r="2047">
          <cell r="I2047">
            <v>8.1900100000000003E-2</v>
          </cell>
        </row>
        <row r="2048">
          <cell r="I2048">
            <v>8.1940100000000002E-2</v>
          </cell>
        </row>
        <row r="2049">
          <cell r="I2049">
            <v>8.19801E-2</v>
          </cell>
        </row>
        <row r="2050">
          <cell r="I2050">
            <v>8.2020099999999999E-2</v>
          </cell>
        </row>
        <row r="2051">
          <cell r="I2051">
            <v>8.2060099999999997E-2</v>
          </cell>
        </row>
        <row r="2052">
          <cell r="I2052">
            <v>8.2100099999999995E-2</v>
          </cell>
        </row>
        <row r="2053">
          <cell r="I2053">
            <v>8.2140099999999994E-2</v>
          </cell>
        </row>
        <row r="2054">
          <cell r="I2054">
            <v>8.2180100000000006E-2</v>
          </cell>
        </row>
        <row r="2055">
          <cell r="I2055">
            <v>8.2220100000000004E-2</v>
          </cell>
        </row>
        <row r="2056">
          <cell r="I2056">
            <v>8.2260100000000003E-2</v>
          </cell>
        </row>
        <row r="2057">
          <cell r="I2057">
            <v>8.2300100000000001E-2</v>
          </cell>
        </row>
        <row r="2058">
          <cell r="I2058">
            <v>8.2340099999999999E-2</v>
          </cell>
        </row>
        <row r="2059">
          <cell r="I2059">
            <v>8.2380099999999998E-2</v>
          </cell>
        </row>
        <row r="2060">
          <cell r="I2060">
            <v>8.2420099999999996E-2</v>
          </cell>
        </row>
        <row r="2061">
          <cell r="I2061">
            <v>8.2460099999999995E-2</v>
          </cell>
        </row>
        <row r="2062">
          <cell r="I2062">
            <v>8.2500100000000007E-2</v>
          </cell>
        </row>
        <row r="2063">
          <cell r="I2063">
            <v>8.2540100000000005E-2</v>
          </cell>
        </row>
        <row r="2064">
          <cell r="I2064">
            <v>8.2580100000000004E-2</v>
          </cell>
        </row>
        <row r="2065">
          <cell r="I2065">
            <v>8.2620100000000002E-2</v>
          </cell>
        </row>
        <row r="2066">
          <cell r="I2066">
            <v>8.26601E-2</v>
          </cell>
        </row>
        <row r="2067">
          <cell r="I2067">
            <v>8.2700099999999999E-2</v>
          </cell>
        </row>
        <row r="2068">
          <cell r="I2068">
            <v>8.2740099999999997E-2</v>
          </cell>
        </row>
        <row r="2069">
          <cell r="I2069">
            <v>8.2780099999999995E-2</v>
          </cell>
        </row>
        <row r="2070">
          <cell r="I2070">
            <v>8.2820099999999994E-2</v>
          </cell>
        </row>
        <row r="2071">
          <cell r="I2071">
            <v>8.2860100000000006E-2</v>
          </cell>
        </row>
        <row r="2072">
          <cell r="I2072">
            <v>8.2900100000000004E-2</v>
          </cell>
        </row>
        <row r="2073">
          <cell r="I2073">
            <v>8.2940100000000003E-2</v>
          </cell>
        </row>
        <row r="2074">
          <cell r="I2074">
            <v>8.2980100000000001E-2</v>
          </cell>
        </row>
        <row r="2075">
          <cell r="I2075">
            <v>8.3020099999999999E-2</v>
          </cell>
        </row>
        <row r="2076">
          <cell r="I2076">
            <v>8.3060099999999998E-2</v>
          </cell>
        </row>
        <row r="2077">
          <cell r="I2077">
            <v>8.3100099999999996E-2</v>
          </cell>
        </row>
        <row r="2078">
          <cell r="I2078">
            <v>8.3140099999999995E-2</v>
          </cell>
        </row>
        <row r="2079">
          <cell r="I2079">
            <v>8.3180100000000007E-2</v>
          </cell>
        </row>
        <row r="2080">
          <cell r="I2080">
            <v>8.3220100000000005E-2</v>
          </cell>
        </row>
        <row r="2081">
          <cell r="I2081">
            <v>8.3260100000000004E-2</v>
          </cell>
        </row>
        <row r="2082">
          <cell r="I2082">
            <v>8.3300100000000002E-2</v>
          </cell>
        </row>
        <row r="2083">
          <cell r="I2083">
            <v>8.33401E-2</v>
          </cell>
        </row>
        <row r="2084">
          <cell r="I2084">
            <v>8.3380099999999999E-2</v>
          </cell>
        </row>
        <row r="2085">
          <cell r="I2085">
            <v>8.3420099999999997E-2</v>
          </cell>
        </row>
        <row r="2086">
          <cell r="I2086">
            <v>8.3460099999999995E-2</v>
          </cell>
        </row>
        <row r="2087">
          <cell r="I2087">
            <v>8.3500099999999994E-2</v>
          </cell>
        </row>
        <row r="2088">
          <cell r="I2088">
            <v>8.3540100000000006E-2</v>
          </cell>
        </row>
        <row r="2089">
          <cell r="I2089">
            <v>8.3580100000000004E-2</v>
          </cell>
        </row>
        <row r="2090">
          <cell r="I2090">
            <v>8.3620100000000003E-2</v>
          </cell>
        </row>
        <row r="2091">
          <cell r="I2091">
            <v>8.3660100000000001E-2</v>
          </cell>
        </row>
        <row r="2092">
          <cell r="I2092">
            <v>8.37001E-2</v>
          </cell>
        </row>
        <row r="2093">
          <cell r="I2093">
            <v>8.3740099999999998E-2</v>
          </cell>
        </row>
        <row r="2094">
          <cell r="I2094">
            <v>8.3780099999999996E-2</v>
          </cell>
        </row>
        <row r="2095">
          <cell r="I2095">
            <v>8.3820099999999995E-2</v>
          </cell>
        </row>
        <row r="2096">
          <cell r="I2096">
            <v>8.3860100000000007E-2</v>
          </cell>
        </row>
        <row r="2097">
          <cell r="I2097">
            <v>8.3900100000000005E-2</v>
          </cell>
        </row>
        <row r="2098">
          <cell r="I2098">
            <v>8.3940100000000004E-2</v>
          </cell>
        </row>
        <row r="2099">
          <cell r="I2099">
            <v>8.3980100000000002E-2</v>
          </cell>
        </row>
        <row r="2100">
          <cell r="I2100">
            <v>8.40201E-2</v>
          </cell>
        </row>
        <row r="2101">
          <cell r="I2101">
            <v>8.4060099999999999E-2</v>
          </cell>
        </row>
        <row r="2102">
          <cell r="I2102">
            <v>8.4100099999999997E-2</v>
          </cell>
        </row>
        <row r="2103">
          <cell r="I2103">
            <v>8.4140099999999995E-2</v>
          </cell>
        </row>
        <row r="2104">
          <cell r="I2104">
            <v>8.4180099999999994E-2</v>
          </cell>
        </row>
        <row r="2105">
          <cell r="I2105">
            <v>8.4220100000000006E-2</v>
          </cell>
        </row>
        <row r="2106">
          <cell r="I2106">
            <v>8.4260100000000004E-2</v>
          </cell>
        </row>
        <row r="2107">
          <cell r="I2107">
            <v>8.4300100000000003E-2</v>
          </cell>
        </row>
        <row r="2108">
          <cell r="I2108">
            <v>8.4340100000000001E-2</v>
          </cell>
        </row>
        <row r="2109">
          <cell r="I2109">
            <v>8.43801E-2</v>
          </cell>
        </row>
        <row r="2110">
          <cell r="I2110">
            <v>8.4420099999999998E-2</v>
          </cell>
        </row>
        <row r="2111">
          <cell r="I2111">
            <v>8.4460099999999996E-2</v>
          </cell>
        </row>
        <row r="2112">
          <cell r="I2112">
            <v>8.4500099999999995E-2</v>
          </cell>
        </row>
        <row r="2113">
          <cell r="I2113">
            <v>8.4540100000000007E-2</v>
          </cell>
        </row>
        <row r="2114">
          <cell r="I2114">
            <v>8.4580100000000005E-2</v>
          </cell>
        </row>
        <row r="2115">
          <cell r="I2115">
            <v>8.4620100000000004E-2</v>
          </cell>
        </row>
        <row r="2116">
          <cell r="I2116">
            <v>8.4660100000000002E-2</v>
          </cell>
        </row>
        <row r="2117">
          <cell r="I2117">
            <v>8.47001E-2</v>
          </cell>
        </row>
        <row r="2118">
          <cell r="I2118">
            <v>8.4740099999999999E-2</v>
          </cell>
        </row>
        <row r="2119">
          <cell r="I2119">
            <v>8.4780099999999997E-2</v>
          </cell>
        </row>
        <row r="2120">
          <cell r="I2120">
            <v>8.4820099999999995E-2</v>
          </cell>
        </row>
        <row r="2121">
          <cell r="I2121">
            <v>8.4860099999999994E-2</v>
          </cell>
        </row>
        <row r="2122">
          <cell r="I2122">
            <v>8.4900100000000006E-2</v>
          </cell>
        </row>
        <row r="2123">
          <cell r="I2123">
            <v>8.4940100000000004E-2</v>
          </cell>
        </row>
        <row r="2124">
          <cell r="I2124">
            <v>8.4980100000000003E-2</v>
          </cell>
        </row>
        <row r="2125">
          <cell r="I2125">
            <v>8.5020100000000001E-2</v>
          </cell>
        </row>
        <row r="2126">
          <cell r="I2126">
            <v>8.50601E-2</v>
          </cell>
        </row>
        <row r="2127">
          <cell r="I2127">
            <v>8.5100099999999998E-2</v>
          </cell>
        </row>
        <row r="2128">
          <cell r="I2128">
            <v>8.5140099999999996E-2</v>
          </cell>
        </row>
        <row r="2129">
          <cell r="I2129">
            <v>8.5180099999999995E-2</v>
          </cell>
        </row>
        <row r="2130">
          <cell r="I2130">
            <v>8.5220099999999993E-2</v>
          </cell>
        </row>
        <row r="2131">
          <cell r="I2131">
            <v>8.5260100000000005E-2</v>
          </cell>
        </row>
        <row r="2132">
          <cell r="I2132">
            <v>8.5300100000000004E-2</v>
          </cell>
        </row>
        <row r="2133">
          <cell r="I2133">
            <v>8.5340100000000002E-2</v>
          </cell>
        </row>
        <row r="2134">
          <cell r="I2134">
            <v>8.53801E-2</v>
          </cell>
        </row>
        <row r="2135">
          <cell r="I2135">
            <v>8.5420099999999999E-2</v>
          </cell>
        </row>
        <row r="2136">
          <cell r="I2136">
            <v>8.5460099999999997E-2</v>
          </cell>
        </row>
        <row r="2137">
          <cell r="I2137">
            <v>8.5500099999999996E-2</v>
          </cell>
        </row>
        <row r="2138">
          <cell r="I2138">
            <v>8.5540099999999994E-2</v>
          </cell>
        </row>
        <row r="2139">
          <cell r="I2139">
            <v>8.5580100000000006E-2</v>
          </cell>
        </row>
        <row r="2140">
          <cell r="I2140">
            <v>8.5620100000000005E-2</v>
          </cell>
        </row>
        <row r="2141">
          <cell r="I2141">
            <v>8.5660100000000003E-2</v>
          </cell>
        </row>
        <row r="2142">
          <cell r="I2142">
            <v>8.5700100000000001E-2</v>
          </cell>
        </row>
        <row r="2143">
          <cell r="I2143">
            <v>8.57401E-2</v>
          </cell>
        </row>
        <row r="2144">
          <cell r="I2144">
            <v>8.5780099999999998E-2</v>
          </cell>
        </row>
        <row r="2145">
          <cell r="I2145">
            <v>8.5820099999999996E-2</v>
          </cell>
        </row>
        <row r="2146">
          <cell r="I2146">
            <v>8.5860099999999995E-2</v>
          </cell>
        </row>
        <row r="2147">
          <cell r="I2147">
            <v>8.5900099999999993E-2</v>
          </cell>
        </row>
        <row r="2148">
          <cell r="I2148">
            <v>8.5940100000000005E-2</v>
          </cell>
        </row>
        <row r="2149">
          <cell r="I2149">
            <v>8.5980100000000004E-2</v>
          </cell>
        </row>
        <row r="2150">
          <cell r="I2150">
            <v>8.6020100000000002E-2</v>
          </cell>
        </row>
        <row r="2151">
          <cell r="I2151">
            <v>8.60601E-2</v>
          </cell>
        </row>
        <row r="2152">
          <cell r="I2152">
            <v>8.6100099999999999E-2</v>
          </cell>
        </row>
        <row r="2153">
          <cell r="I2153">
            <v>8.6140099999999997E-2</v>
          </cell>
        </row>
        <row r="2154">
          <cell r="I2154">
            <v>8.6180099999999996E-2</v>
          </cell>
        </row>
        <row r="2155">
          <cell r="I2155">
            <v>8.6220099999999994E-2</v>
          </cell>
        </row>
        <row r="2156">
          <cell r="I2156">
            <v>8.6260100000000006E-2</v>
          </cell>
        </row>
        <row r="2157">
          <cell r="I2157">
            <v>8.6300100000000005E-2</v>
          </cell>
        </row>
        <row r="2158">
          <cell r="I2158">
            <v>8.6340100000000003E-2</v>
          </cell>
        </row>
        <row r="2159">
          <cell r="I2159">
            <v>8.6380100000000001E-2</v>
          </cell>
        </row>
        <row r="2160">
          <cell r="I2160">
            <v>8.64201E-2</v>
          </cell>
        </row>
        <row r="2161">
          <cell r="I2161">
            <v>8.6460099999999998E-2</v>
          </cell>
        </row>
        <row r="2162">
          <cell r="I2162">
            <v>8.6500099999999996E-2</v>
          </cell>
        </row>
        <row r="2163">
          <cell r="I2163">
            <v>8.6540099999999995E-2</v>
          </cell>
        </row>
        <row r="2164">
          <cell r="I2164">
            <v>8.6580099999999993E-2</v>
          </cell>
        </row>
        <row r="2165">
          <cell r="I2165">
            <v>8.6620100000000005E-2</v>
          </cell>
        </row>
        <row r="2166">
          <cell r="I2166">
            <v>8.6660100000000004E-2</v>
          </cell>
        </row>
        <row r="2167">
          <cell r="I2167">
            <v>8.6700100000000002E-2</v>
          </cell>
        </row>
        <row r="2168">
          <cell r="I2168">
            <v>8.6740100000000001E-2</v>
          </cell>
        </row>
        <row r="2169">
          <cell r="I2169">
            <v>8.6780099999999999E-2</v>
          </cell>
        </row>
        <row r="2170">
          <cell r="I2170">
            <v>8.6820099999999997E-2</v>
          </cell>
        </row>
        <row r="2171">
          <cell r="I2171">
            <v>8.6860099999999996E-2</v>
          </cell>
        </row>
        <row r="2172">
          <cell r="I2172">
            <v>8.6900099999999994E-2</v>
          </cell>
        </row>
        <row r="2173">
          <cell r="I2173">
            <v>8.6940100000000006E-2</v>
          </cell>
        </row>
        <row r="2174">
          <cell r="I2174">
            <v>8.6980100000000005E-2</v>
          </cell>
        </row>
        <row r="2175">
          <cell r="I2175">
            <v>8.7020100000000003E-2</v>
          </cell>
        </row>
        <row r="2176">
          <cell r="I2176">
            <v>8.7060100000000001E-2</v>
          </cell>
        </row>
        <row r="2177">
          <cell r="I2177">
            <v>8.71001E-2</v>
          </cell>
        </row>
        <row r="2178">
          <cell r="I2178">
            <v>8.7140099999999998E-2</v>
          </cell>
        </row>
        <row r="2179">
          <cell r="I2179">
            <v>8.7180099999999996E-2</v>
          </cell>
        </row>
        <row r="2180">
          <cell r="I2180">
            <v>8.7220099999999995E-2</v>
          </cell>
        </row>
        <row r="2181">
          <cell r="I2181">
            <v>8.7260099999999993E-2</v>
          </cell>
        </row>
        <row r="2182">
          <cell r="I2182">
            <v>8.7300100000000005E-2</v>
          </cell>
        </row>
        <row r="2183">
          <cell r="I2183">
            <v>8.7340100000000004E-2</v>
          </cell>
        </row>
        <row r="2184">
          <cell r="I2184">
            <v>8.7380100000000002E-2</v>
          </cell>
        </row>
        <row r="2185">
          <cell r="I2185">
            <v>8.7420100000000001E-2</v>
          </cell>
        </row>
        <row r="2186">
          <cell r="I2186">
            <v>8.7460099999999999E-2</v>
          </cell>
        </row>
        <row r="2187">
          <cell r="I2187">
            <v>8.7500099999999997E-2</v>
          </cell>
        </row>
        <row r="2188">
          <cell r="I2188">
            <v>8.7540099999999996E-2</v>
          </cell>
        </row>
        <row r="2189">
          <cell r="I2189">
            <v>8.7580099999999994E-2</v>
          </cell>
        </row>
        <row r="2190">
          <cell r="I2190">
            <v>8.7620100000000006E-2</v>
          </cell>
        </row>
        <row r="2191">
          <cell r="I2191">
            <v>8.7660100000000005E-2</v>
          </cell>
        </row>
        <row r="2192">
          <cell r="I2192">
            <v>8.7700100000000003E-2</v>
          </cell>
        </row>
        <row r="2193">
          <cell r="I2193">
            <v>8.7740100000000001E-2</v>
          </cell>
        </row>
        <row r="2194">
          <cell r="I2194">
            <v>8.77801E-2</v>
          </cell>
        </row>
        <row r="2195">
          <cell r="I2195">
            <v>8.7820099999999998E-2</v>
          </cell>
        </row>
        <row r="2196">
          <cell r="I2196">
            <v>8.7860099999999997E-2</v>
          </cell>
        </row>
        <row r="2197">
          <cell r="I2197">
            <v>8.7900099999999995E-2</v>
          </cell>
        </row>
        <row r="2198">
          <cell r="I2198">
            <v>8.7940099999999993E-2</v>
          </cell>
        </row>
        <row r="2199">
          <cell r="I2199">
            <v>8.7980100000000006E-2</v>
          </cell>
        </row>
        <row r="2200">
          <cell r="I2200">
            <v>8.8020100000000004E-2</v>
          </cell>
        </row>
        <row r="2201">
          <cell r="I2201">
            <v>8.8060100000000002E-2</v>
          </cell>
        </row>
        <row r="2202">
          <cell r="I2202">
            <v>8.8100100000000001E-2</v>
          </cell>
        </row>
        <row r="2203">
          <cell r="I2203">
            <v>8.8140099999999999E-2</v>
          </cell>
        </row>
        <row r="2204">
          <cell r="I2204">
            <v>8.8180099999999997E-2</v>
          </cell>
        </row>
        <row r="2205">
          <cell r="I2205">
            <v>8.8220099999999996E-2</v>
          </cell>
        </row>
        <row r="2206">
          <cell r="I2206">
            <v>8.8260099999999994E-2</v>
          </cell>
        </row>
        <row r="2207">
          <cell r="I2207">
            <v>8.8300100000000006E-2</v>
          </cell>
        </row>
        <row r="2208">
          <cell r="I2208">
            <v>8.8340100000000005E-2</v>
          </cell>
        </row>
        <row r="2209">
          <cell r="I2209">
            <v>8.8380100000000003E-2</v>
          </cell>
        </row>
        <row r="2210">
          <cell r="I2210">
            <v>8.8420100000000001E-2</v>
          </cell>
        </row>
        <row r="2211">
          <cell r="I2211">
            <v>8.84601E-2</v>
          </cell>
        </row>
        <row r="2212">
          <cell r="I2212">
            <v>8.8500099999999998E-2</v>
          </cell>
        </row>
        <row r="2213">
          <cell r="I2213">
            <v>8.8540099999999997E-2</v>
          </cell>
        </row>
        <row r="2214">
          <cell r="I2214">
            <v>8.8580099999999995E-2</v>
          </cell>
        </row>
        <row r="2215">
          <cell r="I2215">
            <v>8.8620099999999993E-2</v>
          </cell>
        </row>
        <row r="2216">
          <cell r="I2216">
            <v>8.8660100000000006E-2</v>
          </cell>
        </row>
        <row r="2217">
          <cell r="I2217">
            <v>8.8700100000000004E-2</v>
          </cell>
        </row>
        <row r="2218">
          <cell r="I2218">
            <v>8.8740100000000002E-2</v>
          </cell>
        </row>
        <row r="2219">
          <cell r="I2219">
            <v>8.8780100000000001E-2</v>
          </cell>
        </row>
        <row r="2220">
          <cell r="I2220">
            <v>8.8820099999999999E-2</v>
          </cell>
        </row>
        <row r="2221">
          <cell r="I2221">
            <v>8.8860099999999997E-2</v>
          </cell>
        </row>
        <row r="2222">
          <cell r="I2222">
            <v>8.8900099999999996E-2</v>
          </cell>
        </row>
        <row r="2223">
          <cell r="I2223">
            <v>8.8940099999999994E-2</v>
          </cell>
        </row>
        <row r="2224">
          <cell r="I2224">
            <v>8.8980100000000006E-2</v>
          </cell>
        </row>
        <row r="2225">
          <cell r="I2225">
            <v>8.9020100000000005E-2</v>
          </cell>
        </row>
        <row r="2226">
          <cell r="I2226">
            <v>8.9060100000000003E-2</v>
          </cell>
        </row>
        <row r="2227">
          <cell r="I2227">
            <v>8.9100100000000002E-2</v>
          </cell>
        </row>
        <row r="2228">
          <cell r="I2228">
            <v>8.91401E-2</v>
          </cell>
        </row>
        <row r="2229">
          <cell r="I2229">
            <v>8.9180099999999998E-2</v>
          </cell>
        </row>
        <row r="2230">
          <cell r="I2230">
            <v>8.9220099999999997E-2</v>
          </cell>
        </row>
        <row r="2231">
          <cell r="I2231">
            <v>8.9260099999999995E-2</v>
          </cell>
        </row>
        <row r="2232">
          <cell r="I2232">
            <v>8.9300099999999993E-2</v>
          </cell>
        </row>
        <row r="2233">
          <cell r="I2233">
            <v>8.9340100000000006E-2</v>
          </cell>
        </row>
        <row r="2234">
          <cell r="I2234">
            <v>8.9380100000000004E-2</v>
          </cell>
        </row>
        <row r="2235">
          <cell r="I2235">
            <v>8.9420100000000002E-2</v>
          </cell>
        </row>
        <row r="2236">
          <cell r="I2236">
            <v>8.9460100000000001E-2</v>
          </cell>
        </row>
        <row r="2237">
          <cell r="I2237">
            <v>8.9500099999999999E-2</v>
          </cell>
        </row>
        <row r="2238">
          <cell r="I2238">
            <v>8.9540099999999997E-2</v>
          </cell>
        </row>
        <row r="2239">
          <cell r="I2239">
            <v>8.9580099999999996E-2</v>
          </cell>
        </row>
        <row r="2240">
          <cell r="I2240">
            <v>8.9620099999999994E-2</v>
          </cell>
        </row>
        <row r="2241">
          <cell r="I2241">
            <v>8.9660100000000006E-2</v>
          </cell>
        </row>
        <row r="2242">
          <cell r="I2242">
            <v>8.9700100000000005E-2</v>
          </cell>
        </row>
        <row r="2243">
          <cell r="I2243">
            <v>8.9740100000000003E-2</v>
          </cell>
        </row>
        <row r="2244">
          <cell r="I2244">
            <v>8.9780100000000002E-2</v>
          </cell>
        </row>
        <row r="2245">
          <cell r="I2245">
            <v>8.98201E-2</v>
          </cell>
        </row>
        <row r="2246">
          <cell r="I2246">
            <v>8.9860099999999998E-2</v>
          </cell>
        </row>
        <row r="2247">
          <cell r="I2247">
            <v>8.9900099999999997E-2</v>
          </cell>
        </row>
        <row r="2248">
          <cell r="I2248">
            <v>8.9940099999999995E-2</v>
          </cell>
        </row>
        <row r="2249">
          <cell r="I2249">
            <v>8.9980099999999993E-2</v>
          </cell>
        </row>
        <row r="2250">
          <cell r="I2250">
            <v>9.0020100000000006E-2</v>
          </cell>
        </row>
        <row r="2251">
          <cell r="I2251">
            <v>9.0060100000000004E-2</v>
          </cell>
        </row>
        <row r="2252">
          <cell r="I2252">
            <v>9.0100100000000002E-2</v>
          </cell>
        </row>
        <row r="2253">
          <cell r="I2253">
            <v>9.0140100000000001E-2</v>
          </cell>
        </row>
        <row r="2254">
          <cell r="I2254">
            <v>9.0180099999999999E-2</v>
          </cell>
        </row>
        <row r="2255">
          <cell r="I2255">
            <v>9.0220099999999998E-2</v>
          </cell>
        </row>
        <row r="2256">
          <cell r="I2256">
            <v>9.0260099999999996E-2</v>
          </cell>
        </row>
        <row r="2257">
          <cell r="I2257">
            <v>9.0300099999999994E-2</v>
          </cell>
        </row>
        <row r="2258">
          <cell r="I2258">
            <v>9.0340100000000007E-2</v>
          </cell>
        </row>
        <row r="2259">
          <cell r="I2259">
            <v>9.0380100000000005E-2</v>
          </cell>
        </row>
        <row r="2260">
          <cell r="I2260">
            <v>9.0420100000000003E-2</v>
          </cell>
        </row>
        <row r="2261">
          <cell r="I2261">
            <v>9.0460100000000002E-2</v>
          </cell>
        </row>
        <row r="2262">
          <cell r="I2262">
            <v>9.05001E-2</v>
          </cell>
        </row>
        <row r="2263">
          <cell r="I2263">
            <v>9.0540099999999998E-2</v>
          </cell>
        </row>
        <row r="2264">
          <cell r="I2264">
            <v>9.0580099999999997E-2</v>
          </cell>
        </row>
        <row r="2265">
          <cell r="I2265">
            <v>9.0620099999999995E-2</v>
          </cell>
        </row>
        <row r="2266">
          <cell r="I2266">
            <v>9.0660099999999993E-2</v>
          </cell>
        </row>
        <row r="2267">
          <cell r="I2267">
            <v>9.0700100000000006E-2</v>
          </cell>
        </row>
        <row r="2268">
          <cell r="I2268">
            <v>9.0740100000000004E-2</v>
          </cell>
        </row>
        <row r="2269">
          <cell r="I2269">
            <v>9.0780100000000002E-2</v>
          </cell>
        </row>
        <row r="2270">
          <cell r="I2270">
            <v>9.0820100000000001E-2</v>
          </cell>
        </row>
        <row r="2271">
          <cell r="I2271">
            <v>9.0860099999999999E-2</v>
          </cell>
        </row>
        <row r="2272">
          <cell r="I2272">
            <v>9.0900099999999998E-2</v>
          </cell>
        </row>
        <row r="2273">
          <cell r="I2273">
            <v>9.0940099999999996E-2</v>
          </cell>
        </row>
        <row r="2274">
          <cell r="I2274">
            <v>9.0980099999999994E-2</v>
          </cell>
        </row>
        <row r="2275">
          <cell r="I2275">
            <v>9.1020100000000007E-2</v>
          </cell>
        </row>
        <row r="2276">
          <cell r="I2276">
            <v>9.1060100000000005E-2</v>
          </cell>
        </row>
        <row r="2277">
          <cell r="I2277">
            <v>9.1100100000000003E-2</v>
          </cell>
        </row>
        <row r="2278">
          <cell r="I2278">
            <v>9.1140100000000002E-2</v>
          </cell>
        </row>
        <row r="2279">
          <cell r="I2279">
            <v>9.11801E-2</v>
          </cell>
        </row>
        <row r="2280">
          <cell r="I2280">
            <v>9.1220099999999998E-2</v>
          </cell>
        </row>
        <row r="2281">
          <cell r="I2281">
            <v>9.1260099999999997E-2</v>
          </cell>
        </row>
        <row r="2282">
          <cell r="I2282">
            <v>9.1300099999999995E-2</v>
          </cell>
        </row>
        <row r="2283">
          <cell r="I2283">
            <v>9.1340099999999994E-2</v>
          </cell>
        </row>
        <row r="2284">
          <cell r="I2284">
            <v>9.1380100000000006E-2</v>
          </cell>
        </row>
        <row r="2285">
          <cell r="I2285">
            <v>9.1420100000000004E-2</v>
          </cell>
        </row>
        <row r="2286">
          <cell r="I2286">
            <v>9.1460100000000003E-2</v>
          </cell>
        </row>
        <row r="2287">
          <cell r="I2287">
            <v>9.1500100000000001E-2</v>
          </cell>
        </row>
        <row r="2288">
          <cell r="I2288">
            <v>9.1540099999999999E-2</v>
          </cell>
        </row>
        <row r="2289">
          <cell r="I2289">
            <v>9.1580099999999998E-2</v>
          </cell>
        </row>
        <row r="2290">
          <cell r="I2290">
            <v>9.1620099999999996E-2</v>
          </cell>
        </row>
        <row r="2291">
          <cell r="I2291">
            <v>9.1660099999999994E-2</v>
          </cell>
        </row>
        <row r="2292">
          <cell r="I2292">
            <v>9.1700100000000007E-2</v>
          </cell>
        </row>
        <row r="2293">
          <cell r="I2293">
            <v>9.1740100000000005E-2</v>
          </cell>
        </row>
        <row r="2294">
          <cell r="I2294">
            <v>9.1780100000000003E-2</v>
          </cell>
        </row>
        <row r="2295">
          <cell r="I2295">
            <v>9.1820100000000002E-2</v>
          </cell>
        </row>
        <row r="2296">
          <cell r="I2296">
            <v>9.18601E-2</v>
          </cell>
        </row>
        <row r="2297">
          <cell r="I2297">
            <v>9.1900099999999998E-2</v>
          </cell>
        </row>
        <row r="2298">
          <cell r="I2298">
            <v>9.1940099999999997E-2</v>
          </cell>
        </row>
        <row r="2299">
          <cell r="I2299">
            <v>9.1980099999999995E-2</v>
          </cell>
        </row>
        <row r="2300">
          <cell r="I2300">
            <v>9.2020099999999994E-2</v>
          </cell>
        </row>
        <row r="2301">
          <cell r="I2301">
            <v>9.2060100000000006E-2</v>
          </cell>
        </row>
        <row r="2302">
          <cell r="I2302">
            <v>9.2100100000000004E-2</v>
          </cell>
        </row>
        <row r="2303">
          <cell r="I2303">
            <v>9.2140100000000003E-2</v>
          </cell>
        </row>
        <row r="2304">
          <cell r="I2304">
            <v>9.2180100000000001E-2</v>
          </cell>
        </row>
        <row r="2305">
          <cell r="I2305">
            <v>9.2220099999999999E-2</v>
          </cell>
        </row>
        <row r="2306">
          <cell r="I2306">
            <v>9.2260099999999998E-2</v>
          </cell>
        </row>
        <row r="2307">
          <cell r="I2307">
            <v>9.2300099999999996E-2</v>
          </cell>
        </row>
        <row r="2308">
          <cell r="I2308">
            <v>9.2340099999999994E-2</v>
          </cell>
        </row>
        <row r="2309">
          <cell r="I2309">
            <v>9.2380100000000007E-2</v>
          </cell>
        </row>
        <row r="2310">
          <cell r="I2310">
            <v>9.2420100000000005E-2</v>
          </cell>
        </row>
        <row r="2311">
          <cell r="I2311">
            <v>9.2460100000000003E-2</v>
          </cell>
        </row>
        <row r="2312">
          <cell r="I2312">
            <v>9.2500100000000002E-2</v>
          </cell>
        </row>
        <row r="2313">
          <cell r="I2313">
            <v>9.25401E-2</v>
          </cell>
        </row>
        <row r="2314">
          <cell r="I2314">
            <v>9.2580099999999999E-2</v>
          </cell>
        </row>
        <row r="2315">
          <cell r="I2315">
            <v>9.2620099999999997E-2</v>
          </cell>
        </row>
        <row r="2316">
          <cell r="I2316">
            <v>9.2660099999999995E-2</v>
          </cell>
        </row>
        <row r="2317">
          <cell r="I2317">
            <v>9.2700099999999994E-2</v>
          </cell>
        </row>
        <row r="2318">
          <cell r="I2318">
            <v>9.2740100000000006E-2</v>
          </cell>
        </row>
        <row r="2319">
          <cell r="I2319">
            <v>9.2780100000000004E-2</v>
          </cell>
        </row>
        <row r="2320">
          <cell r="I2320">
            <v>9.2820100000000003E-2</v>
          </cell>
        </row>
        <row r="2321">
          <cell r="I2321">
            <v>9.2860100000000001E-2</v>
          </cell>
        </row>
        <row r="2322">
          <cell r="I2322">
            <v>9.2900099999999999E-2</v>
          </cell>
        </row>
        <row r="2323">
          <cell r="I2323">
            <v>9.2940099999999998E-2</v>
          </cell>
        </row>
        <row r="2324">
          <cell r="I2324">
            <v>9.2980099999999996E-2</v>
          </cell>
        </row>
        <row r="2325">
          <cell r="I2325">
            <v>9.3020099999999994E-2</v>
          </cell>
        </row>
        <row r="2326">
          <cell r="I2326">
            <v>9.3060100000000007E-2</v>
          </cell>
        </row>
        <row r="2327">
          <cell r="I2327">
            <v>9.3100100000000005E-2</v>
          </cell>
        </row>
        <row r="2328">
          <cell r="I2328">
            <v>9.3140100000000003E-2</v>
          </cell>
        </row>
        <row r="2329">
          <cell r="I2329">
            <v>9.3180100000000002E-2</v>
          </cell>
        </row>
        <row r="2330">
          <cell r="I2330">
            <v>9.32201E-2</v>
          </cell>
        </row>
        <row r="2331">
          <cell r="I2331">
            <v>9.3260099999999999E-2</v>
          </cell>
        </row>
        <row r="2332">
          <cell r="I2332">
            <v>9.3300099999999997E-2</v>
          </cell>
        </row>
        <row r="2333">
          <cell r="I2333">
            <v>9.3340099999999995E-2</v>
          </cell>
        </row>
        <row r="2334">
          <cell r="I2334">
            <v>9.3380099999999994E-2</v>
          </cell>
        </row>
        <row r="2335">
          <cell r="I2335">
            <v>9.3420100000000006E-2</v>
          </cell>
        </row>
        <row r="2336">
          <cell r="I2336">
            <v>9.3460100000000004E-2</v>
          </cell>
        </row>
        <row r="2337">
          <cell r="I2337">
            <v>9.3500100000000003E-2</v>
          </cell>
        </row>
        <row r="2338">
          <cell r="I2338">
            <v>9.3540100000000001E-2</v>
          </cell>
        </row>
        <row r="2339">
          <cell r="I2339">
            <v>9.3580099999999999E-2</v>
          </cell>
        </row>
        <row r="2340">
          <cell r="I2340">
            <v>9.3620099999999998E-2</v>
          </cell>
        </row>
        <row r="2341">
          <cell r="I2341">
            <v>9.3660099999999996E-2</v>
          </cell>
        </row>
        <row r="2342">
          <cell r="I2342">
            <v>9.3700099999999995E-2</v>
          </cell>
        </row>
        <row r="2343">
          <cell r="I2343">
            <v>9.3740100000000007E-2</v>
          </cell>
        </row>
        <row r="2344">
          <cell r="I2344">
            <v>9.3780100000000005E-2</v>
          </cell>
        </row>
        <row r="2345">
          <cell r="I2345">
            <v>9.3820100000000003E-2</v>
          </cell>
        </row>
        <row r="2346">
          <cell r="I2346">
            <v>9.3860100000000002E-2</v>
          </cell>
        </row>
        <row r="2347">
          <cell r="I2347">
            <v>9.39001E-2</v>
          </cell>
        </row>
        <row r="2348">
          <cell r="I2348">
            <v>9.3940099999999999E-2</v>
          </cell>
        </row>
        <row r="2349">
          <cell r="I2349">
            <v>9.3980099999999997E-2</v>
          </cell>
        </row>
        <row r="2350">
          <cell r="I2350">
            <v>9.4020099999999995E-2</v>
          </cell>
        </row>
        <row r="2351">
          <cell r="I2351">
            <v>9.4060099999999994E-2</v>
          </cell>
        </row>
        <row r="2352">
          <cell r="I2352">
            <v>9.4100100000000006E-2</v>
          </cell>
        </row>
        <row r="2353">
          <cell r="I2353">
            <v>9.4140100000000004E-2</v>
          </cell>
        </row>
        <row r="2354">
          <cell r="I2354">
            <v>9.4180100000000003E-2</v>
          </cell>
        </row>
        <row r="2355">
          <cell r="I2355">
            <v>9.4220100000000001E-2</v>
          </cell>
        </row>
        <row r="2356">
          <cell r="I2356">
            <v>9.4260099999999999E-2</v>
          </cell>
        </row>
        <row r="2357">
          <cell r="I2357">
            <v>9.4300099999999998E-2</v>
          </cell>
        </row>
        <row r="2358">
          <cell r="I2358">
            <v>9.4340099999999996E-2</v>
          </cell>
        </row>
        <row r="2359">
          <cell r="I2359">
            <v>9.4380099999999995E-2</v>
          </cell>
        </row>
        <row r="2360">
          <cell r="I2360">
            <v>9.4420100000000007E-2</v>
          </cell>
        </row>
        <row r="2361">
          <cell r="I2361">
            <v>9.4460100000000005E-2</v>
          </cell>
        </row>
        <row r="2362">
          <cell r="I2362">
            <v>9.4500100000000004E-2</v>
          </cell>
        </row>
        <row r="2363">
          <cell r="I2363">
            <v>9.4540100000000002E-2</v>
          </cell>
        </row>
        <row r="2364">
          <cell r="I2364">
            <v>9.45801E-2</v>
          </cell>
        </row>
        <row r="2365">
          <cell r="I2365">
            <v>9.4620099999999999E-2</v>
          </cell>
        </row>
        <row r="2366">
          <cell r="I2366">
            <v>9.4660099999999997E-2</v>
          </cell>
        </row>
        <row r="2367">
          <cell r="I2367">
            <v>9.4700099999999995E-2</v>
          </cell>
        </row>
        <row r="2368">
          <cell r="I2368">
            <v>9.4740099999999994E-2</v>
          </cell>
        </row>
        <row r="2369">
          <cell r="I2369">
            <v>9.4780100000000006E-2</v>
          </cell>
        </row>
        <row r="2370">
          <cell r="I2370">
            <v>9.4820100000000004E-2</v>
          </cell>
        </row>
        <row r="2371">
          <cell r="I2371">
            <v>9.4860100000000003E-2</v>
          </cell>
        </row>
        <row r="2372">
          <cell r="I2372">
            <v>9.4900100000000001E-2</v>
          </cell>
        </row>
        <row r="2373">
          <cell r="I2373">
            <v>9.4940099999999999E-2</v>
          </cell>
        </row>
        <row r="2374">
          <cell r="I2374">
            <v>9.4980099999999998E-2</v>
          </cell>
        </row>
        <row r="2375">
          <cell r="I2375">
            <v>9.5020099999999996E-2</v>
          </cell>
        </row>
        <row r="2376">
          <cell r="I2376">
            <v>9.5060099999999995E-2</v>
          </cell>
        </row>
        <row r="2377">
          <cell r="I2377">
            <v>9.5100100000000007E-2</v>
          </cell>
        </row>
        <row r="2378">
          <cell r="I2378">
            <v>9.5140100000000005E-2</v>
          </cell>
        </row>
        <row r="2379">
          <cell r="I2379">
            <v>9.5180100000000004E-2</v>
          </cell>
        </row>
        <row r="2380">
          <cell r="I2380">
            <v>9.5220100000000002E-2</v>
          </cell>
        </row>
        <row r="2381">
          <cell r="I2381">
            <v>9.52601E-2</v>
          </cell>
        </row>
        <row r="2382">
          <cell r="I2382">
            <v>9.5300099999999999E-2</v>
          </cell>
        </row>
        <row r="2383">
          <cell r="I2383">
            <v>9.5340099999999997E-2</v>
          </cell>
        </row>
        <row r="2384">
          <cell r="I2384">
            <v>9.5380099999999995E-2</v>
          </cell>
        </row>
        <row r="2385">
          <cell r="I2385">
            <v>9.5420099999999994E-2</v>
          </cell>
        </row>
        <row r="2386">
          <cell r="I2386">
            <v>9.5460100000000006E-2</v>
          </cell>
        </row>
        <row r="2387">
          <cell r="I2387">
            <v>9.5500100000000004E-2</v>
          </cell>
        </row>
        <row r="2388">
          <cell r="I2388">
            <v>9.5540100000000003E-2</v>
          </cell>
        </row>
        <row r="2389">
          <cell r="I2389">
            <v>9.5580100000000001E-2</v>
          </cell>
        </row>
        <row r="2390">
          <cell r="I2390">
            <v>9.56201E-2</v>
          </cell>
        </row>
        <row r="2391">
          <cell r="I2391">
            <v>9.5660099999999998E-2</v>
          </cell>
        </row>
        <row r="2392">
          <cell r="I2392">
            <v>9.5700099999999996E-2</v>
          </cell>
        </row>
        <row r="2393">
          <cell r="I2393">
            <v>9.5740099999999995E-2</v>
          </cell>
        </row>
        <row r="2394">
          <cell r="I2394">
            <v>9.5780100000000007E-2</v>
          </cell>
        </row>
        <row r="2395">
          <cell r="I2395">
            <v>9.5820100000000005E-2</v>
          </cell>
        </row>
        <row r="2396">
          <cell r="I2396">
            <v>9.5860100000000004E-2</v>
          </cell>
        </row>
        <row r="2397">
          <cell r="I2397">
            <v>9.5900100000000002E-2</v>
          </cell>
        </row>
        <row r="2398">
          <cell r="I2398">
            <v>9.59401E-2</v>
          </cell>
        </row>
        <row r="2399">
          <cell r="I2399">
            <v>9.5980099999999999E-2</v>
          </cell>
        </row>
        <row r="2400">
          <cell r="I2400">
            <v>9.6020099999999997E-2</v>
          </cell>
        </row>
        <row r="2401">
          <cell r="I2401">
            <v>9.6060099999999995E-2</v>
          </cell>
        </row>
        <row r="2402">
          <cell r="I2402">
            <v>9.6100099999999994E-2</v>
          </cell>
        </row>
        <row r="2403">
          <cell r="I2403">
            <v>9.6140100000000006E-2</v>
          </cell>
        </row>
        <row r="2404">
          <cell r="I2404">
            <v>9.6180100000000004E-2</v>
          </cell>
        </row>
        <row r="2405">
          <cell r="I2405">
            <v>9.6220100000000003E-2</v>
          </cell>
        </row>
        <row r="2406">
          <cell r="I2406">
            <v>9.6260100000000001E-2</v>
          </cell>
        </row>
        <row r="2407">
          <cell r="I2407">
            <v>9.63001E-2</v>
          </cell>
        </row>
        <row r="2408">
          <cell r="I2408">
            <v>9.6340099999999998E-2</v>
          </cell>
        </row>
        <row r="2409">
          <cell r="I2409">
            <v>9.6380099999999996E-2</v>
          </cell>
        </row>
        <row r="2410">
          <cell r="I2410">
            <v>9.6420099999999995E-2</v>
          </cell>
        </row>
        <row r="2411">
          <cell r="I2411">
            <v>9.6460099999999993E-2</v>
          </cell>
        </row>
        <row r="2412">
          <cell r="I2412">
            <v>9.6500100000000005E-2</v>
          </cell>
        </row>
        <row r="2413">
          <cell r="I2413">
            <v>9.6540100000000004E-2</v>
          </cell>
        </row>
        <row r="2414">
          <cell r="I2414">
            <v>9.6580100000000002E-2</v>
          </cell>
        </row>
        <row r="2415">
          <cell r="I2415">
            <v>9.66201E-2</v>
          </cell>
        </row>
        <row r="2416">
          <cell r="I2416">
            <v>9.6660099999999999E-2</v>
          </cell>
        </row>
        <row r="2417">
          <cell r="I2417">
            <v>9.6700099999999997E-2</v>
          </cell>
        </row>
        <row r="2418">
          <cell r="I2418">
            <v>9.6740099999999996E-2</v>
          </cell>
        </row>
        <row r="2419">
          <cell r="I2419">
            <v>9.6780099999999994E-2</v>
          </cell>
        </row>
        <row r="2420">
          <cell r="I2420">
            <v>9.6820100000000006E-2</v>
          </cell>
        </row>
        <row r="2421">
          <cell r="I2421">
            <v>9.6860100000000005E-2</v>
          </cell>
        </row>
        <row r="2422">
          <cell r="I2422">
            <v>9.6900100000000003E-2</v>
          </cell>
        </row>
        <row r="2423">
          <cell r="I2423">
            <v>9.6940100000000001E-2</v>
          </cell>
        </row>
        <row r="2424">
          <cell r="I2424">
            <v>9.69801E-2</v>
          </cell>
        </row>
        <row r="2425">
          <cell r="I2425">
            <v>9.7020099999999998E-2</v>
          </cell>
        </row>
        <row r="2426">
          <cell r="I2426">
            <v>9.7060099999999996E-2</v>
          </cell>
        </row>
        <row r="2427">
          <cell r="I2427">
            <v>9.7100099999999995E-2</v>
          </cell>
        </row>
        <row r="2428">
          <cell r="I2428">
            <v>9.7140099999999993E-2</v>
          </cell>
        </row>
        <row r="2429">
          <cell r="I2429">
            <v>9.7180100000000005E-2</v>
          </cell>
        </row>
        <row r="2430">
          <cell r="I2430">
            <v>9.7220100000000004E-2</v>
          </cell>
        </row>
        <row r="2431">
          <cell r="I2431">
            <v>9.7260100000000002E-2</v>
          </cell>
        </row>
        <row r="2432">
          <cell r="I2432">
            <v>9.73001E-2</v>
          </cell>
        </row>
        <row r="2433">
          <cell r="I2433">
            <v>9.7340099999999999E-2</v>
          </cell>
        </row>
        <row r="2434">
          <cell r="I2434">
            <v>9.7380099999999997E-2</v>
          </cell>
        </row>
        <row r="2435">
          <cell r="I2435">
            <v>9.7420099999999996E-2</v>
          </cell>
        </row>
        <row r="2436">
          <cell r="I2436">
            <v>9.7460099999999994E-2</v>
          </cell>
        </row>
        <row r="2437">
          <cell r="I2437">
            <v>9.7500100000000006E-2</v>
          </cell>
        </row>
        <row r="2438">
          <cell r="I2438">
            <v>9.7540100000000005E-2</v>
          </cell>
        </row>
        <row r="2439">
          <cell r="I2439">
            <v>9.7580100000000003E-2</v>
          </cell>
        </row>
        <row r="2440">
          <cell r="I2440">
            <v>9.7620100000000001E-2</v>
          </cell>
        </row>
        <row r="2441">
          <cell r="I2441">
            <v>9.76601E-2</v>
          </cell>
        </row>
        <row r="2442">
          <cell r="I2442">
            <v>9.7700099999999998E-2</v>
          </cell>
        </row>
        <row r="2443">
          <cell r="I2443">
            <v>9.7740099999999996E-2</v>
          </cell>
        </row>
        <row r="2444">
          <cell r="I2444">
            <v>9.7780099999999995E-2</v>
          </cell>
        </row>
        <row r="2445">
          <cell r="I2445">
            <v>9.7820099999999993E-2</v>
          </cell>
        </row>
        <row r="2446">
          <cell r="I2446">
            <v>9.7860100000000005E-2</v>
          </cell>
        </row>
        <row r="2447">
          <cell r="I2447">
            <v>9.7900100000000004E-2</v>
          </cell>
        </row>
        <row r="2448">
          <cell r="I2448">
            <v>9.7940100000000002E-2</v>
          </cell>
        </row>
        <row r="2449">
          <cell r="I2449">
            <v>9.7980100000000001E-2</v>
          </cell>
        </row>
        <row r="2450">
          <cell r="I2450">
            <v>9.8020099999999999E-2</v>
          </cell>
        </row>
        <row r="2451">
          <cell r="I2451">
            <v>9.8060099999999997E-2</v>
          </cell>
        </row>
        <row r="2452">
          <cell r="I2452">
            <v>9.8100099999999996E-2</v>
          </cell>
        </row>
        <row r="2453">
          <cell r="I2453">
            <v>9.8140099999999994E-2</v>
          </cell>
        </row>
        <row r="2454">
          <cell r="I2454">
            <v>9.8180100000000006E-2</v>
          </cell>
        </row>
        <row r="2455">
          <cell r="I2455">
            <v>9.8220100000000005E-2</v>
          </cell>
        </row>
        <row r="2456">
          <cell r="I2456">
            <v>9.8260100000000003E-2</v>
          </cell>
        </row>
        <row r="2457">
          <cell r="I2457">
            <v>9.8300100000000001E-2</v>
          </cell>
        </row>
        <row r="2458">
          <cell r="I2458">
            <v>9.83401E-2</v>
          </cell>
        </row>
        <row r="2459">
          <cell r="I2459">
            <v>9.8380099999999998E-2</v>
          </cell>
        </row>
        <row r="2460">
          <cell r="I2460">
            <v>9.8420099999999996E-2</v>
          </cell>
        </row>
        <row r="2461">
          <cell r="I2461">
            <v>9.8460099999999995E-2</v>
          </cell>
        </row>
        <row r="2462">
          <cell r="I2462">
            <v>9.8500099999999993E-2</v>
          </cell>
        </row>
        <row r="2463">
          <cell r="I2463">
            <v>9.8540100000000005E-2</v>
          </cell>
        </row>
        <row r="2464">
          <cell r="I2464">
            <v>9.8580100000000004E-2</v>
          </cell>
        </row>
        <row r="2465">
          <cell r="I2465">
            <v>9.8620100000000002E-2</v>
          </cell>
        </row>
        <row r="2466">
          <cell r="I2466">
            <v>9.8660100000000001E-2</v>
          </cell>
        </row>
        <row r="2467">
          <cell r="I2467">
            <v>9.8700099999999999E-2</v>
          </cell>
        </row>
        <row r="2468">
          <cell r="I2468">
            <v>9.8740099999999997E-2</v>
          </cell>
        </row>
        <row r="2469">
          <cell r="I2469">
            <v>9.8780099999999996E-2</v>
          </cell>
        </row>
        <row r="2470">
          <cell r="I2470">
            <v>9.8820099999999994E-2</v>
          </cell>
        </row>
        <row r="2471">
          <cell r="I2471">
            <v>9.8860100000000006E-2</v>
          </cell>
        </row>
        <row r="2472">
          <cell r="I2472">
            <v>9.8900100000000005E-2</v>
          </cell>
        </row>
        <row r="2473">
          <cell r="I2473">
            <v>9.8940100000000003E-2</v>
          </cell>
        </row>
        <row r="2474">
          <cell r="I2474">
            <v>9.8980100000000001E-2</v>
          </cell>
        </row>
        <row r="2475">
          <cell r="I2475">
            <v>9.90201E-2</v>
          </cell>
        </row>
        <row r="2476">
          <cell r="I2476">
            <v>9.9060099999999998E-2</v>
          </cell>
        </row>
        <row r="2477">
          <cell r="I2477">
            <v>9.9100099999999997E-2</v>
          </cell>
        </row>
        <row r="2478">
          <cell r="I2478">
            <v>9.9140099999999995E-2</v>
          </cell>
        </row>
        <row r="2479">
          <cell r="I2479">
            <v>9.9180099999999993E-2</v>
          </cell>
        </row>
        <row r="2480">
          <cell r="I2480">
            <v>9.9220100000000006E-2</v>
          </cell>
        </row>
        <row r="2481">
          <cell r="I2481">
            <v>9.9260100000000004E-2</v>
          </cell>
        </row>
        <row r="2482">
          <cell r="I2482">
            <v>9.9300100000000002E-2</v>
          </cell>
        </row>
        <row r="2483">
          <cell r="I2483">
            <v>9.9340100000000001E-2</v>
          </cell>
        </row>
        <row r="2484">
          <cell r="I2484">
            <v>9.9380099999999999E-2</v>
          </cell>
        </row>
        <row r="2485">
          <cell r="I2485">
            <v>9.9420099999999997E-2</v>
          </cell>
        </row>
        <row r="2486">
          <cell r="I2486">
            <v>9.9460099999999996E-2</v>
          </cell>
        </row>
        <row r="2487">
          <cell r="I2487">
            <v>9.9500099999999994E-2</v>
          </cell>
        </row>
        <row r="2488">
          <cell r="I2488">
            <v>9.9540100000000006E-2</v>
          </cell>
        </row>
        <row r="2489">
          <cell r="I2489">
            <v>9.9580100000000005E-2</v>
          </cell>
        </row>
        <row r="2490">
          <cell r="I2490">
            <v>9.9620100000000003E-2</v>
          </cell>
        </row>
        <row r="2491">
          <cell r="I2491">
            <v>9.9660100000000001E-2</v>
          </cell>
        </row>
        <row r="2492">
          <cell r="I2492">
            <v>9.97001E-2</v>
          </cell>
        </row>
        <row r="2493">
          <cell r="I2493">
            <v>9.9740099999999998E-2</v>
          </cell>
        </row>
        <row r="2494">
          <cell r="I2494">
            <v>9.9780099999999997E-2</v>
          </cell>
        </row>
        <row r="2495">
          <cell r="I2495">
            <v>9.9820099999999995E-2</v>
          </cell>
        </row>
        <row r="2496">
          <cell r="I2496">
            <v>9.9860099999999993E-2</v>
          </cell>
        </row>
        <row r="2497">
          <cell r="I2497">
            <v>9.9900100000000006E-2</v>
          </cell>
        </row>
        <row r="2498">
          <cell r="I2498">
            <v>9.9940100000000004E-2</v>
          </cell>
        </row>
        <row r="2499">
          <cell r="I2499">
            <v>9.9980100000000002E-2</v>
          </cell>
        </row>
        <row r="2500">
          <cell r="I2500">
            <v>0.10002</v>
          </cell>
        </row>
        <row r="2501">
          <cell r="I2501">
            <v>0.10006</v>
          </cell>
        </row>
        <row r="2502">
          <cell r="I2502">
            <v>0.10009999999999999</v>
          </cell>
        </row>
        <row r="2503">
          <cell r="I2503">
            <v>0.10014000000000001</v>
          </cell>
        </row>
        <row r="2504">
          <cell r="I2504">
            <v>0.10018000000000001</v>
          </cell>
        </row>
        <row r="2505">
          <cell r="I2505">
            <v>0.10022</v>
          </cell>
        </row>
        <row r="2506">
          <cell r="I2506">
            <v>0.10026</v>
          </cell>
        </row>
        <row r="2507">
          <cell r="I2507">
            <v>0.1003</v>
          </cell>
        </row>
        <row r="2508">
          <cell r="I2508">
            <v>0.10034</v>
          </cell>
        </row>
        <row r="2509">
          <cell r="I2509">
            <v>0.10038</v>
          </cell>
        </row>
        <row r="2510">
          <cell r="I2510">
            <v>0.10042</v>
          </cell>
        </row>
        <row r="2511">
          <cell r="I2511">
            <v>0.10045999999999999</v>
          </cell>
        </row>
        <row r="2512">
          <cell r="I2512">
            <v>0.10050000000000001</v>
          </cell>
        </row>
        <row r="2513">
          <cell r="I2513">
            <v>0.10054</v>
          </cell>
        </row>
        <row r="2514">
          <cell r="I2514">
            <v>0.10058</v>
          </cell>
        </row>
        <row r="2515">
          <cell r="I2515">
            <v>0.10062</v>
          </cell>
        </row>
        <row r="2516">
          <cell r="I2516">
            <v>0.10066</v>
          </cell>
        </row>
        <row r="2517">
          <cell r="I2517">
            <v>0.1007</v>
          </cell>
        </row>
        <row r="2518">
          <cell r="I2518">
            <v>0.10074</v>
          </cell>
        </row>
        <row r="2519">
          <cell r="I2519">
            <v>0.10077999999999999</v>
          </cell>
        </row>
        <row r="2520">
          <cell r="I2520">
            <v>0.10082000000000001</v>
          </cell>
        </row>
        <row r="2521">
          <cell r="I2521">
            <v>0.10086000000000001</v>
          </cell>
        </row>
        <row r="2522">
          <cell r="I2522">
            <v>0.1009</v>
          </cell>
        </row>
        <row r="2523">
          <cell r="I2523">
            <v>0.10094</v>
          </cell>
        </row>
        <row r="2524">
          <cell r="I2524">
            <v>0.10098</v>
          </cell>
        </row>
        <row r="2525">
          <cell r="I2525">
            <v>0.10102</v>
          </cell>
        </row>
        <row r="2526">
          <cell r="I2526">
            <v>0.10106</v>
          </cell>
        </row>
        <row r="2527">
          <cell r="I2527">
            <v>0.1011</v>
          </cell>
        </row>
        <row r="2528">
          <cell r="I2528">
            <v>0.10113999999999999</v>
          </cell>
        </row>
        <row r="2529">
          <cell r="I2529">
            <v>0.10118000000000001</v>
          </cell>
        </row>
        <row r="2530">
          <cell r="I2530">
            <v>0.10122</v>
          </cell>
        </row>
        <row r="2531">
          <cell r="I2531">
            <v>0.10126</v>
          </cell>
        </row>
        <row r="2532">
          <cell r="I2532">
            <v>0.1013</v>
          </cell>
        </row>
        <row r="2533">
          <cell r="I2533">
            <v>0.10134</v>
          </cell>
        </row>
        <row r="2534">
          <cell r="I2534">
            <v>0.10138</v>
          </cell>
        </row>
        <row r="2535">
          <cell r="I2535">
            <v>0.10142</v>
          </cell>
        </row>
        <row r="2536">
          <cell r="I2536">
            <v>0.10145999999999999</v>
          </cell>
        </row>
        <row r="2537">
          <cell r="I2537">
            <v>0.10150000000000001</v>
          </cell>
        </row>
        <row r="2538">
          <cell r="I2538">
            <v>0.10154000000000001</v>
          </cell>
        </row>
        <row r="2539">
          <cell r="I2539">
            <v>0.10158</v>
          </cell>
        </row>
        <row r="2540">
          <cell r="I2540">
            <v>0.10162</v>
          </cell>
        </row>
        <row r="2541">
          <cell r="I2541">
            <v>0.10166</v>
          </cell>
        </row>
        <row r="2542">
          <cell r="I2542">
            <v>0.1017</v>
          </cell>
        </row>
        <row r="2543">
          <cell r="I2543">
            <v>0.10174</v>
          </cell>
        </row>
        <row r="2544">
          <cell r="I2544">
            <v>0.10178</v>
          </cell>
        </row>
        <row r="2545">
          <cell r="I2545">
            <v>0.10181999999999999</v>
          </cell>
        </row>
        <row r="2546">
          <cell r="I2546">
            <v>0.10186000000000001</v>
          </cell>
        </row>
        <row r="2547">
          <cell r="I2547">
            <v>0.1019</v>
          </cell>
        </row>
        <row r="2548">
          <cell r="I2548">
            <v>0.10194</v>
          </cell>
        </row>
        <row r="2549">
          <cell r="I2549">
            <v>0.10198</v>
          </cell>
        </row>
        <row r="2550">
          <cell r="I2550">
            <v>0.10202</v>
          </cell>
        </row>
        <row r="2551">
          <cell r="I2551">
            <v>0.10206</v>
          </cell>
        </row>
        <row r="2552">
          <cell r="I2552">
            <v>0.1021</v>
          </cell>
        </row>
        <row r="2553">
          <cell r="I2553">
            <v>0.10213999999999999</v>
          </cell>
        </row>
        <row r="2554">
          <cell r="I2554">
            <v>0.10218000000000001</v>
          </cell>
        </row>
        <row r="2555">
          <cell r="I2555">
            <v>0.10222000000000001</v>
          </cell>
        </row>
        <row r="2556">
          <cell r="I2556">
            <v>0.10226</v>
          </cell>
        </row>
        <row r="2557">
          <cell r="I2557">
            <v>0.1023</v>
          </cell>
        </row>
        <row r="2558">
          <cell r="I2558">
            <v>0.10234</v>
          </cell>
        </row>
        <row r="2559">
          <cell r="I2559">
            <v>0.10238</v>
          </cell>
        </row>
        <row r="2560">
          <cell r="I2560">
            <v>0.10242</v>
          </cell>
        </row>
        <row r="2561">
          <cell r="I2561">
            <v>0.10246</v>
          </cell>
        </row>
        <row r="2562">
          <cell r="I2562">
            <v>0.10249999999999999</v>
          </cell>
        </row>
        <row r="2563">
          <cell r="I2563">
            <v>0.10254000000000001</v>
          </cell>
        </row>
        <row r="2564">
          <cell r="I2564">
            <v>0.10258</v>
          </cell>
        </row>
        <row r="2565">
          <cell r="I2565">
            <v>0.10262</v>
          </cell>
        </row>
        <row r="2566">
          <cell r="I2566">
            <v>0.10266</v>
          </cell>
        </row>
        <row r="2567">
          <cell r="I2567">
            <v>0.1027</v>
          </cell>
        </row>
        <row r="2568">
          <cell r="I2568">
            <v>0.10274</v>
          </cell>
        </row>
        <row r="2569">
          <cell r="I2569">
            <v>0.10278</v>
          </cell>
        </row>
        <row r="2570">
          <cell r="I2570">
            <v>0.10281999999999999</v>
          </cell>
        </row>
        <row r="2571">
          <cell r="I2571">
            <v>0.10285999999999999</v>
          </cell>
        </row>
        <row r="2572">
          <cell r="I2572">
            <v>0.10290000000000001</v>
          </cell>
        </row>
        <row r="2573">
          <cell r="I2573">
            <v>0.10294</v>
          </cell>
        </row>
        <row r="2574">
          <cell r="I2574">
            <v>0.10298</v>
          </cell>
        </row>
        <row r="2575">
          <cell r="I2575">
            <v>0.10302</v>
          </cell>
        </row>
        <row r="2576">
          <cell r="I2576">
            <v>0.10306</v>
          </cell>
        </row>
        <row r="2577">
          <cell r="I2577">
            <v>0.1031</v>
          </cell>
        </row>
        <row r="2578">
          <cell r="I2578">
            <v>0.10314</v>
          </cell>
        </row>
        <row r="2579">
          <cell r="I2579">
            <v>0.10317999999999999</v>
          </cell>
        </row>
        <row r="2580">
          <cell r="I2580">
            <v>0.10322000000000001</v>
          </cell>
        </row>
        <row r="2581">
          <cell r="I2581">
            <v>0.10326</v>
          </cell>
        </row>
        <row r="2582">
          <cell r="I2582">
            <v>0.1033</v>
          </cell>
        </row>
        <row r="2583">
          <cell r="I2583">
            <v>0.10334</v>
          </cell>
        </row>
        <row r="2584">
          <cell r="I2584">
            <v>0.10338</v>
          </cell>
        </row>
        <row r="2585">
          <cell r="I2585">
            <v>0.10342</v>
          </cell>
        </row>
        <row r="2586">
          <cell r="I2586">
            <v>0.10346</v>
          </cell>
        </row>
        <row r="2587">
          <cell r="I2587">
            <v>0.10349999999999999</v>
          </cell>
        </row>
        <row r="2588">
          <cell r="I2588">
            <v>0.10353999999999999</v>
          </cell>
        </row>
        <row r="2589">
          <cell r="I2589">
            <v>0.10358000000000001</v>
          </cell>
        </row>
        <row r="2590">
          <cell r="I2590">
            <v>0.10362</v>
          </cell>
        </row>
        <row r="2591">
          <cell r="I2591">
            <v>0.10366</v>
          </cell>
        </row>
        <row r="2592">
          <cell r="I2592">
            <v>0.1037</v>
          </cell>
        </row>
        <row r="2593">
          <cell r="I2593">
            <v>0.10374</v>
          </cell>
        </row>
        <row r="2594">
          <cell r="I2594">
            <v>0.10378</v>
          </cell>
        </row>
        <row r="2595">
          <cell r="I2595">
            <v>0.10382</v>
          </cell>
        </row>
        <row r="2596">
          <cell r="I2596">
            <v>0.10385999999999999</v>
          </cell>
        </row>
        <row r="2597">
          <cell r="I2597">
            <v>0.10390000000000001</v>
          </cell>
        </row>
        <row r="2598">
          <cell r="I2598">
            <v>0.10394</v>
          </cell>
        </row>
        <row r="2599">
          <cell r="I2599">
            <v>0.10398</v>
          </cell>
        </row>
        <row r="2600">
          <cell r="I2600">
            <v>0.10402</v>
          </cell>
        </row>
        <row r="2601">
          <cell r="I2601">
            <v>0.10406</v>
          </cell>
        </row>
        <row r="2602">
          <cell r="I2602">
            <v>0.1041</v>
          </cell>
        </row>
        <row r="2603">
          <cell r="I2603">
            <v>0.10414</v>
          </cell>
        </row>
        <row r="2604">
          <cell r="I2604">
            <v>0.10417999999999999</v>
          </cell>
        </row>
        <row r="2605">
          <cell r="I2605">
            <v>0.10421999999999999</v>
          </cell>
        </row>
        <row r="2606">
          <cell r="I2606">
            <v>0.10426000000000001</v>
          </cell>
        </row>
        <row r="2607">
          <cell r="I2607">
            <v>0.1043</v>
          </cell>
        </row>
        <row r="2608">
          <cell r="I2608">
            <v>0.10434</v>
          </cell>
        </row>
        <row r="2609">
          <cell r="I2609">
            <v>0.10438</v>
          </cell>
        </row>
        <row r="2610">
          <cell r="I2610">
            <v>0.10442</v>
          </cell>
        </row>
        <row r="2611">
          <cell r="I2611">
            <v>0.10446</v>
          </cell>
        </row>
        <row r="2612">
          <cell r="I2612">
            <v>0.1045</v>
          </cell>
        </row>
        <row r="2613">
          <cell r="I2613">
            <v>0.10453999999999999</v>
          </cell>
        </row>
        <row r="2614">
          <cell r="I2614">
            <v>0.10458000000000001</v>
          </cell>
        </row>
        <row r="2615">
          <cell r="I2615">
            <v>0.10462</v>
          </cell>
        </row>
        <row r="2616">
          <cell r="I2616">
            <v>0.10466</v>
          </cell>
        </row>
        <row r="2617">
          <cell r="I2617">
            <v>0.1047</v>
          </cell>
        </row>
        <row r="2618">
          <cell r="I2618">
            <v>0.10474</v>
          </cell>
        </row>
        <row r="2619">
          <cell r="I2619">
            <v>0.10478</v>
          </cell>
        </row>
        <row r="2620">
          <cell r="I2620">
            <v>0.10482</v>
          </cell>
        </row>
        <row r="2621">
          <cell r="I2621">
            <v>0.10485999999999999</v>
          </cell>
        </row>
        <row r="2622">
          <cell r="I2622">
            <v>0.10489999999999999</v>
          </cell>
        </row>
        <row r="2623">
          <cell r="I2623">
            <v>0.10494000000000001</v>
          </cell>
        </row>
        <row r="2624">
          <cell r="I2624">
            <v>0.10498</v>
          </cell>
        </row>
        <row r="2625">
          <cell r="I2625">
            <v>0.10502</v>
          </cell>
        </row>
        <row r="2626">
          <cell r="I2626">
            <v>0.10506</v>
          </cell>
        </row>
        <row r="2627">
          <cell r="I2627">
            <v>0.1051</v>
          </cell>
        </row>
        <row r="2628">
          <cell r="I2628">
            <v>0.10514</v>
          </cell>
        </row>
        <row r="2629">
          <cell r="I2629">
            <v>0.10518</v>
          </cell>
        </row>
        <row r="2630">
          <cell r="I2630">
            <v>0.10521999999999999</v>
          </cell>
        </row>
        <row r="2631">
          <cell r="I2631">
            <v>0.10526000000000001</v>
          </cell>
        </row>
        <row r="2632">
          <cell r="I2632">
            <v>0.1053</v>
          </cell>
        </row>
        <row r="2633">
          <cell r="I2633">
            <v>0.10534</v>
          </cell>
        </row>
        <row r="2634">
          <cell r="I2634">
            <v>0.10538</v>
          </cell>
        </row>
        <row r="2635">
          <cell r="I2635">
            <v>0.10542</v>
          </cell>
        </row>
        <row r="2636">
          <cell r="I2636">
            <v>0.10546</v>
          </cell>
        </row>
        <row r="2637">
          <cell r="I2637">
            <v>0.1055</v>
          </cell>
        </row>
        <row r="2638">
          <cell r="I2638">
            <v>0.10553999999999999</v>
          </cell>
        </row>
        <row r="2639">
          <cell r="I2639">
            <v>0.10557999999999999</v>
          </cell>
        </row>
        <row r="2640">
          <cell r="I2640">
            <v>0.10562000000000001</v>
          </cell>
        </row>
        <row r="2641">
          <cell r="I2641">
            <v>0.10566</v>
          </cell>
        </row>
        <row r="2642">
          <cell r="I2642">
            <v>0.1057</v>
          </cell>
        </row>
        <row r="2643">
          <cell r="I2643">
            <v>0.10574</v>
          </cell>
        </row>
        <row r="2644">
          <cell r="I2644">
            <v>0.10578</v>
          </cell>
        </row>
        <row r="2645">
          <cell r="I2645">
            <v>0.10582</v>
          </cell>
        </row>
        <row r="2646">
          <cell r="I2646">
            <v>0.10586</v>
          </cell>
        </row>
        <row r="2647">
          <cell r="I2647">
            <v>0.10589999999999999</v>
          </cell>
        </row>
        <row r="2648">
          <cell r="I2648">
            <v>0.10594000000000001</v>
          </cell>
        </row>
        <row r="2649">
          <cell r="I2649">
            <v>0.10598</v>
          </cell>
        </row>
        <row r="2650">
          <cell r="I2650">
            <v>0.10602</v>
          </cell>
        </row>
        <row r="2651">
          <cell r="I2651">
            <v>0.10606</v>
          </cell>
        </row>
        <row r="2652">
          <cell r="I2652">
            <v>0.1061</v>
          </cell>
        </row>
        <row r="2653">
          <cell r="I2653">
            <v>0.10614</v>
          </cell>
        </row>
        <row r="2654">
          <cell r="I2654">
            <v>0.10618</v>
          </cell>
        </row>
        <row r="2655">
          <cell r="I2655">
            <v>0.10621999999999999</v>
          </cell>
        </row>
        <row r="2656">
          <cell r="I2656">
            <v>0.10625999999999999</v>
          </cell>
        </row>
        <row r="2657">
          <cell r="I2657">
            <v>0.10630000000000001</v>
          </cell>
        </row>
        <row r="2658">
          <cell r="I2658">
            <v>0.10634</v>
          </cell>
        </row>
        <row r="2659">
          <cell r="I2659">
            <v>0.10638</v>
          </cell>
        </row>
        <row r="2660">
          <cell r="I2660">
            <v>0.10642</v>
          </cell>
        </row>
        <row r="2661">
          <cell r="I2661">
            <v>0.10646</v>
          </cell>
        </row>
        <row r="2662">
          <cell r="I2662">
            <v>0.1065</v>
          </cell>
        </row>
        <row r="2663">
          <cell r="I2663">
            <v>0.10654</v>
          </cell>
        </row>
        <row r="2664">
          <cell r="I2664">
            <v>0.10657999999999999</v>
          </cell>
        </row>
        <row r="2665">
          <cell r="I2665">
            <v>0.10662000000000001</v>
          </cell>
        </row>
        <row r="2666">
          <cell r="I2666">
            <v>0.10666</v>
          </cell>
        </row>
        <row r="2667">
          <cell r="I2667">
            <v>0.1067</v>
          </cell>
        </row>
        <row r="2668">
          <cell r="I2668">
            <v>0.10674</v>
          </cell>
        </row>
        <row r="2669">
          <cell r="I2669">
            <v>0.10678</v>
          </cell>
        </row>
        <row r="2670">
          <cell r="I2670">
            <v>0.10682</v>
          </cell>
        </row>
        <row r="2671">
          <cell r="I2671">
            <v>0.10686</v>
          </cell>
        </row>
        <row r="2672">
          <cell r="I2672">
            <v>0.1069</v>
          </cell>
        </row>
        <row r="2673">
          <cell r="I2673">
            <v>0.10693999999999999</v>
          </cell>
        </row>
        <row r="2674">
          <cell r="I2674">
            <v>0.10698000000000001</v>
          </cell>
        </row>
        <row r="2675">
          <cell r="I2675">
            <v>0.10702</v>
          </cell>
        </row>
        <row r="2676">
          <cell r="I2676">
            <v>0.10706</v>
          </cell>
        </row>
        <row r="2677">
          <cell r="I2677">
            <v>0.1071</v>
          </cell>
        </row>
        <row r="2678">
          <cell r="I2678">
            <v>0.10714</v>
          </cell>
        </row>
        <row r="2679">
          <cell r="I2679">
            <v>0.10718</v>
          </cell>
        </row>
        <row r="2680">
          <cell r="I2680">
            <v>0.10722</v>
          </cell>
        </row>
        <row r="2681">
          <cell r="I2681">
            <v>0.10725999999999999</v>
          </cell>
        </row>
        <row r="2682">
          <cell r="I2682">
            <v>0.10730000000000001</v>
          </cell>
        </row>
        <row r="2683">
          <cell r="I2683">
            <v>0.10734</v>
          </cell>
        </row>
        <row r="2684">
          <cell r="I2684">
            <v>0.10738</v>
          </cell>
        </row>
        <row r="2685">
          <cell r="I2685">
            <v>0.10742</v>
          </cell>
        </row>
        <row r="2686">
          <cell r="I2686">
            <v>0.10746</v>
          </cell>
        </row>
        <row r="2687">
          <cell r="I2687">
            <v>0.1075</v>
          </cell>
        </row>
        <row r="2688">
          <cell r="I2688">
            <v>0.10754</v>
          </cell>
        </row>
        <row r="2689">
          <cell r="I2689">
            <v>0.10758</v>
          </cell>
        </row>
        <row r="2690">
          <cell r="I2690">
            <v>0.10761999999999999</v>
          </cell>
        </row>
        <row r="2691">
          <cell r="I2691">
            <v>0.10766000000000001</v>
          </cell>
        </row>
        <row r="2692">
          <cell r="I2692">
            <v>0.1077</v>
          </cell>
        </row>
        <row r="2693">
          <cell r="I2693">
            <v>0.10774</v>
          </cell>
        </row>
        <row r="2694">
          <cell r="I2694">
            <v>0.10778</v>
          </cell>
        </row>
        <row r="2695">
          <cell r="I2695">
            <v>0.10782</v>
          </cell>
        </row>
        <row r="2696">
          <cell r="I2696">
            <v>0.10786</v>
          </cell>
        </row>
        <row r="2697">
          <cell r="I2697">
            <v>0.1079</v>
          </cell>
        </row>
        <row r="2698">
          <cell r="I2698">
            <v>0.10793999999999999</v>
          </cell>
        </row>
        <row r="2699">
          <cell r="I2699">
            <v>0.10798000000000001</v>
          </cell>
        </row>
        <row r="2700">
          <cell r="I2700">
            <v>0.10802</v>
          </cell>
        </row>
        <row r="2701">
          <cell r="I2701">
            <v>0.10806</v>
          </cell>
        </row>
        <row r="2702">
          <cell r="I2702">
            <v>0.1081</v>
          </cell>
        </row>
        <row r="2703">
          <cell r="I2703">
            <v>0.10814</v>
          </cell>
        </row>
        <row r="2704">
          <cell r="I2704">
            <v>0.10818</v>
          </cell>
        </row>
        <row r="2705">
          <cell r="I2705">
            <v>0.10822</v>
          </cell>
        </row>
        <row r="2706">
          <cell r="I2706">
            <v>0.10826</v>
          </cell>
        </row>
        <row r="2707">
          <cell r="I2707">
            <v>0.10829999999999999</v>
          </cell>
        </row>
        <row r="2708">
          <cell r="I2708">
            <v>0.10834000000000001</v>
          </cell>
        </row>
        <row r="2709">
          <cell r="I2709">
            <v>0.10838</v>
          </cell>
        </row>
        <row r="2710">
          <cell r="I2710">
            <v>0.10842</v>
          </cell>
        </row>
        <row r="2711">
          <cell r="I2711">
            <v>0.10846</v>
          </cell>
        </row>
        <row r="2712">
          <cell r="I2712">
            <v>0.1085</v>
          </cell>
        </row>
        <row r="2713">
          <cell r="I2713">
            <v>0.10854</v>
          </cell>
        </row>
        <row r="2714">
          <cell r="I2714">
            <v>0.10858</v>
          </cell>
        </row>
        <row r="2715">
          <cell r="I2715">
            <v>0.10861999999999999</v>
          </cell>
        </row>
        <row r="2716">
          <cell r="I2716">
            <v>0.10866000000000001</v>
          </cell>
        </row>
        <row r="2717">
          <cell r="I2717">
            <v>0.1087</v>
          </cell>
        </row>
        <row r="2718">
          <cell r="I2718">
            <v>0.10874</v>
          </cell>
        </row>
        <row r="2719">
          <cell r="I2719">
            <v>0.10878</v>
          </cell>
        </row>
        <row r="2720">
          <cell r="I2720">
            <v>0.10882</v>
          </cell>
        </row>
        <row r="2721">
          <cell r="I2721">
            <v>0.10886</v>
          </cell>
        </row>
        <row r="2722">
          <cell r="I2722">
            <v>0.1089</v>
          </cell>
        </row>
        <row r="2723">
          <cell r="I2723">
            <v>0.10894</v>
          </cell>
        </row>
        <row r="2724">
          <cell r="I2724">
            <v>0.10897999999999999</v>
          </cell>
        </row>
        <row r="2725">
          <cell r="I2725">
            <v>0.10902000000000001</v>
          </cell>
        </row>
        <row r="2726">
          <cell r="I2726">
            <v>0.10906</v>
          </cell>
        </row>
        <row r="2727">
          <cell r="I2727">
            <v>0.1091</v>
          </cell>
        </row>
        <row r="2728">
          <cell r="I2728">
            <v>0.10914</v>
          </cell>
        </row>
        <row r="2729">
          <cell r="I2729">
            <v>0.10918</v>
          </cell>
        </row>
        <row r="2730">
          <cell r="I2730">
            <v>0.10922</v>
          </cell>
        </row>
        <row r="2731">
          <cell r="I2731">
            <v>0.10926</v>
          </cell>
        </row>
        <row r="2732">
          <cell r="I2732">
            <v>0.10929999999999999</v>
          </cell>
        </row>
        <row r="2733">
          <cell r="I2733">
            <v>0.10934000000000001</v>
          </cell>
        </row>
        <row r="2734">
          <cell r="I2734">
            <v>0.10938000000000001</v>
          </cell>
        </row>
        <row r="2735">
          <cell r="I2735">
            <v>0.10942</v>
          </cell>
        </row>
        <row r="2736">
          <cell r="I2736">
            <v>0.10946</v>
          </cell>
        </row>
        <row r="2737">
          <cell r="I2737">
            <v>0.1095</v>
          </cell>
        </row>
        <row r="2738">
          <cell r="I2738">
            <v>0.10954</v>
          </cell>
        </row>
        <row r="2739">
          <cell r="I2739">
            <v>0.10958</v>
          </cell>
        </row>
        <row r="2740">
          <cell r="I2740">
            <v>0.10962</v>
          </cell>
        </row>
        <row r="2741">
          <cell r="I2741">
            <v>0.10965999999999999</v>
          </cell>
        </row>
        <row r="2742">
          <cell r="I2742">
            <v>0.10970000000000001</v>
          </cell>
        </row>
        <row r="2743">
          <cell r="I2743">
            <v>0.10974</v>
          </cell>
        </row>
        <row r="2744">
          <cell r="I2744">
            <v>0.10978</v>
          </cell>
        </row>
        <row r="2745">
          <cell r="I2745">
            <v>0.10982</v>
          </cell>
        </row>
        <row r="2746">
          <cell r="I2746">
            <v>0.10986</v>
          </cell>
        </row>
        <row r="2747">
          <cell r="I2747">
            <v>0.1099</v>
          </cell>
        </row>
        <row r="2748">
          <cell r="I2748">
            <v>0.10994</v>
          </cell>
        </row>
        <row r="2749">
          <cell r="I2749">
            <v>0.10997999999999999</v>
          </cell>
        </row>
        <row r="2750">
          <cell r="I2750">
            <v>0.11002000000000001</v>
          </cell>
        </row>
        <row r="2751">
          <cell r="I2751">
            <v>0.11006000000000001</v>
          </cell>
        </row>
        <row r="2752">
          <cell r="I2752">
            <v>0.1101</v>
          </cell>
        </row>
        <row r="2753">
          <cell r="I2753">
            <v>0.11014</v>
          </cell>
        </row>
        <row r="2754">
          <cell r="I2754">
            <v>0.11018</v>
          </cell>
        </row>
        <row r="2755">
          <cell r="I2755">
            <v>0.11022</v>
          </cell>
        </row>
        <row r="2756">
          <cell r="I2756">
            <v>0.11026</v>
          </cell>
        </row>
        <row r="2757">
          <cell r="I2757">
            <v>0.1103</v>
          </cell>
        </row>
        <row r="2758">
          <cell r="I2758">
            <v>0.11033999999999999</v>
          </cell>
        </row>
        <row r="2759">
          <cell r="I2759">
            <v>0.11038000000000001</v>
          </cell>
        </row>
        <row r="2760">
          <cell r="I2760">
            <v>0.11042</v>
          </cell>
        </row>
        <row r="2761">
          <cell r="I2761">
            <v>0.11046</v>
          </cell>
        </row>
        <row r="2762">
          <cell r="I2762">
            <v>0.1105</v>
          </cell>
        </row>
        <row r="2763">
          <cell r="I2763">
            <v>0.11054</v>
          </cell>
        </row>
        <row r="2764">
          <cell r="I2764">
            <v>0.11058</v>
          </cell>
        </row>
        <row r="2765">
          <cell r="I2765">
            <v>0.11062</v>
          </cell>
        </row>
        <row r="2766">
          <cell r="I2766">
            <v>0.11065999999999999</v>
          </cell>
        </row>
        <row r="2767">
          <cell r="I2767">
            <v>0.11070000000000001</v>
          </cell>
        </row>
        <row r="2768">
          <cell r="I2768">
            <v>0.11074000000000001</v>
          </cell>
        </row>
        <row r="2769">
          <cell r="I2769">
            <v>0.11078</v>
          </cell>
        </row>
        <row r="2770">
          <cell r="I2770">
            <v>0.11082</v>
          </cell>
        </row>
        <row r="2771">
          <cell r="I2771">
            <v>0.11086</v>
          </cell>
        </row>
        <row r="2772">
          <cell r="I2772">
            <v>0.1109</v>
          </cell>
        </row>
        <row r="2773">
          <cell r="I2773">
            <v>0.11094</v>
          </cell>
        </row>
        <row r="2774">
          <cell r="I2774">
            <v>0.11098</v>
          </cell>
        </row>
        <row r="2775">
          <cell r="I2775">
            <v>0.11101999999999999</v>
          </cell>
        </row>
        <row r="2776">
          <cell r="I2776">
            <v>0.11106000000000001</v>
          </cell>
        </row>
        <row r="2777">
          <cell r="I2777">
            <v>0.1111</v>
          </cell>
        </row>
        <row r="2778">
          <cell r="I2778">
            <v>0.11114</v>
          </cell>
        </row>
        <row r="2779">
          <cell r="I2779">
            <v>0.11118</v>
          </cell>
        </row>
        <row r="2780">
          <cell r="I2780">
            <v>0.11122</v>
          </cell>
        </row>
        <row r="2781">
          <cell r="I2781">
            <v>0.11126</v>
          </cell>
        </row>
        <row r="2782">
          <cell r="I2782">
            <v>0.1113</v>
          </cell>
        </row>
        <row r="2783">
          <cell r="I2783">
            <v>0.11133999999999999</v>
          </cell>
        </row>
        <row r="2784">
          <cell r="I2784">
            <v>0.11138000000000001</v>
          </cell>
        </row>
        <row r="2785">
          <cell r="I2785">
            <v>0.11142000000000001</v>
          </cell>
        </row>
        <row r="2786">
          <cell r="I2786">
            <v>0.11146</v>
          </cell>
        </row>
        <row r="2787">
          <cell r="I2787">
            <v>0.1115</v>
          </cell>
        </row>
        <row r="2788">
          <cell r="I2788">
            <v>0.11154</v>
          </cell>
        </row>
        <row r="2789">
          <cell r="I2789">
            <v>0.11158</v>
          </cell>
        </row>
        <row r="2790">
          <cell r="I2790">
            <v>0.11162</v>
          </cell>
        </row>
        <row r="2791">
          <cell r="I2791">
            <v>0.11166</v>
          </cell>
        </row>
        <row r="2792">
          <cell r="I2792">
            <v>0.11169999999999999</v>
          </cell>
        </row>
        <row r="2793">
          <cell r="I2793">
            <v>0.11174000000000001</v>
          </cell>
        </row>
        <row r="2794">
          <cell r="I2794">
            <v>0.11178</v>
          </cell>
        </row>
        <row r="2795">
          <cell r="I2795">
            <v>0.11182</v>
          </cell>
        </row>
        <row r="2796">
          <cell r="I2796">
            <v>0.11186</v>
          </cell>
        </row>
        <row r="2797">
          <cell r="I2797">
            <v>0.1119</v>
          </cell>
        </row>
        <row r="2798">
          <cell r="I2798">
            <v>0.11194</v>
          </cell>
        </row>
        <row r="2799">
          <cell r="I2799">
            <v>0.11198</v>
          </cell>
        </row>
        <row r="2800">
          <cell r="I2800">
            <v>0.11201999999999999</v>
          </cell>
        </row>
        <row r="2801">
          <cell r="I2801">
            <v>0.11206000000000001</v>
          </cell>
        </row>
        <row r="2802">
          <cell r="I2802">
            <v>0.11210000000000001</v>
          </cell>
        </row>
        <row r="2803">
          <cell r="I2803">
            <v>0.11214</v>
          </cell>
        </row>
        <row r="2804">
          <cell r="I2804">
            <v>0.11218</v>
          </cell>
        </row>
        <row r="2805">
          <cell r="I2805">
            <v>0.11222</v>
          </cell>
        </row>
        <row r="2806">
          <cell r="I2806">
            <v>0.11226</v>
          </cell>
        </row>
        <row r="2807">
          <cell r="I2807">
            <v>0.1123</v>
          </cell>
        </row>
        <row r="2808">
          <cell r="I2808">
            <v>0.11234</v>
          </cell>
        </row>
        <row r="2809">
          <cell r="I2809">
            <v>0.11237999999999999</v>
          </cell>
        </row>
        <row r="2810">
          <cell r="I2810">
            <v>0.11242000000000001</v>
          </cell>
        </row>
        <row r="2811">
          <cell r="I2811">
            <v>0.11246</v>
          </cell>
        </row>
        <row r="2812">
          <cell r="I2812">
            <v>0.1125</v>
          </cell>
        </row>
        <row r="2813">
          <cell r="I2813">
            <v>0.11254</v>
          </cell>
        </row>
        <row r="2814">
          <cell r="I2814">
            <v>0.11258</v>
          </cell>
        </row>
        <row r="2815">
          <cell r="I2815">
            <v>0.11262</v>
          </cell>
        </row>
        <row r="2816">
          <cell r="I2816">
            <v>0.11266</v>
          </cell>
        </row>
        <row r="2817">
          <cell r="I2817">
            <v>0.11269999999999999</v>
          </cell>
        </row>
        <row r="2818">
          <cell r="I2818">
            <v>0.11274000000000001</v>
          </cell>
        </row>
        <row r="2819">
          <cell r="I2819">
            <v>0.11278000000000001</v>
          </cell>
        </row>
        <row r="2820">
          <cell r="I2820">
            <v>0.11282</v>
          </cell>
        </row>
        <row r="2821">
          <cell r="I2821">
            <v>0.11286</v>
          </cell>
        </row>
        <row r="2822">
          <cell r="I2822">
            <v>0.1129</v>
          </cell>
        </row>
        <row r="2823">
          <cell r="I2823">
            <v>0.11294</v>
          </cell>
        </row>
        <row r="2824">
          <cell r="I2824">
            <v>0.11298</v>
          </cell>
        </row>
        <row r="2825">
          <cell r="I2825">
            <v>0.11302</v>
          </cell>
        </row>
        <row r="2826">
          <cell r="I2826">
            <v>0.11305999999999999</v>
          </cell>
        </row>
        <row r="2827">
          <cell r="I2827">
            <v>0.11310000000000001</v>
          </cell>
        </row>
        <row r="2828">
          <cell r="I2828">
            <v>0.11314</v>
          </cell>
        </row>
        <row r="2829">
          <cell r="I2829">
            <v>0.11318</v>
          </cell>
        </row>
        <row r="2830">
          <cell r="I2830">
            <v>0.11322</v>
          </cell>
        </row>
        <row r="2831">
          <cell r="I2831">
            <v>0.11326</v>
          </cell>
        </row>
        <row r="2832">
          <cell r="I2832">
            <v>0.1133</v>
          </cell>
        </row>
        <row r="2833">
          <cell r="I2833">
            <v>0.11334</v>
          </cell>
        </row>
        <row r="2834">
          <cell r="I2834">
            <v>0.11337999999999999</v>
          </cell>
        </row>
        <row r="2835">
          <cell r="I2835">
            <v>0.11342000000000001</v>
          </cell>
        </row>
        <row r="2836">
          <cell r="I2836">
            <v>0.11346000000000001</v>
          </cell>
        </row>
        <row r="2837">
          <cell r="I2837">
            <v>0.1135</v>
          </cell>
        </row>
        <row r="2838">
          <cell r="I2838">
            <v>0.11354</v>
          </cell>
        </row>
        <row r="2839">
          <cell r="I2839">
            <v>0.11358</v>
          </cell>
        </row>
        <row r="2840">
          <cell r="I2840">
            <v>0.11362</v>
          </cell>
        </row>
        <row r="2841">
          <cell r="I2841">
            <v>0.11366</v>
          </cell>
        </row>
        <row r="2842">
          <cell r="I2842">
            <v>0.1137</v>
          </cell>
        </row>
        <row r="2843">
          <cell r="I2843">
            <v>0.11373999999999999</v>
          </cell>
        </row>
        <row r="2844">
          <cell r="I2844">
            <v>0.11378000000000001</v>
          </cell>
        </row>
        <row r="2845">
          <cell r="I2845">
            <v>0.11382</v>
          </cell>
        </row>
        <row r="2846">
          <cell r="I2846">
            <v>0.11386</v>
          </cell>
        </row>
        <row r="2847">
          <cell r="I2847">
            <v>0.1139</v>
          </cell>
        </row>
        <row r="2848">
          <cell r="I2848">
            <v>0.11394</v>
          </cell>
        </row>
        <row r="2849">
          <cell r="I2849">
            <v>0.11398</v>
          </cell>
        </row>
        <row r="2850">
          <cell r="I2850">
            <v>0.11402</v>
          </cell>
        </row>
        <row r="2851">
          <cell r="I2851">
            <v>0.11405999999999999</v>
          </cell>
        </row>
        <row r="2852">
          <cell r="I2852">
            <v>0.11409999999999999</v>
          </cell>
        </row>
        <row r="2853">
          <cell r="I2853">
            <v>0.11414000000000001</v>
          </cell>
        </row>
        <row r="2854">
          <cell r="I2854">
            <v>0.11418</v>
          </cell>
        </row>
        <row r="2855">
          <cell r="I2855">
            <v>0.11422</v>
          </cell>
        </row>
        <row r="2856">
          <cell r="I2856">
            <v>0.11426</v>
          </cell>
        </row>
        <row r="2857">
          <cell r="I2857">
            <v>0.1143</v>
          </cell>
        </row>
        <row r="2858">
          <cell r="I2858">
            <v>0.11434</v>
          </cell>
        </row>
        <row r="2859">
          <cell r="I2859">
            <v>0.11438</v>
          </cell>
        </row>
        <row r="2860">
          <cell r="I2860">
            <v>0.11441999999999999</v>
          </cell>
        </row>
        <row r="2861">
          <cell r="I2861">
            <v>0.11446000000000001</v>
          </cell>
        </row>
        <row r="2862">
          <cell r="I2862">
            <v>0.1145</v>
          </cell>
        </row>
        <row r="2863">
          <cell r="I2863">
            <v>0.11454</v>
          </cell>
        </row>
        <row r="2864">
          <cell r="I2864">
            <v>0.11458</v>
          </cell>
        </row>
        <row r="2865">
          <cell r="I2865">
            <v>0.11462</v>
          </cell>
        </row>
        <row r="2866">
          <cell r="I2866">
            <v>0.11466</v>
          </cell>
        </row>
        <row r="2867">
          <cell r="I2867">
            <v>0.1147</v>
          </cell>
        </row>
        <row r="2868">
          <cell r="I2868">
            <v>0.11473999999999999</v>
          </cell>
        </row>
        <row r="2869">
          <cell r="I2869">
            <v>0.11477999999999999</v>
          </cell>
        </row>
        <row r="2870">
          <cell r="I2870">
            <v>0.11482000000000001</v>
          </cell>
        </row>
        <row r="2871">
          <cell r="I2871">
            <v>0.11486</v>
          </cell>
        </row>
        <row r="2872">
          <cell r="I2872">
            <v>0.1149</v>
          </cell>
        </row>
        <row r="2873">
          <cell r="I2873">
            <v>0.11494</v>
          </cell>
        </row>
        <row r="2874">
          <cell r="I2874">
            <v>0.11498</v>
          </cell>
        </row>
        <row r="2875">
          <cell r="I2875">
            <v>0.11502</v>
          </cell>
        </row>
        <row r="2876">
          <cell r="I2876">
            <v>0.11506</v>
          </cell>
        </row>
        <row r="2877">
          <cell r="I2877">
            <v>0.11509999999999999</v>
          </cell>
        </row>
        <row r="2878">
          <cell r="I2878">
            <v>0.11514000000000001</v>
          </cell>
        </row>
        <row r="2879">
          <cell r="I2879">
            <v>0.11518</v>
          </cell>
        </row>
        <row r="2880">
          <cell r="I2880">
            <v>0.11522</v>
          </cell>
        </row>
        <row r="2881">
          <cell r="I2881">
            <v>0.11526</v>
          </cell>
        </row>
        <row r="2882">
          <cell r="I2882">
            <v>0.1153</v>
          </cell>
        </row>
        <row r="2883">
          <cell r="I2883">
            <v>0.11534</v>
          </cell>
        </row>
        <row r="2884">
          <cell r="I2884">
            <v>0.11538</v>
          </cell>
        </row>
        <row r="2885">
          <cell r="I2885">
            <v>0.11541999999999999</v>
          </cell>
        </row>
        <row r="2886">
          <cell r="I2886">
            <v>0.11545999999999999</v>
          </cell>
        </row>
        <row r="2887">
          <cell r="I2887">
            <v>0.11550000000000001</v>
          </cell>
        </row>
        <row r="2888">
          <cell r="I2888">
            <v>0.11554</v>
          </cell>
        </row>
        <row r="2889">
          <cell r="I2889">
            <v>0.11558</v>
          </cell>
        </row>
        <row r="2890">
          <cell r="I2890">
            <v>0.11562</v>
          </cell>
        </row>
        <row r="2891">
          <cell r="I2891">
            <v>0.11566</v>
          </cell>
        </row>
        <row r="2892">
          <cell r="I2892">
            <v>0.1157</v>
          </cell>
        </row>
        <row r="2893">
          <cell r="I2893">
            <v>0.11574</v>
          </cell>
        </row>
        <row r="2894">
          <cell r="I2894">
            <v>0.11577999999999999</v>
          </cell>
        </row>
        <row r="2895">
          <cell r="I2895">
            <v>0.11582000000000001</v>
          </cell>
        </row>
        <row r="2896">
          <cell r="I2896">
            <v>0.11586</v>
          </cell>
        </row>
        <row r="2897">
          <cell r="I2897">
            <v>0.1159</v>
          </cell>
        </row>
        <row r="2898">
          <cell r="I2898">
            <v>0.11594</v>
          </cell>
        </row>
        <row r="2899">
          <cell r="I2899">
            <v>0.11598</v>
          </cell>
        </row>
        <row r="2900">
          <cell r="I2900">
            <v>0.11602</v>
          </cell>
        </row>
        <row r="2901">
          <cell r="I2901">
            <v>0.11606</v>
          </cell>
        </row>
        <row r="2902">
          <cell r="I2902">
            <v>0.11609999999999999</v>
          </cell>
        </row>
        <row r="2903">
          <cell r="I2903">
            <v>0.11613999999999999</v>
          </cell>
        </row>
        <row r="2904">
          <cell r="I2904">
            <v>0.11618000000000001</v>
          </cell>
        </row>
        <row r="2905">
          <cell r="I2905">
            <v>0.11622</v>
          </cell>
        </row>
        <row r="2906">
          <cell r="I2906">
            <v>0.11626</v>
          </cell>
        </row>
        <row r="2907">
          <cell r="I2907">
            <v>0.1163</v>
          </cell>
        </row>
        <row r="2908">
          <cell r="I2908">
            <v>0.11634</v>
          </cell>
        </row>
        <row r="2909">
          <cell r="I2909">
            <v>0.11638</v>
          </cell>
        </row>
        <row r="2910">
          <cell r="I2910">
            <v>0.11642</v>
          </cell>
        </row>
        <row r="2911">
          <cell r="I2911">
            <v>0.11645999999999999</v>
          </cell>
        </row>
        <row r="2912">
          <cell r="I2912">
            <v>0.11650000000000001</v>
          </cell>
        </row>
        <row r="2913">
          <cell r="I2913">
            <v>0.11654</v>
          </cell>
        </row>
        <row r="2914">
          <cell r="I2914">
            <v>0.11658</v>
          </cell>
        </row>
        <row r="2915">
          <cell r="I2915">
            <v>0.11662</v>
          </cell>
        </row>
        <row r="2916">
          <cell r="I2916">
            <v>0.11666</v>
          </cell>
        </row>
        <row r="2917">
          <cell r="I2917">
            <v>0.1167</v>
          </cell>
        </row>
        <row r="2918">
          <cell r="I2918">
            <v>0.11674</v>
          </cell>
        </row>
        <row r="2919">
          <cell r="I2919">
            <v>0.11677999999999999</v>
          </cell>
        </row>
        <row r="2920">
          <cell r="I2920">
            <v>0.11681999999999999</v>
          </cell>
        </row>
        <row r="2921">
          <cell r="I2921">
            <v>0.11686000000000001</v>
          </cell>
        </row>
        <row r="2922">
          <cell r="I2922">
            <v>0.1169</v>
          </cell>
        </row>
        <row r="2923">
          <cell r="I2923">
            <v>0.11694</v>
          </cell>
        </row>
        <row r="2924">
          <cell r="I2924">
            <v>0.11698</v>
          </cell>
        </row>
        <row r="2925">
          <cell r="I2925">
            <v>0.11702</v>
          </cell>
        </row>
        <row r="2926">
          <cell r="I2926">
            <v>0.11706</v>
          </cell>
        </row>
        <row r="2927">
          <cell r="I2927">
            <v>0.1171</v>
          </cell>
        </row>
        <row r="2928">
          <cell r="I2928">
            <v>0.11713999999999999</v>
          </cell>
        </row>
        <row r="2929">
          <cell r="I2929">
            <v>0.11718000000000001</v>
          </cell>
        </row>
        <row r="2930">
          <cell r="I2930">
            <v>0.11722</v>
          </cell>
        </row>
        <row r="2931">
          <cell r="I2931">
            <v>0.11726</v>
          </cell>
        </row>
        <row r="2932">
          <cell r="I2932">
            <v>0.1173</v>
          </cell>
        </row>
        <row r="2933">
          <cell r="I2933">
            <v>0.11734</v>
          </cell>
        </row>
        <row r="2934">
          <cell r="I2934">
            <v>0.11738</v>
          </cell>
        </row>
        <row r="2935">
          <cell r="I2935">
            <v>0.11742</v>
          </cell>
        </row>
        <row r="2936">
          <cell r="I2936">
            <v>0.11745999999999999</v>
          </cell>
        </row>
        <row r="2937">
          <cell r="I2937">
            <v>0.11749999999999999</v>
          </cell>
        </row>
        <row r="2938">
          <cell r="I2938">
            <v>0.11754000000000001</v>
          </cell>
        </row>
        <row r="2939">
          <cell r="I2939">
            <v>0.11758</v>
          </cell>
        </row>
        <row r="2940">
          <cell r="I2940">
            <v>0.11762</v>
          </cell>
        </row>
        <row r="2941">
          <cell r="I2941">
            <v>0.11766</v>
          </cell>
        </row>
        <row r="2942">
          <cell r="I2942">
            <v>0.1177</v>
          </cell>
        </row>
        <row r="2943">
          <cell r="I2943">
            <v>0.11774</v>
          </cell>
        </row>
        <row r="2944">
          <cell r="I2944">
            <v>0.11778</v>
          </cell>
        </row>
        <row r="2945">
          <cell r="I2945">
            <v>0.11781999999999999</v>
          </cell>
        </row>
        <row r="2946">
          <cell r="I2946">
            <v>0.11786000000000001</v>
          </cell>
        </row>
        <row r="2947">
          <cell r="I2947">
            <v>0.1179</v>
          </cell>
        </row>
        <row r="2948">
          <cell r="I2948">
            <v>0.11794</v>
          </cell>
        </row>
        <row r="2949">
          <cell r="I2949">
            <v>0.11798</v>
          </cell>
        </row>
        <row r="2950">
          <cell r="I2950">
            <v>0.11802</v>
          </cell>
        </row>
        <row r="2951">
          <cell r="I2951">
            <v>0.11806</v>
          </cell>
        </row>
        <row r="2952">
          <cell r="I2952">
            <v>0.1181</v>
          </cell>
        </row>
        <row r="2953">
          <cell r="I2953">
            <v>0.11814</v>
          </cell>
        </row>
        <row r="2954">
          <cell r="I2954">
            <v>0.11817999999999999</v>
          </cell>
        </row>
        <row r="2955">
          <cell r="I2955">
            <v>0.11822000000000001</v>
          </cell>
        </row>
        <row r="2956">
          <cell r="I2956">
            <v>0.11826</v>
          </cell>
        </row>
        <row r="2957">
          <cell r="I2957">
            <v>0.1183</v>
          </cell>
        </row>
        <row r="2958">
          <cell r="I2958">
            <v>0.11834</v>
          </cell>
        </row>
        <row r="2959">
          <cell r="I2959">
            <v>0.11838</v>
          </cell>
        </row>
        <row r="2960">
          <cell r="I2960">
            <v>0.11842</v>
          </cell>
        </row>
        <row r="2961">
          <cell r="I2961">
            <v>0.11846</v>
          </cell>
        </row>
        <row r="2962">
          <cell r="I2962">
            <v>0.11849999999999999</v>
          </cell>
        </row>
        <row r="2963">
          <cell r="I2963">
            <v>0.11854000000000001</v>
          </cell>
        </row>
        <row r="2964">
          <cell r="I2964">
            <v>0.11858</v>
          </cell>
        </row>
        <row r="2965">
          <cell r="I2965">
            <v>0.11862</v>
          </cell>
        </row>
        <row r="2966">
          <cell r="I2966">
            <v>0.11866</v>
          </cell>
        </row>
        <row r="2967">
          <cell r="I2967">
            <v>0.1187</v>
          </cell>
        </row>
        <row r="2968">
          <cell r="I2968">
            <v>0.11874</v>
          </cell>
        </row>
        <row r="2969">
          <cell r="I2969">
            <v>0.11878</v>
          </cell>
        </row>
        <row r="2970">
          <cell r="I2970">
            <v>0.11882</v>
          </cell>
        </row>
        <row r="2971">
          <cell r="I2971">
            <v>0.11885999999999999</v>
          </cell>
        </row>
        <row r="2972">
          <cell r="I2972">
            <v>0.11890000000000001</v>
          </cell>
        </row>
        <row r="2973">
          <cell r="I2973">
            <v>0.11894</v>
          </cell>
        </row>
        <row r="2974">
          <cell r="I2974">
            <v>0.11898</v>
          </cell>
        </row>
        <row r="2975">
          <cell r="I2975">
            <v>0.11902</v>
          </cell>
        </row>
        <row r="2976">
          <cell r="I2976">
            <v>0.11906</v>
          </cell>
        </row>
        <row r="2977">
          <cell r="I2977">
            <v>0.1191</v>
          </cell>
        </row>
        <row r="2978">
          <cell r="I2978">
            <v>0.11914</v>
          </cell>
        </row>
        <row r="2979">
          <cell r="I2979">
            <v>0.11917999999999999</v>
          </cell>
        </row>
        <row r="2980">
          <cell r="I2980">
            <v>0.11922000000000001</v>
          </cell>
        </row>
        <row r="2981">
          <cell r="I2981">
            <v>0.11926</v>
          </cell>
        </row>
        <row r="2982">
          <cell r="I2982">
            <v>0.1193</v>
          </cell>
        </row>
        <row r="2983">
          <cell r="I2983">
            <v>0.11934</v>
          </cell>
        </row>
        <row r="2984">
          <cell r="I2984">
            <v>0.11938</v>
          </cell>
        </row>
        <row r="2985">
          <cell r="I2985">
            <v>0.11942</v>
          </cell>
        </row>
        <row r="2986">
          <cell r="I2986">
            <v>0.11946</v>
          </cell>
        </row>
        <row r="2987">
          <cell r="I2987">
            <v>0.1195</v>
          </cell>
        </row>
        <row r="2988">
          <cell r="I2988">
            <v>0.11953999999999999</v>
          </cell>
        </row>
        <row r="2989">
          <cell r="I2989">
            <v>0.11958000000000001</v>
          </cell>
        </row>
        <row r="2990">
          <cell r="I2990">
            <v>0.11962</v>
          </cell>
        </row>
        <row r="2991">
          <cell r="I2991">
            <v>0.11966</v>
          </cell>
        </row>
        <row r="2992">
          <cell r="I2992">
            <v>0.1197</v>
          </cell>
        </row>
        <row r="2993">
          <cell r="I2993">
            <v>0.11974</v>
          </cell>
        </row>
        <row r="2994">
          <cell r="I2994">
            <v>0.11978</v>
          </cell>
        </row>
        <row r="2995">
          <cell r="I2995">
            <v>0.11982</v>
          </cell>
        </row>
        <row r="2996">
          <cell r="I2996">
            <v>0.11985999999999999</v>
          </cell>
        </row>
        <row r="2997">
          <cell r="I2997">
            <v>0.11990000000000001</v>
          </cell>
        </row>
        <row r="2998">
          <cell r="I2998">
            <v>0.11994</v>
          </cell>
        </row>
        <row r="2999">
          <cell r="I2999">
            <v>0.11998</v>
          </cell>
        </row>
        <row r="3000">
          <cell r="I3000">
            <v>0.12002</v>
          </cell>
        </row>
        <row r="3001">
          <cell r="I3001">
            <v>0.12006</v>
          </cell>
        </row>
        <row r="3002">
          <cell r="I3002">
            <v>0.1201</v>
          </cell>
        </row>
        <row r="3003">
          <cell r="I3003">
            <v>0.12014</v>
          </cell>
        </row>
        <row r="3004">
          <cell r="I3004">
            <v>0.12018</v>
          </cell>
        </row>
        <row r="3005">
          <cell r="I3005">
            <v>0.12021999999999999</v>
          </cell>
        </row>
        <row r="3006">
          <cell r="I3006">
            <v>0.12026000000000001</v>
          </cell>
        </row>
        <row r="3007">
          <cell r="I3007">
            <v>0.1203</v>
          </cell>
        </row>
        <row r="3008">
          <cell r="I3008">
            <v>0.12034</v>
          </cell>
        </row>
        <row r="3009">
          <cell r="I3009">
            <v>0.12038</v>
          </cell>
        </row>
        <row r="3010">
          <cell r="I3010">
            <v>0.12042</v>
          </cell>
        </row>
        <row r="3011">
          <cell r="I3011">
            <v>0.12046</v>
          </cell>
        </row>
        <row r="3012">
          <cell r="I3012">
            <v>0.1205</v>
          </cell>
        </row>
        <row r="3013">
          <cell r="I3013">
            <v>0.12053999999999999</v>
          </cell>
        </row>
        <row r="3014">
          <cell r="I3014">
            <v>0.12058000000000001</v>
          </cell>
        </row>
        <row r="3015">
          <cell r="I3015">
            <v>0.12062</v>
          </cell>
        </row>
        <row r="3016">
          <cell r="I3016">
            <v>0.12066</v>
          </cell>
        </row>
        <row r="3017">
          <cell r="I3017">
            <v>0.1207</v>
          </cell>
        </row>
        <row r="3018">
          <cell r="I3018">
            <v>0.12074</v>
          </cell>
        </row>
        <row r="3019">
          <cell r="I3019">
            <v>0.12078</v>
          </cell>
        </row>
        <row r="3020">
          <cell r="I3020">
            <v>0.12082</v>
          </cell>
        </row>
        <row r="3021">
          <cell r="I3021">
            <v>0.12086</v>
          </cell>
        </row>
        <row r="3022">
          <cell r="I3022">
            <v>0.12089999999999999</v>
          </cell>
        </row>
        <row r="3023">
          <cell r="I3023">
            <v>0.12094000000000001</v>
          </cell>
        </row>
        <row r="3024">
          <cell r="I3024">
            <v>0.12098</v>
          </cell>
        </row>
        <row r="3025">
          <cell r="I3025">
            <v>0.12102</v>
          </cell>
        </row>
        <row r="3026">
          <cell r="I3026">
            <v>0.12106</v>
          </cell>
        </row>
        <row r="3027">
          <cell r="I3027">
            <v>0.1211</v>
          </cell>
        </row>
        <row r="3028">
          <cell r="I3028">
            <v>0.12114</v>
          </cell>
        </row>
        <row r="3029">
          <cell r="I3029">
            <v>0.12118</v>
          </cell>
        </row>
        <row r="3030">
          <cell r="I3030">
            <v>0.12121999999999999</v>
          </cell>
        </row>
        <row r="3031">
          <cell r="I3031">
            <v>0.12126000000000001</v>
          </cell>
        </row>
        <row r="3032">
          <cell r="I3032">
            <v>0.12130000000000001</v>
          </cell>
        </row>
        <row r="3033">
          <cell r="I3033">
            <v>0.12134</v>
          </cell>
        </row>
        <row r="3034">
          <cell r="I3034">
            <v>0.12138</v>
          </cell>
        </row>
        <row r="3035">
          <cell r="I3035">
            <v>0.12142</v>
          </cell>
        </row>
        <row r="3036">
          <cell r="I3036">
            <v>0.12146</v>
          </cell>
        </row>
        <row r="3037">
          <cell r="I3037">
            <v>0.1215</v>
          </cell>
        </row>
        <row r="3038">
          <cell r="I3038">
            <v>0.12154</v>
          </cell>
        </row>
        <row r="3039">
          <cell r="I3039">
            <v>0.12157999999999999</v>
          </cell>
        </row>
        <row r="3040">
          <cell r="I3040">
            <v>0.12162000000000001</v>
          </cell>
        </row>
        <row r="3041">
          <cell r="I3041">
            <v>0.12166</v>
          </cell>
        </row>
        <row r="3042">
          <cell r="I3042">
            <v>0.1217</v>
          </cell>
        </row>
        <row r="3043">
          <cell r="I3043">
            <v>0.12174</v>
          </cell>
        </row>
        <row r="3044">
          <cell r="I3044">
            <v>0.12178</v>
          </cell>
        </row>
        <row r="3045">
          <cell r="I3045">
            <v>0.12182</v>
          </cell>
        </row>
        <row r="3046">
          <cell r="I3046">
            <v>0.12186</v>
          </cell>
        </row>
        <row r="3047">
          <cell r="I3047">
            <v>0.12189999999999999</v>
          </cell>
        </row>
        <row r="3048">
          <cell r="I3048">
            <v>0.12194000000000001</v>
          </cell>
        </row>
        <row r="3049">
          <cell r="I3049">
            <v>0.12198000000000001</v>
          </cell>
        </row>
        <row r="3050">
          <cell r="I3050">
            <v>0.12202</v>
          </cell>
        </row>
        <row r="3051">
          <cell r="I3051">
            <v>0.12206</v>
          </cell>
        </row>
        <row r="3052">
          <cell r="I3052">
            <v>0.1221</v>
          </cell>
        </row>
        <row r="3053">
          <cell r="I3053">
            <v>0.12214</v>
          </cell>
        </row>
        <row r="3054">
          <cell r="I3054">
            <v>0.12218</v>
          </cell>
        </row>
        <row r="3055">
          <cell r="I3055">
            <v>0.12222</v>
          </cell>
        </row>
        <row r="3056">
          <cell r="I3056">
            <v>0.12225999999999999</v>
          </cell>
        </row>
        <row r="3057">
          <cell r="I3057">
            <v>0.12230000000000001</v>
          </cell>
        </row>
        <row r="3058">
          <cell r="I3058">
            <v>0.12234</v>
          </cell>
        </row>
        <row r="3059">
          <cell r="I3059">
            <v>0.12238</v>
          </cell>
        </row>
        <row r="3060">
          <cell r="I3060">
            <v>0.12242</v>
          </cell>
        </row>
        <row r="3061">
          <cell r="I3061">
            <v>0.12246</v>
          </cell>
        </row>
        <row r="3062">
          <cell r="I3062">
            <v>0.1225</v>
          </cell>
        </row>
        <row r="3063">
          <cell r="I3063">
            <v>0.12254</v>
          </cell>
        </row>
        <row r="3064">
          <cell r="I3064">
            <v>0.12257999999999999</v>
          </cell>
        </row>
        <row r="3065">
          <cell r="I3065">
            <v>0.12262000000000001</v>
          </cell>
        </row>
        <row r="3066">
          <cell r="I3066">
            <v>0.12266000000000001</v>
          </cell>
        </row>
        <row r="3067">
          <cell r="I3067">
            <v>0.1227</v>
          </cell>
        </row>
        <row r="3068">
          <cell r="I3068">
            <v>0.12274</v>
          </cell>
        </row>
        <row r="3069">
          <cell r="I3069">
            <v>0.12278</v>
          </cell>
        </row>
        <row r="3070">
          <cell r="I3070">
            <v>0.12282</v>
          </cell>
        </row>
        <row r="3071">
          <cell r="I3071">
            <v>0.12286</v>
          </cell>
        </row>
        <row r="3072">
          <cell r="I3072">
            <v>0.1229</v>
          </cell>
        </row>
        <row r="3073">
          <cell r="I3073">
            <v>0.12293999999999999</v>
          </cell>
        </row>
        <row r="3074">
          <cell r="I3074">
            <v>0.12298000000000001</v>
          </cell>
        </row>
        <row r="3075">
          <cell r="I3075">
            <v>0.12302</v>
          </cell>
        </row>
        <row r="3076">
          <cell r="I3076">
            <v>0.12306</v>
          </cell>
        </row>
        <row r="3077">
          <cell r="I3077">
            <v>0.1231</v>
          </cell>
        </row>
        <row r="3078">
          <cell r="I3078">
            <v>0.12314</v>
          </cell>
        </row>
        <row r="3079">
          <cell r="I3079">
            <v>0.12318</v>
          </cell>
        </row>
        <row r="3080">
          <cell r="I3080">
            <v>0.12322</v>
          </cell>
        </row>
        <row r="3081">
          <cell r="I3081">
            <v>0.12325999999999999</v>
          </cell>
        </row>
        <row r="3082">
          <cell r="I3082">
            <v>0.12330000000000001</v>
          </cell>
        </row>
        <row r="3083">
          <cell r="I3083">
            <v>0.12334000000000001</v>
          </cell>
        </row>
        <row r="3084">
          <cell r="I3084">
            <v>0.12338</v>
          </cell>
        </row>
        <row r="3085">
          <cell r="I3085">
            <v>0.12342</v>
          </cell>
        </row>
        <row r="3086">
          <cell r="I3086">
            <v>0.12346</v>
          </cell>
        </row>
        <row r="3087">
          <cell r="I3087">
            <v>0.1235</v>
          </cell>
        </row>
        <row r="3088">
          <cell r="I3088">
            <v>0.12354</v>
          </cell>
        </row>
        <row r="3089">
          <cell r="I3089">
            <v>0.12358</v>
          </cell>
        </row>
        <row r="3090">
          <cell r="I3090">
            <v>0.12361999999999999</v>
          </cell>
        </row>
        <row r="3091">
          <cell r="I3091">
            <v>0.12366000000000001</v>
          </cell>
        </row>
        <row r="3092">
          <cell r="I3092">
            <v>0.1237</v>
          </cell>
        </row>
        <row r="3093">
          <cell r="I3093">
            <v>0.12374</v>
          </cell>
        </row>
        <row r="3094">
          <cell r="I3094">
            <v>0.12378</v>
          </cell>
        </row>
        <row r="3095">
          <cell r="I3095">
            <v>0.12382</v>
          </cell>
        </row>
        <row r="3096">
          <cell r="I3096">
            <v>0.12386</v>
          </cell>
        </row>
        <row r="3097">
          <cell r="I3097">
            <v>0.1239</v>
          </cell>
        </row>
        <row r="3098">
          <cell r="I3098">
            <v>0.12393999999999999</v>
          </cell>
        </row>
        <row r="3099">
          <cell r="I3099">
            <v>0.12398000000000001</v>
          </cell>
        </row>
        <row r="3100">
          <cell r="I3100">
            <v>0.12402000000000001</v>
          </cell>
        </row>
        <row r="3101">
          <cell r="I3101">
            <v>0.12406</v>
          </cell>
        </row>
        <row r="3102">
          <cell r="I3102">
            <v>0.1241</v>
          </cell>
        </row>
        <row r="3103">
          <cell r="I3103">
            <v>0.12414</v>
          </cell>
        </row>
        <row r="3104">
          <cell r="I3104">
            <v>0.12418</v>
          </cell>
        </row>
        <row r="3105">
          <cell r="I3105">
            <v>0.12422</v>
          </cell>
        </row>
        <row r="3106">
          <cell r="I3106">
            <v>0.12426</v>
          </cell>
        </row>
        <row r="3107">
          <cell r="I3107">
            <v>0.12429999999999999</v>
          </cell>
        </row>
        <row r="3108">
          <cell r="I3108">
            <v>0.12434000000000001</v>
          </cell>
        </row>
        <row r="3109">
          <cell r="I3109">
            <v>0.12438</v>
          </cell>
        </row>
        <row r="3110">
          <cell r="I3110">
            <v>0.12442</v>
          </cell>
        </row>
        <row r="3111">
          <cell r="I3111">
            <v>0.12446</v>
          </cell>
        </row>
        <row r="3112">
          <cell r="I3112">
            <v>0.1245</v>
          </cell>
        </row>
        <row r="3113">
          <cell r="I3113">
            <v>0.12454</v>
          </cell>
        </row>
        <row r="3114">
          <cell r="I3114">
            <v>0.12458</v>
          </cell>
        </row>
        <row r="3115">
          <cell r="I3115">
            <v>0.12461999999999999</v>
          </cell>
        </row>
        <row r="3116">
          <cell r="I3116">
            <v>0.12466000000000001</v>
          </cell>
        </row>
        <row r="3117">
          <cell r="I3117">
            <v>0.12470000000000001</v>
          </cell>
        </row>
        <row r="3118">
          <cell r="I3118">
            <v>0.12474</v>
          </cell>
        </row>
        <row r="3119">
          <cell r="I3119">
            <v>0.12478</v>
          </cell>
        </row>
        <row r="3120">
          <cell r="I3120">
            <v>0.12482</v>
          </cell>
        </row>
        <row r="3121">
          <cell r="I3121">
            <v>0.12486</v>
          </cell>
        </row>
        <row r="3122">
          <cell r="I3122">
            <v>0.1249</v>
          </cell>
        </row>
        <row r="3123">
          <cell r="I3123">
            <v>0.12494</v>
          </cell>
        </row>
        <row r="3124">
          <cell r="I3124">
            <v>0.12497999999999999</v>
          </cell>
        </row>
        <row r="3125">
          <cell r="I3125">
            <v>0.12501999999999999</v>
          </cell>
        </row>
        <row r="3126">
          <cell r="I3126">
            <v>0.12506</v>
          </cell>
        </row>
        <row r="3127">
          <cell r="I3127">
            <v>0.12509999999999999</v>
          </cell>
        </row>
        <row r="3128">
          <cell r="I3128">
            <v>0.12514</v>
          </cell>
        </row>
        <row r="3129">
          <cell r="I3129">
            <v>0.12518000000000001</v>
          </cell>
        </row>
        <row r="3130">
          <cell r="I3130">
            <v>0.12522</v>
          </cell>
        </row>
        <row r="3131">
          <cell r="I3131">
            <v>0.12526000000000001</v>
          </cell>
        </row>
        <row r="3132">
          <cell r="I3132">
            <v>0.12529999999999999</v>
          </cell>
        </row>
        <row r="3133">
          <cell r="I3133">
            <v>0.12534000000000001</v>
          </cell>
        </row>
        <row r="3134">
          <cell r="I3134">
            <v>0.12537999999999999</v>
          </cell>
        </row>
        <row r="3135">
          <cell r="I3135">
            <v>0.12542</v>
          </cell>
        </row>
        <row r="3136">
          <cell r="I3136">
            <v>0.12545999999999999</v>
          </cell>
        </row>
        <row r="3137">
          <cell r="I3137">
            <v>0.1255</v>
          </cell>
        </row>
        <row r="3138">
          <cell r="I3138">
            <v>0.12554000000000001</v>
          </cell>
        </row>
        <row r="3139">
          <cell r="I3139">
            <v>0.12558</v>
          </cell>
        </row>
        <row r="3140">
          <cell r="I3140">
            <v>0.12562000000000001</v>
          </cell>
        </row>
        <row r="3141">
          <cell r="I3141">
            <v>0.12565999999999999</v>
          </cell>
        </row>
        <row r="3142">
          <cell r="I3142">
            <v>0.12570000000000001</v>
          </cell>
        </row>
        <row r="3143">
          <cell r="I3143">
            <v>0.12573999999999999</v>
          </cell>
        </row>
        <row r="3144">
          <cell r="I3144">
            <v>0.12578</v>
          </cell>
        </row>
        <row r="3145">
          <cell r="I3145">
            <v>0.12581999999999999</v>
          </cell>
        </row>
        <row r="3146">
          <cell r="I3146">
            <v>0.12586</v>
          </cell>
        </row>
        <row r="3147">
          <cell r="I3147">
            <v>0.12590000000000001</v>
          </cell>
        </row>
        <row r="3148">
          <cell r="I3148">
            <v>0.12594</v>
          </cell>
        </row>
        <row r="3149">
          <cell r="I3149">
            <v>0.12598000000000001</v>
          </cell>
        </row>
        <row r="3150">
          <cell r="I3150">
            <v>0.12601999999999999</v>
          </cell>
        </row>
        <row r="3151">
          <cell r="I3151">
            <v>0.12606000000000001</v>
          </cell>
        </row>
        <row r="3152">
          <cell r="I3152">
            <v>0.12609999999999999</v>
          </cell>
        </row>
        <row r="3153">
          <cell r="I3153">
            <v>0.12614</v>
          </cell>
        </row>
        <row r="3154">
          <cell r="I3154">
            <v>0.12617999999999999</v>
          </cell>
        </row>
        <row r="3155">
          <cell r="I3155">
            <v>0.12622</v>
          </cell>
        </row>
        <row r="3156">
          <cell r="I3156">
            <v>0.12626000000000001</v>
          </cell>
        </row>
        <row r="3157">
          <cell r="I3157">
            <v>0.1263</v>
          </cell>
        </row>
        <row r="3158">
          <cell r="I3158">
            <v>0.12634000000000001</v>
          </cell>
        </row>
        <row r="3159">
          <cell r="I3159">
            <v>0.12637999999999999</v>
          </cell>
        </row>
        <row r="3160">
          <cell r="I3160">
            <v>0.12642</v>
          </cell>
        </row>
        <row r="3161">
          <cell r="I3161">
            <v>0.12645999999999999</v>
          </cell>
        </row>
        <row r="3162">
          <cell r="I3162">
            <v>0.1265</v>
          </cell>
        </row>
        <row r="3163">
          <cell r="I3163">
            <v>0.12654000000000001</v>
          </cell>
        </row>
        <row r="3164">
          <cell r="I3164">
            <v>0.12658</v>
          </cell>
        </row>
        <row r="3165">
          <cell r="I3165">
            <v>0.12662000000000001</v>
          </cell>
        </row>
        <row r="3166">
          <cell r="I3166">
            <v>0.12665999999999999</v>
          </cell>
        </row>
        <row r="3167">
          <cell r="I3167">
            <v>0.12670000000000001</v>
          </cell>
        </row>
        <row r="3168">
          <cell r="I3168">
            <v>0.12673999999999999</v>
          </cell>
        </row>
        <row r="3169">
          <cell r="I3169">
            <v>0.12678</v>
          </cell>
        </row>
        <row r="3170">
          <cell r="I3170">
            <v>0.12681999999999999</v>
          </cell>
        </row>
        <row r="3171">
          <cell r="I3171">
            <v>0.12686</v>
          </cell>
        </row>
        <row r="3172">
          <cell r="I3172">
            <v>0.12690000000000001</v>
          </cell>
        </row>
        <row r="3173">
          <cell r="I3173">
            <v>0.12694</v>
          </cell>
        </row>
        <row r="3174">
          <cell r="I3174">
            <v>0.12698000000000001</v>
          </cell>
        </row>
        <row r="3175">
          <cell r="I3175">
            <v>0.12701999999999999</v>
          </cell>
        </row>
        <row r="3176">
          <cell r="I3176">
            <v>0.12706000000000001</v>
          </cell>
        </row>
        <row r="3177">
          <cell r="I3177">
            <v>0.12709999999999999</v>
          </cell>
        </row>
        <row r="3178">
          <cell r="I3178">
            <v>0.12714</v>
          </cell>
        </row>
        <row r="3179">
          <cell r="I3179">
            <v>0.12717999999999999</v>
          </cell>
        </row>
        <row r="3180">
          <cell r="I3180">
            <v>0.12722</v>
          </cell>
        </row>
        <row r="3181">
          <cell r="I3181">
            <v>0.12726000000000001</v>
          </cell>
        </row>
        <row r="3182">
          <cell r="I3182">
            <v>0.1273</v>
          </cell>
        </row>
        <row r="3183">
          <cell r="I3183">
            <v>0.12734000000000001</v>
          </cell>
        </row>
        <row r="3184">
          <cell r="I3184">
            <v>0.12737999999999999</v>
          </cell>
        </row>
        <row r="3185">
          <cell r="I3185">
            <v>0.12742000000000001</v>
          </cell>
        </row>
        <row r="3186">
          <cell r="I3186">
            <v>0.12745999999999999</v>
          </cell>
        </row>
        <row r="3187">
          <cell r="I3187">
            <v>0.1275</v>
          </cell>
        </row>
        <row r="3188">
          <cell r="I3188">
            <v>0.12753999999999999</v>
          </cell>
        </row>
        <row r="3189">
          <cell r="I3189">
            <v>0.12758</v>
          </cell>
        </row>
        <row r="3190">
          <cell r="I3190">
            <v>0.12762000000000001</v>
          </cell>
        </row>
        <row r="3191">
          <cell r="I3191">
            <v>0.12766</v>
          </cell>
        </row>
        <row r="3192">
          <cell r="I3192">
            <v>0.12770000000000001</v>
          </cell>
        </row>
        <row r="3193">
          <cell r="I3193">
            <v>0.12773999999999999</v>
          </cell>
        </row>
        <row r="3194">
          <cell r="I3194">
            <v>0.12778</v>
          </cell>
        </row>
        <row r="3195">
          <cell r="I3195">
            <v>0.12781999999999999</v>
          </cell>
        </row>
        <row r="3196">
          <cell r="I3196">
            <v>0.12786</v>
          </cell>
        </row>
        <row r="3197">
          <cell r="I3197">
            <v>0.12790000000000001</v>
          </cell>
        </row>
        <row r="3198">
          <cell r="I3198">
            <v>0.12794</v>
          </cell>
        </row>
        <row r="3199">
          <cell r="I3199">
            <v>0.12798000000000001</v>
          </cell>
        </row>
        <row r="3200">
          <cell r="I3200">
            <v>0.12801999999999999</v>
          </cell>
        </row>
        <row r="3201">
          <cell r="I3201">
            <v>0.12806000000000001</v>
          </cell>
        </row>
        <row r="3202">
          <cell r="I3202">
            <v>0.12809999999999999</v>
          </cell>
        </row>
        <row r="3203">
          <cell r="I3203">
            <v>0.12814</v>
          </cell>
        </row>
        <row r="3204">
          <cell r="I3204">
            <v>0.12817999999999999</v>
          </cell>
        </row>
        <row r="3205">
          <cell r="I3205">
            <v>0.12822</v>
          </cell>
        </row>
        <row r="3206">
          <cell r="I3206">
            <v>0.12826000000000001</v>
          </cell>
        </row>
        <row r="3207">
          <cell r="I3207">
            <v>0.1283</v>
          </cell>
        </row>
        <row r="3208">
          <cell r="I3208">
            <v>0.12834000000000001</v>
          </cell>
        </row>
        <row r="3209">
          <cell r="I3209">
            <v>0.12837999999999999</v>
          </cell>
        </row>
        <row r="3210">
          <cell r="I3210">
            <v>0.12842000000000001</v>
          </cell>
        </row>
        <row r="3211">
          <cell r="I3211">
            <v>0.12845999999999999</v>
          </cell>
        </row>
        <row r="3212">
          <cell r="I3212">
            <v>0.1285</v>
          </cell>
        </row>
        <row r="3213">
          <cell r="I3213">
            <v>0.12853999999999999</v>
          </cell>
        </row>
        <row r="3214">
          <cell r="I3214">
            <v>0.12858</v>
          </cell>
        </row>
        <row r="3215">
          <cell r="I3215">
            <v>0.12862000000000001</v>
          </cell>
        </row>
        <row r="3216">
          <cell r="I3216">
            <v>0.12866</v>
          </cell>
        </row>
        <row r="3217">
          <cell r="I3217">
            <v>0.12870000000000001</v>
          </cell>
        </row>
        <row r="3218">
          <cell r="I3218">
            <v>0.12873999999999999</v>
          </cell>
        </row>
        <row r="3219">
          <cell r="I3219">
            <v>0.12878000000000001</v>
          </cell>
        </row>
        <row r="3220">
          <cell r="I3220">
            <v>0.12881999999999999</v>
          </cell>
        </row>
        <row r="3221">
          <cell r="I3221">
            <v>0.12886</v>
          </cell>
        </row>
        <row r="3222">
          <cell r="I3222">
            <v>0.12889999999999999</v>
          </cell>
        </row>
        <row r="3223">
          <cell r="I3223">
            <v>0.12894</v>
          </cell>
        </row>
        <row r="3224">
          <cell r="I3224">
            <v>0.12898000000000001</v>
          </cell>
        </row>
        <row r="3225">
          <cell r="I3225">
            <v>0.12902</v>
          </cell>
        </row>
        <row r="3226">
          <cell r="I3226">
            <v>0.12906000000000001</v>
          </cell>
        </row>
        <row r="3227">
          <cell r="I3227">
            <v>0.12909999999999999</v>
          </cell>
        </row>
        <row r="3228">
          <cell r="I3228">
            <v>0.12914</v>
          </cell>
        </row>
        <row r="3229">
          <cell r="I3229">
            <v>0.12917999999999999</v>
          </cell>
        </row>
        <row r="3230">
          <cell r="I3230">
            <v>0.12922</v>
          </cell>
        </row>
        <row r="3231">
          <cell r="I3231">
            <v>0.12926000000000001</v>
          </cell>
        </row>
        <row r="3232">
          <cell r="I3232">
            <v>0.1293</v>
          </cell>
        </row>
        <row r="3233">
          <cell r="I3233">
            <v>0.12934000000000001</v>
          </cell>
        </row>
        <row r="3234">
          <cell r="I3234">
            <v>0.12938</v>
          </cell>
        </row>
        <row r="3235">
          <cell r="I3235">
            <v>0.12942000000000001</v>
          </cell>
        </row>
        <row r="3236">
          <cell r="I3236">
            <v>0.12945999999999999</v>
          </cell>
        </row>
        <row r="3237">
          <cell r="I3237">
            <v>0.1295</v>
          </cell>
        </row>
        <row r="3238">
          <cell r="I3238">
            <v>0.12953999999999999</v>
          </cell>
        </row>
        <row r="3239">
          <cell r="I3239">
            <v>0.12958</v>
          </cell>
        </row>
        <row r="3240">
          <cell r="I3240">
            <v>0.12962000000000001</v>
          </cell>
        </row>
        <row r="3241">
          <cell r="I3241">
            <v>0.12966</v>
          </cell>
        </row>
        <row r="3242">
          <cell r="I3242">
            <v>0.12970000000000001</v>
          </cell>
        </row>
        <row r="3243">
          <cell r="I3243">
            <v>0.12973999999999999</v>
          </cell>
        </row>
        <row r="3244">
          <cell r="I3244">
            <v>0.12978000000000001</v>
          </cell>
        </row>
        <row r="3245">
          <cell r="I3245">
            <v>0.12981999999999999</v>
          </cell>
        </row>
        <row r="3246">
          <cell r="I3246">
            <v>0.12986</v>
          </cell>
        </row>
        <row r="3247">
          <cell r="I3247">
            <v>0.12989999999999999</v>
          </cell>
        </row>
        <row r="3248">
          <cell r="I3248">
            <v>0.12994</v>
          </cell>
        </row>
        <row r="3249">
          <cell r="I3249">
            <v>0.12998000000000001</v>
          </cell>
        </row>
        <row r="3250">
          <cell r="I3250">
            <v>0.13002</v>
          </cell>
        </row>
        <row r="3251">
          <cell r="I3251">
            <v>0.13006000000000001</v>
          </cell>
        </row>
        <row r="3252">
          <cell r="I3252">
            <v>0.13009999999999999</v>
          </cell>
        </row>
        <row r="3253">
          <cell r="I3253">
            <v>0.13014000000000001</v>
          </cell>
        </row>
        <row r="3254">
          <cell r="I3254">
            <v>0.13017999999999999</v>
          </cell>
        </row>
        <row r="3255">
          <cell r="I3255">
            <v>0.13022</v>
          </cell>
        </row>
        <row r="3256">
          <cell r="I3256">
            <v>0.13025999999999999</v>
          </cell>
        </row>
        <row r="3257">
          <cell r="I3257">
            <v>0.1303</v>
          </cell>
        </row>
        <row r="3258">
          <cell r="I3258">
            <v>0.13034000000000001</v>
          </cell>
        </row>
        <row r="3259">
          <cell r="I3259">
            <v>0.13038</v>
          </cell>
        </row>
        <row r="3260">
          <cell r="I3260">
            <v>0.13042000000000001</v>
          </cell>
        </row>
        <row r="3261">
          <cell r="I3261">
            <v>0.13045999999999999</v>
          </cell>
        </row>
        <row r="3262">
          <cell r="I3262">
            <v>0.1305</v>
          </cell>
        </row>
        <row r="3263">
          <cell r="I3263">
            <v>0.13053999999999999</v>
          </cell>
        </row>
        <row r="3264">
          <cell r="I3264">
            <v>0.13058</v>
          </cell>
        </row>
        <row r="3265">
          <cell r="I3265">
            <v>0.13062000000000001</v>
          </cell>
        </row>
        <row r="3266">
          <cell r="I3266">
            <v>0.13066</v>
          </cell>
        </row>
        <row r="3267">
          <cell r="I3267">
            <v>0.13070000000000001</v>
          </cell>
        </row>
        <row r="3268">
          <cell r="I3268">
            <v>0.13074</v>
          </cell>
        </row>
        <row r="3269">
          <cell r="I3269">
            <v>0.13078000000000001</v>
          </cell>
        </row>
        <row r="3270">
          <cell r="I3270">
            <v>0.13081999999999999</v>
          </cell>
        </row>
        <row r="3271">
          <cell r="I3271">
            <v>0.13086</v>
          </cell>
        </row>
        <row r="3272">
          <cell r="I3272">
            <v>0.13089999999999999</v>
          </cell>
        </row>
        <row r="3273">
          <cell r="I3273">
            <v>0.13094</v>
          </cell>
        </row>
        <row r="3274">
          <cell r="I3274">
            <v>0.13098000000000001</v>
          </cell>
        </row>
        <row r="3275">
          <cell r="I3275">
            <v>0.13102</v>
          </cell>
        </row>
        <row r="3276">
          <cell r="I3276">
            <v>0.13106000000000001</v>
          </cell>
        </row>
        <row r="3277">
          <cell r="I3277">
            <v>0.13109999999999999</v>
          </cell>
        </row>
        <row r="3278">
          <cell r="I3278">
            <v>0.13114000000000001</v>
          </cell>
        </row>
        <row r="3279">
          <cell r="I3279">
            <v>0.13117999999999999</v>
          </cell>
        </row>
        <row r="3280">
          <cell r="I3280">
            <v>0.13122</v>
          </cell>
        </row>
        <row r="3281">
          <cell r="I3281">
            <v>0.13125999999999999</v>
          </cell>
        </row>
        <row r="3282">
          <cell r="I3282">
            <v>0.1313</v>
          </cell>
        </row>
        <row r="3283">
          <cell r="I3283">
            <v>0.13134000000000001</v>
          </cell>
        </row>
        <row r="3284">
          <cell r="I3284">
            <v>0.13138</v>
          </cell>
        </row>
        <row r="3285">
          <cell r="I3285">
            <v>0.13142000000000001</v>
          </cell>
        </row>
        <row r="3286">
          <cell r="I3286">
            <v>0.13145999999999999</v>
          </cell>
        </row>
        <row r="3287">
          <cell r="I3287">
            <v>0.13150000000000001</v>
          </cell>
        </row>
        <row r="3288">
          <cell r="I3288">
            <v>0.13153999999999999</v>
          </cell>
        </row>
        <row r="3289">
          <cell r="I3289">
            <v>0.13158</v>
          </cell>
        </row>
        <row r="3290">
          <cell r="I3290">
            <v>0.13161999999999999</v>
          </cell>
        </row>
        <row r="3291">
          <cell r="I3291">
            <v>0.13166</v>
          </cell>
        </row>
        <row r="3292">
          <cell r="I3292">
            <v>0.13170000000000001</v>
          </cell>
        </row>
        <row r="3293">
          <cell r="I3293">
            <v>0.13174</v>
          </cell>
        </row>
        <row r="3294">
          <cell r="I3294">
            <v>0.13178000000000001</v>
          </cell>
        </row>
        <row r="3295">
          <cell r="I3295">
            <v>0.13181999999999999</v>
          </cell>
        </row>
        <row r="3296">
          <cell r="I3296">
            <v>0.13186</v>
          </cell>
        </row>
        <row r="3297">
          <cell r="I3297">
            <v>0.13189999999999999</v>
          </cell>
        </row>
        <row r="3298">
          <cell r="I3298">
            <v>0.13194</v>
          </cell>
        </row>
        <row r="3299">
          <cell r="I3299">
            <v>0.13197999999999999</v>
          </cell>
        </row>
        <row r="3300">
          <cell r="I3300">
            <v>0.13202</v>
          </cell>
        </row>
        <row r="3301">
          <cell r="I3301">
            <v>0.13206000000000001</v>
          </cell>
        </row>
        <row r="3302">
          <cell r="I3302">
            <v>0.1321</v>
          </cell>
        </row>
        <row r="3303">
          <cell r="I3303">
            <v>0.13214000000000001</v>
          </cell>
        </row>
        <row r="3304">
          <cell r="I3304">
            <v>0.13217999999999999</v>
          </cell>
        </row>
        <row r="3305">
          <cell r="I3305">
            <v>0.13222</v>
          </cell>
        </row>
        <row r="3306">
          <cell r="I3306">
            <v>0.13225999999999999</v>
          </cell>
        </row>
        <row r="3307">
          <cell r="I3307">
            <v>0.1323</v>
          </cell>
        </row>
        <row r="3308">
          <cell r="I3308">
            <v>0.13234000000000001</v>
          </cell>
        </row>
        <row r="3309">
          <cell r="I3309">
            <v>0.13238</v>
          </cell>
        </row>
        <row r="3310">
          <cell r="I3310">
            <v>0.13242000000000001</v>
          </cell>
        </row>
        <row r="3311">
          <cell r="I3311">
            <v>0.13245999999999999</v>
          </cell>
        </row>
        <row r="3312">
          <cell r="I3312">
            <v>0.13250000000000001</v>
          </cell>
        </row>
        <row r="3313">
          <cell r="I3313">
            <v>0.13253999999999999</v>
          </cell>
        </row>
        <row r="3314">
          <cell r="I3314">
            <v>0.13258</v>
          </cell>
        </row>
        <row r="3315">
          <cell r="I3315">
            <v>0.13261999999999999</v>
          </cell>
        </row>
        <row r="3316">
          <cell r="I3316">
            <v>0.13266</v>
          </cell>
        </row>
        <row r="3317">
          <cell r="I3317">
            <v>0.13270000000000001</v>
          </cell>
        </row>
        <row r="3318">
          <cell r="I3318">
            <v>0.13274</v>
          </cell>
        </row>
        <row r="3319">
          <cell r="I3319">
            <v>0.13278000000000001</v>
          </cell>
        </row>
        <row r="3320">
          <cell r="I3320">
            <v>0.13281999999999999</v>
          </cell>
        </row>
        <row r="3321">
          <cell r="I3321">
            <v>0.13286000000000001</v>
          </cell>
        </row>
        <row r="3322">
          <cell r="I3322">
            <v>0.13289999999999999</v>
          </cell>
        </row>
        <row r="3323">
          <cell r="I3323">
            <v>0.13294</v>
          </cell>
        </row>
        <row r="3324">
          <cell r="I3324">
            <v>0.13297999999999999</v>
          </cell>
        </row>
        <row r="3325">
          <cell r="I3325">
            <v>0.13302</v>
          </cell>
        </row>
        <row r="3326">
          <cell r="I3326">
            <v>0.13306000000000001</v>
          </cell>
        </row>
        <row r="3327">
          <cell r="I3327">
            <v>0.1331</v>
          </cell>
        </row>
        <row r="3328">
          <cell r="I3328">
            <v>0.13314000000000001</v>
          </cell>
        </row>
        <row r="3329">
          <cell r="I3329">
            <v>0.13317999999999999</v>
          </cell>
        </row>
        <row r="3330">
          <cell r="I3330">
            <v>0.13322000000000001</v>
          </cell>
        </row>
        <row r="3331">
          <cell r="I3331">
            <v>0.13325999999999999</v>
          </cell>
        </row>
        <row r="3332">
          <cell r="I3332">
            <v>0.1333</v>
          </cell>
        </row>
        <row r="3333">
          <cell r="I3333">
            <v>0.13333999999999999</v>
          </cell>
        </row>
        <row r="3334">
          <cell r="I3334">
            <v>0.13338</v>
          </cell>
        </row>
        <row r="3335">
          <cell r="I3335">
            <v>0.13342000000000001</v>
          </cell>
        </row>
        <row r="3336">
          <cell r="I3336">
            <v>0.13346</v>
          </cell>
        </row>
        <row r="3337">
          <cell r="I3337">
            <v>0.13350000000000001</v>
          </cell>
        </row>
        <row r="3338">
          <cell r="I3338">
            <v>0.13353999999999999</v>
          </cell>
        </row>
        <row r="3339">
          <cell r="I3339">
            <v>0.13358</v>
          </cell>
        </row>
        <row r="3340">
          <cell r="I3340">
            <v>0.13361999999999999</v>
          </cell>
        </row>
        <row r="3341">
          <cell r="I3341">
            <v>0.13366</v>
          </cell>
        </row>
        <row r="3342">
          <cell r="I3342">
            <v>0.13370000000000001</v>
          </cell>
        </row>
        <row r="3343">
          <cell r="I3343">
            <v>0.13374</v>
          </cell>
        </row>
        <row r="3344">
          <cell r="I3344">
            <v>0.13378000000000001</v>
          </cell>
        </row>
        <row r="3345">
          <cell r="I3345">
            <v>0.13381999999999999</v>
          </cell>
        </row>
        <row r="3346">
          <cell r="I3346">
            <v>0.13386000000000001</v>
          </cell>
        </row>
        <row r="3347">
          <cell r="I3347">
            <v>0.13389999999999999</v>
          </cell>
        </row>
        <row r="3348">
          <cell r="I3348">
            <v>0.13394</v>
          </cell>
        </row>
        <row r="3349">
          <cell r="I3349">
            <v>0.13397999999999999</v>
          </cell>
        </row>
        <row r="3350">
          <cell r="I3350">
            <v>0.13402</v>
          </cell>
        </row>
        <row r="3351">
          <cell r="I3351">
            <v>0.13406000000000001</v>
          </cell>
        </row>
        <row r="3352">
          <cell r="I3352">
            <v>0.1341</v>
          </cell>
        </row>
        <row r="3353">
          <cell r="I3353">
            <v>0.13414000000000001</v>
          </cell>
        </row>
        <row r="3354">
          <cell r="I3354">
            <v>0.13417999999999999</v>
          </cell>
        </row>
        <row r="3355">
          <cell r="I3355">
            <v>0.13422000000000001</v>
          </cell>
        </row>
        <row r="3356">
          <cell r="I3356">
            <v>0.13425999999999999</v>
          </cell>
        </row>
        <row r="3357">
          <cell r="I3357">
            <v>0.1343</v>
          </cell>
        </row>
        <row r="3358">
          <cell r="I3358">
            <v>0.13433999999999999</v>
          </cell>
        </row>
        <row r="3359">
          <cell r="I3359">
            <v>0.13438</v>
          </cell>
        </row>
        <row r="3360">
          <cell r="I3360">
            <v>0.13442000000000001</v>
          </cell>
        </row>
        <row r="3361">
          <cell r="I3361">
            <v>0.13446</v>
          </cell>
        </row>
        <row r="3362">
          <cell r="I3362">
            <v>0.13450000000000001</v>
          </cell>
        </row>
        <row r="3363">
          <cell r="I3363">
            <v>0.13453999999999999</v>
          </cell>
        </row>
        <row r="3364">
          <cell r="I3364">
            <v>0.13458000000000001</v>
          </cell>
        </row>
        <row r="3365">
          <cell r="I3365">
            <v>0.13461999999999999</v>
          </cell>
        </row>
        <row r="3366">
          <cell r="I3366">
            <v>0.13466</v>
          </cell>
        </row>
        <row r="3367">
          <cell r="I3367">
            <v>0.13469999999999999</v>
          </cell>
        </row>
        <row r="3368">
          <cell r="I3368">
            <v>0.13474</v>
          </cell>
        </row>
        <row r="3369">
          <cell r="I3369">
            <v>0.13478000000000001</v>
          </cell>
        </row>
        <row r="3370">
          <cell r="I3370">
            <v>0.13482</v>
          </cell>
        </row>
        <row r="3371">
          <cell r="I3371">
            <v>0.13486000000000001</v>
          </cell>
        </row>
        <row r="3372">
          <cell r="I3372">
            <v>0.13489999999999999</v>
          </cell>
        </row>
        <row r="3373">
          <cell r="I3373">
            <v>0.13494</v>
          </cell>
        </row>
        <row r="3374">
          <cell r="I3374">
            <v>0.13497999999999999</v>
          </cell>
        </row>
        <row r="3375">
          <cell r="I3375">
            <v>0.13502</v>
          </cell>
        </row>
        <row r="3376">
          <cell r="I3376">
            <v>0.13506000000000001</v>
          </cell>
        </row>
        <row r="3377">
          <cell r="I3377">
            <v>0.1351</v>
          </cell>
        </row>
        <row r="3378">
          <cell r="I3378">
            <v>0.13514000000000001</v>
          </cell>
        </row>
        <row r="3379">
          <cell r="I3379">
            <v>0.13517999999999999</v>
          </cell>
        </row>
        <row r="3380">
          <cell r="I3380">
            <v>0.13522000000000001</v>
          </cell>
        </row>
        <row r="3381">
          <cell r="I3381">
            <v>0.13525999999999999</v>
          </cell>
        </row>
        <row r="3382">
          <cell r="I3382">
            <v>0.1353</v>
          </cell>
        </row>
        <row r="3383">
          <cell r="I3383">
            <v>0.13533999999999999</v>
          </cell>
        </row>
        <row r="3384">
          <cell r="I3384">
            <v>0.13538</v>
          </cell>
        </row>
        <row r="3385">
          <cell r="I3385">
            <v>0.13542000000000001</v>
          </cell>
        </row>
        <row r="3386">
          <cell r="I3386">
            <v>0.13546</v>
          </cell>
        </row>
        <row r="3387">
          <cell r="I3387">
            <v>0.13550000000000001</v>
          </cell>
        </row>
        <row r="3388">
          <cell r="I3388">
            <v>0.13553999999999999</v>
          </cell>
        </row>
        <row r="3389">
          <cell r="I3389">
            <v>0.13558000000000001</v>
          </cell>
        </row>
        <row r="3390">
          <cell r="I3390">
            <v>0.13561999999999999</v>
          </cell>
        </row>
        <row r="3391">
          <cell r="I3391">
            <v>0.13566</v>
          </cell>
        </row>
        <row r="3392">
          <cell r="I3392">
            <v>0.13569999999999999</v>
          </cell>
        </row>
        <row r="3393">
          <cell r="I3393">
            <v>0.13574</v>
          </cell>
        </row>
        <row r="3394">
          <cell r="I3394">
            <v>0.13578000000000001</v>
          </cell>
        </row>
        <row r="3395">
          <cell r="I3395">
            <v>0.13582</v>
          </cell>
        </row>
        <row r="3396">
          <cell r="I3396">
            <v>0.13586000000000001</v>
          </cell>
        </row>
        <row r="3397">
          <cell r="I3397">
            <v>0.13589999999999999</v>
          </cell>
        </row>
        <row r="3398">
          <cell r="I3398">
            <v>0.13594000000000001</v>
          </cell>
        </row>
        <row r="3399">
          <cell r="I3399">
            <v>0.13597999999999999</v>
          </cell>
        </row>
        <row r="3400">
          <cell r="I3400">
            <v>0.13602</v>
          </cell>
        </row>
        <row r="3401">
          <cell r="I3401">
            <v>0.13605999999999999</v>
          </cell>
        </row>
        <row r="3402">
          <cell r="I3402">
            <v>0.1361</v>
          </cell>
        </row>
        <row r="3403">
          <cell r="I3403">
            <v>0.13614000000000001</v>
          </cell>
        </row>
        <row r="3404">
          <cell r="I3404">
            <v>0.13618</v>
          </cell>
        </row>
        <row r="3405">
          <cell r="I3405">
            <v>0.13622000000000001</v>
          </cell>
        </row>
        <row r="3406">
          <cell r="I3406">
            <v>0.13625999999999999</v>
          </cell>
        </row>
        <row r="3407">
          <cell r="I3407">
            <v>0.1363</v>
          </cell>
        </row>
        <row r="3408">
          <cell r="I3408">
            <v>0.13633999999999999</v>
          </cell>
        </row>
        <row r="3409">
          <cell r="I3409">
            <v>0.13638</v>
          </cell>
        </row>
        <row r="3410">
          <cell r="I3410">
            <v>0.13642000000000001</v>
          </cell>
        </row>
        <row r="3411">
          <cell r="I3411">
            <v>0.13646</v>
          </cell>
        </row>
        <row r="3412">
          <cell r="I3412">
            <v>0.13650000000000001</v>
          </cell>
        </row>
        <row r="3413">
          <cell r="I3413">
            <v>0.13653999999999999</v>
          </cell>
        </row>
        <row r="3414">
          <cell r="I3414">
            <v>0.13658000000000001</v>
          </cell>
        </row>
        <row r="3415">
          <cell r="I3415">
            <v>0.13661999999999999</v>
          </cell>
        </row>
        <row r="3416">
          <cell r="I3416">
            <v>0.13666</v>
          </cell>
        </row>
        <row r="3417">
          <cell r="I3417">
            <v>0.13669999999999999</v>
          </cell>
        </row>
        <row r="3418">
          <cell r="I3418">
            <v>0.13674</v>
          </cell>
        </row>
        <row r="3419">
          <cell r="I3419">
            <v>0.13678000000000001</v>
          </cell>
        </row>
        <row r="3420">
          <cell r="I3420">
            <v>0.13682</v>
          </cell>
        </row>
        <row r="3421">
          <cell r="I3421">
            <v>0.13686000000000001</v>
          </cell>
        </row>
        <row r="3422">
          <cell r="I3422">
            <v>0.13689999999999999</v>
          </cell>
        </row>
        <row r="3423">
          <cell r="I3423">
            <v>0.13694000000000001</v>
          </cell>
        </row>
        <row r="3424">
          <cell r="I3424">
            <v>0.13697999999999999</v>
          </cell>
        </row>
        <row r="3425">
          <cell r="I3425">
            <v>0.13702</v>
          </cell>
        </row>
        <row r="3426">
          <cell r="I3426">
            <v>0.13705999999999999</v>
          </cell>
        </row>
        <row r="3427">
          <cell r="I3427">
            <v>0.1371</v>
          </cell>
        </row>
        <row r="3428">
          <cell r="I3428">
            <v>0.13714000000000001</v>
          </cell>
        </row>
        <row r="3429">
          <cell r="I3429">
            <v>0.13718</v>
          </cell>
        </row>
        <row r="3430">
          <cell r="I3430">
            <v>0.13722000000000001</v>
          </cell>
        </row>
        <row r="3431">
          <cell r="I3431">
            <v>0.13725999999999999</v>
          </cell>
        </row>
        <row r="3432">
          <cell r="I3432">
            <v>0.13730000000000001</v>
          </cell>
        </row>
        <row r="3433">
          <cell r="I3433">
            <v>0.13733999999999999</v>
          </cell>
        </row>
        <row r="3434">
          <cell r="I3434">
            <v>0.13738</v>
          </cell>
        </row>
        <row r="3435">
          <cell r="I3435">
            <v>0.13741999999999999</v>
          </cell>
        </row>
        <row r="3436">
          <cell r="I3436">
            <v>0.13746</v>
          </cell>
        </row>
        <row r="3437">
          <cell r="I3437">
            <v>0.13750000000000001</v>
          </cell>
        </row>
        <row r="3438">
          <cell r="I3438">
            <v>0.13754</v>
          </cell>
        </row>
        <row r="3439">
          <cell r="I3439">
            <v>0.13758000000000001</v>
          </cell>
        </row>
        <row r="3440">
          <cell r="I3440">
            <v>0.13761999999999999</v>
          </cell>
        </row>
        <row r="3441">
          <cell r="I3441">
            <v>0.13766</v>
          </cell>
        </row>
        <row r="3442">
          <cell r="I3442">
            <v>0.13769999999999999</v>
          </cell>
        </row>
        <row r="3443">
          <cell r="I3443">
            <v>0.13774</v>
          </cell>
        </row>
        <row r="3444">
          <cell r="I3444">
            <v>0.13778000000000001</v>
          </cell>
        </row>
        <row r="3445">
          <cell r="I3445">
            <v>0.13782</v>
          </cell>
        </row>
        <row r="3446">
          <cell r="I3446">
            <v>0.13786000000000001</v>
          </cell>
        </row>
        <row r="3447">
          <cell r="I3447">
            <v>0.13789999999999999</v>
          </cell>
        </row>
        <row r="3448">
          <cell r="I3448">
            <v>0.13794000000000001</v>
          </cell>
        </row>
        <row r="3449">
          <cell r="I3449">
            <v>0.13797999999999999</v>
          </cell>
        </row>
        <row r="3450">
          <cell r="I3450">
            <v>0.13802</v>
          </cell>
        </row>
        <row r="3451">
          <cell r="I3451">
            <v>0.13805999999999999</v>
          </cell>
        </row>
        <row r="3452">
          <cell r="I3452">
            <v>0.1381</v>
          </cell>
        </row>
        <row r="3453">
          <cell r="I3453">
            <v>0.13814000000000001</v>
          </cell>
        </row>
        <row r="3454">
          <cell r="I3454">
            <v>0.13818</v>
          </cell>
        </row>
        <row r="3455">
          <cell r="I3455">
            <v>0.13822000000000001</v>
          </cell>
        </row>
        <row r="3456">
          <cell r="I3456">
            <v>0.13825999999999999</v>
          </cell>
        </row>
        <row r="3457">
          <cell r="I3457">
            <v>0.13830000000000001</v>
          </cell>
        </row>
        <row r="3458">
          <cell r="I3458">
            <v>0.13833999999999999</v>
          </cell>
        </row>
        <row r="3459">
          <cell r="I3459">
            <v>0.13838</v>
          </cell>
        </row>
        <row r="3460">
          <cell r="I3460">
            <v>0.13841999999999999</v>
          </cell>
        </row>
        <row r="3461">
          <cell r="I3461">
            <v>0.13846</v>
          </cell>
        </row>
        <row r="3462">
          <cell r="I3462">
            <v>0.13850000000000001</v>
          </cell>
        </row>
        <row r="3463">
          <cell r="I3463">
            <v>0.13854</v>
          </cell>
        </row>
        <row r="3464">
          <cell r="I3464">
            <v>0.13858000000000001</v>
          </cell>
        </row>
        <row r="3465">
          <cell r="I3465">
            <v>0.13861999999999999</v>
          </cell>
        </row>
        <row r="3466">
          <cell r="I3466">
            <v>0.13866000000000001</v>
          </cell>
        </row>
        <row r="3467">
          <cell r="I3467">
            <v>0.13869999999999999</v>
          </cell>
        </row>
        <row r="3468">
          <cell r="I3468">
            <v>0.13874</v>
          </cell>
        </row>
        <row r="3469">
          <cell r="I3469">
            <v>0.13877999999999999</v>
          </cell>
        </row>
        <row r="3470">
          <cell r="I3470">
            <v>0.13882</v>
          </cell>
        </row>
        <row r="3471">
          <cell r="I3471">
            <v>0.13886000000000001</v>
          </cell>
        </row>
        <row r="3472">
          <cell r="I3472">
            <v>0.1389</v>
          </cell>
        </row>
        <row r="3473">
          <cell r="I3473">
            <v>0.13894000000000001</v>
          </cell>
        </row>
        <row r="3474">
          <cell r="I3474">
            <v>0.13897999999999999</v>
          </cell>
        </row>
        <row r="3475">
          <cell r="I3475">
            <v>0.13902</v>
          </cell>
        </row>
        <row r="3476">
          <cell r="I3476">
            <v>0.13905999999999999</v>
          </cell>
        </row>
        <row r="3477">
          <cell r="I3477">
            <v>0.1391</v>
          </cell>
        </row>
        <row r="3478">
          <cell r="I3478">
            <v>0.13914000000000001</v>
          </cell>
        </row>
        <row r="3479">
          <cell r="I3479">
            <v>0.13918</v>
          </cell>
        </row>
        <row r="3480">
          <cell r="I3480">
            <v>0.13922000000000001</v>
          </cell>
        </row>
        <row r="3481">
          <cell r="I3481">
            <v>0.13925999999999999</v>
          </cell>
        </row>
        <row r="3482">
          <cell r="I3482">
            <v>0.13930000000000001</v>
          </cell>
        </row>
        <row r="3483">
          <cell r="I3483">
            <v>0.13933999999999999</v>
          </cell>
        </row>
        <row r="3484">
          <cell r="I3484">
            <v>0.13938</v>
          </cell>
        </row>
        <row r="3485">
          <cell r="I3485">
            <v>0.13941999999999999</v>
          </cell>
        </row>
        <row r="3486">
          <cell r="I3486">
            <v>0.13946</v>
          </cell>
        </row>
        <row r="3487">
          <cell r="I3487">
            <v>0.13950000000000001</v>
          </cell>
        </row>
        <row r="3488">
          <cell r="I3488">
            <v>0.13954</v>
          </cell>
        </row>
        <row r="3489">
          <cell r="I3489">
            <v>0.13958000000000001</v>
          </cell>
        </row>
        <row r="3490">
          <cell r="I3490">
            <v>0.13961999999999999</v>
          </cell>
        </row>
        <row r="3491">
          <cell r="I3491">
            <v>0.13966000000000001</v>
          </cell>
        </row>
        <row r="3492">
          <cell r="I3492">
            <v>0.13969999999999999</v>
          </cell>
        </row>
        <row r="3493">
          <cell r="I3493">
            <v>0.13974</v>
          </cell>
        </row>
        <row r="3494">
          <cell r="I3494">
            <v>0.13977999999999999</v>
          </cell>
        </row>
        <row r="3495">
          <cell r="I3495">
            <v>0.13982</v>
          </cell>
        </row>
        <row r="3496">
          <cell r="I3496">
            <v>0.13986000000000001</v>
          </cell>
        </row>
        <row r="3497">
          <cell r="I3497">
            <v>0.1399</v>
          </cell>
        </row>
        <row r="3498">
          <cell r="I3498">
            <v>0.13994000000000001</v>
          </cell>
        </row>
        <row r="3499">
          <cell r="I3499">
            <v>0.13997999999999999</v>
          </cell>
        </row>
        <row r="3500">
          <cell r="I3500">
            <v>0.14002000000000001</v>
          </cell>
        </row>
        <row r="3501">
          <cell r="I3501">
            <v>0.14005999999999999</v>
          </cell>
        </row>
        <row r="3502">
          <cell r="I3502">
            <v>0.1401</v>
          </cell>
        </row>
        <row r="3503">
          <cell r="I3503">
            <v>0.14013999999999999</v>
          </cell>
        </row>
        <row r="3504">
          <cell r="I3504">
            <v>0.14018</v>
          </cell>
        </row>
        <row r="3505">
          <cell r="I3505">
            <v>0.14022000000000001</v>
          </cell>
        </row>
        <row r="3506">
          <cell r="I3506">
            <v>0.14026</v>
          </cell>
        </row>
        <row r="3507">
          <cell r="I3507">
            <v>0.14030000000000001</v>
          </cell>
        </row>
        <row r="3508">
          <cell r="I3508">
            <v>0.14033999999999999</v>
          </cell>
        </row>
        <row r="3509">
          <cell r="I3509">
            <v>0.14038</v>
          </cell>
        </row>
        <row r="3510">
          <cell r="I3510">
            <v>0.14041999999999999</v>
          </cell>
        </row>
        <row r="3511">
          <cell r="I3511">
            <v>0.14046</v>
          </cell>
        </row>
        <row r="3512">
          <cell r="I3512">
            <v>0.14050000000000001</v>
          </cell>
        </row>
        <row r="3513">
          <cell r="I3513">
            <v>0.14054</v>
          </cell>
        </row>
        <row r="3514">
          <cell r="I3514">
            <v>0.14058000000000001</v>
          </cell>
        </row>
        <row r="3515">
          <cell r="I3515">
            <v>0.14061999999999999</v>
          </cell>
        </row>
        <row r="3516">
          <cell r="I3516">
            <v>0.14066000000000001</v>
          </cell>
        </row>
        <row r="3517">
          <cell r="I3517">
            <v>0.14069999999999999</v>
          </cell>
        </row>
        <row r="3518">
          <cell r="I3518">
            <v>0.14074</v>
          </cell>
        </row>
        <row r="3519">
          <cell r="I3519">
            <v>0.14077999999999999</v>
          </cell>
        </row>
        <row r="3520">
          <cell r="I3520">
            <v>0.14082</v>
          </cell>
        </row>
        <row r="3521">
          <cell r="I3521">
            <v>0.14086000000000001</v>
          </cell>
        </row>
        <row r="3522">
          <cell r="I3522">
            <v>0.1409</v>
          </cell>
        </row>
        <row r="3523">
          <cell r="I3523">
            <v>0.14094000000000001</v>
          </cell>
        </row>
        <row r="3524">
          <cell r="I3524">
            <v>0.14097999999999999</v>
          </cell>
        </row>
        <row r="3525">
          <cell r="I3525">
            <v>0.14102000000000001</v>
          </cell>
        </row>
        <row r="3526">
          <cell r="I3526">
            <v>0.14105999999999999</v>
          </cell>
        </row>
        <row r="3527">
          <cell r="I3527">
            <v>0.1411</v>
          </cell>
        </row>
        <row r="3528">
          <cell r="I3528">
            <v>0.14113999999999999</v>
          </cell>
        </row>
        <row r="3529">
          <cell r="I3529">
            <v>0.14118</v>
          </cell>
        </row>
        <row r="3530">
          <cell r="I3530">
            <v>0.14122000000000001</v>
          </cell>
        </row>
        <row r="3531">
          <cell r="I3531">
            <v>0.14126</v>
          </cell>
        </row>
        <row r="3532">
          <cell r="I3532">
            <v>0.14130000000000001</v>
          </cell>
        </row>
        <row r="3533">
          <cell r="I3533">
            <v>0.14133999999999999</v>
          </cell>
        </row>
        <row r="3534">
          <cell r="I3534">
            <v>0.14138000000000001</v>
          </cell>
        </row>
        <row r="3535">
          <cell r="I3535">
            <v>0.14141999999999999</v>
          </cell>
        </row>
        <row r="3536">
          <cell r="I3536">
            <v>0.14146</v>
          </cell>
        </row>
        <row r="3537">
          <cell r="I3537">
            <v>0.14149999999999999</v>
          </cell>
        </row>
        <row r="3538">
          <cell r="I3538">
            <v>0.14154</v>
          </cell>
        </row>
        <row r="3539">
          <cell r="I3539">
            <v>0.14158000000000001</v>
          </cell>
        </row>
        <row r="3540">
          <cell r="I3540">
            <v>0.14162</v>
          </cell>
        </row>
        <row r="3541">
          <cell r="I3541">
            <v>0.14166000000000001</v>
          </cell>
        </row>
        <row r="3542">
          <cell r="I3542">
            <v>0.14169999999999999</v>
          </cell>
        </row>
        <row r="3543">
          <cell r="I3543">
            <v>0.14174</v>
          </cell>
        </row>
        <row r="3544">
          <cell r="I3544">
            <v>0.14177999999999999</v>
          </cell>
        </row>
        <row r="3545">
          <cell r="I3545">
            <v>0.14182</v>
          </cell>
        </row>
        <row r="3546">
          <cell r="I3546">
            <v>0.14186000000000001</v>
          </cell>
        </row>
        <row r="3547">
          <cell r="I3547">
            <v>0.1419</v>
          </cell>
        </row>
        <row r="3548">
          <cell r="I3548">
            <v>0.14194000000000001</v>
          </cell>
        </row>
        <row r="3549">
          <cell r="I3549">
            <v>0.14198</v>
          </cell>
        </row>
        <row r="3550">
          <cell r="I3550">
            <v>0.14202000000000001</v>
          </cell>
        </row>
        <row r="3551">
          <cell r="I3551">
            <v>0.14205999999999999</v>
          </cell>
        </row>
        <row r="3552">
          <cell r="I3552">
            <v>0.1421</v>
          </cell>
        </row>
        <row r="3553">
          <cell r="I3553">
            <v>0.14213999999999999</v>
          </cell>
        </row>
        <row r="3554">
          <cell r="I3554">
            <v>0.14218</v>
          </cell>
        </row>
        <row r="3555">
          <cell r="I3555">
            <v>0.14222000000000001</v>
          </cell>
        </row>
        <row r="3556">
          <cell r="I3556">
            <v>0.14226</v>
          </cell>
        </row>
        <row r="3557">
          <cell r="I3557">
            <v>0.14230000000000001</v>
          </cell>
        </row>
        <row r="3558">
          <cell r="I3558">
            <v>0.14233999999999999</v>
          </cell>
        </row>
        <row r="3559">
          <cell r="I3559">
            <v>0.14238000000000001</v>
          </cell>
        </row>
        <row r="3560">
          <cell r="I3560">
            <v>0.14241999999999999</v>
          </cell>
        </row>
        <row r="3561">
          <cell r="I3561">
            <v>0.14246</v>
          </cell>
        </row>
        <row r="3562">
          <cell r="I3562">
            <v>0.14249999999999999</v>
          </cell>
        </row>
        <row r="3563">
          <cell r="I3563">
            <v>0.14254</v>
          </cell>
        </row>
        <row r="3564">
          <cell r="I3564">
            <v>0.14258000000000001</v>
          </cell>
        </row>
        <row r="3565">
          <cell r="I3565">
            <v>0.14262</v>
          </cell>
        </row>
        <row r="3566">
          <cell r="I3566">
            <v>0.14266000000000001</v>
          </cell>
        </row>
        <row r="3567">
          <cell r="I3567">
            <v>0.14269999999999999</v>
          </cell>
        </row>
        <row r="3568">
          <cell r="I3568">
            <v>0.14274000000000001</v>
          </cell>
        </row>
        <row r="3569">
          <cell r="I3569">
            <v>0.14277999999999999</v>
          </cell>
        </row>
        <row r="3570">
          <cell r="I3570">
            <v>0.14282</v>
          </cell>
        </row>
        <row r="3571">
          <cell r="I3571">
            <v>0.14285999999999999</v>
          </cell>
        </row>
        <row r="3572">
          <cell r="I3572">
            <v>0.1429</v>
          </cell>
        </row>
        <row r="3573">
          <cell r="I3573">
            <v>0.14294000000000001</v>
          </cell>
        </row>
        <row r="3574">
          <cell r="I3574">
            <v>0.14298</v>
          </cell>
        </row>
        <row r="3575">
          <cell r="I3575">
            <v>0.14302000000000001</v>
          </cell>
        </row>
        <row r="3576">
          <cell r="I3576">
            <v>0.14305999999999999</v>
          </cell>
        </row>
        <row r="3577">
          <cell r="I3577">
            <v>0.1431</v>
          </cell>
        </row>
        <row r="3578">
          <cell r="I3578">
            <v>0.14313999999999999</v>
          </cell>
        </row>
        <row r="3579">
          <cell r="I3579">
            <v>0.14318</v>
          </cell>
        </row>
        <row r="3580">
          <cell r="I3580">
            <v>0.14321999999999999</v>
          </cell>
        </row>
        <row r="3581">
          <cell r="I3581">
            <v>0.14326</v>
          </cell>
        </row>
        <row r="3582">
          <cell r="I3582">
            <v>0.14330000000000001</v>
          </cell>
        </row>
        <row r="3583">
          <cell r="I3583">
            <v>0.14334</v>
          </cell>
        </row>
        <row r="3584">
          <cell r="I3584">
            <v>0.14338000000000001</v>
          </cell>
        </row>
        <row r="3585">
          <cell r="I3585">
            <v>0.14341999999999999</v>
          </cell>
        </row>
        <row r="3586">
          <cell r="I3586">
            <v>0.14346</v>
          </cell>
        </row>
        <row r="3587">
          <cell r="I3587">
            <v>0.14349999999999999</v>
          </cell>
        </row>
        <row r="3588">
          <cell r="I3588">
            <v>0.14354</v>
          </cell>
        </row>
        <row r="3589">
          <cell r="I3589">
            <v>0.14358000000000001</v>
          </cell>
        </row>
        <row r="3590">
          <cell r="I3590">
            <v>0.14362</v>
          </cell>
        </row>
        <row r="3591">
          <cell r="I3591">
            <v>0.14366000000000001</v>
          </cell>
        </row>
        <row r="3592">
          <cell r="I3592">
            <v>0.14369999999999999</v>
          </cell>
        </row>
        <row r="3593">
          <cell r="I3593">
            <v>0.14374000000000001</v>
          </cell>
        </row>
        <row r="3594">
          <cell r="I3594">
            <v>0.14377999999999999</v>
          </cell>
        </row>
        <row r="3595">
          <cell r="I3595">
            <v>0.14382</v>
          </cell>
        </row>
        <row r="3596">
          <cell r="I3596">
            <v>0.14385999999999999</v>
          </cell>
        </row>
        <row r="3597">
          <cell r="I3597">
            <v>0.1439</v>
          </cell>
        </row>
        <row r="3598">
          <cell r="I3598">
            <v>0.14394000000000001</v>
          </cell>
        </row>
        <row r="3599">
          <cell r="I3599">
            <v>0.14398</v>
          </cell>
        </row>
        <row r="3600">
          <cell r="I3600">
            <v>0.14402000000000001</v>
          </cell>
        </row>
        <row r="3601">
          <cell r="I3601">
            <v>0.14405999999999999</v>
          </cell>
        </row>
        <row r="3602">
          <cell r="I3602">
            <v>0.14410000000000001</v>
          </cell>
        </row>
        <row r="3603">
          <cell r="I3603">
            <v>0.14413999999999999</v>
          </cell>
        </row>
        <row r="3604">
          <cell r="I3604">
            <v>0.14418</v>
          </cell>
        </row>
        <row r="3605">
          <cell r="I3605">
            <v>0.14421999999999999</v>
          </cell>
        </row>
        <row r="3606">
          <cell r="I3606">
            <v>0.14426</v>
          </cell>
        </row>
        <row r="3607">
          <cell r="I3607">
            <v>0.14430000000000001</v>
          </cell>
        </row>
        <row r="3608">
          <cell r="I3608">
            <v>0.14434</v>
          </cell>
        </row>
        <row r="3609">
          <cell r="I3609">
            <v>0.14438000000000001</v>
          </cell>
        </row>
        <row r="3610">
          <cell r="I3610">
            <v>0.14441999999999999</v>
          </cell>
        </row>
        <row r="3611">
          <cell r="I3611">
            <v>0.14446000000000001</v>
          </cell>
        </row>
        <row r="3612">
          <cell r="I3612">
            <v>0.14449999999999999</v>
          </cell>
        </row>
        <row r="3613">
          <cell r="I3613">
            <v>0.14454</v>
          </cell>
        </row>
        <row r="3614">
          <cell r="I3614">
            <v>0.14457999999999999</v>
          </cell>
        </row>
        <row r="3615">
          <cell r="I3615">
            <v>0.14462</v>
          </cell>
        </row>
        <row r="3616">
          <cell r="I3616">
            <v>0.14466000000000001</v>
          </cell>
        </row>
        <row r="3617">
          <cell r="I3617">
            <v>0.1447</v>
          </cell>
        </row>
        <row r="3618">
          <cell r="I3618">
            <v>0.14474000000000001</v>
          </cell>
        </row>
        <row r="3619">
          <cell r="I3619">
            <v>0.14477999999999999</v>
          </cell>
        </row>
        <row r="3620">
          <cell r="I3620">
            <v>0.14482</v>
          </cell>
        </row>
        <row r="3621">
          <cell r="I3621">
            <v>0.14485999999999999</v>
          </cell>
        </row>
        <row r="3622">
          <cell r="I3622">
            <v>0.1449</v>
          </cell>
        </row>
        <row r="3623">
          <cell r="I3623">
            <v>0.14494000000000001</v>
          </cell>
        </row>
        <row r="3624">
          <cell r="I3624">
            <v>0.14498</v>
          </cell>
        </row>
        <row r="3625">
          <cell r="I3625">
            <v>0.14502000000000001</v>
          </cell>
        </row>
        <row r="3626">
          <cell r="I3626">
            <v>0.14505999999999999</v>
          </cell>
        </row>
        <row r="3627">
          <cell r="I3627">
            <v>0.14510000000000001</v>
          </cell>
        </row>
        <row r="3628">
          <cell r="I3628">
            <v>0.14513999999999999</v>
          </cell>
        </row>
        <row r="3629">
          <cell r="I3629">
            <v>0.14518</v>
          </cell>
        </row>
        <row r="3630">
          <cell r="I3630">
            <v>0.14521999999999999</v>
          </cell>
        </row>
        <row r="3631">
          <cell r="I3631">
            <v>0.14526</v>
          </cell>
        </row>
        <row r="3632">
          <cell r="I3632">
            <v>0.14530000000000001</v>
          </cell>
        </row>
        <row r="3633">
          <cell r="I3633">
            <v>0.14534</v>
          </cell>
        </row>
        <row r="3634">
          <cell r="I3634">
            <v>0.14538000000000001</v>
          </cell>
        </row>
        <row r="3635">
          <cell r="I3635">
            <v>0.14541999999999999</v>
          </cell>
        </row>
        <row r="3636">
          <cell r="I3636">
            <v>0.14546000000000001</v>
          </cell>
        </row>
        <row r="3637">
          <cell r="I3637">
            <v>0.14549999999999999</v>
          </cell>
        </row>
        <row r="3638">
          <cell r="I3638">
            <v>0.14554</v>
          </cell>
        </row>
        <row r="3639">
          <cell r="I3639">
            <v>0.14557999999999999</v>
          </cell>
        </row>
        <row r="3640">
          <cell r="I3640">
            <v>0.14562</v>
          </cell>
        </row>
        <row r="3641">
          <cell r="I3641">
            <v>0.14566000000000001</v>
          </cell>
        </row>
        <row r="3642">
          <cell r="I3642">
            <v>0.1457</v>
          </cell>
        </row>
        <row r="3643">
          <cell r="I3643">
            <v>0.14574000000000001</v>
          </cell>
        </row>
        <row r="3644">
          <cell r="I3644">
            <v>0.14577999999999999</v>
          </cell>
        </row>
        <row r="3645">
          <cell r="I3645">
            <v>0.14582000000000001</v>
          </cell>
        </row>
        <row r="3646">
          <cell r="I3646">
            <v>0.14585999999999999</v>
          </cell>
        </row>
        <row r="3647">
          <cell r="I3647">
            <v>0.1459</v>
          </cell>
        </row>
        <row r="3648">
          <cell r="I3648">
            <v>0.14593999999999999</v>
          </cell>
        </row>
        <row r="3649">
          <cell r="I3649">
            <v>0.14598</v>
          </cell>
        </row>
        <row r="3650">
          <cell r="I3650">
            <v>0.14602000000000001</v>
          </cell>
        </row>
        <row r="3651">
          <cell r="I3651">
            <v>0.14606</v>
          </cell>
        </row>
        <row r="3652">
          <cell r="I3652">
            <v>0.14610000000000001</v>
          </cell>
        </row>
        <row r="3653">
          <cell r="I3653">
            <v>0.14613999999999999</v>
          </cell>
        </row>
        <row r="3654">
          <cell r="I3654">
            <v>0.14618</v>
          </cell>
        </row>
        <row r="3655">
          <cell r="I3655">
            <v>0.14621999999999999</v>
          </cell>
        </row>
        <row r="3656">
          <cell r="I3656">
            <v>0.14626</v>
          </cell>
        </row>
        <row r="3657">
          <cell r="I3657">
            <v>0.14630000000000001</v>
          </cell>
        </row>
        <row r="3658">
          <cell r="I3658">
            <v>0.14634</v>
          </cell>
        </row>
        <row r="3659">
          <cell r="I3659">
            <v>0.14638000000000001</v>
          </cell>
        </row>
        <row r="3660">
          <cell r="I3660">
            <v>0.14641999999999999</v>
          </cell>
        </row>
        <row r="3661">
          <cell r="I3661">
            <v>0.14646000000000001</v>
          </cell>
        </row>
        <row r="3662">
          <cell r="I3662">
            <v>0.14649999999999999</v>
          </cell>
        </row>
        <row r="3663">
          <cell r="I3663">
            <v>0.14654</v>
          </cell>
        </row>
        <row r="3664">
          <cell r="I3664">
            <v>0.14657999999999999</v>
          </cell>
        </row>
        <row r="3665">
          <cell r="I3665">
            <v>0.14662</v>
          </cell>
        </row>
        <row r="3666">
          <cell r="I3666">
            <v>0.14666000000000001</v>
          </cell>
        </row>
        <row r="3667">
          <cell r="I3667">
            <v>0.1467</v>
          </cell>
        </row>
        <row r="3668">
          <cell r="I3668">
            <v>0.14674000000000001</v>
          </cell>
        </row>
        <row r="3669">
          <cell r="I3669">
            <v>0.14677999999999999</v>
          </cell>
        </row>
        <row r="3670">
          <cell r="I3670">
            <v>0.14682000000000001</v>
          </cell>
        </row>
        <row r="3671">
          <cell r="I3671">
            <v>0.14685999999999999</v>
          </cell>
        </row>
        <row r="3672">
          <cell r="I3672">
            <v>0.1469</v>
          </cell>
        </row>
        <row r="3673">
          <cell r="I3673">
            <v>0.14693999999999999</v>
          </cell>
        </row>
        <row r="3674">
          <cell r="I3674">
            <v>0.14698</v>
          </cell>
        </row>
        <row r="3675">
          <cell r="I3675">
            <v>0.14702000000000001</v>
          </cell>
        </row>
        <row r="3676">
          <cell r="I3676">
            <v>0.14706</v>
          </cell>
        </row>
        <row r="3677">
          <cell r="I3677">
            <v>0.14710000000000001</v>
          </cell>
        </row>
        <row r="3678">
          <cell r="I3678">
            <v>0.14713999999999999</v>
          </cell>
        </row>
        <row r="3679">
          <cell r="I3679">
            <v>0.14718000000000001</v>
          </cell>
        </row>
        <row r="3680">
          <cell r="I3680">
            <v>0.14721999999999999</v>
          </cell>
        </row>
        <row r="3681">
          <cell r="I3681">
            <v>0.14726</v>
          </cell>
        </row>
        <row r="3682">
          <cell r="I3682">
            <v>0.14729999999999999</v>
          </cell>
        </row>
        <row r="3683">
          <cell r="I3683">
            <v>0.14734</v>
          </cell>
        </row>
        <row r="3684">
          <cell r="I3684">
            <v>0.14738000000000001</v>
          </cell>
        </row>
        <row r="3685">
          <cell r="I3685">
            <v>0.14742</v>
          </cell>
        </row>
        <row r="3686">
          <cell r="I3686">
            <v>0.14746000000000001</v>
          </cell>
        </row>
        <row r="3687">
          <cell r="I3687">
            <v>0.14749999999999999</v>
          </cell>
        </row>
        <row r="3688">
          <cell r="I3688">
            <v>0.14754</v>
          </cell>
        </row>
        <row r="3689">
          <cell r="I3689">
            <v>0.14757999999999999</v>
          </cell>
        </row>
        <row r="3690">
          <cell r="I3690">
            <v>0.14762</v>
          </cell>
        </row>
        <row r="3691">
          <cell r="I3691">
            <v>0.14766000000000001</v>
          </cell>
        </row>
        <row r="3692">
          <cell r="I3692">
            <v>0.1477</v>
          </cell>
        </row>
        <row r="3693">
          <cell r="I3693">
            <v>0.14774000000000001</v>
          </cell>
        </row>
        <row r="3694">
          <cell r="I3694">
            <v>0.14777999999999999</v>
          </cell>
        </row>
        <row r="3695">
          <cell r="I3695">
            <v>0.14782000000000001</v>
          </cell>
        </row>
        <row r="3696">
          <cell r="I3696">
            <v>0.14785999999999999</v>
          </cell>
        </row>
        <row r="3697">
          <cell r="I3697">
            <v>0.1479</v>
          </cell>
        </row>
        <row r="3698">
          <cell r="I3698">
            <v>0.14793999999999999</v>
          </cell>
        </row>
        <row r="3699">
          <cell r="I3699">
            <v>0.14798</v>
          </cell>
        </row>
        <row r="3700">
          <cell r="I3700">
            <v>0.14802000000000001</v>
          </cell>
        </row>
        <row r="3701">
          <cell r="I3701">
            <v>0.14806</v>
          </cell>
        </row>
        <row r="3702">
          <cell r="I3702">
            <v>0.14810000000000001</v>
          </cell>
        </row>
        <row r="3703">
          <cell r="I3703">
            <v>0.14813999999999999</v>
          </cell>
        </row>
        <row r="3704">
          <cell r="I3704">
            <v>0.14818000000000001</v>
          </cell>
        </row>
        <row r="3705">
          <cell r="I3705">
            <v>0.14821999999999999</v>
          </cell>
        </row>
        <row r="3706">
          <cell r="I3706">
            <v>0.14826</v>
          </cell>
        </row>
        <row r="3707">
          <cell r="I3707">
            <v>0.14829999999999999</v>
          </cell>
        </row>
        <row r="3708">
          <cell r="I3708">
            <v>0.14834</v>
          </cell>
        </row>
        <row r="3709">
          <cell r="I3709">
            <v>0.14838000000000001</v>
          </cell>
        </row>
        <row r="3710">
          <cell r="I3710">
            <v>0.14842</v>
          </cell>
        </row>
        <row r="3711">
          <cell r="I3711">
            <v>0.14846000000000001</v>
          </cell>
        </row>
        <row r="3712">
          <cell r="I3712">
            <v>0.14849999999999999</v>
          </cell>
        </row>
        <row r="3713">
          <cell r="I3713">
            <v>0.14854000000000001</v>
          </cell>
        </row>
        <row r="3714">
          <cell r="I3714">
            <v>0.14857999999999999</v>
          </cell>
        </row>
        <row r="3715">
          <cell r="I3715">
            <v>0.14862</v>
          </cell>
        </row>
        <row r="3716">
          <cell r="I3716">
            <v>0.14865999999999999</v>
          </cell>
        </row>
        <row r="3717">
          <cell r="I3717">
            <v>0.1487</v>
          </cell>
        </row>
        <row r="3718">
          <cell r="I3718">
            <v>0.14874000000000001</v>
          </cell>
        </row>
        <row r="3719">
          <cell r="I3719">
            <v>0.14878</v>
          </cell>
        </row>
        <row r="3720">
          <cell r="I3720">
            <v>0.14882000000000001</v>
          </cell>
        </row>
        <row r="3721">
          <cell r="I3721">
            <v>0.14885999999999999</v>
          </cell>
        </row>
        <row r="3722">
          <cell r="I3722">
            <v>0.1489</v>
          </cell>
        </row>
        <row r="3723">
          <cell r="I3723">
            <v>0.14893999999999999</v>
          </cell>
        </row>
        <row r="3724">
          <cell r="I3724">
            <v>0.14898</v>
          </cell>
        </row>
        <row r="3725">
          <cell r="I3725">
            <v>0.14902000000000001</v>
          </cell>
        </row>
        <row r="3726">
          <cell r="I3726">
            <v>0.14906</v>
          </cell>
        </row>
        <row r="3727">
          <cell r="I3727">
            <v>0.14910000000000001</v>
          </cell>
        </row>
        <row r="3728">
          <cell r="I3728">
            <v>0.14913999999999999</v>
          </cell>
        </row>
        <row r="3729">
          <cell r="I3729">
            <v>0.14918000000000001</v>
          </cell>
        </row>
        <row r="3730">
          <cell r="I3730">
            <v>0.14921999999999999</v>
          </cell>
        </row>
        <row r="3731">
          <cell r="I3731">
            <v>0.14926</v>
          </cell>
        </row>
        <row r="3732">
          <cell r="I3732">
            <v>0.14929999999999999</v>
          </cell>
        </row>
        <row r="3733">
          <cell r="I3733">
            <v>0.14934</v>
          </cell>
        </row>
        <row r="3734">
          <cell r="I3734">
            <v>0.14938000000000001</v>
          </cell>
        </row>
        <row r="3735">
          <cell r="I3735">
            <v>0.14942</v>
          </cell>
        </row>
        <row r="3736">
          <cell r="I3736">
            <v>0.14946000000000001</v>
          </cell>
        </row>
        <row r="3737">
          <cell r="I3737">
            <v>0.14949999999999999</v>
          </cell>
        </row>
        <row r="3738">
          <cell r="I3738">
            <v>0.14954000000000001</v>
          </cell>
        </row>
        <row r="3739">
          <cell r="I3739">
            <v>0.14957999999999999</v>
          </cell>
        </row>
        <row r="3740">
          <cell r="I3740">
            <v>0.14962</v>
          </cell>
        </row>
        <row r="3741">
          <cell r="I3741">
            <v>0.14965999999999999</v>
          </cell>
        </row>
        <row r="3742">
          <cell r="I3742">
            <v>0.1497</v>
          </cell>
        </row>
        <row r="3743">
          <cell r="I3743">
            <v>0.14974000000000001</v>
          </cell>
        </row>
        <row r="3744">
          <cell r="I3744">
            <v>0.14978</v>
          </cell>
        </row>
        <row r="3745">
          <cell r="I3745">
            <v>0.14982000000000001</v>
          </cell>
        </row>
        <row r="3746">
          <cell r="I3746">
            <v>0.14985999999999999</v>
          </cell>
        </row>
        <row r="3747">
          <cell r="I3747">
            <v>0.14990000000000001</v>
          </cell>
        </row>
        <row r="3748">
          <cell r="I3748">
            <v>0.14993999999999999</v>
          </cell>
        </row>
        <row r="3749">
          <cell r="I3749">
            <v>0.14998</v>
          </cell>
        </row>
        <row r="3750">
          <cell r="I3750">
            <v>0.15001999999999999</v>
          </cell>
        </row>
        <row r="3751">
          <cell r="I3751">
            <v>0.15006</v>
          </cell>
        </row>
        <row r="3752">
          <cell r="I3752">
            <v>0.15010000000000001</v>
          </cell>
        </row>
        <row r="3753">
          <cell r="I3753">
            <v>0.15014</v>
          </cell>
        </row>
        <row r="3754">
          <cell r="I3754">
            <v>0.15018000000000001</v>
          </cell>
        </row>
        <row r="3755">
          <cell r="I3755">
            <v>0.15021999999999999</v>
          </cell>
        </row>
        <row r="3756">
          <cell r="I3756">
            <v>0.15026</v>
          </cell>
        </row>
        <row r="3757">
          <cell r="I3757">
            <v>0.15029999999999999</v>
          </cell>
        </row>
        <row r="3758">
          <cell r="I3758">
            <v>0.15034</v>
          </cell>
        </row>
        <row r="3759">
          <cell r="I3759">
            <v>0.15038000000000001</v>
          </cell>
        </row>
        <row r="3760">
          <cell r="I3760">
            <v>0.15042</v>
          </cell>
        </row>
        <row r="3761">
          <cell r="I3761">
            <v>0.15046000000000001</v>
          </cell>
        </row>
        <row r="3762">
          <cell r="I3762">
            <v>0.15049999999999999</v>
          </cell>
        </row>
        <row r="3763">
          <cell r="I3763">
            <v>0.15054000000000001</v>
          </cell>
        </row>
        <row r="3764">
          <cell r="I3764">
            <v>0.15057999999999999</v>
          </cell>
        </row>
        <row r="3765">
          <cell r="I3765">
            <v>0.15062</v>
          </cell>
        </row>
        <row r="3766">
          <cell r="I3766">
            <v>0.15065999999999999</v>
          </cell>
        </row>
        <row r="3767">
          <cell r="I3767">
            <v>0.1507</v>
          </cell>
        </row>
        <row r="3768">
          <cell r="I3768">
            <v>0.15074000000000001</v>
          </cell>
        </row>
        <row r="3769">
          <cell r="I3769">
            <v>0.15078</v>
          </cell>
        </row>
        <row r="3770">
          <cell r="I3770">
            <v>0.15082000000000001</v>
          </cell>
        </row>
        <row r="3771">
          <cell r="I3771">
            <v>0.15085999999999999</v>
          </cell>
        </row>
        <row r="3772">
          <cell r="I3772">
            <v>0.15090000000000001</v>
          </cell>
        </row>
        <row r="3773">
          <cell r="I3773">
            <v>0.15093999999999999</v>
          </cell>
        </row>
        <row r="3774">
          <cell r="I3774">
            <v>0.15098</v>
          </cell>
        </row>
        <row r="3775">
          <cell r="I3775">
            <v>0.15101999999999999</v>
          </cell>
        </row>
        <row r="3776">
          <cell r="I3776">
            <v>0.15106</v>
          </cell>
        </row>
        <row r="3777">
          <cell r="I3777">
            <v>0.15110000000000001</v>
          </cell>
        </row>
        <row r="3778">
          <cell r="I3778">
            <v>0.15114</v>
          </cell>
        </row>
        <row r="3779">
          <cell r="I3779">
            <v>0.15118000000000001</v>
          </cell>
        </row>
        <row r="3780">
          <cell r="I3780">
            <v>0.15121999999999999</v>
          </cell>
        </row>
        <row r="3781">
          <cell r="I3781">
            <v>0.15126000000000001</v>
          </cell>
        </row>
        <row r="3782">
          <cell r="I3782">
            <v>0.15129999999999999</v>
          </cell>
        </row>
        <row r="3783">
          <cell r="I3783">
            <v>0.15134</v>
          </cell>
        </row>
        <row r="3784">
          <cell r="I3784">
            <v>0.15137999999999999</v>
          </cell>
        </row>
        <row r="3785">
          <cell r="I3785">
            <v>0.15142</v>
          </cell>
        </row>
        <row r="3786">
          <cell r="I3786">
            <v>0.15146000000000001</v>
          </cell>
        </row>
        <row r="3787">
          <cell r="I3787">
            <v>0.1515</v>
          </cell>
        </row>
        <row r="3788">
          <cell r="I3788">
            <v>0.15154000000000001</v>
          </cell>
        </row>
        <row r="3789">
          <cell r="I3789">
            <v>0.15157999999999999</v>
          </cell>
        </row>
        <row r="3790">
          <cell r="I3790">
            <v>0.15162</v>
          </cell>
        </row>
        <row r="3791">
          <cell r="I3791">
            <v>0.15165999999999999</v>
          </cell>
        </row>
        <row r="3792">
          <cell r="I3792">
            <v>0.1517</v>
          </cell>
        </row>
        <row r="3793">
          <cell r="I3793">
            <v>0.15174000000000001</v>
          </cell>
        </row>
        <row r="3794">
          <cell r="I3794">
            <v>0.15178</v>
          </cell>
        </row>
        <row r="3795">
          <cell r="I3795">
            <v>0.15182000000000001</v>
          </cell>
        </row>
        <row r="3796">
          <cell r="I3796">
            <v>0.15185999999999999</v>
          </cell>
        </row>
        <row r="3797">
          <cell r="I3797">
            <v>0.15190000000000001</v>
          </cell>
        </row>
        <row r="3798">
          <cell r="I3798">
            <v>0.15193999999999999</v>
          </cell>
        </row>
        <row r="3799">
          <cell r="I3799">
            <v>0.15198</v>
          </cell>
        </row>
        <row r="3800">
          <cell r="I3800">
            <v>0.15201999999999999</v>
          </cell>
        </row>
        <row r="3801">
          <cell r="I3801">
            <v>0.15206</v>
          </cell>
        </row>
        <row r="3802">
          <cell r="I3802">
            <v>0.15210000000000001</v>
          </cell>
        </row>
        <row r="3803">
          <cell r="I3803">
            <v>0.15214</v>
          </cell>
        </row>
        <row r="3804">
          <cell r="I3804">
            <v>0.15218000000000001</v>
          </cell>
        </row>
        <row r="3805">
          <cell r="I3805">
            <v>0.15221999999999999</v>
          </cell>
        </row>
        <row r="3806">
          <cell r="I3806">
            <v>0.15226000000000001</v>
          </cell>
        </row>
        <row r="3807">
          <cell r="I3807">
            <v>0.15229999999999999</v>
          </cell>
        </row>
        <row r="3808">
          <cell r="I3808">
            <v>0.15234</v>
          </cell>
        </row>
        <row r="3809">
          <cell r="I3809">
            <v>0.15237999999999999</v>
          </cell>
        </row>
        <row r="3810">
          <cell r="I3810">
            <v>0.15242</v>
          </cell>
        </row>
        <row r="3811">
          <cell r="I3811">
            <v>0.15246000000000001</v>
          </cell>
        </row>
        <row r="3812">
          <cell r="I3812">
            <v>0.1525</v>
          </cell>
        </row>
        <row r="3813">
          <cell r="I3813">
            <v>0.15254000000000001</v>
          </cell>
        </row>
        <row r="3814">
          <cell r="I3814">
            <v>0.15257999999999999</v>
          </cell>
        </row>
        <row r="3815">
          <cell r="I3815">
            <v>0.15262000000000001</v>
          </cell>
        </row>
        <row r="3816">
          <cell r="I3816">
            <v>0.15265999999999999</v>
          </cell>
        </row>
        <row r="3817">
          <cell r="I3817">
            <v>0.1527</v>
          </cell>
        </row>
        <row r="3818">
          <cell r="I3818">
            <v>0.15273999999999999</v>
          </cell>
        </row>
        <row r="3819">
          <cell r="I3819">
            <v>0.15278</v>
          </cell>
        </row>
        <row r="3820">
          <cell r="I3820">
            <v>0.15282000000000001</v>
          </cell>
        </row>
        <row r="3821">
          <cell r="I3821">
            <v>0.15286</v>
          </cell>
        </row>
        <row r="3822">
          <cell r="I3822">
            <v>0.15290000000000001</v>
          </cell>
        </row>
        <row r="3823">
          <cell r="I3823">
            <v>0.15293999999999999</v>
          </cell>
        </row>
        <row r="3824">
          <cell r="I3824">
            <v>0.15298</v>
          </cell>
        </row>
        <row r="3825">
          <cell r="I3825">
            <v>0.15301999999999999</v>
          </cell>
        </row>
        <row r="3826">
          <cell r="I3826">
            <v>0.15306</v>
          </cell>
        </row>
        <row r="3827">
          <cell r="I3827">
            <v>0.15310000000000001</v>
          </cell>
        </row>
        <row r="3828">
          <cell r="I3828">
            <v>0.15314</v>
          </cell>
        </row>
        <row r="3829">
          <cell r="I3829">
            <v>0.15318000000000001</v>
          </cell>
        </row>
        <row r="3830">
          <cell r="I3830">
            <v>0.15322</v>
          </cell>
        </row>
        <row r="3831">
          <cell r="I3831">
            <v>0.15326000000000001</v>
          </cell>
        </row>
        <row r="3832">
          <cell r="I3832">
            <v>0.15329999999999999</v>
          </cell>
        </row>
        <row r="3833">
          <cell r="I3833">
            <v>0.15334</v>
          </cell>
        </row>
        <row r="3834">
          <cell r="I3834">
            <v>0.15337999999999999</v>
          </cell>
        </row>
        <row r="3835">
          <cell r="I3835">
            <v>0.15342</v>
          </cell>
        </row>
        <row r="3836">
          <cell r="I3836">
            <v>0.15346000000000001</v>
          </cell>
        </row>
        <row r="3837">
          <cell r="I3837">
            <v>0.1535</v>
          </cell>
        </row>
        <row r="3838">
          <cell r="I3838">
            <v>0.15354000000000001</v>
          </cell>
        </row>
        <row r="3839">
          <cell r="I3839">
            <v>0.15357999999999999</v>
          </cell>
        </row>
        <row r="3840">
          <cell r="I3840">
            <v>0.15362000000000001</v>
          </cell>
        </row>
        <row r="3841">
          <cell r="I3841">
            <v>0.15365999999999999</v>
          </cell>
        </row>
        <row r="3842">
          <cell r="I3842">
            <v>0.1537</v>
          </cell>
        </row>
        <row r="3843">
          <cell r="I3843">
            <v>0.15373999999999999</v>
          </cell>
        </row>
        <row r="3844">
          <cell r="I3844">
            <v>0.15378</v>
          </cell>
        </row>
        <row r="3845">
          <cell r="I3845">
            <v>0.15382000000000001</v>
          </cell>
        </row>
        <row r="3846">
          <cell r="I3846">
            <v>0.15386</v>
          </cell>
        </row>
        <row r="3847">
          <cell r="I3847">
            <v>0.15390000000000001</v>
          </cell>
        </row>
        <row r="3848">
          <cell r="I3848">
            <v>0.15393999999999999</v>
          </cell>
        </row>
        <row r="3849">
          <cell r="I3849">
            <v>0.15398000000000001</v>
          </cell>
        </row>
        <row r="3850">
          <cell r="I3850">
            <v>0.15401999999999999</v>
          </cell>
        </row>
        <row r="3851">
          <cell r="I3851">
            <v>0.15406</v>
          </cell>
        </row>
        <row r="3852">
          <cell r="I3852">
            <v>0.15409999999999999</v>
          </cell>
        </row>
        <row r="3853">
          <cell r="I3853">
            <v>0.15414</v>
          </cell>
        </row>
        <row r="3854">
          <cell r="I3854">
            <v>0.15418000000000001</v>
          </cell>
        </row>
        <row r="3855">
          <cell r="I3855">
            <v>0.15422</v>
          </cell>
        </row>
        <row r="3856">
          <cell r="I3856">
            <v>0.15426000000000001</v>
          </cell>
        </row>
        <row r="3857">
          <cell r="I3857">
            <v>0.15429999999999999</v>
          </cell>
        </row>
        <row r="3858">
          <cell r="I3858">
            <v>0.15434</v>
          </cell>
        </row>
        <row r="3859">
          <cell r="I3859">
            <v>0.15437999999999999</v>
          </cell>
        </row>
        <row r="3860">
          <cell r="I3860">
            <v>0.15442</v>
          </cell>
        </row>
        <row r="3861">
          <cell r="I3861">
            <v>0.15445999999999999</v>
          </cell>
        </row>
        <row r="3862">
          <cell r="I3862">
            <v>0.1545</v>
          </cell>
        </row>
        <row r="3863">
          <cell r="I3863">
            <v>0.15454000000000001</v>
          </cell>
        </row>
        <row r="3864">
          <cell r="I3864">
            <v>0.15458</v>
          </cell>
        </row>
        <row r="3865">
          <cell r="I3865">
            <v>0.15462000000000001</v>
          </cell>
        </row>
        <row r="3866">
          <cell r="I3866">
            <v>0.15465999999999999</v>
          </cell>
        </row>
        <row r="3867">
          <cell r="I3867">
            <v>0.1547</v>
          </cell>
        </row>
        <row r="3868">
          <cell r="I3868">
            <v>0.15473999999999999</v>
          </cell>
        </row>
        <row r="3869">
          <cell r="I3869">
            <v>0.15478</v>
          </cell>
        </row>
        <row r="3870">
          <cell r="I3870">
            <v>0.15482000000000001</v>
          </cell>
        </row>
        <row r="3871">
          <cell r="I3871">
            <v>0.15486</v>
          </cell>
        </row>
        <row r="3872">
          <cell r="I3872">
            <v>0.15490000000000001</v>
          </cell>
        </row>
        <row r="3873">
          <cell r="I3873">
            <v>0.15493999999999999</v>
          </cell>
        </row>
        <row r="3874">
          <cell r="I3874">
            <v>0.15498000000000001</v>
          </cell>
        </row>
        <row r="3875">
          <cell r="I3875">
            <v>0.15501999999999999</v>
          </cell>
        </row>
        <row r="3876">
          <cell r="I3876">
            <v>0.15506</v>
          </cell>
        </row>
        <row r="3877">
          <cell r="I3877">
            <v>0.15509999999999999</v>
          </cell>
        </row>
        <row r="3878">
          <cell r="I3878">
            <v>0.15514</v>
          </cell>
        </row>
        <row r="3879">
          <cell r="I3879">
            <v>0.15518000000000001</v>
          </cell>
        </row>
        <row r="3880">
          <cell r="I3880">
            <v>0.15522</v>
          </cell>
        </row>
        <row r="3881">
          <cell r="I3881">
            <v>0.15526000000000001</v>
          </cell>
        </row>
        <row r="3882">
          <cell r="I3882">
            <v>0.15529999999999999</v>
          </cell>
        </row>
        <row r="3883">
          <cell r="I3883">
            <v>0.15534000000000001</v>
          </cell>
        </row>
        <row r="3884">
          <cell r="I3884">
            <v>0.15537999999999999</v>
          </cell>
        </row>
        <row r="3885">
          <cell r="I3885">
            <v>0.15542</v>
          </cell>
        </row>
        <row r="3886">
          <cell r="I3886">
            <v>0.15545999999999999</v>
          </cell>
        </row>
        <row r="3887">
          <cell r="I3887">
            <v>0.1555</v>
          </cell>
        </row>
        <row r="3888">
          <cell r="I3888">
            <v>0.15554000000000001</v>
          </cell>
        </row>
        <row r="3889">
          <cell r="I3889">
            <v>0.15558</v>
          </cell>
        </row>
        <row r="3890">
          <cell r="I3890">
            <v>0.15562000000000001</v>
          </cell>
        </row>
        <row r="3891">
          <cell r="I3891">
            <v>0.15565999999999999</v>
          </cell>
        </row>
        <row r="3892">
          <cell r="I3892">
            <v>0.15570000000000001</v>
          </cell>
        </row>
        <row r="3893">
          <cell r="I3893">
            <v>0.15573999999999999</v>
          </cell>
        </row>
        <row r="3894">
          <cell r="I3894">
            <v>0.15578</v>
          </cell>
        </row>
        <row r="3895">
          <cell r="I3895">
            <v>0.15581999999999999</v>
          </cell>
        </row>
        <row r="3896">
          <cell r="I3896">
            <v>0.15586</v>
          </cell>
        </row>
        <row r="3897">
          <cell r="I3897">
            <v>0.15590000000000001</v>
          </cell>
        </row>
        <row r="3898">
          <cell r="I3898">
            <v>0.15594</v>
          </cell>
        </row>
        <row r="3899">
          <cell r="I3899">
            <v>0.15598000000000001</v>
          </cell>
        </row>
        <row r="3900">
          <cell r="I3900">
            <v>0.15601999999999999</v>
          </cell>
        </row>
        <row r="3901">
          <cell r="I3901">
            <v>0.15606</v>
          </cell>
        </row>
        <row r="3902">
          <cell r="I3902">
            <v>0.15609999999999999</v>
          </cell>
        </row>
        <row r="3903">
          <cell r="I3903">
            <v>0.15614</v>
          </cell>
        </row>
        <row r="3904">
          <cell r="I3904">
            <v>0.15618000000000001</v>
          </cell>
        </row>
        <row r="3905">
          <cell r="I3905">
            <v>0.15622</v>
          </cell>
        </row>
        <row r="3906">
          <cell r="I3906">
            <v>0.15626000000000001</v>
          </cell>
        </row>
        <row r="3907">
          <cell r="I3907">
            <v>0.15629999999999999</v>
          </cell>
        </row>
        <row r="3908">
          <cell r="I3908">
            <v>0.15634000000000001</v>
          </cell>
        </row>
        <row r="3909">
          <cell r="I3909">
            <v>0.15637999999999999</v>
          </cell>
        </row>
        <row r="3910">
          <cell r="I3910">
            <v>0.15642</v>
          </cell>
        </row>
        <row r="3911">
          <cell r="I3911">
            <v>0.15645999999999999</v>
          </cell>
        </row>
        <row r="3912">
          <cell r="I3912">
            <v>0.1565</v>
          </cell>
        </row>
        <row r="3913">
          <cell r="I3913">
            <v>0.15654000000000001</v>
          </cell>
        </row>
        <row r="3914">
          <cell r="I3914">
            <v>0.15658</v>
          </cell>
        </row>
        <row r="3915">
          <cell r="I3915">
            <v>0.15662000000000001</v>
          </cell>
        </row>
        <row r="3916">
          <cell r="I3916">
            <v>0.15665999999999999</v>
          </cell>
        </row>
        <row r="3917">
          <cell r="I3917">
            <v>0.15670000000000001</v>
          </cell>
        </row>
        <row r="3918">
          <cell r="I3918">
            <v>0.15673999999999999</v>
          </cell>
        </row>
        <row r="3919">
          <cell r="I3919">
            <v>0.15678</v>
          </cell>
        </row>
        <row r="3920">
          <cell r="I3920">
            <v>0.15681999999999999</v>
          </cell>
        </row>
        <row r="3921">
          <cell r="I3921">
            <v>0.15686</v>
          </cell>
        </row>
        <row r="3922">
          <cell r="I3922">
            <v>0.15690000000000001</v>
          </cell>
        </row>
        <row r="3923">
          <cell r="I3923">
            <v>0.15694</v>
          </cell>
        </row>
        <row r="3924">
          <cell r="I3924">
            <v>0.15698000000000001</v>
          </cell>
        </row>
        <row r="3925">
          <cell r="I3925">
            <v>0.15701999999999999</v>
          </cell>
        </row>
        <row r="3926">
          <cell r="I3926">
            <v>0.15706000000000001</v>
          </cell>
        </row>
        <row r="3927">
          <cell r="I3927">
            <v>0.15709999999999999</v>
          </cell>
        </row>
        <row r="3928">
          <cell r="I3928">
            <v>0.15714</v>
          </cell>
        </row>
        <row r="3929">
          <cell r="I3929">
            <v>0.15717999999999999</v>
          </cell>
        </row>
        <row r="3930">
          <cell r="I3930">
            <v>0.15722</v>
          </cell>
        </row>
        <row r="3931">
          <cell r="I3931">
            <v>0.15726000000000001</v>
          </cell>
        </row>
        <row r="3932">
          <cell r="I3932">
            <v>0.1573</v>
          </cell>
        </row>
        <row r="3933">
          <cell r="I3933">
            <v>0.15734000000000001</v>
          </cell>
        </row>
        <row r="3934">
          <cell r="I3934">
            <v>0.15737999999999999</v>
          </cell>
        </row>
        <row r="3935">
          <cell r="I3935">
            <v>0.15742</v>
          </cell>
        </row>
        <row r="3936">
          <cell r="I3936">
            <v>0.15745999999999999</v>
          </cell>
        </row>
        <row r="3937">
          <cell r="I3937">
            <v>0.1575</v>
          </cell>
        </row>
        <row r="3938">
          <cell r="I3938">
            <v>0.15754000000000001</v>
          </cell>
        </row>
        <row r="3939">
          <cell r="I3939">
            <v>0.15758</v>
          </cell>
        </row>
        <row r="3940">
          <cell r="I3940">
            <v>0.15762000000000001</v>
          </cell>
        </row>
        <row r="3941">
          <cell r="I3941">
            <v>0.15765999999999999</v>
          </cell>
        </row>
        <row r="3942">
          <cell r="I3942">
            <v>0.15770000000000001</v>
          </cell>
        </row>
        <row r="3943">
          <cell r="I3943">
            <v>0.15773999999999999</v>
          </cell>
        </row>
        <row r="3944">
          <cell r="I3944">
            <v>0.15778</v>
          </cell>
        </row>
        <row r="3945">
          <cell r="I3945">
            <v>0.15781999999999999</v>
          </cell>
        </row>
        <row r="3946">
          <cell r="I3946">
            <v>0.15786</v>
          </cell>
        </row>
        <row r="3947">
          <cell r="I3947">
            <v>0.15790000000000001</v>
          </cell>
        </row>
        <row r="3948">
          <cell r="I3948">
            <v>0.15794</v>
          </cell>
        </row>
        <row r="3949">
          <cell r="I3949">
            <v>0.15798000000000001</v>
          </cell>
        </row>
        <row r="3950">
          <cell r="I3950">
            <v>0.15801999999999999</v>
          </cell>
        </row>
        <row r="3951">
          <cell r="I3951">
            <v>0.15806000000000001</v>
          </cell>
        </row>
        <row r="3952">
          <cell r="I3952">
            <v>0.15809999999999999</v>
          </cell>
        </row>
        <row r="3953">
          <cell r="I3953">
            <v>0.15814</v>
          </cell>
        </row>
        <row r="3954">
          <cell r="I3954">
            <v>0.15817999999999999</v>
          </cell>
        </row>
        <row r="3955">
          <cell r="I3955">
            <v>0.15822</v>
          </cell>
        </row>
        <row r="3956">
          <cell r="I3956">
            <v>0.15826000000000001</v>
          </cell>
        </row>
        <row r="3957">
          <cell r="I3957">
            <v>0.1583</v>
          </cell>
        </row>
        <row r="3958">
          <cell r="I3958">
            <v>0.15834000000000001</v>
          </cell>
        </row>
        <row r="3959">
          <cell r="I3959">
            <v>0.15837999999999999</v>
          </cell>
        </row>
        <row r="3960">
          <cell r="I3960">
            <v>0.15842000000000001</v>
          </cell>
        </row>
        <row r="3961">
          <cell r="I3961">
            <v>0.15845999999999999</v>
          </cell>
        </row>
        <row r="3962">
          <cell r="I3962">
            <v>0.1585</v>
          </cell>
        </row>
        <row r="3963">
          <cell r="I3963">
            <v>0.15853999999999999</v>
          </cell>
        </row>
        <row r="3964">
          <cell r="I3964">
            <v>0.15858</v>
          </cell>
        </row>
        <row r="3965">
          <cell r="I3965">
            <v>0.15862000000000001</v>
          </cell>
        </row>
        <row r="3966">
          <cell r="I3966">
            <v>0.15866</v>
          </cell>
        </row>
        <row r="3967">
          <cell r="I3967">
            <v>0.15870000000000001</v>
          </cell>
        </row>
        <row r="3968">
          <cell r="I3968">
            <v>0.15873999999999999</v>
          </cell>
        </row>
        <row r="3969">
          <cell r="I3969">
            <v>0.15878</v>
          </cell>
        </row>
        <row r="3970">
          <cell r="I3970">
            <v>0.15881999999999999</v>
          </cell>
        </row>
        <row r="3971">
          <cell r="I3971">
            <v>0.15886</v>
          </cell>
        </row>
        <row r="3972">
          <cell r="I3972">
            <v>0.15890000000000001</v>
          </cell>
        </row>
        <row r="3973">
          <cell r="I3973">
            <v>0.15894</v>
          </cell>
        </row>
        <row r="3974">
          <cell r="I3974">
            <v>0.15898000000000001</v>
          </cell>
        </row>
        <row r="3975">
          <cell r="I3975">
            <v>0.15901999999999999</v>
          </cell>
        </row>
        <row r="3976">
          <cell r="I3976">
            <v>0.15906000000000001</v>
          </cell>
        </row>
        <row r="3977">
          <cell r="I3977">
            <v>0.15909999999999999</v>
          </cell>
        </row>
        <row r="3978">
          <cell r="I3978">
            <v>0.15914</v>
          </cell>
        </row>
        <row r="3979">
          <cell r="I3979">
            <v>0.15917999999999999</v>
          </cell>
        </row>
        <row r="3980">
          <cell r="I3980">
            <v>0.15922</v>
          </cell>
        </row>
        <row r="3981">
          <cell r="I3981">
            <v>0.15926000000000001</v>
          </cell>
        </row>
        <row r="3982">
          <cell r="I3982">
            <v>0.1593</v>
          </cell>
        </row>
        <row r="3983">
          <cell r="I3983">
            <v>0.15934000000000001</v>
          </cell>
        </row>
        <row r="3984">
          <cell r="I3984">
            <v>0.15937999999999999</v>
          </cell>
        </row>
        <row r="3985">
          <cell r="I3985">
            <v>0.15942000000000001</v>
          </cell>
        </row>
        <row r="3986">
          <cell r="I3986">
            <v>0.15945999999999999</v>
          </cell>
        </row>
        <row r="3987">
          <cell r="I3987">
            <v>0.1595</v>
          </cell>
        </row>
        <row r="3988">
          <cell r="I3988">
            <v>0.15953999999999999</v>
          </cell>
        </row>
        <row r="3989">
          <cell r="I3989">
            <v>0.15958</v>
          </cell>
        </row>
        <row r="3990">
          <cell r="I3990">
            <v>0.15962000000000001</v>
          </cell>
        </row>
        <row r="3991">
          <cell r="I3991">
            <v>0.15966</v>
          </cell>
        </row>
        <row r="3992">
          <cell r="I3992">
            <v>0.15970000000000001</v>
          </cell>
        </row>
        <row r="3993">
          <cell r="I3993">
            <v>0.15973999999999999</v>
          </cell>
        </row>
        <row r="3994">
          <cell r="I3994">
            <v>0.15978000000000001</v>
          </cell>
        </row>
        <row r="3995">
          <cell r="I3995">
            <v>0.15981999999999999</v>
          </cell>
        </row>
        <row r="3996">
          <cell r="I3996">
            <v>0.15986</v>
          </cell>
        </row>
        <row r="3997">
          <cell r="I3997">
            <v>0.15989999999999999</v>
          </cell>
        </row>
        <row r="3998">
          <cell r="I3998">
            <v>0.15994</v>
          </cell>
        </row>
        <row r="3999">
          <cell r="I3999">
            <v>0.15998000000000001</v>
          </cell>
        </row>
        <row r="4000">
          <cell r="I4000">
            <v>0.16002</v>
          </cell>
        </row>
        <row r="4001">
          <cell r="I4001">
            <v>0.16006000000000001</v>
          </cell>
        </row>
        <row r="4002">
          <cell r="I4002">
            <v>0.16009999999999999</v>
          </cell>
        </row>
        <row r="4003">
          <cell r="I4003">
            <v>0.16014</v>
          </cell>
        </row>
        <row r="4004">
          <cell r="I4004">
            <v>0.16017999999999999</v>
          </cell>
        </row>
        <row r="4005">
          <cell r="I4005">
            <v>0.16022</v>
          </cell>
        </row>
        <row r="4006">
          <cell r="I4006">
            <v>0.16026000000000001</v>
          </cell>
        </row>
        <row r="4007">
          <cell r="I4007">
            <v>0.1603</v>
          </cell>
        </row>
        <row r="4008">
          <cell r="I4008">
            <v>0.16034000000000001</v>
          </cell>
        </row>
        <row r="4009">
          <cell r="I4009">
            <v>0.16037999999999999</v>
          </cell>
        </row>
        <row r="4010">
          <cell r="I4010">
            <v>0.16042000000000001</v>
          </cell>
        </row>
        <row r="4011">
          <cell r="I4011">
            <v>0.16045999999999999</v>
          </cell>
        </row>
        <row r="4012">
          <cell r="I4012">
            <v>0.1605</v>
          </cell>
        </row>
        <row r="4013">
          <cell r="I4013">
            <v>0.16053999999999999</v>
          </cell>
        </row>
        <row r="4014">
          <cell r="I4014">
            <v>0.16058</v>
          </cell>
        </row>
        <row r="4015">
          <cell r="I4015">
            <v>0.16062000000000001</v>
          </cell>
        </row>
        <row r="4016">
          <cell r="I4016">
            <v>0.16066</v>
          </cell>
        </row>
        <row r="4017">
          <cell r="I4017">
            <v>0.16070000000000001</v>
          </cell>
        </row>
        <row r="4018">
          <cell r="I4018">
            <v>0.16073999999999999</v>
          </cell>
        </row>
        <row r="4019">
          <cell r="I4019">
            <v>0.16078000000000001</v>
          </cell>
        </row>
        <row r="4020">
          <cell r="I4020">
            <v>0.16081999999999999</v>
          </cell>
        </row>
        <row r="4021">
          <cell r="I4021">
            <v>0.16086</v>
          </cell>
        </row>
        <row r="4022">
          <cell r="I4022">
            <v>0.16089999999999999</v>
          </cell>
        </row>
        <row r="4023">
          <cell r="I4023">
            <v>0.16094</v>
          </cell>
        </row>
        <row r="4024">
          <cell r="I4024">
            <v>0.16098000000000001</v>
          </cell>
        </row>
        <row r="4025">
          <cell r="I4025">
            <v>0.16102</v>
          </cell>
        </row>
        <row r="4026">
          <cell r="I4026">
            <v>0.16106000000000001</v>
          </cell>
        </row>
        <row r="4027">
          <cell r="I4027">
            <v>0.16109999999999999</v>
          </cell>
        </row>
        <row r="4028">
          <cell r="I4028">
            <v>0.16114000000000001</v>
          </cell>
        </row>
        <row r="4029">
          <cell r="I4029">
            <v>0.16117999999999999</v>
          </cell>
        </row>
        <row r="4030">
          <cell r="I4030">
            <v>0.16122</v>
          </cell>
        </row>
        <row r="4031">
          <cell r="I4031">
            <v>0.16125999999999999</v>
          </cell>
        </row>
        <row r="4032">
          <cell r="I4032">
            <v>0.1613</v>
          </cell>
        </row>
        <row r="4033">
          <cell r="I4033">
            <v>0.16134000000000001</v>
          </cell>
        </row>
        <row r="4034">
          <cell r="I4034">
            <v>0.16138</v>
          </cell>
        </row>
        <row r="4035">
          <cell r="I4035">
            <v>0.16142000000000001</v>
          </cell>
        </row>
        <row r="4036">
          <cell r="I4036">
            <v>0.16145999999999999</v>
          </cell>
        </row>
        <row r="4037">
          <cell r="I4037">
            <v>0.1615</v>
          </cell>
        </row>
        <row r="4038">
          <cell r="I4038">
            <v>0.16153999999999999</v>
          </cell>
        </row>
        <row r="4039">
          <cell r="I4039">
            <v>0.16158</v>
          </cell>
        </row>
        <row r="4040">
          <cell r="I4040">
            <v>0.16162000000000001</v>
          </cell>
        </row>
        <row r="4041">
          <cell r="I4041">
            <v>0.16166</v>
          </cell>
        </row>
        <row r="4042">
          <cell r="I4042">
            <v>0.16170000000000001</v>
          </cell>
        </row>
        <row r="4043">
          <cell r="I4043">
            <v>0.16173999999999999</v>
          </cell>
        </row>
        <row r="4044">
          <cell r="I4044">
            <v>0.16178000000000001</v>
          </cell>
        </row>
        <row r="4045">
          <cell r="I4045">
            <v>0.16181999999999999</v>
          </cell>
        </row>
        <row r="4046">
          <cell r="I4046">
            <v>0.16186</v>
          </cell>
        </row>
        <row r="4047">
          <cell r="I4047">
            <v>0.16189999999999999</v>
          </cell>
        </row>
        <row r="4048">
          <cell r="I4048">
            <v>0.16194</v>
          </cell>
        </row>
        <row r="4049">
          <cell r="I4049">
            <v>0.16198000000000001</v>
          </cell>
        </row>
        <row r="4050">
          <cell r="I4050">
            <v>0.16202</v>
          </cell>
        </row>
        <row r="4051">
          <cell r="I4051">
            <v>0.16206000000000001</v>
          </cell>
        </row>
        <row r="4052">
          <cell r="I4052">
            <v>0.16209999999999999</v>
          </cell>
        </row>
        <row r="4053">
          <cell r="I4053">
            <v>0.16214000000000001</v>
          </cell>
        </row>
        <row r="4054">
          <cell r="I4054">
            <v>0.16217999999999999</v>
          </cell>
        </row>
        <row r="4055">
          <cell r="I4055">
            <v>0.16222</v>
          </cell>
        </row>
        <row r="4056">
          <cell r="I4056">
            <v>0.16225999999999999</v>
          </cell>
        </row>
        <row r="4057">
          <cell r="I4057">
            <v>0.1623</v>
          </cell>
        </row>
        <row r="4058">
          <cell r="I4058">
            <v>0.16234000000000001</v>
          </cell>
        </row>
        <row r="4059">
          <cell r="I4059">
            <v>0.16238</v>
          </cell>
        </row>
        <row r="4060">
          <cell r="I4060">
            <v>0.16242000000000001</v>
          </cell>
        </row>
        <row r="4061">
          <cell r="I4061">
            <v>0.16245999999999999</v>
          </cell>
        </row>
        <row r="4062">
          <cell r="I4062">
            <v>0.16250000000000001</v>
          </cell>
        </row>
        <row r="4063">
          <cell r="I4063">
            <v>0.16253999999999999</v>
          </cell>
        </row>
        <row r="4064">
          <cell r="I4064">
            <v>0.16258</v>
          </cell>
        </row>
        <row r="4065">
          <cell r="I4065">
            <v>0.16261999999999999</v>
          </cell>
        </row>
        <row r="4066">
          <cell r="I4066">
            <v>0.16266</v>
          </cell>
        </row>
        <row r="4067">
          <cell r="I4067">
            <v>0.16270000000000001</v>
          </cell>
        </row>
        <row r="4068">
          <cell r="I4068">
            <v>0.16274</v>
          </cell>
        </row>
        <row r="4069">
          <cell r="I4069">
            <v>0.16278000000000001</v>
          </cell>
        </row>
        <row r="4070">
          <cell r="I4070">
            <v>0.16281999999999999</v>
          </cell>
        </row>
        <row r="4071">
          <cell r="I4071">
            <v>0.16286</v>
          </cell>
        </row>
        <row r="4072">
          <cell r="I4072">
            <v>0.16289999999999999</v>
          </cell>
        </row>
        <row r="4073">
          <cell r="I4073">
            <v>0.16294</v>
          </cell>
        </row>
        <row r="4074">
          <cell r="I4074">
            <v>0.16298000000000001</v>
          </cell>
        </row>
        <row r="4075">
          <cell r="I4075">
            <v>0.16302</v>
          </cell>
        </row>
        <row r="4076">
          <cell r="I4076">
            <v>0.16306000000000001</v>
          </cell>
        </row>
        <row r="4077">
          <cell r="I4077">
            <v>0.16309999999999999</v>
          </cell>
        </row>
        <row r="4078">
          <cell r="I4078">
            <v>0.16314000000000001</v>
          </cell>
        </row>
        <row r="4079">
          <cell r="I4079">
            <v>0.16317999999999999</v>
          </cell>
        </row>
        <row r="4080">
          <cell r="I4080">
            <v>0.16322</v>
          </cell>
        </row>
        <row r="4081">
          <cell r="I4081">
            <v>0.16325999999999999</v>
          </cell>
        </row>
        <row r="4082">
          <cell r="I4082">
            <v>0.1633</v>
          </cell>
        </row>
        <row r="4083">
          <cell r="I4083">
            <v>0.16334000000000001</v>
          </cell>
        </row>
        <row r="4084">
          <cell r="I4084">
            <v>0.16338</v>
          </cell>
        </row>
        <row r="4085">
          <cell r="I4085">
            <v>0.16342000000000001</v>
          </cell>
        </row>
        <row r="4086">
          <cell r="I4086">
            <v>0.16345999999999999</v>
          </cell>
        </row>
        <row r="4087">
          <cell r="I4087">
            <v>0.16350000000000001</v>
          </cell>
        </row>
        <row r="4088">
          <cell r="I4088">
            <v>0.16353999999999999</v>
          </cell>
        </row>
        <row r="4089">
          <cell r="I4089">
            <v>0.16358</v>
          </cell>
        </row>
        <row r="4090">
          <cell r="I4090">
            <v>0.16361999999999999</v>
          </cell>
        </row>
        <row r="4091">
          <cell r="I4091">
            <v>0.16366</v>
          </cell>
        </row>
        <row r="4092">
          <cell r="I4092">
            <v>0.16370000000000001</v>
          </cell>
        </row>
        <row r="4093">
          <cell r="I4093">
            <v>0.16374</v>
          </cell>
        </row>
        <row r="4094">
          <cell r="I4094">
            <v>0.16378000000000001</v>
          </cell>
        </row>
        <row r="4095">
          <cell r="I4095">
            <v>0.16381999999999999</v>
          </cell>
        </row>
        <row r="4096">
          <cell r="I4096">
            <v>0.16386000000000001</v>
          </cell>
        </row>
        <row r="4097">
          <cell r="I4097">
            <v>0.16389999999999999</v>
          </cell>
        </row>
        <row r="4098">
          <cell r="I4098">
            <v>0.16394</v>
          </cell>
        </row>
        <row r="4099">
          <cell r="I4099">
            <v>0.16397999999999999</v>
          </cell>
        </row>
        <row r="4100">
          <cell r="I4100">
            <v>0.16402</v>
          </cell>
        </row>
        <row r="4101">
          <cell r="I4101">
            <v>0.16406000000000001</v>
          </cell>
        </row>
        <row r="4102">
          <cell r="I4102">
            <v>0.1641</v>
          </cell>
        </row>
        <row r="4103">
          <cell r="I4103">
            <v>0.16414000000000001</v>
          </cell>
        </row>
        <row r="4104">
          <cell r="I4104">
            <v>0.16417999999999999</v>
          </cell>
        </row>
        <row r="4105">
          <cell r="I4105">
            <v>0.16422</v>
          </cell>
        </row>
        <row r="4106">
          <cell r="I4106">
            <v>0.16425999999999999</v>
          </cell>
        </row>
        <row r="4107">
          <cell r="I4107">
            <v>0.1643</v>
          </cell>
        </row>
        <row r="4108">
          <cell r="I4108">
            <v>0.16434000000000001</v>
          </cell>
        </row>
        <row r="4109">
          <cell r="I4109">
            <v>0.16438</v>
          </cell>
        </row>
        <row r="4110">
          <cell r="I4110">
            <v>0.16442000000000001</v>
          </cell>
        </row>
        <row r="4111">
          <cell r="I4111">
            <v>0.16446</v>
          </cell>
        </row>
        <row r="4112">
          <cell r="I4112">
            <v>0.16450000000000001</v>
          </cell>
        </row>
        <row r="4113">
          <cell r="I4113">
            <v>0.16453999999999999</v>
          </cell>
        </row>
        <row r="4114">
          <cell r="I4114">
            <v>0.16458</v>
          </cell>
        </row>
        <row r="4115">
          <cell r="I4115">
            <v>0.16461999999999999</v>
          </cell>
        </row>
        <row r="4116">
          <cell r="I4116">
            <v>0.16466</v>
          </cell>
        </row>
        <row r="4117">
          <cell r="I4117">
            <v>0.16470000000000001</v>
          </cell>
        </row>
        <row r="4118">
          <cell r="I4118">
            <v>0.16474</v>
          </cell>
        </row>
        <row r="4119">
          <cell r="I4119">
            <v>0.16478000000000001</v>
          </cell>
        </row>
        <row r="4120">
          <cell r="I4120">
            <v>0.16481999999999999</v>
          </cell>
        </row>
        <row r="4121">
          <cell r="I4121">
            <v>0.16486000000000001</v>
          </cell>
        </row>
        <row r="4122">
          <cell r="I4122">
            <v>0.16489999999999999</v>
          </cell>
        </row>
        <row r="4123">
          <cell r="I4123">
            <v>0.16494</v>
          </cell>
        </row>
        <row r="4124">
          <cell r="I4124">
            <v>0.16497999999999999</v>
          </cell>
        </row>
        <row r="4125">
          <cell r="I4125">
            <v>0.16502</v>
          </cell>
        </row>
        <row r="4126">
          <cell r="I4126">
            <v>0.16506000000000001</v>
          </cell>
        </row>
        <row r="4127">
          <cell r="I4127">
            <v>0.1651</v>
          </cell>
        </row>
        <row r="4128">
          <cell r="I4128">
            <v>0.16514000000000001</v>
          </cell>
        </row>
        <row r="4129">
          <cell r="I4129">
            <v>0.16517999999999999</v>
          </cell>
        </row>
        <row r="4130">
          <cell r="I4130">
            <v>0.16522000000000001</v>
          </cell>
        </row>
        <row r="4131">
          <cell r="I4131">
            <v>0.16525999999999999</v>
          </cell>
        </row>
        <row r="4132">
          <cell r="I4132">
            <v>0.1653</v>
          </cell>
        </row>
        <row r="4133">
          <cell r="I4133">
            <v>0.16533999999999999</v>
          </cell>
        </row>
        <row r="4134">
          <cell r="I4134">
            <v>0.16538</v>
          </cell>
        </row>
        <row r="4135">
          <cell r="I4135">
            <v>0.16542000000000001</v>
          </cell>
        </row>
        <row r="4136">
          <cell r="I4136">
            <v>0.16546</v>
          </cell>
        </row>
        <row r="4137">
          <cell r="I4137">
            <v>0.16550000000000001</v>
          </cell>
        </row>
        <row r="4138">
          <cell r="I4138">
            <v>0.16553999999999999</v>
          </cell>
        </row>
        <row r="4139">
          <cell r="I4139">
            <v>0.16558</v>
          </cell>
        </row>
        <row r="4140">
          <cell r="I4140">
            <v>0.16561999999999999</v>
          </cell>
        </row>
        <row r="4141">
          <cell r="I4141">
            <v>0.16566</v>
          </cell>
        </row>
        <row r="4142">
          <cell r="I4142">
            <v>0.16569999999999999</v>
          </cell>
        </row>
        <row r="4143">
          <cell r="I4143">
            <v>0.16574</v>
          </cell>
        </row>
        <row r="4144">
          <cell r="I4144">
            <v>0.16578000000000001</v>
          </cell>
        </row>
        <row r="4145">
          <cell r="I4145">
            <v>0.16582</v>
          </cell>
        </row>
        <row r="4146">
          <cell r="I4146">
            <v>0.16586000000000001</v>
          </cell>
        </row>
        <row r="4147">
          <cell r="I4147">
            <v>0.16589999999999999</v>
          </cell>
        </row>
        <row r="4148">
          <cell r="I4148">
            <v>0.16594</v>
          </cell>
        </row>
        <row r="4149">
          <cell r="I4149">
            <v>0.16597999999999999</v>
          </cell>
        </row>
        <row r="4150">
          <cell r="I4150">
            <v>0.16602</v>
          </cell>
        </row>
        <row r="4151">
          <cell r="I4151">
            <v>0.16606000000000001</v>
          </cell>
        </row>
        <row r="4152">
          <cell r="I4152">
            <v>0.1661</v>
          </cell>
        </row>
        <row r="4153">
          <cell r="I4153">
            <v>0.16614000000000001</v>
          </cell>
        </row>
        <row r="4154">
          <cell r="I4154">
            <v>0.16617999999999999</v>
          </cell>
        </row>
        <row r="4155">
          <cell r="I4155">
            <v>0.16622000000000001</v>
          </cell>
        </row>
        <row r="4156">
          <cell r="I4156">
            <v>0.16625999999999999</v>
          </cell>
        </row>
        <row r="4157">
          <cell r="I4157">
            <v>0.1663</v>
          </cell>
        </row>
        <row r="4158">
          <cell r="I4158">
            <v>0.16633999999999999</v>
          </cell>
        </row>
        <row r="4159">
          <cell r="I4159">
            <v>0.16638</v>
          </cell>
        </row>
        <row r="4160">
          <cell r="I4160">
            <v>0.16642000000000001</v>
          </cell>
        </row>
        <row r="4161">
          <cell r="I4161">
            <v>0.16646</v>
          </cell>
        </row>
        <row r="4162">
          <cell r="I4162">
            <v>0.16650000000000001</v>
          </cell>
        </row>
        <row r="4163">
          <cell r="I4163">
            <v>0.16653999999999999</v>
          </cell>
        </row>
        <row r="4164">
          <cell r="I4164">
            <v>0.16658000000000001</v>
          </cell>
        </row>
        <row r="4165">
          <cell r="I4165">
            <v>0.16661999999999999</v>
          </cell>
        </row>
        <row r="4166">
          <cell r="I4166">
            <v>0.16666</v>
          </cell>
        </row>
        <row r="4167">
          <cell r="I4167">
            <v>0.16669999999999999</v>
          </cell>
        </row>
        <row r="4168">
          <cell r="I4168">
            <v>0.16674</v>
          </cell>
        </row>
        <row r="4169">
          <cell r="I4169">
            <v>0.16678000000000001</v>
          </cell>
        </row>
        <row r="4170">
          <cell r="I4170">
            <v>0.16682</v>
          </cell>
        </row>
        <row r="4171">
          <cell r="I4171">
            <v>0.16686000000000001</v>
          </cell>
        </row>
        <row r="4172">
          <cell r="I4172">
            <v>0.16689999999999999</v>
          </cell>
        </row>
        <row r="4173">
          <cell r="I4173">
            <v>0.16694000000000001</v>
          </cell>
        </row>
        <row r="4174">
          <cell r="I4174">
            <v>0.16697999999999999</v>
          </cell>
        </row>
        <row r="4175">
          <cell r="I4175">
            <v>0.16702</v>
          </cell>
        </row>
        <row r="4176">
          <cell r="I4176">
            <v>0.16705999999999999</v>
          </cell>
        </row>
        <row r="4177">
          <cell r="I4177">
            <v>0.1671</v>
          </cell>
        </row>
        <row r="4178">
          <cell r="I4178">
            <v>0.16714000000000001</v>
          </cell>
        </row>
        <row r="4179">
          <cell r="I4179">
            <v>0.16718</v>
          </cell>
        </row>
        <row r="4180">
          <cell r="I4180">
            <v>0.16722000000000001</v>
          </cell>
        </row>
        <row r="4181">
          <cell r="I4181">
            <v>0.16725999999999999</v>
          </cell>
        </row>
        <row r="4182">
          <cell r="I4182">
            <v>0.1673</v>
          </cell>
        </row>
        <row r="4183">
          <cell r="I4183">
            <v>0.16733999999999999</v>
          </cell>
        </row>
        <row r="4184">
          <cell r="I4184">
            <v>0.16738</v>
          </cell>
        </row>
        <row r="4185">
          <cell r="I4185">
            <v>0.16742000000000001</v>
          </cell>
        </row>
        <row r="4186">
          <cell r="I4186">
            <v>0.16746</v>
          </cell>
        </row>
        <row r="4187">
          <cell r="I4187">
            <v>0.16750000000000001</v>
          </cell>
        </row>
        <row r="4188">
          <cell r="I4188">
            <v>0.16753999999999999</v>
          </cell>
        </row>
        <row r="4189">
          <cell r="I4189">
            <v>0.16758000000000001</v>
          </cell>
        </row>
        <row r="4190">
          <cell r="I4190">
            <v>0.16761999999999999</v>
          </cell>
        </row>
        <row r="4191">
          <cell r="I4191">
            <v>0.16766</v>
          </cell>
        </row>
        <row r="4192">
          <cell r="I4192">
            <v>0.16769999999999999</v>
          </cell>
        </row>
        <row r="4193">
          <cell r="I4193">
            <v>0.16774</v>
          </cell>
        </row>
        <row r="4194">
          <cell r="I4194">
            <v>0.16778000000000001</v>
          </cell>
        </row>
        <row r="4195">
          <cell r="I4195">
            <v>0.16782</v>
          </cell>
        </row>
        <row r="4196">
          <cell r="I4196">
            <v>0.16786000000000001</v>
          </cell>
        </row>
        <row r="4197">
          <cell r="I4197">
            <v>0.16789999999999999</v>
          </cell>
        </row>
        <row r="4198">
          <cell r="I4198">
            <v>0.16794000000000001</v>
          </cell>
        </row>
        <row r="4199">
          <cell r="I4199">
            <v>0.16797999999999999</v>
          </cell>
        </row>
        <row r="4200">
          <cell r="I4200">
            <v>0.16802</v>
          </cell>
        </row>
        <row r="4201">
          <cell r="I4201">
            <v>0.16805999999999999</v>
          </cell>
        </row>
        <row r="4202">
          <cell r="I4202">
            <v>0.1681</v>
          </cell>
        </row>
        <row r="4203">
          <cell r="I4203">
            <v>0.16814000000000001</v>
          </cell>
        </row>
        <row r="4204">
          <cell r="I4204">
            <v>0.16818</v>
          </cell>
        </row>
        <row r="4205">
          <cell r="I4205">
            <v>0.16822000000000001</v>
          </cell>
        </row>
        <row r="4206">
          <cell r="I4206">
            <v>0.16825999999999999</v>
          </cell>
        </row>
        <row r="4207">
          <cell r="I4207">
            <v>0.16830000000000001</v>
          </cell>
        </row>
        <row r="4208">
          <cell r="I4208">
            <v>0.16833999999999999</v>
          </cell>
        </row>
        <row r="4209">
          <cell r="I4209">
            <v>0.16838</v>
          </cell>
        </row>
        <row r="4210">
          <cell r="I4210">
            <v>0.16841999999999999</v>
          </cell>
        </row>
        <row r="4211">
          <cell r="I4211">
            <v>0.16846</v>
          </cell>
        </row>
        <row r="4212">
          <cell r="I4212">
            <v>0.16850000000000001</v>
          </cell>
        </row>
        <row r="4213">
          <cell r="I4213">
            <v>0.16854</v>
          </cell>
        </row>
        <row r="4214">
          <cell r="I4214">
            <v>0.16858000000000001</v>
          </cell>
        </row>
        <row r="4215">
          <cell r="I4215">
            <v>0.16861999999999999</v>
          </cell>
        </row>
        <row r="4216">
          <cell r="I4216">
            <v>0.16866</v>
          </cell>
        </row>
        <row r="4217">
          <cell r="I4217">
            <v>0.16869999999999999</v>
          </cell>
        </row>
        <row r="4218">
          <cell r="I4218">
            <v>0.16874</v>
          </cell>
        </row>
        <row r="4219">
          <cell r="I4219">
            <v>0.16878000000000001</v>
          </cell>
        </row>
        <row r="4220">
          <cell r="I4220">
            <v>0.16882</v>
          </cell>
        </row>
        <row r="4221">
          <cell r="I4221">
            <v>0.16886000000000001</v>
          </cell>
        </row>
        <row r="4222">
          <cell r="I4222">
            <v>0.16889999999999999</v>
          </cell>
        </row>
        <row r="4223">
          <cell r="I4223">
            <v>0.16894000000000001</v>
          </cell>
        </row>
        <row r="4224">
          <cell r="I4224">
            <v>0.16897999999999999</v>
          </cell>
        </row>
        <row r="4225">
          <cell r="I4225">
            <v>0.16902</v>
          </cell>
        </row>
        <row r="4226">
          <cell r="I4226">
            <v>0.16905999999999999</v>
          </cell>
        </row>
        <row r="4227">
          <cell r="I4227">
            <v>0.1691</v>
          </cell>
        </row>
        <row r="4228">
          <cell r="I4228">
            <v>0.16914000000000001</v>
          </cell>
        </row>
        <row r="4229">
          <cell r="I4229">
            <v>0.16918</v>
          </cell>
        </row>
        <row r="4230">
          <cell r="I4230">
            <v>0.16922000000000001</v>
          </cell>
        </row>
        <row r="4231">
          <cell r="I4231">
            <v>0.16925999999999999</v>
          </cell>
        </row>
        <row r="4232">
          <cell r="I4232">
            <v>0.16930000000000001</v>
          </cell>
        </row>
        <row r="4233">
          <cell r="I4233">
            <v>0.16933999999999999</v>
          </cell>
        </row>
        <row r="4234">
          <cell r="I4234">
            <v>0.16938</v>
          </cell>
        </row>
        <row r="4235">
          <cell r="I4235">
            <v>0.16941999999999999</v>
          </cell>
        </row>
        <row r="4236">
          <cell r="I4236">
            <v>0.16946</v>
          </cell>
        </row>
        <row r="4237">
          <cell r="I4237">
            <v>0.16950000000000001</v>
          </cell>
        </row>
        <row r="4238">
          <cell r="I4238">
            <v>0.16954</v>
          </cell>
        </row>
        <row r="4239">
          <cell r="I4239">
            <v>0.16958000000000001</v>
          </cell>
        </row>
        <row r="4240">
          <cell r="I4240">
            <v>0.16961999999999999</v>
          </cell>
        </row>
        <row r="4241">
          <cell r="I4241">
            <v>0.16966000000000001</v>
          </cell>
        </row>
        <row r="4242">
          <cell r="I4242">
            <v>0.16969999999999999</v>
          </cell>
        </row>
        <row r="4243">
          <cell r="I4243">
            <v>0.16974</v>
          </cell>
        </row>
        <row r="4244">
          <cell r="I4244">
            <v>0.16977999999999999</v>
          </cell>
        </row>
        <row r="4245">
          <cell r="I4245">
            <v>0.16982</v>
          </cell>
        </row>
        <row r="4246">
          <cell r="I4246">
            <v>0.16986000000000001</v>
          </cell>
        </row>
        <row r="4247">
          <cell r="I4247">
            <v>0.1699</v>
          </cell>
        </row>
        <row r="4248">
          <cell r="I4248">
            <v>0.16994000000000001</v>
          </cell>
        </row>
        <row r="4249">
          <cell r="I4249">
            <v>0.16997999999999999</v>
          </cell>
        </row>
        <row r="4250">
          <cell r="I4250">
            <v>0.17002</v>
          </cell>
        </row>
        <row r="4251">
          <cell r="I4251">
            <v>0.17005999999999999</v>
          </cell>
        </row>
        <row r="4252">
          <cell r="I4252">
            <v>0.1701</v>
          </cell>
        </row>
        <row r="4253">
          <cell r="I4253">
            <v>0.17014000000000001</v>
          </cell>
        </row>
        <row r="4254">
          <cell r="I4254">
            <v>0.17018</v>
          </cell>
        </row>
        <row r="4255">
          <cell r="I4255">
            <v>0.17022000000000001</v>
          </cell>
        </row>
        <row r="4256">
          <cell r="I4256">
            <v>0.17025999999999999</v>
          </cell>
        </row>
        <row r="4257">
          <cell r="I4257">
            <v>0.17030000000000001</v>
          </cell>
        </row>
        <row r="4258">
          <cell r="I4258">
            <v>0.17033999999999999</v>
          </cell>
        </row>
        <row r="4259">
          <cell r="I4259">
            <v>0.17038</v>
          </cell>
        </row>
        <row r="4260">
          <cell r="I4260">
            <v>0.17041999999999999</v>
          </cell>
        </row>
        <row r="4261">
          <cell r="I4261">
            <v>0.17046</v>
          </cell>
        </row>
        <row r="4262">
          <cell r="I4262">
            <v>0.17050000000000001</v>
          </cell>
        </row>
        <row r="4263">
          <cell r="I4263">
            <v>0.17054</v>
          </cell>
        </row>
        <row r="4264">
          <cell r="I4264">
            <v>0.17058000000000001</v>
          </cell>
        </row>
        <row r="4265">
          <cell r="I4265">
            <v>0.17061999999999999</v>
          </cell>
        </row>
        <row r="4266">
          <cell r="I4266">
            <v>0.17066000000000001</v>
          </cell>
        </row>
        <row r="4267">
          <cell r="I4267">
            <v>0.17069999999999999</v>
          </cell>
        </row>
        <row r="4268">
          <cell r="I4268">
            <v>0.17074</v>
          </cell>
        </row>
        <row r="4269">
          <cell r="I4269">
            <v>0.17077999999999999</v>
          </cell>
        </row>
        <row r="4270">
          <cell r="I4270">
            <v>0.17082</v>
          </cell>
        </row>
        <row r="4271">
          <cell r="I4271">
            <v>0.17086000000000001</v>
          </cell>
        </row>
        <row r="4272">
          <cell r="I4272">
            <v>0.1709</v>
          </cell>
        </row>
        <row r="4273">
          <cell r="I4273">
            <v>0.17094000000000001</v>
          </cell>
        </row>
        <row r="4274">
          <cell r="I4274">
            <v>0.17097999999999999</v>
          </cell>
        </row>
        <row r="4275">
          <cell r="I4275">
            <v>0.17102000000000001</v>
          </cell>
        </row>
        <row r="4276">
          <cell r="I4276">
            <v>0.17105999999999999</v>
          </cell>
        </row>
        <row r="4277">
          <cell r="I4277">
            <v>0.1711</v>
          </cell>
        </row>
        <row r="4278">
          <cell r="I4278">
            <v>0.17113999999999999</v>
          </cell>
        </row>
        <row r="4279">
          <cell r="I4279">
            <v>0.17118</v>
          </cell>
        </row>
        <row r="4280">
          <cell r="I4280">
            <v>0.17122000000000001</v>
          </cell>
        </row>
        <row r="4281">
          <cell r="I4281">
            <v>0.17126</v>
          </cell>
        </row>
        <row r="4282">
          <cell r="I4282">
            <v>0.17130000000000001</v>
          </cell>
        </row>
        <row r="4283">
          <cell r="I4283">
            <v>0.17133999999999999</v>
          </cell>
        </row>
        <row r="4284">
          <cell r="I4284">
            <v>0.17138</v>
          </cell>
        </row>
        <row r="4285">
          <cell r="I4285">
            <v>0.17141999999999999</v>
          </cell>
        </row>
        <row r="4286">
          <cell r="I4286">
            <v>0.17146</v>
          </cell>
        </row>
        <row r="4287">
          <cell r="I4287">
            <v>0.17150000000000001</v>
          </cell>
        </row>
        <row r="4288">
          <cell r="I4288">
            <v>0.17154</v>
          </cell>
        </row>
        <row r="4289">
          <cell r="I4289">
            <v>0.17158000000000001</v>
          </cell>
        </row>
        <row r="4290">
          <cell r="I4290">
            <v>0.17161999999999999</v>
          </cell>
        </row>
        <row r="4291">
          <cell r="I4291">
            <v>0.17166000000000001</v>
          </cell>
        </row>
        <row r="4292">
          <cell r="I4292">
            <v>0.17169999999999999</v>
          </cell>
        </row>
        <row r="4293">
          <cell r="I4293">
            <v>0.17174</v>
          </cell>
        </row>
        <row r="4294">
          <cell r="I4294">
            <v>0.17177999999999999</v>
          </cell>
        </row>
        <row r="4295">
          <cell r="I4295">
            <v>0.17182</v>
          </cell>
        </row>
        <row r="4296">
          <cell r="I4296">
            <v>0.17186000000000001</v>
          </cell>
        </row>
        <row r="4297">
          <cell r="I4297">
            <v>0.1719</v>
          </cell>
        </row>
        <row r="4298">
          <cell r="I4298">
            <v>0.17194000000000001</v>
          </cell>
        </row>
        <row r="4299">
          <cell r="I4299">
            <v>0.17197999999999999</v>
          </cell>
        </row>
        <row r="4300">
          <cell r="I4300">
            <v>0.17202000000000001</v>
          </cell>
        </row>
        <row r="4301">
          <cell r="I4301">
            <v>0.17205999999999999</v>
          </cell>
        </row>
        <row r="4302">
          <cell r="I4302">
            <v>0.1721</v>
          </cell>
        </row>
        <row r="4303">
          <cell r="I4303">
            <v>0.17213999999999999</v>
          </cell>
        </row>
        <row r="4304">
          <cell r="I4304">
            <v>0.17218</v>
          </cell>
        </row>
        <row r="4305">
          <cell r="I4305">
            <v>0.17222000000000001</v>
          </cell>
        </row>
        <row r="4306">
          <cell r="I4306">
            <v>0.17226</v>
          </cell>
        </row>
        <row r="4307">
          <cell r="I4307">
            <v>0.17230000000000001</v>
          </cell>
        </row>
        <row r="4308">
          <cell r="I4308">
            <v>0.17233999999999999</v>
          </cell>
        </row>
        <row r="4309">
          <cell r="I4309">
            <v>0.17238000000000001</v>
          </cell>
        </row>
        <row r="4310">
          <cell r="I4310">
            <v>0.17241999999999999</v>
          </cell>
        </row>
        <row r="4311">
          <cell r="I4311">
            <v>0.17246</v>
          </cell>
        </row>
        <row r="4312">
          <cell r="I4312">
            <v>0.17249999999999999</v>
          </cell>
        </row>
        <row r="4313">
          <cell r="I4313">
            <v>0.17254</v>
          </cell>
        </row>
        <row r="4314">
          <cell r="I4314">
            <v>0.17258000000000001</v>
          </cell>
        </row>
        <row r="4315">
          <cell r="I4315">
            <v>0.17262</v>
          </cell>
        </row>
        <row r="4316">
          <cell r="I4316">
            <v>0.17266000000000001</v>
          </cell>
        </row>
        <row r="4317">
          <cell r="I4317">
            <v>0.17269999999999999</v>
          </cell>
        </row>
        <row r="4318">
          <cell r="I4318">
            <v>0.17274</v>
          </cell>
        </row>
        <row r="4319">
          <cell r="I4319">
            <v>0.17277999999999999</v>
          </cell>
        </row>
        <row r="4320">
          <cell r="I4320">
            <v>0.17282</v>
          </cell>
        </row>
        <row r="4321">
          <cell r="I4321">
            <v>0.17286000000000001</v>
          </cell>
        </row>
        <row r="4322">
          <cell r="I4322">
            <v>0.1729</v>
          </cell>
        </row>
        <row r="4323">
          <cell r="I4323">
            <v>0.17294000000000001</v>
          </cell>
        </row>
        <row r="4324">
          <cell r="I4324">
            <v>0.17297999999999999</v>
          </cell>
        </row>
        <row r="4325">
          <cell r="I4325">
            <v>0.17302000000000001</v>
          </cell>
        </row>
        <row r="4326">
          <cell r="I4326">
            <v>0.17305999999999999</v>
          </cell>
        </row>
        <row r="4327">
          <cell r="I4327">
            <v>0.1731</v>
          </cell>
        </row>
        <row r="4328">
          <cell r="I4328">
            <v>0.17313999999999999</v>
          </cell>
        </row>
        <row r="4329">
          <cell r="I4329">
            <v>0.17318</v>
          </cell>
        </row>
        <row r="4330">
          <cell r="I4330">
            <v>0.17322000000000001</v>
          </cell>
        </row>
        <row r="4331">
          <cell r="I4331">
            <v>0.17326</v>
          </cell>
        </row>
        <row r="4332">
          <cell r="I4332">
            <v>0.17330000000000001</v>
          </cell>
        </row>
        <row r="4333">
          <cell r="I4333">
            <v>0.17333999999999999</v>
          </cell>
        </row>
        <row r="4334">
          <cell r="I4334">
            <v>0.17338000000000001</v>
          </cell>
        </row>
        <row r="4335">
          <cell r="I4335">
            <v>0.17341999999999999</v>
          </cell>
        </row>
        <row r="4336">
          <cell r="I4336">
            <v>0.17346</v>
          </cell>
        </row>
        <row r="4337">
          <cell r="I4337">
            <v>0.17349999999999999</v>
          </cell>
        </row>
        <row r="4338">
          <cell r="I4338">
            <v>0.17354</v>
          </cell>
        </row>
        <row r="4339">
          <cell r="I4339">
            <v>0.17358000000000001</v>
          </cell>
        </row>
        <row r="4340">
          <cell r="I4340">
            <v>0.17362</v>
          </cell>
        </row>
        <row r="4341">
          <cell r="I4341">
            <v>0.17366000000000001</v>
          </cell>
        </row>
        <row r="4342">
          <cell r="I4342">
            <v>0.17369999999999999</v>
          </cell>
        </row>
        <row r="4343">
          <cell r="I4343">
            <v>0.17374000000000001</v>
          </cell>
        </row>
        <row r="4344">
          <cell r="I4344">
            <v>0.17377999999999999</v>
          </cell>
        </row>
        <row r="4345">
          <cell r="I4345">
            <v>0.17382</v>
          </cell>
        </row>
        <row r="4346">
          <cell r="I4346">
            <v>0.17385999999999999</v>
          </cell>
        </row>
        <row r="4347">
          <cell r="I4347">
            <v>0.1739</v>
          </cell>
        </row>
        <row r="4348">
          <cell r="I4348">
            <v>0.17394000000000001</v>
          </cell>
        </row>
        <row r="4349">
          <cell r="I4349">
            <v>0.17398</v>
          </cell>
        </row>
        <row r="4350">
          <cell r="I4350">
            <v>0.17402000000000001</v>
          </cell>
        </row>
        <row r="4351">
          <cell r="I4351">
            <v>0.17405999999999999</v>
          </cell>
        </row>
        <row r="4352">
          <cell r="I4352">
            <v>0.1741</v>
          </cell>
        </row>
        <row r="4353">
          <cell r="I4353">
            <v>0.17413999999999999</v>
          </cell>
        </row>
        <row r="4354">
          <cell r="I4354">
            <v>0.17418</v>
          </cell>
        </row>
        <row r="4355">
          <cell r="I4355">
            <v>0.17422000000000001</v>
          </cell>
        </row>
        <row r="4356">
          <cell r="I4356">
            <v>0.17426</v>
          </cell>
        </row>
        <row r="4357">
          <cell r="I4357">
            <v>0.17430000000000001</v>
          </cell>
        </row>
        <row r="4358">
          <cell r="I4358">
            <v>0.17433999999999999</v>
          </cell>
        </row>
        <row r="4359">
          <cell r="I4359">
            <v>0.17438000000000001</v>
          </cell>
        </row>
        <row r="4360">
          <cell r="I4360">
            <v>0.17441999999999999</v>
          </cell>
        </row>
        <row r="4361">
          <cell r="I4361">
            <v>0.17446</v>
          </cell>
        </row>
        <row r="4362">
          <cell r="I4362">
            <v>0.17449999999999999</v>
          </cell>
        </row>
        <row r="4363">
          <cell r="I4363">
            <v>0.17454</v>
          </cell>
        </row>
        <row r="4364">
          <cell r="I4364">
            <v>0.17458000000000001</v>
          </cell>
        </row>
        <row r="4365">
          <cell r="I4365">
            <v>0.17462</v>
          </cell>
        </row>
        <row r="4366">
          <cell r="I4366">
            <v>0.17466000000000001</v>
          </cell>
        </row>
        <row r="4367">
          <cell r="I4367">
            <v>0.17469999999999999</v>
          </cell>
        </row>
        <row r="4368">
          <cell r="I4368">
            <v>0.17474000000000001</v>
          </cell>
        </row>
        <row r="4369">
          <cell r="I4369">
            <v>0.17477999999999999</v>
          </cell>
        </row>
        <row r="4370">
          <cell r="I4370">
            <v>0.17482</v>
          </cell>
        </row>
        <row r="4371">
          <cell r="I4371">
            <v>0.17485999999999999</v>
          </cell>
        </row>
        <row r="4372">
          <cell r="I4372">
            <v>0.1749</v>
          </cell>
        </row>
        <row r="4373">
          <cell r="I4373">
            <v>0.17494000000000001</v>
          </cell>
        </row>
        <row r="4374">
          <cell r="I4374">
            <v>0.17498</v>
          </cell>
        </row>
        <row r="4375">
          <cell r="I4375">
            <v>0.17502000000000001</v>
          </cell>
        </row>
        <row r="4376">
          <cell r="I4376">
            <v>0.17505999999999999</v>
          </cell>
        </row>
        <row r="4377">
          <cell r="I4377">
            <v>0.17510000000000001</v>
          </cell>
        </row>
        <row r="4378">
          <cell r="I4378">
            <v>0.17513999999999999</v>
          </cell>
        </row>
        <row r="4379">
          <cell r="I4379">
            <v>0.17518</v>
          </cell>
        </row>
        <row r="4380">
          <cell r="I4380">
            <v>0.17521999999999999</v>
          </cell>
        </row>
        <row r="4381">
          <cell r="I4381">
            <v>0.17526</v>
          </cell>
        </row>
        <row r="4382">
          <cell r="I4382">
            <v>0.17530000000000001</v>
          </cell>
        </row>
        <row r="4383">
          <cell r="I4383">
            <v>0.17534</v>
          </cell>
        </row>
        <row r="4384">
          <cell r="I4384">
            <v>0.17538000000000001</v>
          </cell>
        </row>
        <row r="4385">
          <cell r="I4385">
            <v>0.17541999999999999</v>
          </cell>
        </row>
        <row r="4386">
          <cell r="I4386">
            <v>0.17546</v>
          </cell>
        </row>
        <row r="4387">
          <cell r="I4387">
            <v>0.17549999999999999</v>
          </cell>
        </row>
        <row r="4388">
          <cell r="I4388">
            <v>0.17554</v>
          </cell>
        </row>
        <row r="4389">
          <cell r="I4389">
            <v>0.17558000000000001</v>
          </cell>
        </row>
        <row r="4390">
          <cell r="I4390">
            <v>0.17562</v>
          </cell>
        </row>
        <row r="4391">
          <cell r="I4391">
            <v>0.17566000000000001</v>
          </cell>
        </row>
        <row r="4392">
          <cell r="I4392">
            <v>0.1757</v>
          </cell>
        </row>
        <row r="4393">
          <cell r="I4393">
            <v>0.17574000000000001</v>
          </cell>
        </row>
        <row r="4394">
          <cell r="I4394">
            <v>0.17577999999999999</v>
          </cell>
        </row>
        <row r="4395">
          <cell r="I4395">
            <v>0.17582</v>
          </cell>
        </row>
        <row r="4396">
          <cell r="I4396">
            <v>0.17585999999999999</v>
          </cell>
        </row>
        <row r="4397">
          <cell r="I4397">
            <v>0.1759</v>
          </cell>
        </row>
        <row r="4398">
          <cell r="I4398">
            <v>0.17594000000000001</v>
          </cell>
        </row>
        <row r="4399">
          <cell r="I4399">
            <v>0.17598</v>
          </cell>
        </row>
        <row r="4400">
          <cell r="I4400">
            <v>0.17602000000000001</v>
          </cell>
        </row>
        <row r="4401">
          <cell r="I4401">
            <v>0.17605999999999999</v>
          </cell>
        </row>
        <row r="4402">
          <cell r="I4402">
            <v>0.17610000000000001</v>
          </cell>
        </row>
        <row r="4403">
          <cell r="I4403">
            <v>0.17613999999999999</v>
          </cell>
        </row>
        <row r="4404">
          <cell r="I4404">
            <v>0.17618</v>
          </cell>
        </row>
        <row r="4405">
          <cell r="I4405">
            <v>0.17621999999999999</v>
          </cell>
        </row>
        <row r="4406">
          <cell r="I4406">
            <v>0.17626</v>
          </cell>
        </row>
        <row r="4407">
          <cell r="I4407">
            <v>0.17630000000000001</v>
          </cell>
        </row>
        <row r="4408">
          <cell r="I4408">
            <v>0.17634</v>
          </cell>
        </row>
        <row r="4409">
          <cell r="I4409">
            <v>0.17638000000000001</v>
          </cell>
        </row>
        <row r="4410">
          <cell r="I4410">
            <v>0.17641999999999999</v>
          </cell>
        </row>
        <row r="4411">
          <cell r="I4411">
            <v>0.17646000000000001</v>
          </cell>
        </row>
        <row r="4412">
          <cell r="I4412">
            <v>0.17649999999999999</v>
          </cell>
        </row>
        <row r="4413">
          <cell r="I4413">
            <v>0.17654</v>
          </cell>
        </row>
        <row r="4414">
          <cell r="I4414">
            <v>0.17657999999999999</v>
          </cell>
        </row>
        <row r="4415">
          <cell r="I4415">
            <v>0.17662</v>
          </cell>
        </row>
        <row r="4416">
          <cell r="I4416">
            <v>0.17666000000000001</v>
          </cell>
        </row>
        <row r="4417">
          <cell r="I4417">
            <v>0.1767</v>
          </cell>
        </row>
        <row r="4418">
          <cell r="I4418">
            <v>0.17674000000000001</v>
          </cell>
        </row>
        <row r="4419">
          <cell r="I4419">
            <v>0.17677999999999999</v>
          </cell>
        </row>
        <row r="4420">
          <cell r="I4420">
            <v>0.17682</v>
          </cell>
        </row>
        <row r="4421">
          <cell r="I4421">
            <v>0.17685999999999999</v>
          </cell>
        </row>
        <row r="4422">
          <cell r="I4422">
            <v>0.1769</v>
          </cell>
        </row>
        <row r="4423">
          <cell r="I4423">
            <v>0.17693999999999999</v>
          </cell>
        </row>
        <row r="4424">
          <cell r="I4424">
            <v>0.17698</v>
          </cell>
        </row>
        <row r="4425">
          <cell r="I4425">
            <v>0.17702000000000001</v>
          </cell>
        </row>
        <row r="4426">
          <cell r="I4426">
            <v>0.17706</v>
          </cell>
        </row>
        <row r="4427">
          <cell r="I4427">
            <v>0.17710000000000001</v>
          </cell>
        </row>
        <row r="4428">
          <cell r="I4428">
            <v>0.17713999999999999</v>
          </cell>
        </row>
        <row r="4429">
          <cell r="I4429">
            <v>0.17718</v>
          </cell>
        </row>
        <row r="4430">
          <cell r="I4430">
            <v>0.17721999999999999</v>
          </cell>
        </row>
        <row r="4431">
          <cell r="I4431">
            <v>0.17726</v>
          </cell>
        </row>
        <row r="4432">
          <cell r="I4432">
            <v>0.17730000000000001</v>
          </cell>
        </row>
        <row r="4433">
          <cell r="I4433">
            <v>0.17734</v>
          </cell>
        </row>
        <row r="4434">
          <cell r="I4434">
            <v>0.17738000000000001</v>
          </cell>
        </row>
        <row r="4435">
          <cell r="I4435">
            <v>0.17741999999999999</v>
          </cell>
        </row>
        <row r="4436">
          <cell r="I4436">
            <v>0.17746000000000001</v>
          </cell>
        </row>
        <row r="4437">
          <cell r="I4437">
            <v>0.17749999999999999</v>
          </cell>
        </row>
        <row r="4438">
          <cell r="I4438">
            <v>0.17754</v>
          </cell>
        </row>
        <row r="4439">
          <cell r="I4439">
            <v>0.17757999999999999</v>
          </cell>
        </row>
        <row r="4440">
          <cell r="I4440">
            <v>0.17762</v>
          </cell>
        </row>
        <row r="4441">
          <cell r="I4441">
            <v>0.17766000000000001</v>
          </cell>
        </row>
        <row r="4442">
          <cell r="I4442">
            <v>0.1777</v>
          </cell>
        </row>
        <row r="4443">
          <cell r="I4443">
            <v>0.17774000000000001</v>
          </cell>
        </row>
        <row r="4444">
          <cell r="I4444">
            <v>0.17777999999999999</v>
          </cell>
        </row>
        <row r="4445">
          <cell r="I4445">
            <v>0.17782000000000001</v>
          </cell>
        </row>
        <row r="4446">
          <cell r="I4446">
            <v>0.17785999999999999</v>
          </cell>
        </row>
        <row r="4447">
          <cell r="I4447">
            <v>0.1779</v>
          </cell>
        </row>
        <row r="4448">
          <cell r="I4448">
            <v>0.17793999999999999</v>
          </cell>
        </row>
        <row r="4449">
          <cell r="I4449">
            <v>0.17798</v>
          </cell>
        </row>
        <row r="4450">
          <cell r="I4450">
            <v>0.17802000000000001</v>
          </cell>
        </row>
        <row r="4451">
          <cell r="I4451">
            <v>0.17806</v>
          </cell>
        </row>
        <row r="4452">
          <cell r="I4452">
            <v>0.17810000000000001</v>
          </cell>
        </row>
        <row r="4453">
          <cell r="I4453">
            <v>0.17813999999999999</v>
          </cell>
        </row>
        <row r="4454">
          <cell r="I4454">
            <v>0.17818000000000001</v>
          </cell>
        </row>
        <row r="4455">
          <cell r="I4455">
            <v>0.17821999999999999</v>
          </cell>
        </row>
        <row r="4456">
          <cell r="I4456">
            <v>0.17826</v>
          </cell>
        </row>
        <row r="4457">
          <cell r="I4457">
            <v>0.17829999999999999</v>
          </cell>
        </row>
        <row r="4458">
          <cell r="I4458">
            <v>0.17834</v>
          </cell>
        </row>
        <row r="4459">
          <cell r="I4459">
            <v>0.17838000000000001</v>
          </cell>
        </row>
        <row r="4460">
          <cell r="I4460">
            <v>0.17842</v>
          </cell>
        </row>
        <row r="4461">
          <cell r="I4461">
            <v>0.17846000000000001</v>
          </cell>
        </row>
        <row r="4462">
          <cell r="I4462">
            <v>0.17849999999999999</v>
          </cell>
        </row>
        <row r="4463">
          <cell r="I4463">
            <v>0.17854</v>
          </cell>
        </row>
        <row r="4464">
          <cell r="I4464">
            <v>0.17857999999999999</v>
          </cell>
        </row>
        <row r="4465">
          <cell r="I4465">
            <v>0.17862</v>
          </cell>
        </row>
        <row r="4466">
          <cell r="I4466">
            <v>0.17866000000000001</v>
          </cell>
        </row>
        <row r="4467">
          <cell r="I4467">
            <v>0.1787</v>
          </cell>
        </row>
        <row r="4468">
          <cell r="I4468">
            <v>0.17874000000000001</v>
          </cell>
        </row>
        <row r="4469">
          <cell r="I4469">
            <v>0.17877999999999999</v>
          </cell>
        </row>
        <row r="4470">
          <cell r="I4470">
            <v>0.17882000000000001</v>
          </cell>
        </row>
        <row r="4471">
          <cell r="I4471">
            <v>0.17885999999999999</v>
          </cell>
        </row>
        <row r="4472">
          <cell r="I4472">
            <v>0.1789</v>
          </cell>
        </row>
        <row r="4473">
          <cell r="I4473">
            <v>0.17893999999999999</v>
          </cell>
        </row>
        <row r="4474">
          <cell r="I4474">
            <v>0.17898</v>
          </cell>
        </row>
        <row r="4475">
          <cell r="I4475">
            <v>0.17902000000000001</v>
          </cell>
        </row>
        <row r="4476">
          <cell r="I4476">
            <v>0.17906</v>
          </cell>
        </row>
        <row r="4477">
          <cell r="I4477">
            <v>0.17910000000000001</v>
          </cell>
        </row>
        <row r="4478">
          <cell r="I4478">
            <v>0.17913999999999999</v>
          </cell>
        </row>
        <row r="4479">
          <cell r="I4479">
            <v>0.17918000000000001</v>
          </cell>
        </row>
        <row r="4480">
          <cell r="I4480">
            <v>0.17921999999999999</v>
          </cell>
        </row>
        <row r="4481">
          <cell r="I4481">
            <v>0.17926</v>
          </cell>
        </row>
        <row r="4482">
          <cell r="I4482">
            <v>0.17929999999999999</v>
          </cell>
        </row>
        <row r="4483">
          <cell r="I4483">
            <v>0.17934</v>
          </cell>
        </row>
        <row r="4484">
          <cell r="I4484">
            <v>0.17938000000000001</v>
          </cell>
        </row>
        <row r="4485">
          <cell r="I4485">
            <v>0.17942</v>
          </cell>
        </row>
        <row r="4486">
          <cell r="I4486">
            <v>0.17946000000000001</v>
          </cell>
        </row>
        <row r="4487">
          <cell r="I4487">
            <v>0.17949999999999999</v>
          </cell>
        </row>
        <row r="4488">
          <cell r="I4488">
            <v>0.17954000000000001</v>
          </cell>
        </row>
        <row r="4489">
          <cell r="I4489">
            <v>0.17957999999999999</v>
          </cell>
        </row>
        <row r="4490">
          <cell r="I4490">
            <v>0.17962</v>
          </cell>
        </row>
        <row r="4491">
          <cell r="I4491">
            <v>0.17965999999999999</v>
          </cell>
        </row>
        <row r="4492">
          <cell r="I4492">
            <v>0.1797</v>
          </cell>
        </row>
        <row r="4493">
          <cell r="I4493">
            <v>0.17974000000000001</v>
          </cell>
        </row>
        <row r="4494">
          <cell r="I4494">
            <v>0.17978</v>
          </cell>
        </row>
        <row r="4495">
          <cell r="I4495">
            <v>0.17982000000000001</v>
          </cell>
        </row>
        <row r="4496">
          <cell r="I4496">
            <v>0.17985999999999999</v>
          </cell>
        </row>
        <row r="4497">
          <cell r="I4497">
            <v>0.1799</v>
          </cell>
        </row>
        <row r="4498">
          <cell r="I4498">
            <v>0.17993999999999999</v>
          </cell>
        </row>
        <row r="4499">
          <cell r="I4499">
            <v>0.17998</v>
          </cell>
        </row>
        <row r="4500">
          <cell r="I4500">
            <v>0.18002000000000001</v>
          </cell>
        </row>
        <row r="4501">
          <cell r="I4501">
            <v>0.18006</v>
          </cell>
        </row>
        <row r="4502">
          <cell r="I4502">
            <v>0.18010000000000001</v>
          </cell>
        </row>
        <row r="4503">
          <cell r="I4503">
            <v>0.18013999999999999</v>
          </cell>
        </row>
        <row r="4504">
          <cell r="I4504">
            <v>0.18018000000000001</v>
          </cell>
        </row>
        <row r="4505">
          <cell r="I4505">
            <v>0.18021999999999999</v>
          </cell>
        </row>
        <row r="4506">
          <cell r="I4506">
            <v>0.18026</v>
          </cell>
        </row>
        <row r="4507">
          <cell r="I4507">
            <v>0.18029999999999999</v>
          </cell>
        </row>
        <row r="4508">
          <cell r="I4508">
            <v>0.18034</v>
          </cell>
        </row>
        <row r="4509">
          <cell r="I4509">
            <v>0.18038000000000001</v>
          </cell>
        </row>
        <row r="4510">
          <cell r="I4510">
            <v>0.18042</v>
          </cell>
        </row>
        <row r="4511">
          <cell r="I4511">
            <v>0.18046000000000001</v>
          </cell>
        </row>
        <row r="4512">
          <cell r="I4512">
            <v>0.18049999999999999</v>
          </cell>
        </row>
        <row r="4513">
          <cell r="I4513">
            <v>0.18054000000000001</v>
          </cell>
        </row>
        <row r="4514">
          <cell r="I4514">
            <v>0.18057999999999999</v>
          </cell>
        </row>
        <row r="4515">
          <cell r="I4515">
            <v>0.18062</v>
          </cell>
        </row>
        <row r="4516">
          <cell r="I4516">
            <v>0.18065999999999999</v>
          </cell>
        </row>
        <row r="4517">
          <cell r="I4517">
            <v>0.1807</v>
          </cell>
        </row>
        <row r="4518">
          <cell r="I4518">
            <v>0.18074000000000001</v>
          </cell>
        </row>
        <row r="4519">
          <cell r="I4519">
            <v>0.18078</v>
          </cell>
        </row>
        <row r="4520">
          <cell r="I4520">
            <v>0.18082000000000001</v>
          </cell>
        </row>
        <row r="4521">
          <cell r="I4521">
            <v>0.18085999999999999</v>
          </cell>
        </row>
        <row r="4522">
          <cell r="I4522">
            <v>0.18090000000000001</v>
          </cell>
        </row>
        <row r="4523">
          <cell r="I4523">
            <v>0.18093999999999999</v>
          </cell>
        </row>
        <row r="4524">
          <cell r="I4524">
            <v>0.18098</v>
          </cell>
        </row>
        <row r="4525">
          <cell r="I4525">
            <v>0.18101999999999999</v>
          </cell>
        </row>
        <row r="4526">
          <cell r="I4526">
            <v>0.18106</v>
          </cell>
        </row>
        <row r="4527">
          <cell r="I4527">
            <v>0.18110000000000001</v>
          </cell>
        </row>
        <row r="4528">
          <cell r="I4528">
            <v>0.18114</v>
          </cell>
        </row>
        <row r="4529">
          <cell r="I4529">
            <v>0.18118000000000001</v>
          </cell>
        </row>
        <row r="4530">
          <cell r="I4530">
            <v>0.18121999999999999</v>
          </cell>
        </row>
        <row r="4531">
          <cell r="I4531">
            <v>0.18126</v>
          </cell>
        </row>
        <row r="4532">
          <cell r="I4532">
            <v>0.18129999999999999</v>
          </cell>
        </row>
        <row r="4533">
          <cell r="I4533">
            <v>0.18134</v>
          </cell>
        </row>
        <row r="4534">
          <cell r="I4534">
            <v>0.18138000000000001</v>
          </cell>
        </row>
        <row r="4535">
          <cell r="I4535">
            <v>0.18142</v>
          </cell>
        </row>
        <row r="4536">
          <cell r="I4536">
            <v>0.18146000000000001</v>
          </cell>
        </row>
        <row r="4537">
          <cell r="I4537">
            <v>0.18149999999999999</v>
          </cell>
        </row>
        <row r="4538">
          <cell r="I4538">
            <v>0.18154000000000001</v>
          </cell>
        </row>
        <row r="4539">
          <cell r="I4539">
            <v>0.18157999999999999</v>
          </cell>
        </row>
        <row r="4540">
          <cell r="I4540">
            <v>0.18162</v>
          </cell>
        </row>
        <row r="4541">
          <cell r="I4541">
            <v>0.18165999999999999</v>
          </cell>
        </row>
        <row r="4542">
          <cell r="I4542">
            <v>0.1817</v>
          </cell>
        </row>
        <row r="4543">
          <cell r="I4543">
            <v>0.18174000000000001</v>
          </cell>
        </row>
        <row r="4544">
          <cell r="I4544">
            <v>0.18178</v>
          </cell>
        </row>
        <row r="4545">
          <cell r="I4545">
            <v>0.18182000000000001</v>
          </cell>
        </row>
        <row r="4546">
          <cell r="I4546">
            <v>0.18185999999999999</v>
          </cell>
        </row>
        <row r="4547">
          <cell r="I4547">
            <v>0.18190000000000001</v>
          </cell>
        </row>
        <row r="4548">
          <cell r="I4548">
            <v>0.18193999999999999</v>
          </cell>
        </row>
        <row r="4549">
          <cell r="I4549">
            <v>0.18198</v>
          </cell>
        </row>
        <row r="4550">
          <cell r="I4550">
            <v>0.18201999999999999</v>
          </cell>
        </row>
        <row r="4551">
          <cell r="I4551">
            <v>0.18206</v>
          </cell>
        </row>
        <row r="4552">
          <cell r="I4552">
            <v>0.18210000000000001</v>
          </cell>
        </row>
        <row r="4553">
          <cell r="I4553">
            <v>0.18214</v>
          </cell>
        </row>
        <row r="4554">
          <cell r="I4554">
            <v>0.18218000000000001</v>
          </cell>
        </row>
        <row r="4555">
          <cell r="I4555">
            <v>0.18221999999999999</v>
          </cell>
        </row>
        <row r="4556">
          <cell r="I4556">
            <v>0.18226000000000001</v>
          </cell>
        </row>
        <row r="4557">
          <cell r="I4557">
            <v>0.18229999999999999</v>
          </cell>
        </row>
        <row r="4558">
          <cell r="I4558">
            <v>0.18234</v>
          </cell>
        </row>
        <row r="4559">
          <cell r="I4559">
            <v>0.18237999999999999</v>
          </cell>
        </row>
        <row r="4560">
          <cell r="I4560">
            <v>0.18242</v>
          </cell>
        </row>
        <row r="4561">
          <cell r="I4561">
            <v>0.18246000000000001</v>
          </cell>
        </row>
        <row r="4562">
          <cell r="I4562">
            <v>0.1825</v>
          </cell>
        </row>
        <row r="4563">
          <cell r="I4563">
            <v>0.18254000000000001</v>
          </cell>
        </row>
        <row r="4564">
          <cell r="I4564">
            <v>0.18257999999999999</v>
          </cell>
        </row>
        <row r="4565">
          <cell r="I4565">
            <v>0.18262</v>
          </cell>
        </row>
        <row r="4566">
          <cell r="I4566">
            <v>0.18265999999999999</v>
          </cell>
        </row>
        <row r="4567">
          <cell r="I4567">
            <v>0.1827</v>
          </cell>
        </row>
        <row r="4568">
          <cell r="I4568">
            <v>0.18274000000000001</v>
          </cell>
        </row>
        <row r="4569">
          <cell r="I4569">
            <v>0.18278</v>
          </cell>
        </row>
        <row r="4570">
          <cell r="I4570">
            <v>0.18282000000000001</v>
          </cell>
        </row>
        <row r="4571">
          <cell r="I4571">
            <v>0.18285999999999999</v>
          </cell>
        </row>
        <row r="4572">
          <cell r="I4572">
            <v>0.18290000000000001</v>
          </cell>
        </row>
        <row r="4573">
          <cell r="I4573">
            <v>0.18293999999999999</v>
          </cell>
        </row>
        <row r="4574">
          <cell r="I4574">
            <v>0.18298</v>
          </cell>
        </row>
        <row r="4575">
          <cell r="I4575">
            <v>0.18301999999999999</v>
          </cell>
        </row>
        <row r="4576">
          <cell r="I4576">
            <v>0.18306</v>
          </cell>
        </row>
        <row r="4577">
          <cell r="I4577">
            <v>0.18310000000000001</v>
          </cell>
        </row>
        <row r="4578">
          <cell r="I4578">
            <v>0.18314</v>
          </cell>
        </row>
        <row r="4579">
          <cell r="I4579">
            <v>0.18318000000000001</v>
          </cell>
        </row>
        <row r="4580">
          <cell r="I4580">
            <v>0.18321999999999999</v>
          </cell>
        </row>
        <row r="4581">
          <cell r="I4581">
            <v>0.18326000000000001</v>
          </cell>
        </row>
        <row r="4582">
          <cell r="I4582">
            <v>0.18329999999999999</v>
          </cell>
        </row>
        <row r="4583">
          <cell r="I4583">
            <v>0.18334</v>
          </cell>
        </row>
        <row r="4584">
          <cell r="I4584">
            <v>0.18337999999999999</v>
          </cell>
        </row>
        <row r="4585">
          <cell r="I4585">
            <v>0.18342</v>
          </cell>
        </row>
        <row r="4586">
          <cell r="I4586">
            <v>0.18346000000000001</v>
          </cell>
        </row>
        <row r="4587">
          <cell r="I4587">
            <v>0.1835</v>
          </cell>
        </row>
        <row r="4588">
          <cell r="I4588">
            <v>0.18354000000000001</v>
          </cell>
        </row>
        <row r="4589">
          <cell r="I4589">
            <v>0.18357999999999999</v>
          </cell>
        </row>
        <row r="4590">
          <cell r="I4590">
            <v>0.18362000000000001</v>
          </cell>
        </row>
        <row r="4591">
          <cell r="I4591">
            <v>0.18365999999999999</v>
          </cell>
        </row>
        <row r="4592">
          <cell r="I4592">
            <v>0.1837</v>
          </cell>
        </row>
        <row r="4593">
          <cell r="I4593">
            <v>0.18373999999999999</v>
          </cell>
        </row>
        <row r="4594">
          <cell r="I4594">
            <v>0.18378</v>
          </cell>
        </row>
        <row r="4595">
          <cell r="I4595">
            <v>0.18382000000000001</v>
          </cell>
        </row>
        <row r="4596">
          <cell r="I4596">
            <v>0.18386</v>
          </cell>
        </row>
        <row r="4597">
          <cell r="I4597">
            <v>0.18390000000000001</v>
          </cell>
        </row>
        <row r="4598">
          <cell r="I4598">
            <v>0.18393999999999999</v>
          </cell>
        </row>
        <row r="4599">
          <cell r="I4599">
            <v>0.18398</v>
          </cell>
        </row>
        <row r="4600">
          <cell r="I4600">
            <v>0.18401999999999999</v>
          </cell>
        </row>
        <row r="4601">
          <cell r="I4601">
            <v>0.18406</v>
          </cell>
        </row>
        <row r="4602">
          <cell r="I4602">
            <v>0.18410000000000001</v>
          </cell>
        </row>
        <row r="4603">
          <cell r="I4603">
            <v>0.18414</v>
          </cell>
        </row>
        <row r="4604">
          <cell r="I4604">
            <v>0.18418000000000001</v>
          </cell>
        </row>
        <row r="4605">
          <cell r="I4605">
            <v>0.18421999999999999</v>
          </cell>
        </row>
        <row r="4606">
          <cell r="I4606">
            <v>0.18426000000000001</v>
          </cell>
        </row>
        <row r="4607">
          <cell r="I4607">
            <v>0.18429999999999999</v>
          </cell>
        </row>
        <row r="4608">
          <cell r="I4608">
            <v>0.18434</v>
          </cell>
        </row>
        <row r="4609">
          <cell r="I4609">
            <v>0.18437999999999999</v>
          </cell>
        </row>
        <row r="4610">
          <cell r="I4610">
            <v>0.18442</v>
          </cell>
        </row>
        <row r="4611">
          <cell r="I4611">
            <v>0.18446000000000001</v>
          </cell>
        </row>
        <row r="4612">
          <cell r="I4612">
            <v>0.1845</v>
          </cell>
        </row>
        <row r="4613">
          <cell r="I4613">
            <v>0.18454000000000001</v>
          </cell>
        </row>
        <row r="4614">
          <cell r="I4614">
            <v>0.18457999999999999</v>
          </cell>
        </row>
        <row r="4615">
          <cell r="I4615">
            <v>0.18462000000000001</v>
          </cell>
        </row>
        <row r="4616">
          <cell r="I4616">
            <v>0.18465999999999999</v>
          </cell>
        </row>
        <row r="4617">
          <cell r="I4617">
            <v>0.1847</v>
          </cell>
        </row>
        <row r="4618">
          <cell r="I4618">
            <v>0.18473999999999999</v>
          </cell>
        </row>
        <row r="4619">
          <cell r="I4619">
            <v>0.18478</v>
          </cell>
        </row>
        <row r="4620">
          <cell r="I4620">
            <v>0.18482000000000001</v>
          </cell>
        </row>
        <row r="4621">
          <cell r="I4621">
            <v>0.18486</v>
          </cell>
        </row>
        <row r="4622">
          <cell r="I4622">
            <v>0.18490000000000001</v>
          </cell>
        </row>
        <row r="4623">
          <cell r="I4623">
            <v>0.18493999999999999</v>
          </cell>
        </row>
        <row r="4624">
          <cell r="I4624">
            <v>0.18498000000000001</v>
          </cell>
        </row>
        <row r="4625">
          <cell r="I4625">
            <v>0.18501999999999999</v>
          </cell>
        </row>
        <row r="4626">
          <cell r="I4626">
            <v>0.18506</v>
          </cell>
        </row>
        <row r="4627">
          <cell r="I4627">
            <v>0.18509999999999999</v>
          </cell>
        </row>
        <row r="4628">
          <cell r="I4628">
            <v>0.18514</v>
          </cell>
        </row>
        <row r="4629">
          <cell r="I4629">
            <v>0.18518000000000001</v>
          </cell>
        </row>
        <row r="4630">
          <cell r="I4630">
            <v>0.18522</v>
          </cell>
        </row>
        <row r="4631">
          <cell r="I4631">
            <v>0.18526000000000001</v>
          </cell>
        </row>
        <row r="4632">
          <cell r="I4632">
            <v>0.18529999999999999</v>
          </cell>
        </row>
        <row r="4633">
          <cell r="I4633">
            <v>0.18534</v>
          </cell>
        </row>
        <row r="4634">
          <cell r="I4634">
            <v>0.18537999999999999</v>
          </cell>
        </row>
        <row r="4635">
          <cell r="I4635">
            <v>0.18542</v>
          </cell>
        </row>
        <row r="4636">
          <cell r="I4636">
            <v>0.18546000000000001</v>
          </cell>
        </row>
        <row r="4637">
          <cell r="I4637">
            <v>0.1855</v>
          </cell>
        </row>
        <row r="4638">
          <cell r="I4638">
            <v>0.18554000000000001</v>
          </cell>
        </row>
        <row r="4639">
          <cell r="I4639">
            <v>0.18557999999999999</v>
          </cell>
        </row>
        <row r="4640">
          <cell r="I4640">
            <v>0.18562000000000001</v>
          </cell>
        </row>
        <row r="4641">
          <cell r="I4641">
            <v>0.18565999999999999</v>
          </cell>
        </row>
        <row r="4642">
          <cell r="I4642">
            <v>0.1857</v>
          </cell>
        </row>
        <row r="4643">
          <cell r="I4643">
            <v>0.18573999999999999</v>
          </cell>
        </row>
        <row r="4644">
          <cell r="I4644">
            <v>0.18578</v>
          </cell>
        </row>
        <row r="4645">
          <cell r="I4645">
            <v>0.18582000000000001</v>
          </cell>
        </row>
        <row r="4646">
          <cell r="I4646">
            <v>0.18586</v>
          </cell>
        </row>
        <row r="4647">
          <cell r="I4647">
            <v>0.18590000000000001</v>
          </cell>
        </row>
        <row r="4648">
          <cell r="I4648">
            <v>0.18593999999999999</v>
          </cell>
        </row>
        <row r="4649">
          <cell r="I4649">
            <v>0.18598000000000001</v>
          </cell>
        </row>
        <row r="4650">
          <cell r="I4650">
            <v>0.18601999999999999</v>
          </cell>
        </row>
        <row r="4651">
          <cell r="I4651">
            <v>0.18606</v>
          </cell>
        </row>
        <row r="4652">
          <cell r="I4652">
            <v>0.18609999999999999</v>
          </cell>
        </row>
        <row r="4653">
          <cell r="I4653">
            <v>0.18614</v>
          </cell>
        </row>
        <row r="4654">
          <cell r="I4654">
            <v>0.18618000000000001</v>
          </cell>
        </row>
        <row r="4655">
          <cell r="I4655">
            <v>0.18622</v>
          </cell>
        </row>
        <row r="4656">
          <cell r="I4656">
            <v>0.18626000000000001</v>
          </cell>
        </row>
        <row r="4657">
          <cell r="I4657">
            <v>0.18629999999999999</v>
          </cell>
        </row>
        <row r="4658">
          <cell r="I4658">
            <v>0.18634000000000001</v>
          </cell>
        </row>
        <row r="4659">
          <cell r="I4659">
            <v>0.18637999999999999</v>
          </cell>
        </row>
        <row r="4660">
          <cell r="I4660">
            <v>0.18642</v>
          </cell>
        </row>
        <row r="4661">
          <cell r="I4661">
            <v>0.18645999999999999</v>
          </cell>
        </row>
        <row r="4662">
          <cell r="I4662">
            <v>0.1865</v>
          </cell>
        </row>
        <row r="4663">
          <cell r="I4663">
            <v>0.18654000000000001</v>
          </cell>
        </row>
        <row r="4664">
          <cell r="I4664">
            <v>0.18658</v>
          </cell>
        </row>
        <row r="4665">
          <cell r="I4665">
            <v>0.18662000000000001</v>
          </cell>
        </row>
        <row r="4666">
          <cell r="I4666">
            <v>0.18665999999999999</v>
          </cell>
        </row>
        <row r="4667">
          <cell r="I4667">
            <v>0.1867</v>
          </cell>
        </row>
        <row r="4668">
          <cell r="I4668">
            <v>0.18673999999999999</v>
          </cell>
        </row>
        <row r="4669">
          <cell r="I4669">
            <v>0.18678</v>
          </cell>
        </row>
        <row r="4670">
          <cell r="I4670">
            <v>0.18682000000000001</v>
          </cell>
        </row>
        <row r="4671">
          <cell r="I4671">
            <v>0.18686</v>
          </cell>
        </row>
        <row r="4672">
          <cell r="I4672">
            <v>0.18690000000000001</v>
          </cell>
        </row>
        <row r="4673">
          <cell r="I4673">
            <v>0.18694</v>
          </cell>
        </row>
        <row r="4674">
          <cell r="I4674">
            <v>0.18698000000000001</v>
          </cell>
        </row>
        <row r="4675">
          <cell r="I4675">
            <v>0.18701999999999999</v>
          </cell>
        </row>
        <row r="4676">
          <cell r="I4676">
            <v>0.18706</v>
          </cell>
        </row>
        <row r="4677">
          <cell r="I4677">
            <v>0.18709999999999999</v>
          </cell>
        </row>
        <row r="4678">
          <cell r="I4678">
            <v>0.18714</v>
          </cell>
        </row>
        <row r="4679">
          <cell r="I4679">
            <v>0.18718000000000001</v>
          </cell>
        </row>
        <row r="4680">
          <cell r="I4680">
            <v>0.18722</v>
          </cell>
        </row>
        <row r="4681">
          <cell r="I4681">
            <v>0.18726000000000001</v>
          </cell>
        </row>
        <row r="4682">
          <cell r="I4682">
            <v>0.18729999999999999</v>
          </cell>
        </row>
        <row r="4683">
          <cell r="I4683">
            <v>0.18734000000000001</v>
          </cell>
        </row>
        <row r="4684">
          <cell r="I4684">
            <v>0.18737999999999999</v>
          </cell>
        </row>
        <row r="4685">
          <cell r="I4685">
            <v>0.18742</v>
          </cell>
        </row>
        <row r="4686">
          <cell r="I4686">
            <v>0.18745999999999999</v>
          </cell>
        </row>
        <row r="4687">
          <cell r="I4687">
            <v>0.1875</v>
          </cell>
        </row>
        <row r="4688">
          <cell r="I4688">
            <v>0.18754000000000001</v>
          </cell>
        </row>
        <row r="4689">
          <cell r="I4689">
            <v>0.18758</v>
          </cell>
        </row>
        <row r="4690">
          <cell r="I4690">
            <v>0.18762000000000001</v>
          </cell>
        </row>
        <row r="4691">
          <cell r="I4691">
            <v>0.18765999999999999</v>
          </cell>
        </row>
        <row r="4692">
          <cell r="I4692">
            <v>0.18770000000000001</v>
          </cell>
        </row>
        <row r="4693">
          <cell r="I4693">
            <v>0.18773999999999999</v>
          </cell>
        </row>
        <row r="4694">
          <cell r="I4694">
            <v>0.18778</v>
          </cell>
        </row>
        <row r="4695">
          <cell r="I4695">
            <v>0.18781999999999999</v>
          </cell>
        </row>
        <row r="4696">
          <cell r="I4696">
            <v>0.18786</v>
          </cell>
        </row>
        <row r="4697">
          <cell r="I4697">
            <v>0.18790000000000001</v>
          </cell>
        </row>
        <row r="4698">
          <cell r="I4698">
            <v>0.18794</v>
          </cell>
        </row>
        <row r="4699">
          <cell r="I4699">
            <v>0.18798000000000001</v>
          </cell>
        </row>
        <row r="4700">
          <cell r="I4700">
            <v>0.18801999999999999</v>
          </cell>
        </row>
        <row r="4701">
          <cell r="I4701">
            <v>0.18806</v>
          </cell>
        </row>
        <row r="4702">
          <cell r="I4702">
            <v>0.18809999999999999</v>
          </cell>
        </row>
        <row r="4703">
          <cell r="I4703">
            <v>0.18814</v>
          </cell>
        </row>
        <row r="4704">
          <cell r="I4704">
            <v>0.18817999999999999</v>
          </cell>
        </row>
        <row r="4705">
          <cell r="I4705">
            <v>0.18822</v>
          </cell>
        </row>
        <row r="4706">
          <cell r="I4706">
            <v>0.18826000000000001</v>
          </cell>
        </row>
        <row r="4707">
          <cell r="I4707">
            <v>0.1883</v>
          </cell>
        </row>
        <row r="4708">
          <cell r="I4708">
            <v>0.18834000000000001</v>
          </cell>
        </row>
        <row r="4709">
          <cell r="I4709">
            <v>0.18837999999999999</v>
          </cell>
        </row>
        <row r="4710">
          <cell r="I4710"/>
        </row>
        <row r="4711">
          <cell r="I4711"/>
        </row>
        <row r="4712">
          <cell r="I4712"/>
        </row>
        <row r="4713">
          <cell r="I4713"/>
        </row>
        <row r="4714">
          <cell r="I4714"/>
        </row>
        <row r="4715">
          <cell r="I4715"/>
        </row>
        <row r="4716">
          <cell r="I4716"/>
        </row>
        <row r="4717">
          <cell r="I4717"/>
        </row>
        <row r="4718">
          <cell r="I4718"/>
        </row>
        <row r="4719">
          <cell r="I4719"/>
        </row>
        <row r="4720">
          <cell r="I4720"/>
        </row>
        <row r="4721">
          <cell r="I4721"/>
        </row>
        <row r="4722">
          <cell r="I4722"/>
        </row>
        <row r="4723">
          <cell r="I4723"/>
        </row>
        <row r="4724">
          <cell r="I4724"/>
        </row>
        <row r="4725">
          <cell r="I4725"/>
        </row>
        <row r="4726">
          <cell r="I4726"/>
        </row>
        <row r="4727">
          <cell r="I4727"/>
        </row>
        <row r="4728">
          <cell r="I4728"/>
        </row>
        <row r="4729">
          <cell r="I4729"/>
        </row>
        <row r="4730">
          <cell r="I4730"/>
        </row>
        <row r="4731">
          <cell r="I4731"/>
        </row>
        <row r="4732">
          <cell r="I4732"/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2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AV30" sqref="AV30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4.4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67" t="s">
        <v>4</v>
      </c>
      <c r="O2" s="667"/>
      <c r="P2" s="667"/>
      <c r="Q2" s="667"/>
      <c r="R2" s="667"/>
      <c r="S2" s="667"/>
      <c r="T2" s="667"/>
      <c r="U2" s="667"/>
      <c r="V2" s="667"/>
      <c r="W2" s="667"/>
      <c r="X2" s="667"/>
      <c r="Y2" s="4"/>
      <c r="AA2" s="685" t="s">
        <v>27</v>
      </c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L2" s="686"/>
      <c r="AM2" s="687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68"/>
      <c r="O3" s="668"/>
      <c r="P3" s="668"/>
      <c r="Q3" s="668"/>
      <c r="R3" s="668"/>
      <c r="S3" s="668"/>
      <c r="T3" s="668"/>
      <c r="U3" s="668"/>
      <c r="V3" s="668"/>
      <c r="W3" s="668"/>
      <c r="X3" s="668"/>
      <c r="Y3" s="7"/>
      <c r="AA3" s="688"/>
      <c r="AB3" s="689"/>
      <c r="AC3" s="689"/>
      <c r="AD3" s="689"/>
      <c r="AE3" s="689"/>
      <c r="AF3" s="689"/>
      <c r="AG3" s="689"/>
      <c r="AH3" s="689"/>
      <c r="AI3" s="689"/>
      <c r="AJ3" s="689"/>
      <c r="AK3" s="689"/>
      <c r="AL3" s="689"/>
      <c r="AM3" s="690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08" t="s">
        <v>0</v>
      </c>
      <c r="AB4" s="703" t="s">
        <v>2</v>
      </c>
      <c r="AC4" s="703" t="s">
        <v>3</v>
      </c>
      <c r="AD4" s="707" t="s">
        <v>6</v>
      </c>
      <c r="AE4" s="707"/>
      <c r="AF4" s="707"/>
      <c r="AG4" s="707"/>
      <c r="AH4" s="707"/>
      <c r="AI4" s="707"/>
      <c r="AJ4" s="707"/>
      <c r="AK4" s="658"/>
      <c r="AL4" s="703" t="s">
        <v>20</v>
      </c>
      <c r="AM4" s="705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65">
        <v>7116</v>
      </c>
      <c r="O5" s="663"/>
      <c r="P5" s="665">
        <v>7216</v>
      </c>
      <c r="Q5" s="663"/>
      <c r="R5" s="665">
        <v>7316</v>
      </c>
      <c r="S5" s="663"/>
      <c r="T5" s="665">
        <v>7416</v>
      </c>
      <c r="U5" s="663"/>
      <c r="V5" s="665">
        <v>7516</v>
      </c>
      <c r="W5" s="663"/>
      <c r="X5" s="665">
        <v>7616</v>
      </c>
      <c r="Y5" s="7"/>
      <c r="AA5" s="709"/>
      <c r="AB5" s="704"/>
      <c r="AC5" s="704"/>
      <c r="AD5" s="327" t="s">
        <v>392</v>
      </c>
      <c r="AE5" s="327" t="s">
        <v>393</v>
      </c>
      <c r="AF5" s="327" t="s">
        <v>394</v>
      </c>
      <c r="AG5" s="327" t="s">
        <v>395</v>
      </c>
      <c r="AH5" s="327" t="s">
        <v>396</v>
      </c>
      <c r="AI5" s="327" t="s">
        <v>397</v>
      </c>
      <c r="AJ5" s="327" t="s">
        <v>5</v>
      </c>
      <c r="AK5" s="658"/>
      <c r="AL5" s="704"/>
      <c r="AM5" s="706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66"/>
      <c r="O6" s="664"/>
      <c r="P6" s="666"/>
      <c r="Q6" s="664"/>
      <c r="R6" s="666"/>
      <c r="S6" s="664"/>
      <c r="T6" s="666"/>
      <c r="U6" s="664"/>
      <c r="V6" s="666"/>
      <c r="W6" s="664"/>
      <c r="X6" s="666"/>
      <c r="Y6" s="7"/>
      <c r="AA6" s="349">
        <v>6</v>
      </c>
      <c r="AB6" s="358">
        <v>17.75</v>
      </c>
      <c r="AC6" s="343">
        <f t="shared" ref="AC6:AC8" si="0">AB6-AB7</f>
        <v>3</v>
      </c>
      <c r="AD6" s="343">
        <v>6.3072999999999997</v>
      </c>
      <c r="AE6" s="343">
        <v>12.615</v>
      </c>
      <c r="AF6" s="343">
        <v>12.615</v>
      </c>
      <c r="AG6" s="343">
        <v>12.615</v>
      </c>
      <c r="AH6" s="343">
        <v>12.615</v>
      </c>
      <c r="AI6" s="343">
        <v>6.3072999999999997</v>
      </c>
      <c r="AJ6" s="359">
        <f t="shared" ref="AJ6:AJ8" si="1">AG6+AF6+AE6+AD6+AH6+AI6</f>
        <v>63.074599999999997</v>
      </c>
      <c r="AK6" s="658"/>
      <c r="AL6" s="357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49">
        <v>5</v>
      </c>
      <c r="AB7" s="358">
        <v>14.75</v>
      </c>
      <c r="AC7" s="343">
        <f t="shared" si="0"/>
        <v>3</v>
      </c>
      <c r="AD7" s="343">
        <v>6.7278000000000002</v>
      </c>
      <c r="AE7" s="343">
        <v>13.4557</v>
      </c>
      <c r="AF7" s="343">
        <v>13.4557</v>
      </c>
      <c r="AG7" s="343">
        <v>13.4557</v>
      </c>
      <c r="AH7" s="343">
        <v>13.4557</v>
      </c>
      <c r="AI7" s="343">
        <v>6.7278000000000002</v>
      </c>
      <c r="AJ7" s="359">
        <f t="shared" si="1"/>
        <v>67.278400000000005</v>
      </c>
      <c r="AK7" s="658"/>
      <c r="AL7" s="356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65">
        <v>7115</v>
      </c>
      <c r="O8" s="663"/>
      <c r="P8" s="665">
        <v>7215</v>
      </c>
      <c r="Q8" s="663"/>
      <c r="R8" s="665">
        <v>7315</v>
      </c>
      <c r="S8" s="663"/>
      <c r="T8" s="665">
        <v>7415</v>
      </c>
      <c r="U8" s="663"/>
      <c r="V8" s="665">
        <v>7515</v>
      </c>
      <c r="W8" s="663"/>
      <c r="X8" s="665">
        <v>7615</v>
      </c>
      <c r="Y8" s="7"/>
      <c r="AA8" s="349">
        <v>4</v>
      </c>
      <c r="AB8" s="358">
        <v>11.75</v>
      </c>
      <c r="AC8" s="343">
        <f t="shared" si="0"/>
        <v>3</v>
      </c>
      <c r="AD8" s="343">
        <v>6.7278000000000002</v>
      </c>
      <c r="AE8" s="343">
        <v>13.4557</v>
      </c>
      <c r="AF8" s="343">
        <v>13.4557</v>
      </c>
      <c r="AG8" s="343">
        <v>13.4557</v>
      </c>
      <c r="AH8" s="343">
        <v>13.4557</v>
      </c>
      <c r="AI8" s="343">
        <v>6.7278000000000002</v>
      </c>
      <c r="AJ8" s="359">
        <f t="shared" si="1"/>
        <v>67.278400000000005</v>
      </c>
      <c r="AK8" s="658"/>
      <c r="AL8" s="356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66"/>
      <c r="O9" s="664"/>
      <c r="P9" s="666"/>
      <c r="Q9" s="664"/>
      <c r="R9" s="666"/>
      <c r="S9" s="664"/>
      <c r="T9" s="666"/>
      <c r="U9" s="664"/>
      <c r="V9" s="666"/>
      <c r="W9" s="664"/>
      <c r="X9" s="666"/>
      <c r="Y9" s="7"/>
      <c r="AA9" s="349">
        <v>3</v>
      </c>
      <c r="AB9" s="358">
        <v>8.75</v>
      </c>
      <c r="AC9" s="343">
        <f>AB9-AB10</f>
        <v>3</v>
      </c>
      <c r="AD9" s="343">
        <v>6.7278000000000002</v>
      </c>
      <c r="AE9" s="343">
        <v>13.4557</v>
      </c>
      <c r="AF9" s="343">
        <v>13.4557</v>
      </c>
      <c r="AG9" s="343">
        <v>13.4557</v>
      </c>
      <c r="AH9" s="343">
        <v>13.4557</v>
      </c>
      <c r="AI9" s="343">
        <v>6.7278000000000002</v>
      </c>
      <c r="AJ9" s="359">
        <f>AG9+AF9+AE9+AD9+AH9+AI9</f>
        <v>67.278400000000005</v>
      </c>
      <c r="AK9" s="658"/>
      <c r="AL9" s="356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49">
        <v>2</v>
      </c>
      <c r="AB10" s="358">
        <v>5.75</v>
      </c>
      <c r="AC10" s="343">
        <f>AB10-AB11</f>
        <v>3</v>
      </c>
      <c r="AD10" s="343">
        <v>6.7278000000000002</v>
      </c>
      <c r="AE10" s="343">
        <v>13.4557</v>
      </c>
      <c r="AF10" s="343">
        <v>13.4557</v>
      </c>
      <c r="AG10" s="343">
        <v>13.4557</v>
      </c>
      <c r="AH10" s="343">
        <v>13.4557</v>
      </c>
      <c r="AI10" s="343">
        <v>6.7278000000000002</v>
      </c>
      <c r="AJ10" s="359">
        <f t="shared" ref="AJ10:AJ12" si="2">AG10+AF10+AE10+AD10+AH10+AI10</f>
        <v>67.278400000000005</v>
      </c>
      <c r="AK10" s="658"/>
      <c r="AL10" s="336">
        <v>1</v>
      </c>
      <c r="AM10" s="371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65">
        <v>7114</v>
      </c>
      <c r="O11" s="663"/>
      <c r="P11" s="665">
        <v>7214</v>
      </c>
      <c r="Q11" s="663"/>
      <c r="R11" s="665">
        <v>7314</v>
      </c>
      <c r="S11" s="663"/>
      <c r="T11" s="665">
        <v>7414</v>
      </c>
      <c r="U11" s="663"/>
      <c r="V11" s="665">
        <v>7514</v>
      </c>
      <c r="W11" s="663"/>
      <c r="X11" s="665">
        <v>7614</v>
      </c>
      <c r="Y11" s="7"/>
      <c r="AA11" s="349">
        <v>1</v>
      </c>
      <c r="AB11" s="358">
        <v>2.75</v>
      </c>
      <c r="AC11" s="343">
        <f>AB11-AB12</f>
        <v>2.75</v>
      </c>
      <c r="AD11" s="343">
        <v>6.7278000000000002</v>
      </c>
      <c r="AE11" s="343">
        <v>13.4557</v>
      </c>
      <c r="AF11" s="343">
        <v>13.4557</v>
      </c>
      <c r="AG11" s="343">
        <v>13.4557</v>
      </c>
      <c r="AH11" s="343">
        <v>13.4557</v>
      </c>
      <c r="AI11" s="343">
        <v>6.7278000000000002</v>
      </c>
      <c r="AJ11" s="359">
        <f t="shared" si="2"/>
        <v>67.278400000000005</v>
      </c>
      <c r="AK11" s="657"/>
      <c r="AL11" s="658"/>
      <c r="AM11" s="659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66"/>
      <c r="O12" s="664"/>
      <c r="P12" s="666"/>
      <c r="Q12" s="664"/>
      <c r="R12" s="666"/>
      <c r="S12" s="664"/>
      <c r="T12" s="666"/>
      <c r="U12" s="664"/>
      <c r="V12" s="666"/>
      <c r="W12" s="664"/>
      <c r="X12" s="666"/>
      <c r="Y12" s="7"/>
      <c r="AA12" s="350" t="s">
        <v>1</v>
      </c>
      <c r="AB12" s="47">
        <v>0</v>
      </c>
      <c r="AC12" s="344">
        <f>AB12-0</f>
        <v>0</v>
      </c>
      <c r="AD12" s="344">
        <v>0</v>
      </c>
      <c r="AE12" s="344">
        <v>0</v>
      </c>
      <c r="AF12" s="344">
        <v>0</v>
      </c>
      <c r="AG12" s="344">
        <v>0</v>
      </c>
      <c r="AH12" s="344">
        <v>0</v>
      </c>
      <c r="AI12" s="344">
        <v>0</v>
      </c>
      <c r="AJ12" s="153">
        <f t="shared" si="2"/>
        <v>0</v>
      </c>
      <c r="AK12" s="660"/>
      <c r="AL12" s="661"/>
      <c r="AM12" s="662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65">
        <v>7113</v>
      </c>
      <c r="O14" s="663"/>
      <c r="P14" s="665">
        <v>7213</v>
      </c>
      <c r="Q14" s="663"/>
      <c r="R14" s="665">
        <v>7313</v>
      </c>
      <c r="S14" s="663"/>
      <c r="T14" s="665">
        <v>7413</v>
      </c>
      <c r="U14" s="663"/>
      <c r="V14" s="665">
        <v>7513</v>
      </c>
      <c r="W14" s="663"/>
      <c r="X14" s="665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66"/>
      <c r="O15" s="664"/>
      <c r="P15" s="666"/>
      <c r="Q15" s="664"/>
      <c r="R15" s="666"/>
      <c r="S15" s="664"/>
      <c r="T15" s="666"/>
      <c r="U15" s="664"/>
      <c r="V15" s="666"/>
      <c r="W15" s="664"/>
      <c r="X15" s="666"/>
      <c r="Y15" s="7"/>
      <c r="AA15" s="673" t="s">
        <v>7</v>
      </c>
      <c r="AB15" s="673"/>
      <c r="AC15" s="673"/>
      <c r="AD15" s="673"/>
      <c r="AE15" s="673"/>
      <c r="AF15" s="673"/>
      <c r="AG15" s="673"/>
      <c r="AH15" s="673"/>
      <c r="AI15" s="673"/>
      <c r="AJ15" s="673"/>
      <c r="AK15" s="673"/>
      <c r="AL15" s="673"/>
      <c r="AM15" s="673"/>
      <c r="AN15" s="673"/>
      <c r="AO15" s="673"/>
      <c r="AQ15" s="679" t="s">
        <v>196</v>
      </c>
      <c r="AR15" s="680"/>
      <c r="AS15" s="680"/>
      <c r="AT15" s="680"/>
      <c r="AU15" s="680"/>
      <c r="AV15" s="681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673"/>
      <c r="AB16" s="673"/>
      <c r="AC16" s="673"/>
      <c r="AD16" s="673"/>
      <c r="AE16" s="673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Q16" s="682"/>
      <c r="AR16" s="683"/>
      <c r="AS16" s="683"/>
      <c r="AT16" s="683"/>
      <c r="AU16" s="683"/>
      <c r="AV16" s="684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65">
        <v>7112</v>
      </c>
      <c r="O17" s="663"/>
      <c r="P17" s="665">
        <v>7212</v>
      </c>
      <c r="Q17" s="663"/>
      <c r="R17" s="665">
        <v>7312</v>
      </c>
      <c r="S17" s="663"/>
      <c r="T17" s="665">
        <v>7412</v>
      </c>
      <c r="U17" s="663"/>
      <c r="V17" s="665">
        <v>7512</v>
      </c>
      <c r="W17" s="663"/>
      <c r="X17" s="665">
        <v>7612</v>
      </c>
      <c r="Y17" s="7"/>
      <c r="AA17" s="672" t="s">
        <v>8</v>
      </c>
      <c r="AB17" s="672"/>
      <c r="AC17" s="672"/>
      <c r="AD17" s="672"/>
      <c r="AE17" s="672"/>
      <c r="AF17" s="672"/>
      <c r="AG17" s="672"/>
      <c r="AH17" s="672"/>
      <c r="AI17" s="672"/>
      <c r="AJ17" s="672"/>
      <c r="AK17" s="672"/>
      <c r="AL17" s="672"/>
      <c r="AM17" s="672"/>
      <c r="AN17" s="672"/>
      <c r="AO17" s="672"/>
      <c r="AQ17" s="697" t="s">
        <v>132</v>
      </c>
      <c r="AR17" s="698"/>
      <c r="AS17" s="698"/>
      <c r="AT17" s="698"/>
      <c r="AU17" s="698"/>
      <c r="AV17" s="699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66"/>
      <c r="O18" s="664"/>
      <c r="P18" s="666"/>
      <c r="Q18" s="664"/>
      <c r="R18" s="666"/>
      <c r="S18" s="664"/>
      <c r="T18" s="666"/>
      <c r="U18" s="664"/>
      <c r="V18" s="666"/>
      <c r="W18" s="664"/>
      <c r="X18" s="666"/>
      <c r="Y18" s="7"/>
      <c r="AA18" s="674" t="s">
        <v>18</v>
      </c>
      <c r="AB18" s="675"/>
      <c r="AC18" s="671" t="s">
        <v>12</v>
      </c>
      <c r="AD18" s="671"/>
      <c r="AE18" s="671"/>
      <c r="AF18" s="671"/>
      <c r="AG18" s="671" t="s">
        <v>13</v>
      </c>
      <c r="AH18" s="671"/>
      <c r="AI18" s="671"/>
      <c r="AJ18" s="671"/>
      <c r="AK18" s="671"/>
      <c r="AL18" s="671" t="s">
        <v>29</v>
      </c>
      <c r="AM18" s="671"/>
      <c r="AN18" s="671" t="s">
        <v>32</v>
      </c>
      <c r="AO18" s="671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348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0"/>
      <c r="AI19" s="290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65">
        <v>7111</v>
      </c>
      <c r="O20" s="663"/>
      <c r="P20" s="665">
        <v>7211</v>
      </c>
      <c r="Q20" s="663"/>
      <c r="R20" s="665">
        <v>7311</v>
      </c>
      <c r="S20" s="663"/>
      <c r="T20" s="665">
        <v>7411</v>
      </c>
      <c r="U20" s="663"/>
      <c r="V20" s="665">
        <v>7511</v>
      </c>
      <c r="W20" s="663"/>
      <c r="X20" s="665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0"/>
      <c r="AI20" s="290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66"/>
      <c r="O21" s="664"/>
      <c r="P21" s="666"/>
      <c r="Q21" s="664"/>
      <c r="R21" s="666"/>
      <c r="S21" s="664"/>
      <c r="T21" s="666"/>
      <c r="U21" s="664"/>
      <c r="V21" s="666"/>
      <c r="W21" s="664"/>
      <c r="X21" s="666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0"/>
      <c r="AI21" s="290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55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297"/>
      <c r="R22" s="23">
        <v>1310</v>
      </c>
      <c r="S22" s="297"/>
      <c r="T22" s="23">
        <v>1410</v>
      </c>
      <c r="U22" s="24"/>
      <c r="V22" s="23">
        <v>1510</v>
      </c>
      <c r="W22" s="24"/>
      <c r="X22" s="23">
        <v>1610</v>
      </c>
      <c r="Y22" s="25"/>
      <c r="AA22" s="676" t="s">
        <v>23</v>
      </c>
      <c r="AB22" s="676"/>
      <c r="AC22" s="676"/>
      <c r="AD22" s="676"/>
      <c r="AE22" s="676"/>
      <c r="AF22" s="676"/>
      <c r="AG22" s="676"/>
      <c r="AH22" s="676"/>
      <c r="AI22" s="676"/>
      <c r="AJ22" s="676"/>
      <c r="AK22" s="676"/>
      <c r="AL22" s="676"/>
      <c r="AM22" s="676"/>
      <c r="AN22" s="676"/>
      <c r="AO22" s="676"/>
      <c r="AQ22" s="700"/>
      <c r="AR22" s="701"/>
      <c r="AS22" s="701"/>
      <c r="AT22" s="701"/>
      <c r="AU22" s="701"/>
      <c r="AV22" s="702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674" t="s">
        <v>18</v>
      </c>
      <c r="AB23" s="675"/>
      <c r="AC23" s="671" t="s">
        <v>12</v>
      </c>
      <c r="AD23" s="671"/>
      <c r="AE23" s="671"/>
      <c r="AF23" s="671"/>
      <c r="AG23" s="671" t="s">
        <v>13</v>
      </c>
      <c r="AH23" s="671"/>
      <c r="AI23" s="671"/>
      <c r="AJ23" s="671"/>
      <c r="AK23" s="671"/>
      <c r="AL23" s="671" t="s">
        <v>29</v>
      </c>
      <c r="AM23" s="671"/>
      <c r="AN23" s="671" t="s">
        <v>32</v>
      </c>
      <c r="AO23" s="671"/>
      <c r="AQ23" s="694" t="s">
        <v>133</v>
      </c>
      <c r="AR23" s="695"/>
      <c r="AS23" s="695"/>
      <c r="AT23" s="695"/>
      <c r="AU23" s="695"/>
      <c r="AV23" s="696"/>
    </row>
    <row r="24" spans="2:48" ht="13.9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348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0"/>
      <c r="AI24" s="290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0"/>
      <c r="AI25" s="290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0"/>
      <c r="AI26" s="290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6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77" t="s">
        <v>24</v>
      </c>
      <c r="AB27" s="677"/>
      <c r="AC27" s="677"/>
      <c r="AD27" s="677"/>
      <c r="AE27" s="677"/>
      <c r="AF27" s="677"/>
      <c r="AG27" s="677"/>
      <c r="AH27" s="677"/>
      <c r="AI27" s="677"/>
      <c r="AJ27" s="677"/>
      <c r="AK27" s="677"/>
      <c r="AL27" s="677"/>
      <c r="AM27" s="677"/>
      <c r="AN27" s="677"/>
      <c r="AO27" s="677"/>
      <c r="AQ27" s="16" t="s">
        <v>163</v>
      </c>
      <c r="AR27" s="55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ht="13.9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674" t="s">
        <v>18</v>
      </c>
      <c r="AB28" s="675"/>
      <c r="AC28" s="671" t="s">
        <v>12</v>
      </c>
      <c r="AD28" s="671"/>
      <c r="AE28" s="671"/>
      <c r="AF28" s="671"/>
      <c r="AG28" s="671" t="s">
        <v>13</v>
      </c>
      <c r="AH28" s="671"/>
      <c r="AI28" s="671"/>
      <c r="AJ28" s="671"/>
      <c r="AK28" s="671"/>
      <c r="AL28" s="671" t="s">
        <v>29</v>
      </c>
      <c r="AM28" s="671"/>
      <c r="AN28" s="671" t="s">
        <v>32</v>
      </c>
      <c r="AO28" s="671"/>
      <c r="AQ28" s="700"/>
      <c r="AR28" s="701"/>
      <c r="AS28" s="701"/>
      <c r="AT28" s="701"/>
      <c r="AU28" s="701"/>
      <c r="AV28" s="702"/>
    </row>
    <row r="29" spans="2:48" ht="15.75" x14ac:dyDescent="0.25">
      <c r="B29" s="669" t="s">
        <v>376</v>
      </c>
      <c r="C29" s="670"/>
      <c r="D29" s="670"/>
      <c r="E29" s="670"/>
      <c r="F29" s="670"/>
      <c r="G29" s="670"/>
      <c r="H29" s="670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348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0"/>
      <c r="AI29" s="290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691" t="s">
        <v>134</v>
      </c>
      <c r="AR29" s="692"/>
      <c r="AS29" s="692"/>
      <c r="AT29" s="692"/>
      <c r="AU29" s="692"/>
      <c r="AV29" s="693"/>
    </row>
    <row r="30" spans="2:48" x14ac:dyDescent="0.25">
      <c r="B30" s="669"/>
      <c r="C30" s="670"/>
      <c r="D30" s="670"/>
      <c r="E30" s="670"/>
      <c r="F30" s="670"/>
      <c r="G30" s="670"/>
      <c r="H30" s="67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0"/>
      <c r="AI30" s="290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0"/>
      <c r="AI31" s="290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678" t="s">
        <v>25</v>
      </c>
      <c r="AB32" s="678"/>
      <c r="AC32" s="678"/>
      <c r="AD32" s="678"/>
      <c r="AE32" s="678"/>
      <c r="AF32" s="678"/>
      <c r="AG32" s="678"/>
      <c r="AH32" s="678"/>
      <c r="AI32" s="678"/>
      <c r="AJ32" s="678"/>
      <c r="AK32" s="678"/>
      <c r="AL32" s="678"/>
      <c r="AM32" s="678"/>
      <c r="AN32" s="678"/>
      <c r="AO32" s="678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674" t="s">
        <v>18</v>
      </c>
      <c r="AB33" s="675"/>
      <c r="AC33" s="671" t="s">
        <v>12</v>
      </c>
      <c r="AD33" s="671"/>
      <c r="AE33" s="671"/>
      <c r="AF33" s="671"/>
      <c r="AG33" s="671" t="s">
        <v>13</v>
      </c>
      <c r="AH33" s="671"/>
      <c r="AI33" s="671"/>
      <c r="AJ33" s="671"/>
      <c r="AK33" s="671"/>
      <c r="AL33" s="671" t="s">
        <v>29</v>
      </c>
      <c r="AM33" s="671"/>
      <c r="AN33" s="671" t="s">
        <v>32</v>
      </c>
      <c r="AO33" s="671"/>
      <c r="AQ33" s="29" t="s">
        <v>163</v>
      </c>
      <c r="AR33" s="55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348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0"/>
      <c r="AI34" s="290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0"/>
      <c r="AI35" s="290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0"/>
      <c r="AI36" s="290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I148"/>
  <sheetViews>
    <sheetView topLeftCell="AJ1" zoomScale="80" zoomScaleNormal="80" workbookViewId="0">
      <selection activeCell="BK28" sqref="BK28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9.28515625" style="1" customWidth="1"/>
    <col min="61" max="61" width="12.85546875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9" width="11.7109375" style="1" customWidth="1"/>
    <col min="70" max="70" width="11.5703125" style="1" bestFit="1" customWidth="1"/>
    <col min="71" max="71" width="11.42578125" style="1" bestFit="1" customWidth="1"/>
    <col min="72" max="72" width="12" style="1" bestFit="1" customWidth="1"/>
    <col min="73" max="73" width="12.85546875" style="1" customWidth="1"/>
    <col min="74" max="76" width="10.28515625" style="1" customWidth="1"/>
    <col min="77" max="77" width="9.5703125" style="1" bestFit="1" customWidth="1"/>
    <col min="78" max="78" width="9.140625" style="1"/>
    <col min="79" max="80" width="10.140625" style="1" bestFit="1" customWidth="1"/>
    <col min="81" max="16384" width="9.140625" style="1"/>
  </cols>
  <sheetData>
    <row r="1" spans="2:87" ht="15.75" thickBot="1" x14ac:dyDescent="0.3"/>
    <row r="2" spans="2:87" ht="16.5" thickBot="1" x14ac:dyDescent="0.3">
      <c r="B2" s="837" t="s">
        <v>275</v>
      </c>
      <c r="C2" s="838"/>
      <c r="D2" s="838"/>
      <c r="E2" s="838"/>
      <c r="F2" s="838"/>
      <c r="G2" s="838"/>
      <c r="H2" s="838"/>
      <c r="I2" s="838"/>
      <c r="J2" s="838"/>
      <c r="K2" s="838"/>
      <c r="L2" s="839"/>
      <c r="M2" s="33"/>
      <c r="N2" s="33"/>
      <c r="O2" s="33"/>
      <c r="Q2" s="851" t="s">
        <v>203</v>
      </c>
      <c r="R2" s="852"/>
      <c r="S2" s="852"/>
      <c r="T2" s="852"/>
      <c r="U2" s="852"/>
      <c r="V2" s="852"/>
      <c r="W2" s="852"/>
      <c r="X2" s="852"/>
      <c r="Y2" s="852"/>
      <c r="Z2" s="852"/>
      <c r="AA2" s="852"/>
      <c r="AB2" s="852"/>
      <c r="AC2" s="852"/>
      <c r="AD2" s="852"/>
      <c r="AE2" s="852"/>
      <c r="AF2" s="852"/>
      <c r="AG2" s="852"/>
      <c r="AH2" s="852"/>
      <c r="AI2" s="852"/>
      <c r="AJ2" s="852"/>
      <c r="AK2" s="853"/>
      <c r="AL2" s="853"/>
      <c r="AM2" s="854"/>
      <c r="AO2" s="848" t="s">
        <v>64</v>
      </c>
      <c r="AP2" s="849"/>
      <c r="AQ2" s="849"/>
      <c r="AR2" s="849"/>
      <c r="AS2" s="849"/>
      <c r="AT2" s="849"/>
      <c r="AU2" s="849"/>
      <c r="AV2" s="849"/>
      <c r="AW2" s="849"/>
      <c r="AX2" s="849"/>
      <c r="AY2" s="849"/>
      <c r="AZ2" s="849"/>
      <c r="BA2" s="849"/>
      <c r="BB2" s="849"/>
      <c r="BC2" s="849"/>
      <c r="BD2" s="849"/>
      <c r="BE2" s="849"/>
      <c r="BF2" s="849"/>
      <c r="BG2" s="849"/>
      <c r="BH2" s="849"/>
      <c r="BI2" s="850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34"/>
      <c r="BV2" s="34"/>
      <c r="BW2" s="34"/>
      <c r="BX2" s="34"/>
    </row>
    <row r="3" spans="2:87" ht="15" customHeight="1" x14ac:dyDescent="0.25">
      <c r="B3" s="834" t="s">
        <v>55</v>
      </c>
      <c r="C3" s="710" t="s">
        <v>28</v>
      </c>
      <c r="D3" s="795" t="s">
        <v>26</v>
      </c>
      <c r="E3" s="712" t="s">
        <v>197</v>
      </c>
      <c r="F3" s="712" t="s">
        <v>198</v>
      </c>
      <c r="G3" s="710" t="s">
        <v>201</v>
      </c>
      <c r="H3" s="795" t="s">
        <v>202</v>
      </c>
      <c r="I3" s="712" t="s">
        <v>199</v>
      </c>
      <c r="J3" s="712" t="s">
        <v>200</v>
      </c>
      <c r="K3" s="710" t="s">
        <v>278</v>
      </c>
      <c r="L3" s="773" t="s">
        <v>279</v>
      </c>
      <c r="M3" s="33"/>
      <c r="N3" s="33"/>
      <c r="O3" s="33"/>
      <c r="Q3" s="832" t="s">
        <v>5</v>
      </c>
      <c r="R3" s="833"/>
      <c r="S3" s="833">
        <v>1</v>
      </c>
      <c r="T3" s="833"/>
      <c r="U3" s="833"/>
      <c r="V3" s="833"/>
      <c r="W3" s="833"/>
      <c r="X3" s="833"/>
      <c r="Y3" s="836"/>
      <c r="Z3" s="790">
        <v>2</v>
      </c>
      <c r="AA3" s="756"/>
      <c r="AB3" s="756"/>
      <c r="AC3" s="756"/>
      <c r="AD3" s="756"/>
      <c r="AE3" s="756"/>
      <c r="AF3" s="756"/>
      <c r="AG3" s="756">
        <v>3</v>
      </c>
      <c r="AH3" s="756"/>
      <c r="AI3" s="756"/>
      <c r="AJ3" s="756"/>
      <c r="AK3" s="765"/>
      <c r="AL3" s="765"/>
      <c r="AM3" s="766"/>
      <c r="AO3" s="789" t="s">
        <v>57</v>
      </c>
      <c r="AP3" s="792" t="s">
        <v>58</v>
      </c>
      <c r="AQ3" s="856"/>
      <c r="AR3" s="857" t="s">
        <v>59</v>
      </c>
      <c r="AS3" s="792" t="s">
        <v>60</v>
      </c>
      <c r="AT3" s="792" t="s">
        <v>61</v>
      </c>
      <c r="AU3" s="792" t="s">
        <v>62</v>
      </c>
      <c r="AV3" s="770" t="s">
        <v>65</v>
      </c>
      <c r="AW3" s="856" t="s">
        <v>309</v>
      </c>
      <c r="AX3" s="855" t="s">
        <v>63</v>
      </c>
      <c r="AY3" s="859" t="s">
        <v>51</v>
      </c>
      <c r="AZ3" s="860" t="s">
        <v>380</v>
      </c>
      <c r="BA3" s="858" t="s">
        <v>286</v>
      </c>
      <c r="BB3" s="858" t="s">
        <v>51</v>
      </c>
      <c r="BC3" s="858" t="s">
        <v>381</v>
      </c>
      <c r="BD3" s="861" t="s">
        <v>287</v>
      </c>
      <c r="BE3" s="777" t="s">
        <v>51</v>
      </c>
      <c r="BF3" s="778" t="s">
        <v>382</v>
      </c>
      <c r="BG3" s="846" t="s">
        <v>287</v>
      </c>
      <c r="BH3" s="846" t="s">
        <v>51</v>
      </c>
      <c r="BI3" s="847" t="s">
        <v>382</v>
      </c>
      <c r="BJ3" s="12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</row>
    <row r="4" spans="2:87" ht="15.75" customHeight="1" thickBot="1" x14ac:dyDescent="0.3">
      <c r="B4" s="835"/>
      <c r="C4" s="711"/>
      <c r="D4" s="796"/>
      <c r="E4" s="713"/>
      <c r="F4" s="713"/>
      <c r="G4" s="711"/>
      <c r="H4" s="796"/>
      <c r="I4" s="713"/>
      <c r="J4" s="713"/>
      <c r="K4" s="711"/>
      <c r="L4" s="774"/>
      <c r="M4" s="33"/>
      <c r="N4" s="33"/>
      <c r="O4" s="33"/>
      <c r="Q4" s="757" t="s">
        <v>38</v>
      </c>
      <c r="R4" s="758"/>
      <c r="S4" s="624" t="s">
        <v>39</v>
      </c>
      <c r="T4" s="624" t="s">
        <v>40</v>
      </c>
      <c r="U4" s="624" t="s">
        <v>41</v>
      </c>
      <c r="V4" s="624" t="s">
        <v>42</v>
      </c>
      <c r="W4" s="624" t="s">
        <v>400</v>
      </c>
      <c r="X4" s="625" t="s">
        <v>401</v>
      </c>
      <c r="Y4" s="626" t="s">
        <v>54</v>
      </c>
      <c r="Z4" s="627" t="s">
        <v>43</v>
      </c>
      <c r="AA4" s="624" t="s">
        <v>44</v>
      </c>
      <c r="AB4" s="624" t="s">
        <v>45</v>
      </c>
      <c r="AC4" s="625" t="s">
        <v>46</v>
      </c>
      <c r="AD4" s="624" t="s">
        <v>398</v>
      </c>
      <c r="AE4" s="624" t="s">
        <v>399</v>
      </c>
      <c r="AF4" s="624" t="s">
        <v>54</v>
      </c>
      <c r="AG4" s="624" t="s">
        <v>47</v>
      </c>
      <c r="AH4" s="624" t="s">
        <v>48</v>
      </c>
      <c r="AI4" s="624" t="s">
        <v>49</v>
      </c>
      <c r="AJ4" s="625" t="s">
        <v>50</v>
      </c>
      <c r="AK4" s="624" t="s">
        <v>402</v>
      </c>
      <c r="AL4" s="624" t="s">
        <v>403</v>
      </c>
      <c r="AM4" s="626" t="s">
        <v>54</v>
      </c>
      <c r="AO4" s="789"/>
      <c r="AP4" s="792"/>
      <c r="AQ4" s="856"/>
      <c r="AR4" s="857"/>
      <c r="AS4" s="792"/>
      <c r="AT4" s="792"/>
      <c r="AU4" s="792"/>
      <c r="AV4" s="770"/>
      <c r="AW4" s="856"/>
      <c r="AX4" s="855"/>
      <c r="AY4" s="859"/>
      <c r="AZ4" s="860"/>
      <c r="BA4" s="858"/>
      <c r="BB4" s="858"/>
      <c r="BC4" s="858"/>
      <c r="BD4" s="861"/>
      <c r="BE4" s="777"/>
      <c r="BF4" s="778"/>
      <c r="BG4" s="846"/>
      <c r="BH4" s="846"/>
      <c r="BI4" s="847"/>
      <c r="BJ4" s="12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</row>
    <row r="5" spans="2:87" ht="15" customHeight="1" x14ac:dyDescent="0.25">
      <c r="B5" s="764">
        <v>1</v>
      </c>
      <c r="C5" s="330">
        <v>5111</v>
      </c>
      <c r="D5" s="330" t="s">
        <v>8</v>
      </c>
      <c r="E5" s="36">
        <v>61.6</v>
      </c>
      <c r="F5" s="37">
        <v>120</v>
      </c>
      <c r="G5" s="38">
        <v>66.3</v>
      </c>
      <c r="H5" s="38">
        <v>129.19999999999999</v>
      </c>
      <c r="I5" s="39">
        <v>53.1</v>
      </c>
      <c r="J5" s="40">
        <v>103.4</v>
      </c>
      <c r="K5" s="85">
        <v>6.6</v>
      </c>
      <c r="L5" s="41">
        <v>12.9</v>
      </c>
      <c r="M5" s="33"/>
      <c r="N5" s="33"/>
      <c r="O5" s="33"/>
      <c r="Q5" s="759" t="s">
        <v>53</v>
      </c>
      <c r="R5" s="760"/>
      <c r="S5" s="628">
        <v>30.8</v>
      </c>
      <c r="T5" s="236">
        <v>99.8</v>
      </c>
      <c r="U5" s="236">
        <v>99.8</v>
      </c>
      <c r="V5" s="236">
        <v>99.8</v>
      </c>
      <c r="W5" s="236">
        <v>99.8</v>
      </c>
      <c r="X5" s="236">
        <v>70.2</v>
      </c>
      <c r="Y5" s="629">
        <f>S5+T5+U5+V5+W5+X5</f>
        <v>500.2</v>
      </c>
      <c r="Z5" s="236">
        <v>30.8</v>
      </c>
      <c r="AA5" s="236">
        <v>81.8</v>
      </c>
      <c r="AB5" s="236">
        <v>81.8</v>
      </c>
      <c r="AC5" s="236">
        <v>81.8</v>
      </c>
      <c r="AD5" s="236">
        <v>81.8</v>
      </c>
      <c r="AE5" s="236">
        <v>46.9</v>
      </c>
      <c r="AF5" s="630">
        <f>Z5+AA5+AB5+AC5+AD5+AE5</f>
        <v>404.9</v>
      </c>
      <c r="AG5" s="628">
        <v>30.8</v>
      </c>
      <c r="AH5" s="236">
        <v>76.7</v>
      </c>
      <c r="AI5" s="236">
        <v>76.7</v>
      </c>
      <c r="AJ5" s="236">
        <v>76.7</v>
      </c>
      <c r="AK5" s="236">
        <v>76.7</v>
      </c>
      <c r="AL5" s="236">
        <v>44.4</v>
      </c>
      <c r="AM5" s="629">
        <f>AG5+AH5+AI5+AJ5+AK5+AL5</f>
        <v>381.99999999999994</v>
      </c>
      <c r="AO5" s="732">
        <v>6</v>
      </c>
      <c r="AP5" s="735" t="s">
        <v>38</v>
      </c>
      <c r="AQ5" s="736"/>
      <c r="AR5" s="80">
        <v>1116</v>
      </c>
      <c r="AS5" s="617">
        <v>7116</v>
      </c>
      <c r="AT5" s="620">
        <f t="shared" ref="AT5:AT10" si="0">hstr6</f>
        <v>3</v>
      </c>
      <c r="AU5" s="620">
        <f t="shared" ref="AU5:AU23" si="1">Hcol1/1000</f>
        <v>0.25</v>
      </c>
      <c r="AV5" s="617">
        <f>0.43*AT5</f>
        <v>1.29</v>
      </c>
      <c r="AW5" s="305">
        <f t="shared" ref="AW5:AW23" si="2">(0.08*AV5*1000+0.022*Fyk*Phicol1)/1000</f>
        <v>0.23414400000000002</v>
      </c>
      <c r="AX5" s="638">
        <f>AV5*E118/3</f>
        <v>6.7510000000000001E-3</v>
      </c>
      <c r="AY5" s="596">
        <v>30.6</v>
      </c>
      <c r="AZ5" s="639">
        <f>AY5*AX5</f>
        <v>0.2065806</v>
      </c>
      <c r="BA5" s="638">
        <f>$AW$5*G118</f>
        <v>2.1236860800000004E-2</v>
      </c>
      <c r="BB5" s="596">
        <v>32.9</v>
      </c>
      <c r="BC5" s="639">
        <f>BB5*BA5</f>
        <v>0.69869272032000007</v>
      </c>
      <c r="BD5" s="638">
        <f>$AW$5*I118</f>
        <v>6.5653977599999996E-2</v>
      </c>
      <c r="BE5" s="596">
        <v>26.4</v>
      </c>
      <c r="BF5" s="639">
        <f>BE5*BD5</f>
        <v>1.7332650086399999</v>
      </c>
      <c r="BG5" s="638">
        <f>$AW$5*K118</f>
        <v>0.22112559360000003</v>
      </c>
      <c r="BH5" s="596">
        <v>3.3</v>
      </c>
      <c r="BI5" s="650">
        <f>BH5*BG5</f>
        <v>0.72971445888000008</v>
      </c>
      <c r="BJ5" s="12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</row>
    <row r="6" spans="2:87" ht="15" customHeight="1" thickBot="1" x14ac:dyDescent="0.3">
      <c r="B6" s="733"/>
      <c r="C6" s="330">
        <v>5112</v>
      </c>
      <c r="D6" s="330" t="s">
        <v>8</v>
      </c>
      <c r="E6" s="36">
        <v>61.6</v>
      </c>
      <c r="F6" s="37">
        <v>120</v>
      </c>
      <c r="G6" s="38">
        <v>66.3</v>
      </c>
      <c r="H6" s="38">
        <v>129.19999999999999</v>
      </c>
      <c r="I6" s="39">
        <v>53.1</v>
      </c>
      <c r="J6" s="40">
        <v>103.4</v>
      </c>
      <c r="K6" s="85">
        <v>6.6</v>
      </c>
      <c r="L6" s="41">
        <v>12.9</v>
      </c>
      <c r="M6" s="33"/>
      <c r="N6" s="33"/>
      <c r="O6" s="33"/>
      <c r="Q6" s="761" t="s">
        <v>52</v>
      </c>
      <c r="R6" s="762"/>
      <c r="S6" s="631">
        <v>70.2</v>
      </c>
      <c r="T6" s="632">
        <v>117.1</v>
      </c>
      <c r="U6" s="632">
        <v>117.1</v>
      </c>
      <c r="V6" s="632">
        <v>117.1</v>
      </c>
      <c r="W6" s="632">
        <v>117.1</v>
      </c>
      <c r="X6" s="632">
        <v>70.2</v>
      </c>
      <c r="Y6" s="633">
        <f>S6+T6+U6+V6+W6+X6</f>
        <v>608.80000000000007</v>
      </c>
      <c r="Z6" s="632">
        <v>30.8</v>
      </c>
      <c r="AA6" s="632">
        <v>81.8</v>
      </c>
      <c r="AB6" s="632">
        <v>81.8</v>
      </c>
      <c r="AC6" s="632">
        <v>81.8</v>
      </c>
      <c r="AD6" s="632">
        <v>81.8</v>
      </c>
      <c r="AE6" s="632">
        <v>46.9</v>
      </c>
      <c r="AF6" s="634">
        <f>Z6+AA6+AB6+AC6+AD6+AE6</f>
        <v>404.9</v>
      </c>
      <c r="AG6" s="631">
        <v>30.8</v>
      </c>
      <c r="AH6" s="632">
        <v>76.7</v>
      </c>
      <c r="AI6" s="632">
        <v>76.7</v>
      </c>
      <c r="AJ6" s="632">
        <v>76.7</v>
      </c>
      <c r="AK6" s="632">
        <v>76.7</v>
      </c>
      <c r="AL6" s="632">
        <v>44.4</v>
      </c>
      <c r="AM6" s="633">
        <f>AG6+AH6+AI6+AJ6+AK6+AL6</f>
        <v>381.99999999999994</v>
      </c>
      <c r="AO6" s="733"/>
      <c r="AP6" s="730"/>
      <c r="AQ6" s="731"/>
      <c r="AR6" s="86">
        <v>1216</v>
      </c>
      <c r="AS6" s="616">
        <v>7216</v>
      </c>
      <c r="AT6" s="621">
        <f t="shared" si="0"/>
        <v>3</v>
      </c>
      <c r="AU6" s="621">
        <f t="shared" si="1"/>
        <v>0.25</v>
      </c>
      <c r="AV6" s="616">
        <f>0.43*AT6</f>
        <v>1.29</v>
      </c>
      <c r="AW6" s="253">
        <f t="shared" si="2"/>
        <v>0.23414400000000002</v>
      </c>
      <c r="AX6" s="640">
        <f>AV6*E124/3</f>
        <v>6.7510000000000001E-3</v>
      </c>
      <c r="AY6" s="236">
        <v>35.6</v>
      </c>
      <c r="AZ6" s="655">
        <f>AY6*AX6</f>
        <v>0.24033560000000001</v>
      </c>
      <c r="BA6" s="640">
        <f>$AW$6*G124</f>
        <v>2.1236860800000004E-2</v>
      </c>
      <c r="BB6" s="236">
        <v>38.299999999999997</v>
      </c>
      <c r="BC6" s="655">
        <f>BB6*BA6</f>
        <v>0.81337176864000005</v>
      </c>
      <c r="BD6" s="640">
        <f>$AW$6*I124</f>
        <v>6.5653977599999996E-2</v>
      </c>
      <c r="BE6" s="236">
        <v>30.6</v>
      </c>
      <c r="BF6" s="655">
        <f>BE6*BD6</f>
        <v>2.0090117145600002</v>
      </c>
      <c r="BG6" s="640">
        <f>$AW$6*K124</f>
        <v>0.22112559360000003</v>
      </c>
      <c r="BH6" s="236">
        <v>3.8</v>
      </c>
      <c r="BI6" s="651">
        <f>BH6*BG6</f>
        <v>0.84027725568000011</v>
      </c>
      <c r="BJ6" s="12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</row>
    <row r="7" spans="2:87" ht="15" customHeight="1" thickBot="1" x14ac:dyDescent="0.3">
      <c r="B7" s="733"/>
      <c r="C7" s="330">
        <v>5113</v>
      </c>
      <c r="D7" s="330" t="s">
        <v>8</v>
      </c>
      <c r="E7" s="36">
        <v>61.6</v>
      </c>
      <c r="F7" s="37">
        <v>120</v>
      </c>
      <c r="G7" s="38">
        <v>66.3</v>
      </c>
      <c r="H7" s="38">
        <v>129.19999999999999</v>
      </c>
      <c r="I7" s="39">
        <v>53.1</v>
      </c>
      <c r="J7" s="40">
        <v>103.4</v>
      </c>
      <c r="K7" s="85">
        <v>6.6</v>
      </c>
      <c r="L7" s="41">
        <v>12.9</v>
      </c>
      <c r="M7" s="33"/>
      <c r="N7" s="33"/>
      <c r="O7" s="33"/>
      <c r="Q7" s="755" t="s">
        <v>5</v>
      </c>
      <c r="R7" s="756"/>
      <c r="S7" s="756">
        <v>4</v>
      </c>
      <c r="T7" s="756"/>
      <c r="U7" s="756"/>
      <c r="V7" s="756"/>
      <c r="W7" s="756"/>
      <c r="X7" s="756"/>
      <c r="Y7" s="756"/>
      <c r="Z7" s="756">
        <v>5</v>
      </c>
      <c r="AA7" s="756"/>
      <c r="AB7" s="756"/>
      <c r="AC7" s="756"/>
      <c r="AD7" s="756"/>
      <c r="AE7" s="756"/>
      <c r="AF7" s="756"/>
      <c r="AG7" s="756">
        <v>6</v>
      </c>
      <c r="AH7" s="756"/>
      <c r="AI7" s="756"/>
      <c r="AJ7" s="756"/>
      <c r="AK7" s="765"/>
      <c r="AL7" s="765"/>
      <c r="AM7" s="766"/>
      <c r="AO7" s="733"/>
      <c r="AP7" s="730"/>
      <c r="AQ7" s="731"/>
      <c r="AR7" s="86">
        <v>1316</v>
      </c>
      <c r="AS7" s="616">
        <v>7316</v>
      </c>
      <c r="AT7" s="621">
        <f t="shared" si="0"/>
        <v>3</v>
      </c>
      <c r="AU7" s="621">
        <f t="shared" si="1"/>
        <v>0.25</v>
      </c>
      <c r="AV7" s="616">
        <f>0.43*AT7</f>
        <v>1.29</v>
      </c>
      <c r="AW7" s="253">
        <f t="shared" si="2"/>
        <v>0.23414400000000002</v>
      </c>
      <c r="AX7" s="640">
        <f>AV7*E130/3</f>
        <v>6.7510000000000001E-3</v>
      </c>
      <c r="AY7" s="236">
        <v>35.6</v>
      </c>
      <c r="AZ7" s="655">
        <f t="shared" ref="AZ7:AZ22" si="3">AY7*AX7</f>
        <v>0.24033560000000001</v>
      </c>
      <c r="BA7" s="640">
        <f>$AW$7*G130</f>
        <v>2.1236860800000004E-2</v>
      </c>
      <c r="BB7" s="236">
        <v>38.299999999999997</v>
      </c>
      <c r="BC7" s="655">
        <f t="shared" ref="BC7:BC22" si="4">BB7*BA7</f>
        <v>0.81337176864000005</v>
      </c>
      <c r="BD7" s="640">
        <f>$AW$7*I130</f>
        <v>6.5653977599999996E-2</v>
      </c>
      <c r="BE7" s="236">
        <v>30.6</v>
      </c>
      <c r="BF7" s="655">
        <f t="shared" ref="BF7:BF22" si="5">BE7*BD7</f>
        <v>2.0090117145600002</v>
      </c>
      <c r="BG7" s="640">
        <f>$AW$7*K130</f>
        <v>0.22112559360000003</v>
      </c>
      <c r="BH7" s="236">
        <v>3.8</v>
      </c>
      <c r="BI7" s="651">
        <f t="shared" ref="BI7:BI22" si="6">BH7*BG7</f>
        <v>0.84027725568000011</v>
      </c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</row>
    <row r="8" spans="2:87" ht="15" customHeight="1" thickBot="1" x14ac:dyDescent="0.3">
      <c r="B8" s="733"/>
      <c r="C8" s="330">
        <v>5114</v>
      </c>
      <c r="D8" s="330" t="s">
        <v>8</v>
      </c>
      <c r="E8" s="36">
        <v>61.6</v>
      </c>
      <c r="F8" s="37">
        <v>120</v>
      </c>
      <c r="G8" s="38">
        <v>66.3</v>
      </c>
      <c r="H8" s="38">
        <v>129.19999999999999</v>
      </c>
      <c r="I8" s="39">
        <v>53.1</v>
      </c>
      <c r="J8" s="40">
        <v>103.4</v>
      </c>
      <c r="K8" s="85">
        <v>6.6</v>
      </c>
      <c r="L8" s="41">
        <v>12.9</v>
      </c>
      <c r="M8" s="33"/>
      <c r="N8" s="33"/>
      <c r="O8" s="33"/>
      <c r="Q8" s="757" t="s">
        <v>38</v>
      </c>
      <c r="R8" s="758"/>
      <c r="S8" s="624" t="s">
        <v>415</v>
      </c>
      <c r="T8" s="624" t="s">
        <v>416</v>
      </c>
      <c r="U8" s="624" t="s">
        <v>417</v>
      </c>
      <c r="V8" s="625" t="s">
        <v>418</v>
      </c>
      <c r="W8" s="624" t="s">
        <v>419</v>
      </c>
      <c r="X8" s="624" t="s">
        <v>420</v>
      </c>
      <c r="Y8" s="624" t="s">
        <v>54</v>
      </c>
      <c r="Z8" s="624" t="s">
        <v>421</v>
      </c>
      <c r="AA8" s="624" t="s">
        <v>422</v>
      </c>
      <c r="AB8" s="624" t="s">
        <v>423</v>
      </c>
      <c r="AC8" s="625" t="s">
        <v>424</v>
      </c>
      <c r="AD8" s="624" t="s">
        <v>425</v>
      </c>
      <c r="AE8" s="624" t="s">
        <v>426</v>
      </c>
      <c r="AF8" s="624" t="s">
        <v>54</v>
      </c>
      <c r="AG8" s="624" t="s">
        <v>427</v>
      </c>
      <c r="AH8" s="624" t="s">
        <v>428</v>
      </c>
      <c r="AI8" s="624" t="s">
        <v>429</v>
      </c>
      <c r="AJ8" s="625" t="s">
        <v>430</v>
      </c>
      <c r="AK8" s="624" t="s">
        <v>431</v>
      </c>
      <c r="AL8" s="624" t="s">
        <v>432</v>
      </c>
      <c r="AM8" s="626" t="s">
        <v>54</v>
      </c>
      <c r="AO8" s="733"/>
      <c r="AP8" s="730"/>
      <c r="AQ8" s="731"/>
      <c r="AR8" s="86">
        <v>1416</v>
      </c>
      <c r="AS8" s="616">
        <v>7416</v>
      </c>
      <c r="AT8" s="621">
        <f t="shared" si="0"/>
        <v>3</v>
      </c>
      <c r="AU8" s="621">
        <f t="shared" si="1"/>
        <v>0.25</v>
      </c>
      <c r="AV8" s="616">
        <f>0.43*AT8</f>
        <v>1.29</v>
      </c>
      <c r="AW8" s="253">
        <f t="shared" si="2"/>
        <v>0.23414400000000002</v>
      </c>
      <c r="AX8" s="640">
        <f>AV8*E136/3</f>
        <v>6.7510000000000001E-3</v>
      </c>
      <c r="AY8" s="236">
        <v>35.6</v>
      </c>
      <c r="AZ8" s="655">
        <f t="shared" si="3"/>
        <v>0.24033560000000001</v>
      </c>
      <c r="BA8" s="640">
        <f>$AW$8*G136</f>
        <v>2.1236860800000004E-2</v>
      </c>
      <c r="BB8" s="236">
        <v>38.299999999999997</v>
      </c>
      <c r="BC8" s="655">
        <f t="shared" si="4"/>
        <v>0.81337176864000005</v>
      </c>
      <c r="BD8" s="640">
        <f>$AW$8*I136</f>
        <v>6.5653977599999996E-2</v>
      </c>
      <c r="BE8" s="236">
        <v>30.6</v>
      </c>
      <c r="BF8" s="655">
        <f t="shared" si="5"/>
        <v>2.0090117145600002</v>
      </c>
      <c r="BG8" s="640">
        <f>$AW$8*K136</f>
        <v>0.22112559360000003</v>
      </c>
      <c r="BH8" s="236">
        <v>3.8</v>
      </c>
      <c r="BI8" s="651">
        <f t="shared" si="6"/>
        <v>0.84027725568000011</v>
      </c>
      <c r="BJ8" s="12"/>
      <c r="BK8" s="721" t="s">
        <v>293</v>
      </c>
      <c r="BL8" s="722"/>
      <c r="BM8" s="722"/>
      <c r="BN8" s="722"/>
      <c r="BO8" s="722"/>
      <c r="BP8" s="722"/>
      <c r="BQ8" s="723"/>
      <c r="BR8" s="724" t="s">
        <v>294</v>
      </c>
      <c r="BS8" s="725"/>
      <c r="BT8" s="725"/>
      <c r="BU8" s="725"/>
      <c r="BV8" s="725"/>
      <c r="BW8" s="725"/>
      <c r="BX8" s="726"/>
      <c r="BY8" s="727" t="s">
        <v>292</v>
      </c>
      <c r="BZ8" s="728"/>
      <c r="CA8" s="728"/>
      <c r="CB8" s="728"/>
      <c r="CC8" s="728"/>
      <c r="CD8" s="728"/>
      <c r="CE8" s="729"/>
      <c r="CF8" s="12"/>
      <c r="CG8" s="12"/>
      <c r="CH8" s="12"/>
      <c r="CI8" s="12"/>
    </row>
    <row r="9" spans="2:87" ht="15.75" customHeight="1" x14ac:dyDescent="0.25">
      <c r="B9" s="733"/>
      <c r="C9" s="330">
        <v>5115</v>
      </c>
      <c r="D9" s="330" t="s">
        <v>8</v>
      </c>
      <c r="E9" s="36">
        <v>61.6</v>
      </c>
      <c r="F9" s="37">
        <v>120</v>
      </c>
      <c r="G9" s="38">
        <v>66.3</v>
      </c>
      <c r="H9" s="38">
        <v>129.19999999999999</v>
      </c>
      <c r="I9" s="39">
        <v>53.1</v>
      </c>
      <c r="J9" s="40">
        <v>103.4</v>
      </c>
      <c r="K9" s="85">
        <v>6.6</v>
      </c>
      <c r="L9" s="41">
        <v>12.9</v>
      </c>
      <c r="M9" s="33"/>
      <c r="N9" s="33"/>
      <c r="O9" s="33"/>
      <c r="Q9" s="759" t="s">
        <v>53</v>
      </c>
      <c r="R9" s="760"/>
      <c r="S9" s="628">
        <v>30.8</v>
      </c>
      <c r="T9" s="236">
        <v>48.7</v>
      </c>
      <c r="U9" s="236">
        <v>48.7</v>
      </c>
      <c r="V9" s="236">
        <v>48.7</v>
      </c>
      <c r="W9" s="236">
        <v>48.7</v>
      </c>
      <c r="X9" s="236">
        <v>40.799999999999997</v>
      </c>
      <c r="Y9" s="630">
        <f>S9+T9+U9+V9+W9+X9</f>
        <v>266.39999999999998</v>
      </c>
      <c r="Z9" s="628">
        <v>31</v>
      </c>
      <c r="AA9" s="236">
        <v>43.9</v>
      </c>
      <c r="AB9" s="236">
        <v>43.9</v>
      </c>
      <c r="AC9" s="236">
        <v>43.9</v>
      </c>
      <c r="AD9" s="236">
        <v>43.9</v>
      </c>
      <c r="AE9" s="236">
        <v>35.9</v>
      </c>
      <c r="AF9" s="630">
        <f>Z9+AA9+AB9+AC9+AD9+AE9</f>
        <v>242.50000000000003</v>
      </c>
      <c r="AG9" s="628">
        <v>30.6</v>
      </c>
      <c r="AH9" s="236">
        <v>35.6</v>
      </c>
      <c r="AI9" s="236">
        <v>35.6</v>
      </c>
      <c r="AJ9" s="236">
        <v>35.6</v>
      </c>
      <c r="AK9" s="236">
        <v>35.6</v>
      </c>
      <c r="AL9" s="236">
        <v>30.6</v>
      </c>
      <c r="AM9" s="629">
        <f>AG9+AH9+AI9+AJ9+AK9+AL9</f>
        <v>203.6</v>
      </c>
      <c r="AO9" s="733"/>
      <c r="AP9" s="730"/>
      <c r="AQ9" s="731"/>
      <c r="AR9" s="86">
        <v>1516</v>
      </c>
      <c r="AS9" s="616">
        <v>7516</v>
      </c>
      <c r="AT9" s="621">
        <f t="shared" si="0"/>
        <v>3</v>
      </c>
      <c r="AU9" s="621">
        <f t="shared" si="1"/>
        <v>0.25</v>
      </c>
      <c r="AV9" s="616">
        <f t="shared" ref="AV9:AV22" si="7">0.43*AT9</f>
        <v>1.29</v>
      </c>
      <c r="AW9" s="253">
        <f t="shared" si="2"/>
        <v>0.23414400000000002</v>
      </c>
      <c r="AX9" s="640">
        <f>AV9*E142/3</f>
        <v>6.7510000000000001E-3</v>
      </c>
      <c r="AY9" s="236">
        <v>35.6</v>
      </c>
      <c r="AZ9" s="655">
        <f t="shared" si="3"/>
        <v>0.24033560000000001</v>
      </c>
      <c r="BA9" s="640">
        <f>$AW$9*G142</f>
        <v>2.1236860800000004E-2</v>
      </c>
      <c r="BB9" s="236">
        <v>38.299999999999997</v>
      </c>
      <c r="BC9" s="655">
        <f t="shared" si="4"/>
        <v>0.81337176864000005</v>
      </c>
      <c r="BD9" s="640">
        <f>$AW$9*I142</f>
        <v>6.5653977599999996E-2</v>
      </c>
      <c r="BE9" s="236">
        <v>30.6</v>
      </c>
      <c r="BF9" s="655">
        <f t="shared" si="5"/>
        <v>2.0090117145600002</v>
      </c>
      <c r="BG9" s="640">
        <f>$AW$9*K142</f>
        <v>0.22112559360000003</v>
      </c>
      <c r="BH9" s="236">
        <v>3.8</v>
      </c>
      <c r="BI9" s="651">
        <f t="shared" si="6"/>
        <v>0.84027725568000011</v>
      </c>
      <c r="BJ9" s="12"/>
      <c r="BK9" s="802" t="s">
        <v>193</v>
      </c>
      <c r="BL9" s="804" t="s">
        <v>189</v>
      </c>
      <c r="BM9" s="806" t="s">
        <v>190</v>
      </c>
      <c r="BN9" s="806" t="s">
        <v>191</v>
      </c>
      <c r="BO9" s="806" t="s">
        <v>192</v>
      </c>
      <c r="BP9" s="743" t="s">
        <v>463</v>
      </c>
      <c r="BQ9" s="747" t="s">
        <v>497</v>
      </c>
      <c r="BR9" s="808" t="s">
        <v>222</v>
      </c>
      <c r="BS9" s="810" t="s">
        <v>189</v>
      </c>
      <c r="BT9" s="812" t="s">
        <v>190</v>
      </c>
      <c r="BU9" s="812" t="s">
        <v>191</v>
      </c>
      <c r="BV9" s="812" t="s">
        <v>192</v>
      </c>
      <c r="BW9" s="741" t="s">
        <v>463</v>
      </c>
      <c r="BX9" s="749" t="s">
        <v>497</v>
      </c>
      <c r="BY9" s="814" t="s">
        <v>295</v>
      </c>
      <c r="BZ9" s="816" t="s">
        <v>189</v>
      </c>
      <c r="CA9" s="818" t="s">
        <v>190</v>
      </c>
      <c r="CB9" s="818" t="s">
        <v>191</v>
      </c>
      <c r="CC9" s="818" t="s">
        <v>192</v>
      </c>
      <c r="CD9" s="745" t="s">
        <v>463</v>
      </c>
      <c r="CE9" s="719" t="s">
        <v>497</v>
      </c>
      <c r="CF9" s="12"/>
      <c r="CG9" s="12"/>
      <c r="CH9" s="12"/>
      <c r="CI9" s="12"/>
    </row>
    <row r="10" spans="2:87" ht="15.75" customHeight="1" thickBot="1" x14ac:dyDescent="0.3">
      <c r="B10" s="733"/>
      <c r="C10" s="330">
        <v>5116</v>
      </c>
      <c r="D10" s="330" t="s">
        <v>8</v>
      </c>
      <c r="E10" s="36">
        <v>61.6</v>
      </c>
      <c r="F10" s="37">
        <v>120</v>
      </c>
      <c r="G10" s="38">
        <v>66.3</v>
      </c>
      <c r="H10" s="38">
        <v>129.19999999999999</v>
      </c>
      <c r="I10" s="39">
        <v>53.1</v>
      </c>
      <c r="J10" s="40">
        <v>103.4</v>
      </c>
      <c r="K10" s="85">
        <v>6.6</v>
      </c>
      <c r="L10" s="41">
        <v>12.9</v>
      </c>
      <c r="M10" s="33"/>
      <c r="N10" s="33"/>
      <c r="O10" s="33"/>
      <c r="Q10" s="761" t="s">
        <v>52</v>
      </c>
      <c r="R10" s="762"/>
      <c r="S10" s="631">
        <v>30.8</v>
      </c>
      <c r="T10" s="632">
        <v>48.7</v>
      </c>
      <c r="U10" s="632">
        <v>48.7</v>
      </c>
      <c r="V10" s="632">
        <v>48.7</v>
      </c>
      <c r="W10" s="632">
        <v>48.7</v>
      </c>
      <c r="X10" s="632">
        <v>40.799999999999997</v>
      </c>
      <c r="Y10" s="634">
        <f>S10+T10+U10+V10+W10+X10</f>
        <v>266.39999999999998</v>
      </c>
      <c r="Z10" s="631">
        <v>30.8</v>
      </c>
      <c r="AA10" s="632">
        <v>43.9</v>
      </c>
      <c r="AB10" s="632">
        <v>43.9</v>
      </c>
      <c r="AC10" s="632">
        <v>43.9</v>
      </c>
      <c r="AD10" s="632">
        <v>43.9</v>
      </c>
      <c r="AE10" s="632">
        <v>35.9</v>
      </c>
      <c r="AF10" s="634">
        <f>Z10+AA10+AB10+AC10+AD10+AE10</f>
        <v>242.3</v>
      </c>
      <c r="AG10" s="631">
        <v>30.6</v>
      </c>
      <c r="AH10" s="632">
        <v>35.6</v>
      </c>
      <c r="AI10" s="632">
        <v>35.6</v>
      </c>
      <c r="AJ10" s="632">
        <v>35.6</v>
      </c>
      <c r="AK10" s="632">
        <v>35.6</v>
      </c>
      <c r="AL10" s="632">
        <v>30.6</v>
      </c>
      <c r="AM10" s="633">
        <f>AG10+AH10+AI10+AJ10+AK10+AL10</f>
        <v>203.6</v>
      </c>
      <c r="AO10" s="734"/>
      <c r="AP10" s="737"/>
      <c r="AQ10" s="738"/>
      <c r="AR10" s="298">
        <v>1616</v>
      </c>
      <c r="AS10" s="619">
        <v>7616</v>
      </c>
      <c r="AT10" s="622">
        <f t="shared" si="0"/>
        <v>3</v>
      </c>
      <c r="AU10" s="622">
        <f t="shared" si="1"/>
        <v>0.25</v>
      </c>
      <c r="AV10" s="619">
        <f t="shared" si="7"/>
        <v>1.29</v>
      </c>
      <c r="AW10" s="255">
        <f t="shared" si="2"/>
        <v>0.23414400000000002</v>
      </c>
      <c r="AX10" s="641">
        <f>AV10*E148/3</f>
        <v>6.7510000000000001E-3</v>
      </c>
      <c r="AY10" s="642">
        <v>30.6</v>
      </c>
      <c r="AZ10" s="643">
        <f t="shared" si="3"/>
        <v>0.2065806</v>
      </c>
      <c r="BA10" s="641">
        <f>$AW$10*G148</f>
        <v>2.1236860800000004E-2</v>
      </c>
      <c r="BB10" s="642">
        <v>32.9</v>
      </c>
      <c r="BC10" s="643">
        <f t="shared" si="4"/>
        <v>0.69869272032000007</v>
      </c>
      <c r="BD10" s="641">
        <f>$AW$10*I148</f>
        <v>6.5653977599999996E-2</v>
      </c>
      <c r="BE10" s="642">
        <v>26.4</v>
      </c>
      <c r="BF10" s="643">
        <f t="shared" si="5"/>
        <v>1.7332650086399999</v>
      </c>
      <c r="BG10" s="641">
        <f>$AW$10*K148</f>
        <v>0.22112559360000003</v>
      </c>
      <c r="BH10" s="642">
        <v>3.3</v>
      </c>
      <c r="BI10" s="652">
        <f t="shared" si="6"/>
        <v>0.72971445888000008</v>
      </c>
      <c r="BJ10" s="12"/>
      <c r="BK10" s="803"/>
      <c r="BL10" s="805"/>
      <c r="BM10" s="807"/>
      <c r="BN10" s="807"/>
      <c r="BO10" s="807"/>
      <c r="BP10" s="744"/>
      <c r="BQ10" s="748"/>
      <c r="BR10" s="809"/>
      <c r="BS10" s="811"/>
      <c r="BT10" s="813"/>
      <c r="BU10" s="813"/>
      <c r="BV10" s="813"/>
      <c r="BW10" s="742"/>
      <c r="BX10" s="750"/>
      <c r="BY10" s="815"/>
      <c r="BZ10" s="817"/>
      <c r="CA10" s="819"/>
      <c r="CB10" s="819"/>
      <c r="CC10" s="819"/>
      <c r="CD10" s="746"/>
      <c r="CE10" s="720"/>
      <c r="CF10" s="12"/>
      <c r="CG10" s="12"/>
      <c r="CH10" s="12"/>
      <c r="CI10" s="12"/>
    </row>
    <row r="11" spans="2:87" ht="16.5" thickBot="1" x14ac:dyDescent="0.3">
      <c r="B11" s="732">
        <v>2</v>
      </c>
      <c r="C11" s="328">
        <v>5211</v>
      </c>
      <c r="D11" s="329" t="s">
        <v>8</v>
      </c>
      <c r="E11" s="62">
        <v>61.6</v>
      </c>
      <c r="F11" s="61">
        <v>120</v>
      </c>
      <c r="G11" s="62">
        <v>66.3</v>
      </c>
      <c r="H11" s="62">
        <v>129.19999999999999</v>
      </c>
      <c r="I11" s="63">
        <v>53.1</v>
      </c>
      <c r="J11" s="64">
        <v>103.4</v>
      </c>
      <c r="K11" s="299">
        <v>6.6</v>
      </c>
      <c r="L11" s="65">
        <v>12.9</v>
      </c>
      <c r="M11" s="33"/>
      <c r="N11" s="33"/>
      <c r="O11" s="33"/>
      <c r="Q11" s="635"/>
      <c r="R11" s="635"/>
      <c r="S11" s="635"/>
      <c r="T11" s="635"/>
      <c r="U11" s="635"/>
      <c r="V11" s="635"/>
      <c r="W11" s="635"/>
      <c r="X11" s="635"/>
      <c r="Y11" s="635"/>
      <c r="Z11" s="635"/>
      <c r="AA11" s="635"/>
      <c r="AB11" s="635"/>
      <c r="AC11" s="635"/>
      <c r="AD11" s="635"/>
      <c r="AE11" s="635"/>
      <c r="AF11" s="635"/>
      <c r="AG11" s="635"/>
      <c r="AH11" s="635"/>
      <c r="AI11" s="635"/>
      <c r="AJ11" s="635"/>
      <c r="AK11" s="635"/>
      <c r="AL11" s="635"/>
      <c r="AM11" s="635"/>
      <c r="AO11" s="733">
        <v>5</v>
      </c>
      <c r="AP11" s="730" t="s">
        <v>38</v>
      </c>
      <c r="AQ11" s="731"/>
      <c r="AR11" s="86">
        <v>1115</v>
      </c>
      <c r="AS11" s="616">
        <v>7115</v>
      </c>
      <c r="AT11" s="621">
        <f t="shared" ref="AT11:AT16" si="8">hstr5</f>
        <v>3</v>
      </c>
      <c r="AU11" s="621">
        <f t="shared" si="1"/>
        <v>0.25</v>
      </c>
      <c r="AV11" s="616">
        <f t="shared" si="7"/>
        <v>1.29</v>
      </c>
      <c r="AW11" s="253">
        <f t="shared" si="2"/>
        <v>0.23414400000000002</v>
      </c>
      <c r="AX11" s="638">
        <f t="shared" ref="AX11:AX40" si="9">AV11*epy/AU11</f>
        <v>9.5976000000000013E-3</v>
      </c>
      <c r="AY11" s="596">
        <v>35.9</v>
      </c>
      <c r="AZ11" s="644">
        <f t="shared" si="3"/>
        <v>0.34455384000000006</v>
      </c>
      <c r="BA11" s="638">
        <f>$AW$11*G117</f>
        <v>2.1236860800000004E-2</v>
      </c>
      <c r="BB11" s="596">
        <v>38.700000000000003</v>
      </c>
      <c r="BC11" s="644">
        <f>BA11*BB11</f>
        <v>0.82186651296000024</v>
      </c>
      <c r="BD11" s="638">
        <f>$AW$11*I117</f>
        <v>6.5653977599999996E-2</v>
      </c>
      <c r="BE11" s="596">
        <v>31</v>
      </c>
      <c r="BF11" s="644">
        <f>BD11*BE11</f>
        <v>2.0352733056000001</v>
      </c>
      <c r="BG11" s="638">
        <f>$AW$11*K117</f>
        <v>0.22112559360000003</v>
      </c>
      <c r="BH11" s="596">
        <v>3.9</v>
      </c>
      <c r="BI11" s="650">
        <f>BG11*BH11</f>
        <v>0.86238981504000012</v>
      </c>
      <c r="BJ11" s="12"/>
      <c r="BK11" s="70" t="s">
        <v>435</v>
      </c>
      <c r="BL11" s="455">
        <f>(AM9+AM10)/hstr6</f>
        <v>135.73333333333332</v>
      </c>
      <c r="BM11" s="455">
        <f>(AM19+AM20)/hstr6</f>
        <v>145.99999999999997</v>
      </c>
      <c r="BN11" s="455">
        <f>(AM29+AM30)/hstr6</f>
        <v>116.8</v>
      </c>
      <c r="BO11" s="455">
        <f>(AM39+AM40)/hstr6</f>
        <v>14.533333333333333</v>
      </c>
      <c r="BP11" s="455">
        <f>BO11</f>
        <v>14.533333333333333</v>
      </c>
      <c r="BQ11" s="575">
        <v>13.215596110609628</v>
      </c>
      <c r="BR11" s="70" t="s">
        <v>438</v>
      </c>
      <c r="BS11" s="455">
        <f>BL11/(BZ11*hstr6)</f>
        <v>5442.9227691252436</v>
      </c>
      <c r="BT11" s="455">
        <f>(BM11-BL11)/((CA11-BZ11)*hstr6)</f>
        <v>245.87203838522751</v>
      </c>
      <c r="BU11" s="455">
        <f>(BN11-BM11)/((CB11-CA11)*hstr6)</f>
        <v>-265.11148471424769</v>
      </c>
      <c r="BV11" s="455">
        <f>(BO11-BN11)/((CC11-CB11)*hstr6)</f>
        <v>-265.09140859346746</v>
      </c>
      <c r="BW11" s="455">
        <v>0</v>
      </c>
      <c r="BX11" s="575">
        <f t="shared" ref="BX11:BX16" si="10">BS11*3</f>
        <v>16328.768307375731</v>
      </c>
      <c r="BY11" s="70" t="s">
        <v>441</v>
      </c>
      <c r="BZ11" s="51">
        <f>(SUM(AZ5:AZ10)+SUM(AZ11:AZ16))/(SUM(AY5:AY10)+SUM(AY11:AY16))</f>
        <v>8.3125273614190701E-3</v>
      </c>
      <c r="CA11" s="51">
        <f>(SUM(BC5:BC10)+SUM(BC11:BC16))/(SUM(BB5:BB10)+SUM(BB11:BB16))</f>
        <v>2.223123989456343E-2</v>
      </c>
      <c r="CB11" s="51">
        <f>(SUM(BF5:BF10)+SUM(BF11:BF16))/(SUM(BE5:BE10)+SUM(BE11:BE16))</f>
        <v>5.8945354123995881E-2</v>
      </c>
      <c r="CC11" s="51">
        <f>(SUM(BI5:BI10)+SUM(BI11:BI16))/(SUM(BH5:BH10)+SUM(BH11:BH16))</f>
        <v>0.18753831407603308</v>
      </c>
      <c r="CD11" s="51">
        <v>0.2</v>
      </c>
      <c r="CE11" s="577">
        <v>8.0934433398997536E-4</v>
      </c>
      <c r="CF11" s="12"/>
      <c r="CG11" s="12"/>
      <c r="CH11" s="12"/>
      <c r="CI11" s="12"/>
    </row>
    <row r="12" spans="2:87" ht="15.75" customHeight="1" thickBot="1" x14ac:dyDescent="0.3">
      <c r="B12" s="733"/>
      <c r="C12" s="330">
        <v>5212</v>
      </c>
      <c r="D12" s="331" t="s">
        <v>8</v>
      </c>
      <c r="E12" s="38">
        <v>61.6</v>
      </c>
      <c r="F12" s="37">
        <v>120</v>
      </c>
      <c r="G12" s="38">
        <v>66.3</v>
      </c>
      <c r="H12" s="38">
        <v>129.19999999999999</v>
      </c>
      <c r="I12" s="39">
        <v>53.1</v>
      </c>
      <c r="J12" s="40">
        <v>103.4</v>
      </c>
      <c r="K12" s="85">
        <v>6.6</v>
      </c>
      <c r="L12" s="41">
        <v>12.9</v>
      </c>
      <c r="M12" s="33"/>
      <c r="N12" s="33"/>
      <c r="O12" s="33"/>
      <c r="Q12" s="842" t="s">
        <v>204</v>
      </c>
      <c r="R12" s="843"/>
      <c r="S12" s="843"/>
      <c r="T12" s="843"/>
      <c r="U12" s="843"/>
      <c r="V12" s="843"/>
      <c r="W12" s="843"/>
      <c r="X12" s="843"/>
      <c r="Y12" s="843"/>
      <c r="Z12" s="843"/>
      <c r="AA12" s="843"/>
      <c r="AB12" s="843"/>
      <c r="AC12" s="843"/>
      <c r="AD12" s="843"/>
      <c r="AE12" s="843"/>
      <c r="AF12" s="843"/>
      <c r="AG12" s="843"/>
      <c r="AH12" s="843"/>
      <c r="AI12" s="843"/>
      <c r="AJ12" s="843"/>
      <c r="AK12" s="844"/>
      <c r="AL12" s="844"/>
      <c r="AM12" s="845"/>
      <c r="AO12" s="733"/>
      <c r="AP12" s="730"/>
      <c r="AQ12" s="731"/>
      <c r="AR12" s="86">
        <v>1215</v>
      </c>
      <c r="AS12" s="616">
        <v>7215</v>
      </c>
      <c r="AT12" s="621">
        <f t="shared" si="8"/>
        <v>3</v>
      </c>
      <c r="AU12" s="621">
        <f t="shared" si="1"/>
        <v>0.25</v>
      </c>
      <c r="AV12" s="616">
        <f t="shared" si="7"/>
        <v>1.29</v>
      </c>
      <c r="AW12" s="253">
        <f t="shared" si="2"/>
        <v>0.23414400000000002</v>
      </c>
      <c r="AX12" s="640">
        <f t="shared" si="9"/>
        <v>9.5976000000000013E-3</v>
      </c>
      <c r="AY12" s="236">
        <v>43.9</v>
      </c>
      <c r="AZ12" s="645">
        <f t="shared" si="3"/>
        <v>0.42133464000000004</v>
      </c>
      <c r="BA12" s="640">
        <f>$AW$12*G123</f>
        <v>2.3789030400000001E-2</v>
      </c>
      <c r="BB12" s="236">
        <v>47.3</v>
      </c>
      <c r="BC12" s="645">
        <f t="shared" si="4"/>
        <v>1.1252211379199999</v>
      </c>
      <c r="BD12" s="640">
        <f>$AW$12*I123</f>
        <v>4.8420979200000006E-2</v>
      </c>
      <c r="BE12" s="236">
        <v>37.799999999999997</v>
      </c>
      <c r="BF12" s="645">
        <f t="shared" si="5"/>
        <v>1.8303130137600001</v>
      </c>
      <c r="BG12" s="640">
        <f>$AW$12*K123</f>
        <v>0.1346562144</v>
      </c>
      <c r="BH12" s="236">
        <v>4.7</v>
      </c>
      <c r="BI12" s="651">
        <f t="shared" si="6"/>
        <v>0.63288420767999998</v>
      </c>
      <c r="BJ12" s="12"/>
      <c r="BK12" s="70" t="s">
        <v>434</v>
      </c>
      <c r="BL12" s="455">
        <f>(AF9+AF10)/hstr5</f>
        <v>161.60000000000002</v>
      </c>
      <c r="BM12" s="455">
        <f>(AF19+AF20)/hstr5</f>
        <v>174.11666666666665</v>
      </c>
      <c r="BN12" s="455">
        <f>(AF29+AF30)/hstr5</f>
        <v>139.21666666666667</v>
      </c>
      <c r="BO12" s="455">
        <f>(AF39+AF40)/hstr5</f>
        <v>17.333333333333332</v>
      </c>
      <c r="BP12" s="455">
        <f t="shared" ref="BP12:BP16" si="11">BO12</f>
        <v>17.333333333333332</v>
      </c>
      <c r="BQ12" s="575">
        <v>25.545754294807207</v>
      </c>
      <c r="BR12" s="70" t="s">
        <v>437</v>
      </c>
      <c r="BS12" s="455">
        <f>BL12/(BZ12*hstr5)</f>
        <v>5612.5142396710289</v>
      </c>
      <c r="BT12" s="455">
        <f>(BM12-BL12)/((CA12-BZ12)*hstr5)</f>
        <v>304.48544031016007</v>
      </c>
      <c r="BU12" s="455">
        <f>(BN12-BM12)/((CB12-CA12)*hstr5)</f>
        <v>-455.64286247371189</v>
      </c>
      <c r="BV12" s="455">
        <f>(BO12-BN12)/((CC12-CB12)*hstr5)</f>
        <v>-453.7644790883154</v>
      </c>
      <c r="BW12" s="455">
        <v>0</v>
      </c>
      <c r="BX12" s="575">
        <f t="shared" si="10"/>
        <v>16837.542719013087</v>
      </c>
      <c r="BY12" s="70" t="s">
        <v>440</v>
      </c>
      <c r="BZ12" s="51">
        <f>(SUM(AZ11:AZ16)+SUM(AZ17:AZ22))/(SUM(AY11:AY16)+SUM(AY17:AY22))</f>
        <v>9.5976000000000013E-3</v>
      </c>
      <c r="CA12" s="51">
        <f>(SUM(BC11:BC16)+SUM(BC17:BC22))/(SUM(BB11:BB16)+SUM(BB17:BB22))</f>
        <v>2.3300134406808511E-2</v>
      </c>
      <c r="CB12" s="51">
        <f>(SUM(BF11:BF16)+SUM(BF17:BF22))/(SUM(BE11:BE16)+SUM(BE17:BE22))</f>
        <v>4.8831826640886922E-2</v>
      </c>
      <c r="CC12" s="51">
        <f>(SUM(BI11:BI16)+SUM(BI17:BI22))/(SUM(BH11:BH16)+SUM(BH17:BH22))</f>
        <v>0.13836677186049823</v>
      </c>
      <c r="CD12" s="51">
        <v>0.15</v>
      </c>
      <c r="CE12" s="577">
        <v>1.517190169677238E-3</v>
      </c>
      <c r="CF12" s="12"/>
      <c r="CG12" s="12"/>
      <c r="CH12" s="12"/>
      <c r="CI12" s="12"/>
    </row>
    <row r="13" spans="2:87" ht="15.75" customHeight="1" x14ac:dyDescent="0.25">
      <c r="B13" s="733"/>
      <c r="C13" s="330">
        <v>5213</v>
      </c>
      <c r="D13" s="331" t="s">
        <v>8</v>
      </c>
      <c r="E13" s="38">
        <v>61.6</v>
      </c>
      <c r="F13" s="37">
        <v>120</v>
      </c>
      <c r="G13" s="38">
        <v>66.3</v>
      </c>
      <c r="H13" s="38">
        <v>129.19999999999999</v>
      </c>
      <c r="I13" s="39">
        <v>53.1</v>
      </c>
      <c r="J13" s="40">
        <v>103.4</v>
      </c>
      <c r="K13" s="85">
        <v>6.6</v>
      </c>
      <c r="L13" s="41">
        <v>12.9</v>
      </c>
      <c r="M13" s="33"/>
      <c r="N13" s="33"/>
      <c r="O13" s="33"/>
      <c r="Q13" s="755" t="s">
        <v>5</v>
      </c>
      <c r="R13" s="756"/>
      <c r="S13" s="756">
        <v>1</v>
      </c>
      <c r="T13" s="756"/>
      <c r="U13" s="756"/>
      <c r="V13" s="756"/>
      <c r="W13" s="756"/>
      <c r="X13" s="756"/>
      <c r="Y13" s="756"/>
      <c r="Z13" s="756">
        <v>2</v>
      </c>
      <c r="AA13" s="756"/>
      <c r="AB13" s="756"/>
      <c r="AC13" s="756"/>
      <c r="AD13" s="756"/>
      <c r="AE13" s="756"/>
      <c r="AF13" s="756"/>
      <c r="AG13" s="756">
        <v>3</v>
      </c>
      <c r="AH13" s="756"/>
      <c r="AI13" s="756"/>
      <c r="AJ13" s="756"/>
      <c r="AK13" s="765"/>
      <c r="AL13" s="765"/>
      <c r="AM13" s="766"/>
      <c r="AO13" s="733"/>
      <c r="AP13" s="730"/>
      <c r="AQ13" s="731"/>
      <c r="AR13" s="86">
        <v>1315</v>
      </c>
      <c r="AS13" s="616">
        <v>7315</v>
      </c>
      <c r="AT13" s="621">
        <f t="shared" si="8"/>
        <v>3</v>
      </c>
      <c r="AU13" s="621">
        <f t="shared" si="1"/>
        <v>0.25</v>
      </c>
      <c r="AV13" s="616">
        <f t="shared" si="7"/>
        <v>1.29</v>
      </c>
      <c r="AW13" s="253">
        <f t="shared" si="2"/>
        <v>0.23414400000000002</v>
      </c>
      <c r="AX13" s="640">
        <f t="shared" si="9"/>
        <v>9.5976000000000013E-3</v>
      </c>
      <c r="AY13" s="236">
        <v>43.9</v>
      </c>
      <c r="AZ13" s="645">
        <f t="shared" si="3"/>
        <v>0.42133464000000004</v>
      </c>
      <c r="BA13" s="640">
        <f>$AW$13*G129</f>
        <v>2.3789030400000001E-2</v>
      </c>
      <c r="BB13" s="236">
        <v>47.3</v>
      </c>
      <c r="BC13" s="645">
        <f t="shared" si="4"/>
        <v>1.1252211379199999</v>
      </c>
      <c r="BD13" s="640">
        <f>$AW$13*I129</f>
        <v>4.8420979200000006E-2</v>
      </c>
      <c r="BE13" s="236">
        <v>37.799999999999997</v>
      </c>
      <c r="BF13" s="645">
        <f t="shared" si="5"/>
        <v>1.8303130137600001</v>
      </c>
      <c r="BG13" s="640">
        <f>$AW$13*K129</f>
        <v>0.1346562144</v>
      </c>
      <c r="BH13" s="236">
        <v>4.7</v>
      </c>
      <c r="BI13" s="651">
        <f t="shared" si="6"/>
        <v>0.63288420767999998</v>
      </c>
      <c r="BJ13" s="12"/>
      <c r="BK13" s="70" t="s">
        <v>433</v>
      </c>
      <c r="BL13" s="455">
        <f>(Y9+Y10)/hstr4</f>
        <v>177.6</v>
      </c>
      <c r="BM13" s="455">
        <f>(Y19+Y20)/hstr4</f>
        <v>191.1</v>
      </c>
      <c r="BN13" s="455">
        <f>(Y29+Y30)/hstr4</f>
        <v>152.83333333333334</v>
      </c>
      <c r="BO13" s="455">
        <f>(Y39+Y40)/hstr4</f>
        <v>19</v>
      </c>
      <c r="BP13" s="455">
        <f t="shared" si="11"/>
        <v>19</v>
      </c>
      <c r="BQ13" s="575">
        <v>40.63108083011209</v>
      </c>
      <c r="BR13" s="70" t="s">
        <v>436</v>
      </c>
      <c r="BS13" s="455">
        <f>BL13/(BZ13*hstr4)</f>
        <v>6676.2100167477156</v>
      </c>
      <c r="BT13" s="455">
        <f>(BM13-BL13)/((CA13-BZ13)*hstr4)</f>
        <v>370.54326740288963</v>
      </c>
      <c r="BU13" s="455">
        <f>(BN13-BM13)/((CB13-CA13)*hstr4)</f>
        <v>-679.51505353122081</v>
      </c>
      <c r="BV13" s="455">
        <f>(BO13-BN13)/((CC13-CB13)*hstr4)</f>
        <v>-679.04472939845141</v>
      </c>
      <c r="BW13" s="455">
        <v>0</v>
      </c>
      <c r="BX13" s="575">
        <f t="shared" si="10"/>
        <v>20028.630050243148</v>
      </c>
      <c r="BY13" s="70" t="s">
        <v>439</v>
      </c>
      <c r="BZ13" s="51">
        <f>(SUM(AZ17:AZ22)+SUM(AZ23:AZ28))/(SUM(AY17:AY22)+SUM(AY23:AY28))</f>
        <v>8.8673064285714302E-3</v>
      </c>
      <c r="CA13" s="51">
        <f>(SUM(BC17:BC22)+SUM(BC23:BC28))/(SUM(BB17:BB22)+SUM(BB23:BB28))</f>
        <v>2.1011637187945815E-2</v>
      </c>
      <c r="CB13" s="51">
        <f>(SUM(BF17:BF22)+SUM(BF23:BF28))/(SUM(BE17:BE22)+SUM(BE23:BE28))</f>
        <v>3.9783194181818193E-2</v>
      </c>
      <c r="CC13" s="51">
        <f>(SUM(BI17:BI22)+SUM(BI23:BI28))/(SUM(BH17:BH22)+SUM(BH23:BH28))</f>
        <v>0.10548006094143647</v>
      </c>
      <c r="CD13" s="51">
        <v>0.15</v>
      </c>
      <c r="CE13" s="577">
        <v>2.0286500239001036E-3</v>
      </c>
      <c r="CF13" s="12"/>
      <c r="CG13" s="12"/>
      <c r="CH13" s="12"/>
      <c r="CI13" s="12"/>
    </row>
    <row r="14" spans="2:87" x14ac:dyDescent="0.25">
      <c r="B14" s="733"/>
      <c r="C14" s="330">
        <v>5214</v>
      </c>
      <c r="D14" s="331" t="s">
        <v>8</v>
      </c>
      <c r="E14" s="38">
        <v>61.6</v>
      </c>
      <c r="F14" s="37">
        <v>120</v>
      </c>
      <c r="G14" s="38">
        <v>66.3</v>
      </c>
      <c r="H14" s="38">
        <v>129.19999999999999</v>
      </c>
      <c r="I14" s="39">
        <v>53.1</v>
      </c>
      <c r="J14" s="40">
        <v>103.4</v>
      </c>
      <c r="K14" s="85">
        <v>6.6</v>
      </c>
      <c r="L14" s="41">
        <v>12.9</v>
      </c>
      <c r="M14" s="85"/>
      <c r="N14" s="85"/>
      <c r="O14" s="12"/>
      <c r="Q14" s="757" t="s">
        <v>38</v>
      </c>
      <c r="R14" s="758"/>
      <c r="S14" s="624" t="s">
        <v>39</v>
      </c>
      <c r="T14" s="624" t="s">
        <v>40</v>
      </c>
      <c r="U14" s="624" t="s">
        <v>41</v>
      </c>
      <c r="V14" s="625" t="s">
        <v>42</v>
      </c>
      <c r="W14" s="624" t="s">
        <v>400</v>
      </c>
      <c r="X14" s="624" t="s">
        <v>401</v>
      </c>
      <c r="Y14" s="624" t="s">
        <v>54</v>
      </c>
      <c r="Z14" s="624" t="s">
        <v>43</v>
      </c>
      <c r="AA14" s="624" t="s">
        <v>44</v>
      </c>
      <c r="AB14" s="624" t="s">
        <v>45</v>
      </c>
      <c r="AC14" s="625" t="s">
        <v>46</v>
      </c>
      <c r="AD14" s="624" t="s">
        <v>398</v>
      </c>
      <c r="AE14" s="624" t="s">
        <v>399</v>
      </c>
      <c r="AF14" s="624" t="s">
        <v>54</v>
      </c>
      <c r="AG14" s="624" t="s">
        <v>47</v>
      </c>
      <c r="AH14" s="624" t="s">
        <v>48</v>
      </c>
      <c r="AI14" s="624" t="s">
        <v>49</v>
      </c>
      <c r="AJ14" s="625" t="s">
        <v>50</v>
      </c>
      <c r="AK14" s="624" t="s">
        <v>402</v>
      </c>
      <c r="AL14" s="624" t="s">
        <v>403</v>
      </c>
      <c r="AM14" s="626" t="s">
        <v>54</v>
      </c>
      <c r="AO14" s="733"/>
      <c r="AP14" s="730"/>
      <c r="AQ14" s="731"/>
      <c r="AR14" s="86">
        <v>1415</v>
      </c>
      <c r="AS14" s="616">
        <v>7415</v>
      </c>
      <c r="AT14" s="621">
        <f t="shared" si="8"/>
        <v>3</v>
      </c>
      <c r="AU14" s="621">
        <f t="shared" si="1"/>
        <v>0.25</v>
      </c>
      <c r="AV14" s="616">
        <f t="shared" si="7"/>
        <v>1.29</v>
      </c>
      <c r="AW14" s="253">
        <f t="shared" si="2"/>
        <v>0.23414400000000002</v>
      </c>
      <c r="AX14" s="640">
        <f t="shared" si="9"/>
        <v>9.5976000000000013E-3</v>
      </c>
      <c r="AY14" s="236">
        <v>43.9</v>
      </c>
      <c r="AZ14" s="645">
        <f t="shared" si="3"/>
        <v>0.42133464000000004</v>
      </c>
      <c r="BA14" s="640">
        <f>$AW$14*G135</f>
        <v>2.3789030400000001E-2</v>
      </c>
      <c r="BB14" s="236">
        <v>47.3</v>
      </c>
      <c r="BC14" s="645">
        <f t="shared" si="4"/>
        <v>1.1252211379199999</v>
      </c>
      <c r="BD14" s="640">
        <f>$AW$14*I135</f>
        <v>4.8420979200000006E-2</v>
      </c>
      <c r="BE14" s="236">
        <v>37.799999999999997</v>
      </c>
      <c r="BF14" s="645">
        <f t="shared" si="5"/>
        <v>1.8303130137600001</v>
      </c>
      <c r="BG14" s="640">
        <f>$AW$14*K135</f>
        <v>0.1346562144</v>
      </c>
      <c r="BH14" s="236">
        <v>4.7</v>
      </c>
      <c r="BI14" s="651">
        <f t="shared" si="6"/>
        <v>0.63288420767999998</v>
      </c>
      <c r="BJ14" s="12"/>
      <c r="BK14" s="70" t="s">
        <v>310</v>
      </c>
      <c r="BL14" s="455">
        <f>(AM5+AM6)/hstr3</f>
        <v>254.66666666666663</v>
      </c>
      <c r="BM14" s="455">
        <f>(AM15+AM16)/hstr3</f>
        <v>274.23333333333329</v>
      </c>
      <c r="BN14" s="455">
        <f>(AM25+AM26)/hstr3</f>
        <v>219.43333333333331</v>
      </c>
      <c r="BO14" s="455">
        <f>(AM35+AM36)/hstr3</f>
        <v>27.533333333333331</v>
      </c>
      <c r="BP14" s="455">
        <f t="shared" si="11"/>
        <v>27.533333333333331</v>
      </c>
      <c r="BQ14" s="575">
        <v>117.3144077122426</v>
      </c>
      <c r="BR14" s="70" t="s">
        <v>377</v>
      </c>
      <c r="BS14" s="455">
        <f>BL14/(BZ14*hstr3)</f>
        <v>10159.415010041577</v>
      </c>
      <c r="BT14" s="455">
        <f>(BM14-BL14)/((CA14-BZ14)*hstr3)</f>
        <v>561.76431234663346</v>
      </c>
      <c r="BU14" s="455">
        <f>(BN14-BM14)/((CB14-CA14)*hstr3)</f>
        <v>-1184.3193718479415</v>
      </c>
      <c r="BV14" s="455">
        <f>(BO14-BN14)/((CC14-CB14)*hstr3)</f>
        <v>-1183.3822499997993</v>
      </c>
      <c r="BW14" s="455">
        <v>0</v>
      </c>
      <c r="BX14" s="575">
        <f t="shared" si="10"/>
        <v>30478.24503012473</v>
      </c>
      <c r="BY14" s="70" t="s">
        <v>313</v>
      </c>
      <c r="BZ14" s="51">
        <f>(SUM(AZ23:AZ28)+SUM(AZ29:AZ34))/(SUM(AY23:AY28)+SUM(AY29:AY34))</f>
        <v>8.3556867009551838E-3</v>
      </c>
      <c r="CA14" s="51">
        <f>(SUM(BC23:BC28)+SUM(BC29:BC34))/(SUM(BB23:BB28)+SUM(BB29:BB34))</f>
        <v>1.996593334509893E-2</v>
      </c>
      <c r="CB14" s="51">
        <f>(SUM(BF23:BF28)+SUM(BF29:BF34))/(SUM(BE23:BE28)+SUM(BE29:BE34))</f>
        <v>3.5389700870039807E-2</v>
      </c>
      <c r="CC14" s="51">
        <f>(SUM(BI23:BI28)+SUM(BI29:BI34))/(SUM(BH23:BH28)+SUM(BH29:BH34))</f>
        <v>8.9443804408163269E-2</v>
      </c>
      <c r="CD14" s="51">
        <v>0.1</v>
      </c>
      <c r="CE14" s="577">
        <v>3.8491195144697114E-3</v>
      </c>
      <c r="CF14" s="12"/>
      <c r="CG14" s="12"/>
      <c r="CH14" s="12"/>
      <c r="CI14" s="12"/>
    </row>
    <row r="15" spans="2:87" x14ac:dyDescent="0.25">
      <c r="B15" s="733"/>
      <c r="C15" s="330">
        <v>5215</v>
      </c>
      <c r="D15" s="331" t="s">
        <v>8</v>
      </c>
      <c r="E15" s="38">
        <v>61.6</v>
      </c>
      <c r="F15" s="37">
        <v>120</v>
      </c>
      <c r="G15" s="38">
        <v>66.3</v>
      </c>
      <c r="H15" s="38">
        <v>129.19999999999999</v>
      </c>
      <c r="I15" s="39">
        <v>53.1</v>
      </c>
      <c r="J15" s="40">
        <v>103.4</v>
      </c>
      <c r="K15" s="85">
        <v>6.6</v>
      </c>
      <c r="L15" s="41">
        <v>12.9</v>
      </c>
      <c r="Q15" s="759" t="s">
        <v>53</v>
      </c>
      <c r="R15" s="760"/>
      <c r="S15" s="628">
        <v>33.15</v>
      </c>
      <c r="T15" s="236">
        <v>107.4</v>
      </c>
      <c r="U15" s="236">
        <v>107.4</v>
      </c>
      <c r="V15" s="236">
        <v>107.4</v>
      </c>
      <c r="W15" s="236">
        <v>107.4</v>
      </c>
      <c r="X15" s="236">
        <v>75.599999999999994</v>
      </c>
      <c r="Y15" s="630">
        <f>S15+T15+U15+V15+W15+X15</f>
        <v>538.35</v>
      </c>
      <c r="Z15" s="628">
        <v>33.15</v>
      </c>
      <c r="AA15" s="236">
        <v>88.1</v>
      </c>
      <c r="AB15" s="236">
        <v>88.1</v>
      </c>
      <c r="AC15" s="236">
        <v>88.1</v>
      </c>
      <c r="AD15" s="236">
        <v>88.1</v>
      </c>
      <c r="AE15" s="236">
        <v>50.5</v>
      </c>
      <c r="AF15" s="630">
        <f>Z15+AA15+AB15+AC15+AD15+AE15</f>
        <v>436.04999999999995</v>
      </c>
      <c r="AG15" s="628">
        <v>33.15</v>
      </c>
      <c r="AH15" s="236">
        <v>82.6</v>
      </c>
      <c r="AI15" s="236">
        <v>82.6</v>
      </c>
      <c r="AJ15" s="236">
        <v>82.6</v>
      </c>
      <c r="AK15" s="236">
        <v>82.6</v>
      </c>
      <c r="AL15" s="236">
        <v>47.8</v>
      </c>
      <c r="AM15" s="629">
        <f>AG15+AH15+AI15+AJ15+AK15+AL15</f>
        <v>411.34999999999997</v>
      </c>
      <c r="AO15" s="733"/>
      <c r="AP15" s="730"/>
      <c r="AQ15" s="731"/>
      <c r="AR15" s="86">
        <v>1515</v>
      </c>
      <c r="AS15" s="616">
        <v>7515</v>
      </c>
      <c r="AT15" s="621">
        <f t="shared" si="8"/>
        <v>3</v>
      </c>
      <c r="AU15" s="621">
        <f t="shared" si="1"/>
        <v>0.25</v>
      </c>
      <c r="AV15" s="616">
        <f t="shared" si="7"/>
        <v>1.29</v>
      </c>
      <c r="AW15" s="253">
        <f t="shared" si="2"/>
        <v>0.23414400000000002</v>
      </c>
      <c r="AX15" s="640">
        <f t="shared" si="9"/>
        <v>9.5976000000000013E-3</v>
      </c>
      <c r="AY15" s="236">
        <v>43.9</v>
      </c>
      <c r="AZ15" s="645">
        <f t="shared" si="3"/>
        <v>0.42133464000000004</v>
      </c>
      <c r="BA15" s="640">
        <f>$AW$15*G141</f>
        <v>2.3789030400000001E-2</v>
      </c>
      <c r="BB15" s="236">
        <v>47.3</v>
      </c>
      <c r="BC15" s="645">
        <f t="shared" si="4"/>
        <v>1.1252211379199999</v>
      </c>
      <c r="BD15" s="640">
        <f>$AW$15*I141</f>
        <v>4.8420979200000006E-2</v>
      </c>
      <c r="BE15" s="236">
        <v>37.799999999999997</v>
      </c>
      <c r="BF15" s="645">
        <f t="shared" si="5"/>
        <v>1.8303130137600001</v>
      </c>
      <c r="BG15" s="640">
        <f>$AW$15*K141</f>
        <v>0.1346562144</v>
      </c>
      <c r="BH15" s="236">
        <v>4.7</v>
      </c>
      <c r="BI15" s="651">
        <f t="shared" si="6"/>
        <v>0.63288420767999998</v>
      </c>
      <c r="BJ15" s="12"/>
      <c r="BK15" s="70" t="s">
        <v>311</v>
      </c>
      <c r="BL15" s="455">
        <f>(AF5+AF6)/hstr2</f>
        <v>269.93333333333334</v>
      </c>
      <c r="BM15" s="455">
        <f>(AF15+AF16)/hstr2</f>
        <v>290.7</v>
      </c>
      <c r="BN15" s="455">
        <f>(AF25+AF26)/hstr2</f>
        <v>232.63333333333333</v>
      </c>
      <c r="BO15" s="455">
        <f>(AF35+AF36)/hstr2</f>
        <v>29.066666666666666</v>
      </c>
      <c r="BP15" s="455">
        <f t="shared" si="11"/>
        <v>29.066666666666666</v>
      </c>
      <c r="BQ15" s="575">
        <v>0</v>
      </c>
      <c r="BR15" s="70" t="s">
        <v>378</v>
      </c>
      <c r="BS15" s="455">
        <f>BL15/(BZ15*hstr2)</f>
        <v>14024.411395852603</v>
      </c>
      <c r="BT15" s="455">
        <f>(BM15-BL15)/((CA15-BZ15)*hstr2)</f>
        <v>548.58584401009978</v>
      </c>
      <c r="BU15" s="455">
        <f>(BN15-BM15)/((CB15-CA15)*hstr2)</f>
        <v>-1441.4784830529752</v>
      </c>
      <c r="BV15" s="455">
        <f>(BO15-BN15)/((CC15-CB15)*hstr2)</f>
        <v>-1411.9306834001077</v>
      </c>
      <c r="BW15" s="455">
        <v>0</v>
      </c>
      <c r="BX15" s="575">
        <f t="shared" si="10"/>
        <v>42073.234187557813</v>
      </c>
      <c r="BY15" s="70" t="s">
        <v>314</v>
      </c>
      <c r="BZ15" s="51">
        <f>(SUM(AZ29:AZ34)+SUM(AZ35:AZ40))/(SUM(AY29:AY34)+SUM(AY35:AY40))</f>
        <v>6.4157970868129726E-3</v>
      </c>
      <c r="CA15" s="51">
        <f>(SUM(BC29:BC34)+SUM(BC35:BC40))/(SUM(BB29:BB34)+SUM(BB35:BB40))</f>
        <v>1.903409976050496E-2</v>
      </c>
      <c r="CB15" s="51">
        <f>(SUM(BF29:BF34)+SUM(BF35:BF40))/(SUM(BE29:BE34)+SUM(BE35:BE40))</f>
        <v>3.2461671370565701E-2</v>
      </c>
      <c r="CC15" s="51">
        <f>(SUM(BI29:BI34)+SUM(BI35:BI40))/(SUM(BH29:BH34)+SUM(BH35:BH40))</f>
        <v>8.0520373085405411E-2</v>
      </c>
      <c r="CD15" s="51">
        <v>0.1</v>
      </c>
      <c r="CE15" s="577">
        <v>0</v>
      </c>
      <c r="CF15" s="12"/>
      <c r="CG15" s="12"/>
      <c r="CH15" s="12"/>
      <c r="CI15" s="12"/>
    </row>
    <row r="16" spans="2:87" ht="15.75" thickBot="1" x14ac:dyDescent="0.3">
      <c r="B16" s="733"/>
      <c r="C16" s="330">
        <v>5216</v>
      </c>
      <c r="D16" s="331" t="s">
        <v>8</v>
      </c>
      <c r="E16" s="38">
        <v>61.6</v>
      </c>
      <c r="F16" s="37">
        <v>120</v>
      </c>
      <c r="G16" s="38">
        <v>66.3</v>
      </c>
      <c r="H16" s="38">
        <v>129.19999999999999</v>
      </c>
      <c r="I16" s="39">
        <v>53.1</v>
      </c>
      <c r="J16" s="40">
        <v>103.4</v>
      </c>
      <c r="K16" s="85">
        <v>6.6</v>
      </c>
      <c r="L16" s="41">
        <v>12.9</v>
      </c>
      <c r="Q16" s="761" t="s">
        <v>52</v>
      </c>
      <c r="R16" s="762"/>
      <c r="S16" s="631">
        <v>75.599999999999994</v>
      </c>
      <c r="T16" s="632">
        <v>126.1</v>
      </c>
      <c r="U16" s="632">
        <v>126.1</v>
      </c>
      <c r="V16" s="632">
        <v>126.1</v>
      </c>
      <c r="W16" s="632">
        <v>126.1</v>
      </c>
      <c r="X16" s="632">
        <v>75.599999999999994</v>
      </c>
      <c r="Y16" s="634">
        <f>S16+T16+U16+V16+W16+X16</f>
        <v>655.6</v>
      </c>
      <c r="Z16" s="631">
        <v>33.15</v>
      </c>
      <c r="AA16" s="632">
        <v>88.1</v>
      </c>
      <c r="AB16" s="632">
        <v>88.1</v>
      </c>
      <c r="AC16" s="632">
        <v>88.1</v>
      </c>
      <c r="AD16" s="632">
        <v>88.1</v>
      </c>
      <c r="AE16" s="632">
        <v>50.5</v>
      </c>
      <c r="AF16" s="634">
        <f>Z16+AA16+AB16+AC16+AD16+AE16</f>
        <v>436.04999999999995</v>
      </c>
      <c r="AG16" s="631">
        <v>33.15</v>
      </c>
      <c r="AH16" s="632">
        <v>82.6</v>
      </c>
      <c r="AI16" s="632">
        <v>82.6</v>
      </c>
      <c r="AJ16" s="632">
        <v>82.6</v>
      </c>
      <c r="AK16" s="632">
        <v>82.6</v>
      </c>
      <c r="AL16" s="632">
        <v>47.8</v>
      </c>
      <c r="AM16" s="633">
        <f>AG16+AH16+AI16+AJ16+AK16+AL16</f>
        <v>411.34999999999997</v>
      </c>
      <c r="AO16" s="733"/>
      <c r="AP16" s="730"/>
      <c r="AQ16" s="731"/>
      <c r="AR16" s="86">
        <v>1615</v>
      </c>
      <c r="AS16" s="616">
        <v>7615</v>
      </c>
      <c r="AT16" s="621">
        <f t="shared" si="8"/>
        <v>3</v>
      </c>
      <c r="AU16" s="621">
        <f t="shared" si="1"/>
        <v>0.25</v>
      </c>
      <c r="AV16" s="616">
        <f t="shared" si="7"/>
        <v>1.29</v>
      </c>
      <c r="AW16" s="253">
        <f t="shared" si="2"/>
        <v>0.23414400000000002</v>
      </c>
      <c r="AX16" s="641">
        <f t="shared" si="9"/>
        <v>9.5976000000000013E-3</v>
      </c>
      <c r="AY16" s="642">
        <v>35.9</v>
      </c>
      <c r="AZ16" s="646">
        <f t="shared" si="3"/>
        <v>0.34455384000000006</v>
      </c>
      <c r="BA16" s="641">
        <f>$AW$16*G147</f>
        <v>2.1236860800000004E-2</v>
      </c>
      <c r="BB16" s="642">
        <v>38.700000000000003</v>
      </c>
      <c r="BC16" s="646">
        <f>BB16*BA16</f>
        <v>0.82186651296000024</v>
      </c>
      <c r="BD16" s="641">
        <f>$AW$16*I147</f>
        <v>6.5653977599999996E-2</v>
      </c>
      <c r="BE16" s="642">
        <v>31</v>
      </c>
      <c r="BF16" s="646">
        <f t="shared" si="5"/>
        <v>2.0352733056000001</v>
      </c>
      <c r="BG16" s="641">
        <f>$AW$16*K147</f>
        <v>0.22112559360000003</v>
      </c>
      <c r="BH16" s="642">
        <v>3.9</v>
      </c>
      <c r="BI16" s="652">
        <f t="shared" si="6"/>
        <v>0.86238981504000012</v>
      </c>
      <c r="BJ16" s="12"/>
      <c r="BK16" s="81" t="s">
        <v>312</v>
      </c>
      <c r="BL16" s="456">
        <f>(Y5+Y6)/hstr1</f>
        <v>403.27272727272725</v>
      </c>
      <c r="BM16" s="456">
        <f>(Y15+Y16)/hstr1</f>
        <v>434.16363636363639</v>
      </c>
      <c r="BN16" s="456">
        <f>(Y25+Y26)/hstr1</f>
        <v>347.50909090909096</v>
      </c>
      <c r="BO16" s="456">
        <f>(Y35+Y36)/hstr1</f>
        <v>43.381818181818176</v>
      </c>
      <c r="BP16" s="456">
        <f t="shared" si="11"/>
        <v>43.381818181818176</v>
      </c>
      <c r="BQ16" s="576">
        <v>355.5249989453784</v>
      </c>
      <c r="BR16" s="81" t="s">
        <v>379</v>
      </c>
      <c r="BS16" s="456">
        <f>BL16/(BZ16*hstr1)</f>
        <v>30253.646228516616</v>
      </c>
      <c r="BT16" s="456">
        <f>(BM16-BL16)/((CA16-BZ16)*hstr1)</f>
        <v>811.61232955515254</v>
      </c>
      <c r="BU16" s="456">
        <f>(BN16-BM16)/((CB16-CA16)*hstr1)</f>
        <v>-2219.8901454054221</v>
      </c>
      <c r="BV16" s="456">
        <f>(BO16-BN16)/((CC16-CB16)*hstr1)</f>
        <v>-2187.7021071681379</v>
      </c>
      <c r="BW16" s="456">
        <v>0</v>
      </c>
      <c r="BX16" s="576">
        <f t="shared" si="10"/>
        <v>90760.938685549845</v>
      </c>
      <c r="BY16" s="81" t="s">
        <v>315</v>
      </c>
      <c r="BZ16" s="82">
        <f>(SUM(AZ35:AZ40)+SUM(AZ41:AZ46))/(SUM(AY35:AY40)+SUM(AY41:AY46))</f>
        <v>4.8471720397440425E-3</v>
      </c>
      <c r="CA16" s="82">
        <f>(SUM(BC35:BC40)+SUM(BC41:BC46))/(SUM(BB35:BB40)+SUM(BB41:BB46))</f>
        <v>1.8687594914291256E-2</v>
      </c>
      <c r="CB16" s="82">
        <f>(SUM(BF35:BF40)+SUM(BF41:BF46))/(SUM(BE35:BE40)+SUM(BE41:BE46))</f>
        <v>3.2882326066583492E-2</v>
      </c>
      <c r="CC16" s="82">
        <f>(SUM(BI35:BI40)+SUM(BI41:BI46))/(SUM(BH35:BH40)+SUM(BH41:BH46))</f>
        <v>8.3433877475173168E-2</v>
      </c>
      <c r="CD16" s="82">
        <v>0.1</v>
      </c>
      <c r="CE16" s="578">
        <v>4.2732640165687001E-3</v>
      </c>
      <c r="CF16" s="12"/>
      <c r="CG16" s="12"/>
      <c r="CH16" s="12"/>
      <c r="CI16" s="12"/>
    </row>
    <row r="17" spans="2:87" ht="15.75" thickBot="1" x14ac:dyDescent="0.3">
      <c r="B17" s="732">
        <v>3</v>
      </c>
      <c r="C17" s="328">
        <v>5311</v>
      </c>
      <c r="D17" s="328" t="s">
        <v>8</v>
      </c>
      <c r="E17" s="60">
        <v>61.6</v>
      </c>
      <c r="F17" s="61">
        <v>120</v>
      </c>
      <c r="G17" s="62">
        <v>66.3</v>
      </c>
      <c r="H17" s="62">
        <v>129.19999999999999</v>
      </c>
      <c r="I17" s="63">
        <v>53.1</v>
      </c>
      <c r="J17" s="64">
        <v>103.4</v>
      </c>
      <c r="K17" s="299">
        <v>6.6</v>
      </c>
      <c r="L17" s="65">
        <v>12.9</v>
      </c>
      <c r="Q17" s="755" t="s">
        <v>5</v>
      </c>
      <c r="R17" s="756"/>
      <c r="S17" s="756">
        <v>4</v>
      </c>
      <c r="T17" s="756"/>
      <c r="U17" s="756"/>
      <c r="V17" s="756"/>
      <c r="W17" s="756"/>
      <c r="X17" s="756"/>
      <c r="Y17" s="756"/>
      <c r="Z17" s="756">
        <v>5</v>
      </c>
      <c r="AA17" s="756"/>
      <c r="AB17" s="756"/>
      <c r="AC17" s="756"/>
      <c r="AD17" s="756"/>
      <c r="AE17" s="756"/>
      <c r="AF17" s="756"/>
      <c r="AG17" s="756">
        <v>6</v>
      </c>
      <c r="AH17" s="756"/>
      <c r="AI17" s="756"/>
      <c r="AJ17" s="756"/>
      <c r="AK17" s="765"/>
      <c r="AL17" s="765"/>
      <c r="AM17" s="766"/>
      <c r="AO17" s="732">
        <v>4</v>
      </c>
      <c r="AP17" s="735" t="s">
        <v>38</v>
      </c>
      <c r="AQ17" s="736"/>
      <c r="AR17" s="80">
        <v>1114</v>
      </c>
      <c r="AS17" s="617">
        <v>7114</v>
      </c>
      <c r="AT17" s="620">
        <f t="shared" ref="AT17:AT22" si="12">hstr4</f>
        <v>3</v>
      </c>
      <c r="AU17" s="620">
        <f t="shared" si="1"/>
        <v>0.25</v>
      </c>
      <c r="AV17" s="617">
        <f t="shared" si="7"/>
        <v>1.29</v>
      </c>
      <c r="AW17" s="305">
        <f t="shared" si="2"/>
        <v>0.23414400000000002</v>
      </c>
      <c r="AX17" s="638">
        <f t="shared" si="9"/>
        <v>9.5976000000000013E-3</v>
      </c>
      <c r="AY17" s="596">
        <v>40.799999999999997</v>
      </c>
      <c r="AZ17" s="644">
        <f t="shared" si="3"/>
        <v>0.39158208</v>
      </c>
      <c r="BA17" s="638">
        <f>$AW$17*G116</f>
        <v>2.5357795200000002E-2</v>
      </c>
      <c r="BB17" s="596">
        <v>43.9</v>
      </c>
      <c r="BC17" s="644">
        <f>BA17*BB17</f>
        <v>1.1132072092800001</v>
      </c>
      <c r="BD17" s="638">
        <f>$AW$17*I116</f>
        <v>5.6803334400000009E-2</v>
      </c>
      <c r="BE17" s="596">
        <v>35.1</v>
      </c>
      <c r="BF17" s="644">
        <f>BD17*BE17</f>
        <v>1.9937970374400005</v>
      </c>
      <c r="BG17" s="638">
        <f>$AW$17*K116</f>
        <v>0.16682760000000002</v>
      </c>
      <c r="BH17" s="596">
        <v>4.4000000000000004</v>
      </c>
      <c r="BI17" s="650">
        <f>BG17*BH17</f>
        <v>0.73404144000000016</v>
      </c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</row>
    <row r="18" spans="2:87" ht="16.5" customHeight="1" thickBot="1" x14ac:dyDescent="0.3">
      <c r="B18" s="733"/>
      <c r="C18" s="330">
        <v>5312</v>
      </c>
      <c r="D18" s="330" t="s">
        <v>8</v>
      </c>
      <c r="E18" s="36">
        <v>61.6</v>
      </c>
      <c r="F18" s="37">
        <v>120</v>
      </c>
      <c r="G18" s="38">
        <v>66.3</v>
      </c>
      <c r="H18" s="38">
        <v>129.19999999999999</v>
      </c>
      <c r="I18" s="39">
        <v>53.1</v>
      </c>
      <c r="J18" s="40">
        <v>103.4</v>
      </c>
      <c r="K18" s="85">
        <v>6.6</v>
      </c>
      <c r="L18" s="41">
        <v>12.9</v>
      </c>
      <c r="Q18" s="757" t="s">
        <v>38</v>
      </c>
      <c r="R18" s="758"/>
      <c r="S18" s="624" t="s">
        <v>415</v>
      </c>
      <c r="T18" s="624" t="s">
        <v>416</v>
      </c>
      <c r="U18" s="624" t="s">
        <v>417</v>
      </c>
      <c r="V18" s="625" t="s">
        <v>418</v>
      </c>
      <c r="W18" s="624" t="s">
        <v>419</v>
      </c>
      <c r="X18" s="624" t="s">
        <v>420</v>
      </c>
      <c r="Y18" s="624" t="s">
        <v>54</v>
      </c>
      <c r="Z18" s="624" t="s">
        <v>421</v>
      </c>
      <c r="AA18" s="624" t="s">
        <v>422</v>
      </c>
      <c r="AB18" s="624" t="s">
        <v>423</v>
      </c>
      <c r="AC18" s="625" t="s">
        <v>424</v>
      </c>
      <c r="AD18" s="624" t="s">
        <v>425</v>
      </c>
      <c r="AE18" s="624" t="s">
        <v>426</v>
      </c>
      <c r="AF18" s="624" t="s">
        <v>54</v>
      </c>
      <c r="AG18" s="624" t="s">
        <v>427</v>
      </c>
      <c r="AH18" s="624" t="s">
        <v>428</v>
      </c>
      <c r="AI18" s="624" t="s">
        <v>429</v>
      </c>
      <c r="AJ18" s="625" t="s">
        <v>430</v>
      </c>
      <c r="AK18" s="624" t="s">
        <v>431</v>
      </c>
      <c r="AL18" s="624" t="s">
        <v>432</v>
      </c>
      <c r="AM18" s="626" t="s">
        <v>54</v>
      </c>
      <c r="AO18" s="733"/>
      <c r="AP18" s="730"/>
      <c r="AQ18" s="731"/>
      <c r="AR18" s="86">
        <v>1214</v>
      </c>
      <c r="AS18" s="616">
        <v>7214</v>
      </c>
      <c r="AT18" s="621">
        <f t="shared" si="12"/>
        <v>3</v>
      </c>
      <c r="AU18" s="621">
        <f t="shared" si="1"/>
        <v>0.25</v>
      </c>
      <c r="AV18" s="616">
        <f t="shared" si="7"/>
        <v>1.29</v>
      </c>
      <c r="AW18" s="253">
        <f t="shared" si="2"/>
        <v>0.23414400000000002</v>
      </c>
      <c r="AX18" s="640">
        <f t="shared" si="9"/>
        <v>9.5976000000000013E-3</v>
      </c>
      <c r="AY18" s="236">
        <v>48.7</v>
      </c>
      <c r="AZ18" s="645">
        <f t="shared" si="3"/>
        <v>0.46740312000000012</v>
      </c>
      <c r="BA18" s="640">
        <f>$AW$18*G122</f>
        <v>2.2758796800000002E-2</v>
      </c>
      <c r="BB18" s="236">
        <v>52.4</v>
      </c>
      <c r="BC18" s="645">
        <f t="shared" si="4"/>
        <v>1.19256095232</v>
      </c>
      <c r="BD18" s="640">
        <f>$AW$18*I122</f>
        <v>3.9640579200000005E-2</v>
      </c>
      <c r="BE18" s="236">
        <v>41.9</v>
      </c>
      <c r="BF18" s="645">
        <f t="shared" si="5"/>
        <v>1.6609402684800001</v>
      </c>
      <c r="BG18" s="640">
        <f>$AW$18*K122</f>
        <v>9.8644867200000014E-2</v>
      </c>
      <c r="BH18" s="236">
        <v>5.2</v>
      </c>
      <c r="BI18" s="651">
        <f t="shared" si="6"/>
        <v>0.51295330944000006</v>
      </c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797" t="s">
        <v>299</v>
      </c>
      <c r="BZ18" s="798"/>
      <c r="CA18" s="798"/>
      <c r="CB18" s="798"/>
      <c r="CC18" s="798"/>
      <c r="CD18" s="799"/>
      <c r="CE18" s="573"/>
      <c r="CF18" s="12"/>
      <c r="CG18" s="12"/>
      <c r="CH18" s="12"/>
      <c r="CI18" s="12"/>
    </row>
    <row r="19" spans="2:87" x14ac:dyDescent="0.25">
      <c r="B19" s="733"/>
      <c r="C19" s="330">
        <v>5313</v>
      </c>
      <c r="D19" s="330" t="s">
        <v>8</v>
      </c>
      <c r="E19" s="36">
        <v>61.6</v>
      </c>
      <c r="F19" s="37">
        <v>120</v>
      </c>
      <c r="G19" s="38">
        <v>66.3</v>
      </c>
      <c r="H19" s="38">
        <v>129.19999999999999</v>
      </c>
      <c r="I19" s="39">
        <v>53.1</v>
      </c>
      <c r="J19" s="40">
        <v>103.4</v>
      </c>
      <c r="K19" s="85">
        <v>6.6</v>
      </c>
      <c r="L19" s="41">
        <v>12.9</v>
      </c>
      <c r="Q19" s="759" t="s">
        <v>53</v>
      </c>
      <c r="R19" s="760"/>
      <c r="S19" s="628">
        <v>33.15</v>
      </c>
      <c r="T19" s="236">
        <v>52.4</v>
      </c>
      <c r="U19" s="236">
        <v>52.4</v>
      </c>
      <c r="V19" s="236">
        <v>52.4</v>
      </c>
      <c r="W19" s="236">
        <v>52.4</v>
      </c>
      <c r="X19" s="236">
        <v>43.9</v>
      </c>
      <c r="Y19" s="630">
        <f>S19+T19+U19+V19+W19+X19</f>
        <v>286.64999999999998</v>
      </c>
      <c r="Z19" s="628">
        <v>33.4</v>
      </c>
      <c r="AA19" s="236">
        <v>47.3</v>
      </c>
      <c r="AB19" s="236">
        <v>47.3</v>
      </c>
      <c r="AC19" s="236">
        <v>47.3</v>
      </c>
      <c r="AD19" s="236">
        <v>47.3</v>
      </c>
      <c r="AE19" s="236">
        <v>38.700000000000003</v>
      </c>
      <c r="AF19" s="630">
        <f>Z19+AA19+AB19+AC19+AD19+AE19</f>
        <v>261.29999999999995</v>
      </c>
      <c r="AG19" s="628">
        <v>32.9</v>
      </c>
      <c r="AH19" s="236">
        <v>38.299999999999997</v>
      </c>
      <c r="AI19" s="236">
        <v>38.299999999999997</v>
      </c>
      <c r="AJ19" s="236">
        <v>38.299999999999997</v>
      </c>
      <c r="AK19" s="236">
        <v>38.299999999999997</v>
      </c>
      <c r="AL19" s="236">
        <v>32.9</v>
      </c>
      <c r="AM19" s="629">
        <f>AG19+AH19+AI19+AJ19+AK19+AL19</f>
        <v>218.99999999999997</v>
      </c>
      <c r="AO19" s="733"/>
      <c r="AP19" s="730"/>
      <c r="AQ19" s="731"/>
      <c r="AR19" s="86">
        <v>1314</v>
      </c>
      <c r="AS19" s="616">
        <v>7314</v>
      </c>
      <c r="AT19" s="621">
        <f t="shared" si="12"/>
        <v>3</v>
      </c>
      <c r="AU19" s="621">
        <f t="shared" si="1"/>
        <v>0.25</v>
      </c>
      <c r="AV19" s="616">
        <f t="shared" si="7"/>
        <v>1.29</v>
      </c>
      <c r="AW19" s="253">
        <f t="shared" si="2"/>
        <v>0.23414400000000002</v>
      </c>
      <c r="AX19" s="640">
        <f t="shared" si="9"/>
        <v>9.5976000000000013E-3</v>
      </c>
      <c r="AY19" s="236">
        <v>48.7</v>
      </c>
      <c r="AZ19" s="645">
        <f t="shared" si="3"/>
        <v>0.46740312000000012</v>
      </c>
      <c r="BA19" s="640">
        <f>$AW$19*G128</f>
        <v>2.2758796800000002E-2</v>
      </c>
      <c r="BB19" s="236">
        <v>52.4</v>
      </c>
      <c r="BC19" s="645">
        <f t="shared" si="4"/>
        <v>1.19256095232</v>
      </c>
      <c r="BD19" s="640">
        <f>$AW$19*I128</f>
        <v>3.9640579200000005E-2</v>
      </c>
      <c r="BE19" s="236">
        <v>41.9</v>
      </c>
      <c r="BF19" s="645">
        <f t="shared" si="5"/>
        <v>1.6609402684800001</v>
      </c>
      <c r="BG19" s="640">
        <f>$AW$19*K128</f>
        <v>9.8644867200000014E-2</v>
      </c>
      <c r="BH19" s="236">
        <v>5.2</v>
      </c>
      <c r="BI19" s="651">
        <f t="shared" si="6"/>
        <v>0.51295330944000006</v>
      </c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820" t="s">
        <v>298</v>
      </c>
      <c r="BZ19" s="822" t="s">
        <v>189</v>
      </c>
      <c r="CA19" s="739" t="s">
        <v>190</v>
      </c>
      <c r="CB19" s="739" t="s">
        <v>191</v>
      </c>
      <c r="CC19" s="739" t="s">
        <v>192</v>
      </c>
      <c r="CD19" s="800" t="s">
        <v>463</v>
      </c>
      <c r="CE19" s="574"/>
      <c r="CF19" s="12"/>
      <c r="CG19" s="12"/>
      <c r="CH19" s="12"/>
      <c r="CI19" s="12"/>
    </row>
    <row r="20" spans="2:87" ht="15.75" thickBot="1" x14ac:dyDescent="0.3">
      <c r="B20" s="733"/>
      <c r="C20" s="330">
        <v>5314</v>
      </c>
      <c r="D20" s="330" t="s">
        <v>8</v>
      </c>
      <c r="E20" s="36">
        <v>61.6</v>
      </c>
      <c r="F20" s="37">
        <v>120</v>
      </c>
      <c r="G20" s="38">
        <v>66.3</v>
      </c>
      <c r="H20" s="38">
        <v>129.19999999999999</v>
      </c>
      <c r="I20" s="39">
        <v>53.1</v>
      </c>
      <c r="J20" s="40">
        <v>103.4</v>
      </c>
      <c r="K20" s="85">
        <v>6.6</v>
      </c>
      <c r="L20" s="41">
        <v>12.9</v>
      </c>
      <c r="Q20" s="761" t="s">
        <v>52</v>
      </c>
      <c r="R20" s="762"/>
      <c r="S20" s="631">
        <v>33.15</v>
      </c>
      <c r="T20" s="632">
        <v>52.4</v>
      </c>
      <c r="U20" s="632">
        <v>52.4</v>
      </c>
      <c r="V20" s="632">
        <v>52.4</v>
      </c>
      <c r="W20" s="632">
        <v>52.4</v>
      </c>
      <c r="X20" s="632">
        <v>43.9</v>
      </c>
      <c r="Y20" s="634">
        <f>S20+T20+U20+V20+W20+X20</f>
        <v>286.64999999999998</v>
      </c>
      <c r="Z20" s="631">
        <v>33.15</v>
      </c>
      <c r="AA20" s="632">
        <v>47.3</v>
      </c>
      <c r="AB20" s="632">
        <v>47.3</v>
      </c>
      <c r="AC20" s="632">
        <v>47.3</v>
      </c>
      <c r="AD20" s="632">
        <v>47.3</v>
      </c>
      <c r="AE20" s="632">
        <v>38.700000000000003</v>
      </c>
      <c r="AF20" s="634">
        <f>Z20+AA20+AB20+AC20+AD20+AE20</f>
        <v>261.04999999999995</v>
      </c>
      <c r="AG20" s="631">
        <v>32.9</v>
      </c>
      <c r="AH20" s="632">
        <v>38.299999999999997</v>
      </c>
      <c r="AI20" s="632">
        <v>38.299999999999997</v>
      </c>
      <c r="AJ20" s="632">
        <v>38.299999999999997</v>
      </c>
      <c r="AK20" s="632">
        <v>38.299999999999997</v>
      </c>
      <c r="AL20" s="632">
        <v>32.9</v>
      </c>
      <c r="AM20" s="633">
        <f>AG20+AH20+AI20+AJ20+AK20+AL20</f>
        <v>218.99999999999997</v>
      </c>
      <c r="AO20" s="733"/>
      <c r="AP20" s="730"/>
      <c r="AQ20" s="731"/>
      <c r="AR20" s="86">
        <v>1414</v>
      </c>
      <c r="AS20" s="616">
        <v>7414</v>
      </c>
      <c r="AT20" s="621">
        <f t="shared" si="12"/>
        <v>3</v>
      </c>
      <c r="AU20" s="621">
        <f t="shared" si="1"/>
        <v>0.25</v>
      </c>
      <c r="AV20" s="616">
        <f t="shared" si="7"/>
        <v>1.29</v>
      </c>
      <c r="AW20" s="253">
        <f t="shared" si="2"/>
        <v>0.23414400000000002</v>
      </c>
      <c r="AX20" s="640">
        <f t="shared" si="9"/>
        <v>9.5976000000000013E-3</v>
      </c>
      <c r="AY20" s="236">
        <v>48.7</v>
      </c>
      <c r="AZ20" s="645">
        <f t="shared" si="3"/>
        <v>0.46740312000000012</v>
      </c>
      <c r="BA20" s="640">
        <f>$AW$20*G134</f>
        <v>2.2758796800000002E-2</v>
      </c>
      <c r="BB20" s="236">
        <v>52.4</v>
      </c>
      <c r="BC20" s="645">
        <f t="shared" si="4"/>
        <v>1.19256095232</v>
      </c>
      <c r="BD20" s="640">
        <f>$AW$20*I134</f>
        <v>3.9640579200000005E-2</v>
      </c>
      <c r="BE20" s="236">
        <v>41.9</v>
      </c>
      <c r="BF20" s="645">
        <f t="shared" si="5"/>
        <v>1.6609402684800001</v>
      </c>
      <c r="BG20" s="640">
        <f>$AW$20*K134</f>
        <v>9.8644867200000014E-2</v>
      </c>
      <c r="BH20" s="236">
        <v>5.2</v>
      </c>
      <c r="BI20" s="651">
        <f t="shared" si="6"/>
        <v>0.51295330944000006</v>
      </c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821"/>
      <c r="BZ20" s="823"/>
      <c r="CA20" s="740"/>
      <c r="CB20" s="740"/>
      <c r="CC20" s="740"/>
      <c r="CD20" s="801"/>
      <c r="CE20" s="574"/>
      <c r="CF20" s="12"/>
      <c r="CG20" s="12"/>
      <c r="CH20" s="12"/>
      <c r="CI20" s="12"/>
    </row>
    <row r="21" spans="2:87" ht="15.75" thickBot="1" x14ac:dyDescent="0.3">
      <c r="B21" s="733"/>
      <c r="C21" s="330">
        <v>5315</v>
      </c>
      <c r="D21" s="330" t="s">
        <v>8</v>
      </c>
      <c r="E21" s="36">
        <v>61.6</v>
      </c>
      <c r="F21" s="37">
        <v>120</v>
      </c>
      <c r="G21" s="38">
        <v>66.3</v>
      </c>
      <c r="H21" s="38">
        <v>129.19999999999999</v>
      </c>
      <c r="I21" s="39">
        <v>53.1</v>
      </c>
      <c r="J21" s="40">
        <v>103.4</v>
      </c>
      <c r="K21" s="85">
        <v>6.6</v>
      </c>
      <c r="L21" s="41">
        <v>12.9</v>
      </c>
      <c r="Q21" s="635"/>
      <c r="R21" s="635"/>
      <c r="S21" s="635"/>
      <c r="T21" s="635"/>
      <c r="U21" s="635"/>
      <c r="V21" s="635"/>
      <c r="W21" s="635"/>
      <c r="X21" s="635"/>
      <c r="Y21" s="635"/>
      <c r="Z21" s="635"/>
      <c r="AA21" s="635"/>
      <c r="AB21" s="635"/>
      <c r="AC21" s="635"/>
      <c r="AD21" s="635"/>
      <c r="AE21" s="635"/>
      <c r="AF21" s="635"/>
      <c r="AG21" s="635"/>
      <c r="AH21" s="635"/>
      <c r="AI21" s="635"/>
      <c r="AJ21" s="635"/>
      <c r="AK21" s="635"/>
      <c r="AL21" s="635"/>
      <c r="AM21" s="635"/>
      <c r="AO21" s="733"/>
      <c r="AP21" s="730"/>
      <c r="AQ21" s="731"/>
      <c r="AR21" s="86">
        <v>1514</v>
      </c>
      <c r="AS21" s="616">
        <v>7514</v>
      </c>
      <c r="AT21" s="621">
        <f t="shared" si="12"/>
        <v>3</v>
      </c>
      <c r="AU21" s="621">
        <f t="shared" si="1"/>
        <v>0.25</v>
      </c>
      <c r="AV21" s="616">
        <f t="shared" si="7"/>
        <v>1.29</v>
      </c>
      <c r="AW21" s="253">
        <f t="shared" si="2"/>
        <v>0.23414400000000002</v>
      </c>
      <c r="AX21" s="640">
        <f t="shared" si="9"/>
        <v>9.5976000000000013E-3</v>
      </c>
      <c r="AY21" s="236">
        <v>48.7</v>
      </c>
      <c r="AZ21" s="645">
        <f t="shared" si="3"/>
        <v>0.46740312000000012</v>
      </c>
      <c r="BA21" s="640">
        <f>$AW$21*G140</f>
        <v>2.2758796800000002E-2</v>
      </c>
      <c r="BB21" s="236">
        <v>52.4</v>
      </c>
      <c r="BC21" s="645">
        <f t="shared" si="4"/>
        <v>1.19256095232</v>
      </c>
      <c r="BD21" s="640">
        <f>$AW$21*I140</f>
        <v>3.9640579200000005E-2</v>
      </c>
      <c r="BE21" s="236">
        <v>41.9</v>
      </c>
      <c r="BF21" s="645">
        <f t="shared" si="5"/>
        <v>1.6609402684800001</v>
      </c>
      <c r="BG21" s="640">
        <f>$AW$21*K140</f>
        <v>9.8644867200000014E-2</v>
      </c>
      <c r="BH21" s="236">
        <v>5.2</v>
      </c>
      <c r="BI21" s="651">
        <f t="shared" si="6"/>
        <v>0.51295330944000006</v>
      </c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70" t="s">
        <v>444</v>
      </c>
      <c r="BZ21" s="538">
        <f t="shared" ref="BZ21:CC21" si="13">BZ11/$BZ11</f>
        <v>1</v>
      </c>
      <c r="CA21" s="538">
        <f t="shared" si="13"/>
        <v>2.6744260713949979</v>
      </c>
      <c r="CB21" s="538">
        <f t="shared" si="13"/>
        <v>7.0911470797171665</v>
      </c>
      <c r="CC21" s="538">
        <f t="shared" si="13"/>
        <v>22.560925928070272</v>
      </c>
      <c r="CD21" s="542">
        <f t="shared" ref="CD21" si="14">CD11/$BZ11</f>
        <v>24.060071179826718</v>
      </c>
      <c r="CE21" s="538"/>
      <c r="CF21" s="12"/>
      <c r="CG21" s="12"/>
      <c r="CH21" s="12"/>
      <c r="CI21" s="12"/>
    </row>
    <row r="22" spans="2:87" ht="15.75" thickBot="1" x14ac:dyDescent="0.3">
      <c r="B22" s="734"/>
      <c r="C22" s="334">
        <v>5316</v>
      </c>
      <c r="D22" s="334" t="s">
        <v>8</v>
      </c>
      <c r="E22" s="54">
        <v>61.6</v>
      </c>
      <c r="F22" s="55">
        <v>120</v>
      </c>
      <c r="G22" s="56">
        <v>66.3</v>
      </c>
      <c r="H22" s="56">
        <v>129.19999999999999</v>
      </c>
      <c r="I22" s="57">
        <v>53.1</v>
      </c>
      <c r="J22" s="58">
        <v>103.4</v>
      </c>
      <c r="K22" s="300">
        <v>6.6</v>
      </c>
      <c r="L22" s="59">
        <v>12.9</v>
      </c>
      <c r="Q22" s="828" t="s">
        <v>205</v>
      </c>
      <c r="R22" s="829"/>
      <c r="S22" s="829"/>
      <c r="T22" s="829"/>
      <c r="U22" s="829"/>
      <c r="V22" s="829"/>
      <c r="W22" s="829"/>
      <c r="X22" s="829"/>
      <c r="Y22" s="829"/>
      <c r="Z22" s="829"/>
      <c r="AA22" s="829"/>
      <c r="AB22" s="829"/>
      <c r="AC22" s="829"/>
      <c r="AD22" s="829"/>
      <c r="AE22" s="829"/>
      <c r="AF22" s="829"/>
      <c r="AG22" s="829"/>
      <c r="AH22" s="829"/>
      <c r="AI22" s="829"/>
      <c r="AJ22" s="829"/>
      <c r="AK22" s="830"/>
      <c r="AL22" s="830"/>
      <c r="AM22" s="831"/>
      <c r="AO22" s="734"/>
      <c r="AP22" s="737"/>
      <c r="AQ22" s="738"/>
      <c r="AR22" s="298">
        <v>1614</v>
      </c>
      <c r="AS22" s="619">
        <v>7614</v>
      </c>
      <c r="AT22" s="622">
        <f t="shared" si="12"/>
        <v>3</v>
      </c>
      <c r="AU22" s="622">
        <f t="shared" si="1"/>
        <v>0.25</v>
      </c>
      <c r="AV22" s="619">
        <f t="shared" si="7"/>
        <v>1.29</v>
      </c>
      <c r="AW22" s="255">
        <f t="shared" si="2"/>
        <v>0.23414400000000002</v>
      </c>
      <c r="AX22" s="641">
        <f t="shared" si="9"/>
        <v>9.5976000000000013E-3</v>
      </c>
      <c r="AY22" s="642">
        <v>40.799999999999997</v>
      </c>
      <c r="AZ22" s="646">
        <f t="shared" si="3"/>
        <v>0.39158208</v>
      </c>
      <c r="BA22" s="641">
        <f>$AW$22*G146</f>
        <v>2.5357795200000002E-2</v>
      </c>
      <c r="BB22" s="642">
        <v>43.9</v>
      </c>
      <c r="BC22" s="646">
        <f t="shared" si="4"/>
        <v>1.1132072092800001</v>
      </c>
      <c r="BD22" s="641">
        <f>$AW$22*I146</f>
        <v>5.6803334400000009E-2</v>
      </c>
      <c r="BE22" s="642">
        <v>35.1</v>
      </c>
      <c r="BF22" s="646">
        <f t="shared" si="5"/>
        <v>1.9937970374400005</v>
      </c>
      <c r="BG22" s="641">
        <f>$AW$22*K146</f>
        <v>0.16682760000000002</v>
      </c>
      <c r="BH22" s="642">
        <v>4.4000000000000004</v>
      </c>
      <c r="BI22" s="652">
        <f t="shared" si="6"/>
        <v>0.73404144000000016</v>
      </c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70" t="s">
        <v>443</v>
      </c>
      <c r="BZ22" s="538">
        <f t="shared" ref="BZ22:CC22" si="15">BZ12/$BZ12</f>
        <v>1</v>
      </c>
      <c r="CA22" s="538">
        <f t="shared" si="15"/>
        <v>2.4277042601075798</v>
      </c>
      <c r="CB22" s="538">
        <f t="shared" si="15"/>
        <v>5.0879205885728638</v>
      </c>
      <c r="CC22" s="538">
        <f t="shared" si="15"/>
        <v>14.416809604536365</v>
      </c>
      <c r="CD22" s="542">
        <f t="shared" ref="CD22" si="16">CD12/$BZ12</f>
        <v>15.6289072268067</v>
      </c>
      <c r="CE22" s="538"/>
      <c r="CF22" s="12"/>
      <c r="CG22" s="12"/>
      <c r="CH22" s="12"/>
      <c r="CI22" s="12"/>
    </row>
    <row r="23" spans="2:87" x14ac:dyDescent="0.25">
      <c r="B23" s="732">
        <v>4</v>
      </c>
      <c r="C23" s="328">
        <v>5411</v>
      </c>
      <c r="D23" s="328" t="s">
        <v>8</v>
      </c>
      <c r="E23" s="60">
        <v>61.6</v>
      </c>
      <c r="F23" s="61">
        <v>120</v>
      </c>
      <c r="G23" s="62">
        <v>66.3</v>
      </c>
      <c r="H23" s="62">
        <v>129.19999999999999</v>
      </c>
      <c r="I23" s="63">
        <v>53.1</v>
      </c>
      <c r="J23" s="64">
        <v>103.4</v>
      </c>
      <c r="K23" s="299">
        <v>6.6</v>
      </c>
      <c r="L23" s="65">
        <v>12.9</v>
      </c>
      <c r="Q23" s="755" t="s">
        <v>5</v>
      </c>
      <c r="R23" s="756"/>
      <c r="S23" s="756">
        <v>1</v>
      </c>
      <c r="T23" s="756"/>
      <c r="U23" s="756"/>
      <c r="V23" s="756"/>
      <c r="W23" s="756"/>
      <c r="X23" s="756"/>
      <c r="Y23" s="756"/>
      <c r="Z23" s="756">
        <v>2</v>
      </c>
      <c r="AA23" s="756"/>
      <c r="AB23" s="756"/>
      <c r="AC23" s="756"/>
      <c r="AD23" s="756"/>
      <c r="AE23" s="756"/>
      <c r="AF23" s="756"/>
      <c r="AG23" s="756">
        <v>3</v>
      </c>
      <c r="AH23" s="756"/>
      <c r="AI23" s="756"/>
      <c r="AJ23" s="756"/>
      <c r="AK23" s="765"/>
      <c r="AL23" s="765"/>
      <c r="AM23" s="766"/>
      <c r="AO23" s="733">
        <v>3</v>
      </c>
      <c r="AP23" s="730" t="s">
        <v>38</v>
      </c>
      <c r="AQ23" s="731"/>
      <c r="AR23" s="86">
        <v>1113</v>
      </c>
      <c r="AS23" s="616">
        <v>7113</v>
      </c>
      <c r="AT23" s="621">
        <f t="shared" ref="AT23:AT28" si="17">hstr3</f>
        <v>3</v>
      </c>
      <c r="AU23" s="621">
        <f t="shared" si="1"/>
        <v>0.25</v>
      </c>
      <c r="AV23" s="616">
        <f>0.43*AT23</f>
        <v>1.29</v>
      </c>
      <c r="AW23" s="253">
        <f t="shared" si="2"/>
        <v>0.23414400000000002</v>
      </c>
      <c r="AX23" s="638">
        <f t="shared" si="9"/>
        <v>9.5976000000000013E-3</v>
      </c>
      <c r="AY23" s="596">
        <v>44.4</v>
      </c>
      <c r="AZ23" s="644">
        <f>AY23*AX23</f>
        <v>0.42613344000000003</v>
      </c>
      <c r="BA23" s="638">
        <f>$AW$23*G115</f>
        <v>2.35783008E-2</v>
      </c>
      <c r="BB23" s="596">
        <v>47.8</v>
      </c>
      <c r="BC23" s="644">
        <f>BA23*BB23</f>
        <v>1.1270427782399999</v>
      </c>
      <c r="BD23" s="638">
        <f>$AW$23*I115</f>
        <v>4.7882448000000001E-2</v>
      </c>
      <c r="BE23" s="596">
        <v>38.200000000000003</v>
      </c>
      <c r="BF23" s="644">
        <f>BD23*BE23</f>
        <v>1.8291095136000002</v>
      </c>
      <c r="BG23" s="638">
        <f>$AW$23*K115</f>
        <v>0.13287672</v>
      </c>
      <c r="BH23" s="596">
        <v>4.8</v>
      </c>
      <c r="BI23" s="650">
        <f>BG23*BH23</f>
        <v>0.63780825600000002</v>
      </c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70" t="s">
        <v>442</v>
      </c>
      <c r="BZ23" s="538">
        <f t="shared" ref="BZ23:CC23" si="18">BZ13/$BZ13</f>
        <v>1</v>
      </c>
      <c r="CA23" s="538">
        <f t="shared" si="18"/>
        <v>2.3695625449735247</v>
      </c>
      <c r="CB23" s="538">
        <f t="shared" si="18"/>
        <v>4.48650269417017</v>
      </c>
      <c r="CC23" s="538">
        <f t="shared" si="18"/>
        <v>11.895389179465839</v>
      </c>
      <c r="CD23" s="542">
        <f t="shared" ref="CD23" si="19">CD13/$BZ13</f>
        <v>16.916072677570227</v>
      </c>
      <c r="CE23" s="538"/>
      <c r="CF23" s="12"/>
      <c r="CG23" s="12"/>
      <c r="CH23" s="12"/>
      <c r="CI23" s="12"/>
    </row>
    <row r="24" spans="2:87" x14ac:dyDescent="0.25">
      <c r="B24" s="733"/>
      <c r="C24" s="330">
        <v>5412</v>
      </c>
      <c r="D24" s="330" t="s">
        <v>8</v>
      </c>
      <c r="E24" s="36">
        <v>61.6</v>
      </c>
      <c r="F24" s="37">
        <v>120</v>
      </c>
      <c r="G24" s="38">
        <v>66.3</v>
      </c>
      <c r="H24" s="38">
        <v>129.19999999999999</v>
      </c>
      <c r="I24" s="39">
        <v>53.1</v>
      </c>
      <c r="J24" s="40">
        <v>103.4</v>
      </c>
      <c r="K24" s="85">
        <v>6.6</v>
      </c>
      <c r="L24" s="41">
        <v>12.9</v>
      </c>
      <c r="Q24" s="757" t="s">
        <v>38</v>
      </c>
      <c r="R24" s="758"/>
      <c r="S24" s="624" t="s">
        <v>39</v>
      </c>
      <c r="T24" s="624" t="s">
        <v>40</v>
      </c>
      <c r="U24" s="624" t="s">
        <v>41</v>
      </c>
      <c r="V24" s="625" t="s">
        <v>42</v>
      </c>
      <c r="W24" s="624" t="s">
        <v>400</v>
      </c>
      <c r="X24" s="624" t="s">
        <v>401</v>
      </c>
      <c r="Y24" s="624" t="s">
        <v>54</v>
      </c>
      <c r="Z24" s="624" t="s">
        <v>43</v>
      </c>
      <c r="AA24" s="624" t="s">
        <v>44</v>
      </c>
      <c r="AB24" s="624" t="s">
        <v>45</v>
      </c>
      <c r="AC24" s="625" t="s">
        <v>46</v>
      </c>
      <c r="AD24" s="624" t="s">
        <v>398</v>
      </c>
      <c r="AE24" s="624" t="s">
        <v>399</v>
      </c>
      <c r="AF24" s="624" t="s">
        <v>54</v>
      </c>
      <c r="AG24" s="624" t="s">
        <v>47</v>
      </c>
      <c r="AH24" s="624" t="s">
        <v>48</v>
      </c>
      <c r="AI24" s="624" t="s">
        <v>49</v>
      </c>
      <c r="AJ24" s="625" t="s">
        <v>50</v>
      </c>
      <c r="AK24" s="624" t="s">
        <v>402</v>
      </c>
      <c r="AL24" s="624" t="s">
        <v>403</v>
      </c>
      <c r="AM24" s="626" t="s">
        <v>54</v>
      </c>
      <c r="AO24" s="733"/>
      <c r="AP24" s="730"/>
      <c r="AQ24" s="731"/>
      <c r="AR24" s="86">
        <v>1213</v>
      </c>
      <c r="AS24" s="616">
        <v>7213</v>
      </c>
      <c r="AT24" s="621">
        <f t="shared" si="17"/>
        <v>3</v>
      </c>
      <c r="AU24" s="621">
        <f>Hcol2/1000</f>
        <v>0.3</v>
      </c>
      <c r="AV24" s="616">
        <f>0.43*AT24</f>
        <v>1.29</v>
      </c>
      <c r="AW24" s="253">
        <f>(0.08*AV24*1000+0.022*Fyk*Phicol2)/1000</f>
        <v>0.23414400000000002</v>
      </c>
      <c r="AX24" s="640">
        <f t="shared" si="9"/>
        <v>7.9980000000000016E-3</v>
      </c>
      <c r="AY24" s="236">
        <v>76.7</v>
      </c>
      <c r="AZ24" s="645">
        <f>AY24*AX24</f>
        <v>0.61344660000000018</v>
      </c>
      <c r="BA24" s="640">
        <f>$AW$24*G121</f>
        <v>1.8005673600000001E-2</v>
      </c>
      <c r="BB24" s="236">
        <v>82.6</v>
      </c>
      <c r="BC24" s="645">
        <f>BB24*BA24</f>
        <v>1.4872686393599999</v>
      </c>
      <c r="BD24" s="640">
        <f>$AW$24*I121</f>
        <v>3.3014304000000001E-2</v>
      </c>
      <c r="BE24" s="236">
        <v>66.099999999999994</v>
      </c>
      <c r="BF24" s="645">
        <f>BE24*BD24</f>
        <v>2.1822454944</v>
      </c>
      <c r="BG24" s="640">
        <f>$AW$24*K121</f>
        <v>8.5579632000000003E-2</v>
      </c>
      <c r="BH24" s="236">
        <v>8.3000000000000007</v>
      </c>
      <c r="BI24" s="651">
        <f>BH24*BG24</f>
        <v>0.71031094560000008</v>
      </c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70" t="s">
        <v>383</v>
      </c>
      <c r="BZ24" s="538">
        <f t="shared" ref="BZ24:CC26" si="20">BZ14/$BZ14</f>
        <v>1</v>
      </c>
      <c r="CA24" s="538">
        <f t="shared" si="20"/>
        <v>2.3895023903680492</v>
      </c>
      <c r="CB24" s="538">
        <f t="shared" si="20"/>
        <v>4.2354030418582136</v>
      </c>
      <c r="CC24" s="538">
        <f t="shared" si="20"/>
        <v>10.704542619811065</v>
      </c>
      <c r="CD24" s="542">
        <f t="shared" ref="CD24" si="21">CD14/$BZ14</f>
        <v>11.967897263137985</v>
      </c>
      <c r="CE24" s="538"/>
      <c r="CF24" s="12"/>
      <c r="CG24" s="12"/>
      <c r="CH24" s="12"/>
      <c r="CI24" s="12"/>
    </row>
    <row r="25" spans="2:87" x14ac:dyDescent="0.25">
      <c r="B25" s="733"/>
      <c r="C25" s="330">
        <v>5413</v>
      </c>
      <c r="D25" s="330" t="s">
        <v>8</v>
      </c>
      <c r="E25" s="36">
        <v>61.6</v>
      </c>
      <c r="F25" s="37">
        <v>120</v>
      </c>
      <c r="G25" s="38">
        <v>66.3</v>
      </c>
      <c r="H25" s="38">
        <v>129.19999999999999</v>
      </c>
      <c r="I25" s="39">
        <v>53.1</v>
      </c>
      <c r="J25" s="40">
        <v>103.4</v>
      </c>
      <c r="K25" s="85">
        <v>6.6</v>
      </c>
      <c r="L25" s="41">
        <v>12.9</v>
      </c>
      <c r="Q25" s="759" t="s">
        <v>53</v>
      </c>
      <c r="R25" s="760"/>
      <c r="S25" s="628">
        <v>26.55</v>
      </c>
      <c r="T25" s="236">
        <v>86</v>
      </c>
      <c r="U25" s="236">
        <v>86</v>
      </c>
      <c r="V25" s="236">
        <v>86</v>
      </c>
      <c r="W25" s="236">
        <v>86</v>
      </c>
      <c r="X25" s="236">
        <v>60.5</v>
      </c>
      <c r="Y25" s="630">
        <f>S25+T25+U25+V25+W25+X25</f>
        <v>431.05</v>
      </c>
      <c r="Z25" s="628">
        <v>26.55</v>
      </c>
      <c r="AA25" s="236">
        <v>70.5</v>
      </c>
      <c r="AB25" s="236">
        <v>70.5</v>
      </c>
      <c r="AC25" s="236">
        <v>70.5</v>
      </c>
      <c r="AD25" s="236">
        <v>70.5</v>
      </c>
      <c r="AE25" s="236">
        <v>40.4</v>
      </c>
      <c r="AF25" s="630">
        <f>Z25+AA25+AB25+AC25+AD25+AE25</f>
        <v>348.95</v>
      </c>
      <c r="AG25" s="628">
        <v>26.55</v>
      </c>
      <c r="AH25" s="236">
        <v>66.099999999999994</v>
      </c>
      <c r="AI25" s="236">
        <v>66.099999999999994</v>
      </c>
      <c r="AJ25" s="236">
        <v>66.099999999999994</v>
      </c>
      <c r="AK25" s="236">
        <v>66.099999999999994</v>
      </c>
      <c r="AL25" s="236">
        <v>38.200000000000003</v>
      </c>
      <c r="AM25" s="629">
        <f>AG25+AH25+AI25+AJ25+AK25+AL25</f>
        <v>329.15</v>
      </c>
      <c r="AO25" s="733"/>
      <c r="AP25" s="730"/>
      <c r="AQ25" s="731"/>
      <c r="AR25" s="86">
        <v>1313</v>
      </c>
      <c r="AS25" s="616">
        <v>7313</v>
      </c>
      <c r="AT25" s="621">
        <f t="shared" si="17"/>
        <v>3</v>
      </c>
      <c r="AU25" s="621">
        <f>Hcol2/1000</f>
        <v>0.3</v>
      </c>
      <c r="AV25" s="616">
        <f>0.43*AT25</f>
        <v>1.29</v>
      </c>
      <c r="AW25" s="253">
        <f>(0.08*AV25*1000+0.022*Fyk*Phicol2)/1000</f>
        <v>0.23414400000000002</v>
      </c>
      <c r="AX25" s="640">
        <f t="shared" si="9"/>
        <v>7.9980000000000016E-3</v>
      </c>
      <c r="AY25" s="236">
        <v>76.7</v>
      </c>
      <c r="AZ25" s="645">
        <f t="shared" ref="AZ25:AZ46" si="22">AY25*AX25</f>
        <v>0.61344660000000018</v>
      </c>
      <c r="BA25" s="640">
        <f>$AW$25*G127</f>
        <v>1.8005673600000001E-2</v>
      </c>
      <c r="BB25" s="236">
        <v>82.6</v>
      </c>
      <c r="BC25" s="645">
        <f t="shared" ref="BC25:BC45" si="23">BB25*BA25</f>
        <v>1.4872686393599999</v>
      </c>
      <c r="BD25" s="640">
        <f>$AW$25*I127</f>
        <v>3.3014304000000001E-2</v>
      </c>
      <c r="BE25" s="236">
        <v>66.099999999999994</v>
      </c>
      <c r="BF25" s="645">
        <f t="shared" ref="BF25:BF46" si="24">BE25*BD25</f>
        <v>2.1822454944</v>
      </c>
      <c r="BG25" s="640">
        <f>$AW$25*K127</f>
        <v>8.5579632000000003E-2</v>
      </c>
      <c r="BH25" s="236">
        <v>8.3000000000000007</v>
      </c>
      <c r="BI25" s="651">
        <f t="shared" ref="BI25:BI46" si="25">BH25*BG25</f>
        <v>0.71031094560000008</v>
      </c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70" t="s">
        <v>384</v>
      </c>
      <c r="BZ25" s="538">
        <f t="shared" si="20"/>
        <v>1</v>
      </c>
      <c r="CA25" s="538">
        <f t="shared" si="20"/>
        <v>2.9667552609523207</v>
      </c>
      <c r="CB25" s="538">
        <f t="shared" si="20"/>
        <v>5.0596474500865076</v>
      </c>
      <c r="CC25" s="538">
        <f t="shared" si="20"/>
        <v>12.550330379199018</v>
      </c>
      <c r="CD25" s="542">
        <f t="shared" ref="CD25" si="26">CD15/$BZ15</f>
        <v>15.586527854121194</v>
      </c>
      <c r="CE25" s="538"/>
      <c r="CF25" s="12"/>
      <c r="CG25" s="12"/>
      <c r="CH25" s="12"/>
      <c r="CI25" s="12"/>
    </row>
    <row r="26" spans="2:87" ht="15.75" thickBot="1" x14ac:dyDescent="0.3">
      <c r="B26" s="733"/>
      <c r="C26" s="330">
        <v>5414</v>
      </c>
      <c r="D26" s="330" t="s">
        <v>8</v>
      </c>
      <c r="E26" s="36">
        <v>61.6</v>
      </c>
      <c r="F26" s="37">
        <v>120</v>
      </c>
      <c r="G26" s="38">
        <v>66.3</v>
      </c>
      <c r="H26" s="38">
        <v>129.19999999999999</v>
      </c>
      <c r="I26" s="39">
        <v>53.1</v>
      </c>
      <c r="J26" s="40">
        <v>103.4</v>
      </c>
      <c r="K26" s="85">
        <v>6.6</v>
      </c>
      <c r="L26" s="41">
        <v>12.9</v>
      </c>
      <c r="Q26" s="761" t="s">
        <v>52</v>
      </c>
      <c r="R26" s="762"/>
      <c r="S26" s="631">
        <v>60.5</v>
      </c>
      <c r="T26" s="632">
        <v>100.9</v>
      </c>
      <c r="U26" s="632">
        <v>100.9</v>
      </c>
      <c r="V26" s="632">
        <v>100.9</v>
      </c>
      <c r="W26" s="632">
        <v>100.9</v>
      </c>
      <c r="X26" s="632">
        <v>60.5</v>
      </c>
      <c r="Y26" s="634">
        <f>S26+T26+U26+V26+W26+X26</f>
        <v>524.6</v>
      </c>
      <c r="Z26" s="631">
        <v>26.55</v>
      </c>
      <c r="AA26" s="632">
        <v>70.5</v>
      </c>
      <c r="AB26" s="632">
        <v>70.5</v>
      </c>
      <c r="AC26" s="632">
        <v>70.5</v>
      </c>
      <c r="AD26" s="632">
        <v>70.5</v>
      </c>
      <c r="AE26" s="632">
        <v>40.4</v>
      </c>
      <c r="AF26" s="634">
        <f>Z26+AA26+AB26+AC26+AD26+AE26</f>
        <v>348.95</v>
      </c>
      <c r="AG26" s="631">
        <v>26.55</v>
      </c>
      <c r="AH26" s="632">
        <v>66.099999999999994</v>
      </c>
      <c r="AI26" s="632">
        <v>66.099999999999994</v>
      </c>
      <c r="AJ26" s="632">
        <v>66.099999999999994</v>
      </c>
      <c r="AK26" s="632">
        <v>66.099999999999994</v>
      </c>
      <c r="AL26" s="632">
        <v>38.200000000000003</v>
      </c>
      <c r="AM26" s="633">
        <f>AG26+AH26+AI26+AJ26+AK26+AL26</f>
        <v>329.15</v>
      </c>
      <c r="AO26" s="733"/>
      <c r="AP26" s="730"/>
      <c r="AQ26" s="731"/>
      <c r="AR26" s="86">
        <v>1413</v>
      </c>
      <c r="AS26" s="616">
        <v>7413</v>
      </c>
      <c r="AT26" s="621">
        <f t="shared" si="17"/>
        <v>3</v>
      </c>
      <c r="AU26" s="621">
        <f>Hcol2/1000</f>
        <v>0.3</v>
      </c>
      <c r="AV26" s="616">
        <f>0.43*AT26</f>
        <v>1.29</v>
      </c>
      <c r="AW26" s="253">
        <f>(0.08*AV26*1000+0.022*Fyk*Phicol2)/1000</f>
        <v>0.23414400000000002</v>
      </c>
      <c r="AX26" s="640">
        <f t="shared" si="9"/>
        <v>7.9980000000000016E-3</v>
      </c>
      <c r="AY26" s="236">
        <v>76.7</v>
      </c>
      <c r="AZ26" s="645">
        <f t="shared" si="22"/>
        <v>0.61344660000000018</v>
      </c>
      <c r="BA26" s="640">
        <f>$AW$26*G133</f>
        <v>1.8005673600000001E-2</v>
      </c>
      <c r="BB26" s="236">
        <v>82.6</v>
      </c>
      <c r="BC26" s="645">
        <f t="shared" si="23"/>
        <v>1.4872686393599999</v>
      </c>
      <c r="BD26" s="640">
        <f>$AW$26*I133</f>
        <v>3.3014304000000001E-2</v>
      </c>
      <c r="BE26" s="236">
        <v>66.099999999999994</v>
      </c>
      <c r="BF26" s="645">
        <f t="shared" si="24"/>
        <v>2.1822454944</v>
      </c>
      <c r="BG26" s="640">
        <f>$AW$26*K133</f>
        <v>8.5579632000000003E-2</v>
      </c>
      <c r="BH26" s="236">
        <v>8.3000000000000007</v>
      </c>
      <c r="BI26" s="651">
        <f t="shared" si="25"/>
        <v>0.71031094560000008</v>
      </c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81" t="s">
        <v>385</v>
      </c>
      <c r="BZ26" s="540">
        <f t="shared" si="20"/>
        <v>1</v>
      </c>
      <c r="CA26" s="540">
        <f t="shared" si="20"/>
        <v>3.8553603546694135</v>
      </c>
      <c r="CB26" s="540">
        <f t="shared" si="20"/>
        <v>6.783816583559898</v>
      </c>
      <c r="CC26" s="540">
        <f t="shared" si="20"/>
        <v>17.212897910588488</v>
      </c>
      <c r="CD26" s="543">
        <f t="shared" ref="CD26" si="27">CD16/$BZ16</f>
        <v>20.630586077832003</v>
      </c>
      <c r="CE26" s="538"/>
      <c r="CF26" s="12"/>
      <c r="CG26" s="12"/>
      <c r="CH26" s="12"/>
      <c r="CI26" s="12"/>
    </row>
    <row r="27" spans="2:87" x14ac:dyDescent="0.25">
      <c r="B27" s="733"/>
      <c r="C27" s="330">
        <v>5415</v>
      </c>
      <c r="D27" s="330" t="s">
        <v>8</v>
      </c>
      <c r="E27" s="36">
        <v>61.6</v>
      </c>
      <c r="F27" s="37">
        <v>120</v>
      </c>
      <c r="G27" s="38">
        <v>66.3</v>
      </c>
      <c r="H27" s="38">
        <v>129.19999999999999</v>
      </c>
      <c r="I27" s="39">
        <v>53.1</v>
      </c>
      <c r="J27" s="40">
        <v>103.4</v>
      </c>
      <c r="K27" s="85">
        <v>6.6</v>
      </c>
      <c r="L27" s="41">
        <v>12.9</v>
      </c>
      <c r="Q27" s="755" t="s">
        <v>5</v>
      </c>
      <c r="R27" s="756"/>
      <c r="S27" s="756">
        <v>4</v>
      </c>
      <c r="T27" s="756"/>
      <c r="U27" s="756"/>
      <c r="V27" s="756"/>
      <c r="W27" s="756"/>
      <c r="X27" s="756"/>
      <c r="Y27" s="756"/>
      <c r="Z27" s="756">
        <v>5</v>
      </c>
      <c r="AA27" s="756"/>
      <c r="AB27" s="756"/>
      <c r="AC27" s="756"/>
      <c r="AD27" s="756"/>
      <c r="AE27" s="756"/>
      <c r="AF27" s="756"/>
      <c r="AG27" s="756">
        <v>6</v>
      </c>
      <c r="AH27" s="756"/>
      <c r="AI27" s="756"/>
      <c r="AJ27" s="756"/>
      <c r="AK27" s="765"/>
      <c r="AL27" s="765"/>
      <c r="AM27" s="766"/>
      <c r="AO27" s="733"/>
      <c r="AP27" s="730"/>
      <c r="AQ27" s="731"/>
      <c r="AR27" s="86">
        <v>1513</v>
      </c>
      <c r="AS27" s="616">
        <v>7513</v>
      </c>
      <c r="AT27" s="621">
        <f t="shared" si="17"/>
        <v>3</v>
      </c>
      <c r="AU27" s="621">
        <f>Hcol2/1000</f>
        <v>0.3</v>
      </c>
      <c r="AV27" s="616">
        <f t="shared" ref="AV27:AV40" si="28">0.43*AT27</f>
        <v>1.29</v>
      </c>
      <c r="AW27" s="253">
        <f>(0.08*AV27*1000+0.022*Fyk*Phicol2)/1000</f>
        <v>0.23414400000000002</v>
      </c>
      <c r="AX27" s="640">
        <f t="shared" si="9"/>
        <v>7.9980000000000016E-3</v>
      </c>
      <c r="AY27" s="236">
        <v>76.7</v>
      </c>
      <c r="AZ27" s="645">
        <f t="shared" si="22"/>
        <v>0.61344660000000018</v>
      </c>
      <c r="BA27" s="640">
        <f>$AW$27*G139</f>
        <v>1.8005673600000001E-2</v>
      </c>
      <c r="BB27" s="236">
        <v>82.6</v>
      </c>
      <c r="BC27" s="645">
        <f t="shared" si="23"/>
        <v>1.4872686393599999</v>
      </c>
      <c r="BD27" s="640">
        <f>$AW$27*I139</f>
        <v>3.3014304000000001E-2</v>
      </c>
      <c r="BE27" s="236">
        <v>66.099999999999994</v>
      </c>
      <c r="BF27" s="645">
        <f t="shared" si="24"/>
        <v>2.1822454944</v>
      </c>
      <c r="BG27" s="640">
        <f>$AW$27*K139</f>
        <v>8.5579632000000003E-2</v>
      </c>
      <c r="BH27" s="236">
        <v>8.3000000000000007</v>
      </c>
      <c r="BI27" s="651">
        <f t="shared" si="25"/>
        <v>0.71031094560000008</v>
      </c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</row>
    <row r="28" spans="2:87" x14ac:dyDescent="0.25">
      <c r="B28" s="733"/>
      <c r="C28" s="330">
        <v>5416</v>
      </c>
      <c r="D28" s="330" t="s">
        <v>8</v>
      </c>
      <c r="E28" s="36">
        <v>61.6</v>
      </c>
      <c r="F28" s="37">
        <v>120</v>
      </c>
      <c r="G28" s="38">
        <v>66.3</v>
      </c>
      <c r="H28" s="38">
        <v>129.19999999999999</v>
      </c>
      <c r="I28" s="39">
        <v>53.1</v>
      </c>
      <c r="J28" s="40">
        <v>103.4</v>
      </c>
      <c r="K28" s="85">
        <v>6.6</v>
      </c>
      <c r="L28" s="41">
        <v>12.9</v>
      </c>
      <c r="Q28" s="757" t="s">
        <v>38</v>
      </c>
      <c r="R28" s="758"/>
      <c r="S28" s="624" t="s">
        <v>415</v>
      </c>
      <c r="T28" s="624" t="s">
        <v>416</v>
      </c>
      <c r="U28" s="624" t="s">
        <v>417</v>
      </c>
      <c r="V28" s="625" t="s">
        <v>418</v>
      </c>
      <c r="W28" s="624" t="s">
        <v>419</v>
      </c>
      <c r="X28" s="624" t="s">
        <v>420</v>
      </c>
      <c r="Y28" s="624" t="s">
        <v>54</v>
      </c>
      <c r="Z28" s="624" t="s">
        <v>421</v>
      </c>
      <c r="AA28" s="624" t="s">
        <v>422</v>
      </c>
      <c r="AB28" s="624" t="s">
        <v>423</v>
      </c>
      <c r="AC28" s="625" t="s">
        <v>424</v>
      </c>
      <c r="AD28" s="624" t="s">
        <v>425</v>
      </c>
      <c r="AE28" s="624" t="s">
        <v>426</v>
      </c>
      <c r="AF28" s="624" t="s">
        <v>54</v>
      </c>
      <c r="AG28" s="624" t="s">
        <v>427</v>
      </c>
      <c r="AH28" s="624" t="s">
        <v>428</v>
      </c>
      <c r="AI28" s="624" t="s">
        <v>429</v>
      </c>
      <c r="AJ28" s="625" t="s">
        <v>430</v>
      </c>
      <c r="AK28" s="624" t="s">
        <v>431</v>
      </c>
      <c r="AL28" s="624" t="s">
        <v>432</v>
      </c>
      <c r="AM28" s="626" t="s">
        <v>54</v>
      </c>
      <c r="AO28" s="733"/>
      <c r="AP28" s="730"/>
      <c r="AQ28" s="731"/>
      <c r="AR28" s="86">
        <v>1613</v>
      </c>
      <c r="AS28" s="616">
        <v>7613</v>
      </c>
      <c r="AT28" s="621">
        <f t="shared" si="17"/>
        <v>3</v>
      </c>
      <c r="AU28" s="621">
        <f>Hcol1/1000</f>
        <v>0.25</v>
      </c>
      <c r="AV28" s="616">
        <f t="shared" si="28"/>
        <v>1.29</v>
      </c>
      <c r="AW28" s="253">
        <f>(0.08*AV28*1000+0.022*Fyk*Phicol1)/1000</f>
        <v>0.23414400000000002</v>
      </c>
      <c r="AX28" s="641">
        <f t="shared" si="9"/>
        <v>9.5976000000000013E-3</v>
      </c>
      <c r="AY28" s="642">
        <v>44.4</v>
      </c>
      <c r="AZ28" s="646">
        <f t="shared" si="22"/>
        <v>0.42613344000000003</v>
      </c>
      <c r="BA28" s="641">
        <f>$AW$28*G145</f>
        <v>2.35783008E-2</v>
      </c>
      <c r="BB28" s="642">
        <v>47.8</v>
      </c>
      <c r="BC28" s="646">
        <f t="shared" si="23"/>
        <v>1.1270427782399999</v>
      </c>
      <c r="BD28" s="641">
        <f>$AW$28*I145</f>
        <v>4.7882448000000001E-2</v>
      </c>
      <c r="BE28" s="642">
        <v>38.200000000000003</v>
      </c>
      <c r="BF28" s="646">
        <f t="shared" si="24"/>
        <v>1.8291095136000002</v>
      </c>
      <c r="BG28" s="641">
        <f>$AW$28*K145</f>
        <v>0.13287672</v>
      </c>
      <c r="BH28" s="642">
        <v>4.8</v>
      </c>
      <c r="BI28" s="652">
        <f t="shared" si="25"/>
        <v>0.63780825600000002</v>
      </c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</row>
    <row r="29" spans="2:87" ht="15.75" customHeight="1" x14ac:dyDescent="0.25">
      <c r="B29" s="732">
        <v>5</v>
      </c>
      <c r="C29" s="328">
        <v>5511</v>
      </c>
      <c r="D29" s="328" t="s">
        <v>8</v>
      </c>
      <c r="E29" s="60">
        <v>61.6</v>
      </c>
      <c r="F29" s="61">
        <v>120</v>
      </c>
      <c r="G29" s="62">
        <v>66.3</v>
      </c>
      <c r="H29" s="62">
        <v>129.19999999999999</v>
      </c>
      <c r="I29" s="63">
        <v>53.1</v>
      </c>
      <c r="J29" s="64">
        <v>103.4</v>
      </c>
      <c r="K29" s="299">
        <v>6.6</v>
      </c>
      <c r="L29" s="65">
        <v>12.9</v>
      </c>
      <c r="Q29" s="759" t="s">
        <v>53</v>
      </c>
      <c r="R29" s="760"/>
      <c r="S29" s="628">
        <v>26.55</v>
      </c>
      <c r="T29" s="236">
        <v>41.9</v>
      </c>
      <c r="U29" s="236">
        <v>41.9</v>
      </c>
      <c r="V29" s="236">
        <v>41.9</v>
      </c>
      <c r="W29" s="236">
        <v>41.9</v>
      </c>
      <c r="X29" s="236">
        <v>35.1</v>
      </c>
      <c r="Y29" s="630">
        <f>S29+T29+U29+V29+W29+X29</f>
        <v>229.25</v>
      </c>
      <c r="Z29" s="628">
        <v>26.7</v>
      </c>
      <c r="AA29" s="236">
        <v>37.799999999999997</v>
      </c>
      <c r="AB29" s="236">
        <v>37.799999999999997</v>
      </c>
      <c r="AC29" s="236">
        <v>37.799999999999997</v>
      </c>
      <c r="AD29" s="236">
        <v>37.799999999999997</v>
      </c>
      <c r="AE29" s="236">
        <v>31</v>
      </c>
      <c r="AF29" s="630">
        <f>Z29+AA29+AB29+AC29+AD29+AE29</f>
        <v>208.89999999999998</v>
      </c>
      <c r="AG29" s="628">
        <v>26.4</v>
      </c>
      <c r="AH29" s="236">
        <v>30.6</v>
      </c>
      <c r="AI29" s="236">
        <v>30.6</v>
      </c>
      <c r="AJ29" s="236">
        <v>30.6</v>
      </c>
      <c r="AK29" s="236">
        <v>30.6</v>
      </c>
      <c r="AL29" s="236">
        <v>26.4</v>
      </c>
      <c r="AM29" s="629">
        <f>AG29+AH29+AI29+AJ29+AK29+AL29</f>
        <v>175.2</v>
      </c>
      <c r="AO29" s="732">
        <v>2</v>
      </c>
      <c r="AP29" s="735" t="s">
        <v>38</v>
      </c>
      <c r="AQ29" s="736"/>
      <c r="AR29" s="80">
        <v>1112</v>
      </c>
      <c r="AS29" s="617">
        <v>7112</v>
      </c>
      <c r="AT29" s="620">
        <f t="shared" ref="AT29:AT34" si="29">hstr2</f>
        <v>3</v>
      </c>
      <c r="AU29" s="620">
        <f>Hcol1/1000</f>
        <v>0.25</v>
      </c>
      <c r="AV29" s="617">
        <f t="shared" si="28"/>
        <v>1.29</v>
      </c>
      <c r="AW29" s="305">
        <f>(0.08*AV29*1000+0.022*Fyk*Phicol1)/1000</f>
        <v>0.23414400000000002</v>
      </c>
      <c r="AX29" s="638">
        <f t="shared" si="9"/>
        <v>9.5976000000000013E-3</v>
      </c>
      <c r="AY29" s="596">
        <v>46.9</v>
      </c>
      <c r="AZ29" s="644">
        <f t="shared" si="22"/>
        <v>0.45012744000000005</v>
      </c>
      <c r="BA29" s="638">
        <f>$AW$29*G114</f>
        <v>1.9831996800000001E-2</v>
      </c>
      <c r="BB29" s="596">
        <v>50.5</v>
      </c>
      <c r="BC29" s="644">
        <f>BA29*BB29</f>
        <v>1.0015158384</v>
      </c>
      <c r="BD29" s="638">
        <f>$AW$29*I114</f>
        <v>3.9640579200000005E-2</v>
      </c>
      <c r="BE29" s="596">
        <v>40.4</v>
      </c>
      <c r="BF29" s="644">
        <f>BD29*BE29</f>
        <v>1.6014793996800001</v>
      </c>
      <c r="BG29" s="638">
        <f>$AW$29*K114</f>
        <v>0.10890037440000001</v>
      </c>
      <c r="BH29" s="596">
        <v>5.0999999999999996</v>
      </c>
      <c r="BI29" s="650">
        <f>BG29*BH29</f>
        <v>0.55539190944000005</v>
      </c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</row>
    <row r="30" spans="2:87" ht="15.75" customHeight="1" thickBot="1" x14ac:dyDescent="0.3">
      <c r="B30" s="733"/>
      <c r="C30" s="330">
        <v>5512</v>
      </c>
      <c r="D30" s="330" t="s">
        <v>8</v>
      </c>
      <c r="E30" s="36">
        <v>61.6</v>
      </c>
      <c r="F30" s="37">
        <v>120</v>
      </c>
      <c r="G30" s="38">
        <v>66.3</v>
      </c>
      <c r="H30" s="38">
        <v>129.19999999999999</v>
      </c>
      <c r="I30" s="39">
        <v>53.1</v>
      </c>
      <c r="J30" s="40">
        <v>103.4</v>
      </c>
      <c r="K30" s="85">
        <v>6.6</v>
      </c>
      <c r="L30" s="41">
        <v>12.9</v>
      </c>
      <c r="Q30" s="761" t="s">
        <v>52</v>
      </c>
      <c r="R30" s="762"/>
      <c r="S30" s="631">
        <v>26.55</v>
      </c>
      <c r="T30" s="632">
        <v>41.9</v>
      </c>
      <c r="U30" s="632">
        <v>41.9</v>
      </c>
      <c r="V30" s="632">
        <v>41.9</v>
      </c>
      <c r="W30" s="632">
        <v>41.9</v>
      </c>
      <c r="X30" s="632">
        <v>35.1</v>
      </c>
      <c r="Y30" s="634">
        <f>S30+T30+U30+V30+W30+X30</f>
        <v>229.25</v>
      </c>
      <c r="Z30" s="631">
        <v>26.55</v>
      </c>
      <c r="AA30" s="632">
        <v>37.799999999999997</v>
      </c>
      <c r="AB30" s="632">
        <v>37.799999999999997</v>
      </c>
      <c r="AC30" s="632">
        <v>37.799999999999997</v>
      </c>
      <c r="AD30" s="632">
        <v>37.799999999999997</v>
      </c>
      <c r="AE30" s="632">
        <v>31</v>
      </c>
      <c r="AF30" s="634">
        <f>Z30+AA30+AB30+AC30+AD30+AE30</f>
        <v>208.75</v>
      </c>
      <c r="AG30" s="631">
        <v>26.4</v>
      </c>
      <c r="AH30" s="632">
        <v>30.6</v>
      </c>
      <c r="AI30" s="632">
        <v>30.6</v>
      </c>
      <c r="AJ30" s="632">
        <v>30.6</v>
      </c>
      <c r="AK30" s="632">
        <v>30.6</v>
      </c>
      <c r="AL30" s="632">
        <v>26.4</v>
      </c>
      <c r="AM30" s="633">
        <f>AG30+AH30+AI30+AJ30+AK30+AL30</f>
        <v>175.2</v>
      </c>
      <c r="AO30" s="733"/>
      <c r="AP30" s="730"/>
      <c r="AQ30" s="731"/>
      <c r="AR30" s="86">
        <v>1212</v>
      </c>
      <c r="AS30" s="616">
        <v>7212</v>
      </c>
      <c r="AT30" s="621">
        <f t="shared" si="29"/>
        <v>3</v>
      </c>
      <c r="AU30" s="621">
        <f>Hcol2/1000</f>
        <v>0.3</v>
      </c>
      <c r="AV30" s="616">
        <f t="shared" si="28"/>
        <v>1.29</v>
      </c>
      <c r="AW30" s="253">
        <f>(0.08*AV30*1000+0.022*Fyk*Phicol2)/1000</f>
        <v>0.23414400000000002</v>
      </c>
      <c r="AX30" s="640">
        <f t="shared" si="9"/>
        <v>7.9980000000000016E-3</v>
      </c>
      <c r="AY30" s="236">
        <v>81.8</v>
      </c>
      <c r="AZ30" s="645">
        <f t="shared" si="22"/>
        <v>0.65423640000000016</v>
      </c>
      <c r="BA30" s="640">
        <f>$AW$30*G120</f>
        <v>2.0862230400000001E-2</v>
      </c>
      <c r="BB30" s="236">
        <v>88.1</v>
      </c>
      <c r="BC30" s="645">
        <f>BA30*BB30</f>
        <v>1.83796249824</v>
      </c>
      <c r="BD30" s="640">
        <f>$AW$30*I120</f>
        <v>3.3014304000000001E-2</v>
      </c>
      <c r="BE30" s="236">
        <v>70.5</v>
      </c>
      <c r="BF30" s="645">
        <f>BE30*BD30</f>
        <v>2.3275084320000001</v>
      </c>
      <c r="BG30" s="640">
        <f>$AW$30*K120</f>
        <v>7.5605097600000004E-2</v>
      </c>
      <c r="BH30" s="236">
        <v>8.8000000000000007</v>
      </c>
      <c r="BI30" s="651">
        <f>BH30*BG30</f>
        <v>0.66532485888000004</v>
      </c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</row>
    <row r="31" spans="2:87" ht="15" customHeight="1" thickBot="1" x14ac:dyDescent="0.3">
      <c r="B31" s="733"/>
      <c r="C31" s="330">
        <v>5513</v>
      </c>
      <c r="D31" s="330" t="s">
        <v>8</v>
      </c>
      <c r="E31" s="36">
        <v>61.6</v>
      </c>
      <c r="F31" s="37">
        <v>120</v>
      </c>
      <c r="G31" s="38">
        <v>66.3</v>
      </c>
      <c r="H31" s="38">
        <v>129.19999999999999</v>
      </c>
      <c r="I31" s="39">
        <v>53.1</v>
      </c>
      <c r="J31" s="40">
        <v>103.4</v>
      </c>
      <c r="K31" s="85">
        <v>6.6</v>
      </c>
      <c r="L31" s="41">
        <v>12.9</v>
      </c>
      <c r="Q31" s="636"/>
      <c r="R31" s="636"/>
      <c r="S31" s="637"/>
      <c r="T31" s="637"/>
      <c r="U31" s="637"/>
      <c r="V31" s="637"/>
      <c r="W31" s="637"/>
      <c r="X31" s="637"/>
      <c r="Y31" s="637"/>
      <c r="Z31" s="637"/>
      <c r="AA31" s="637"/>
      <c r="AB31" s="637"/>
      <c r="AC31" s="637"/>
      <c r="AD31" s="637"/>
      <c r="AE31" s="637"/>
      <c r="AF31" s="637"/>
      <c r="AG31" s="637"/>
      <c r="AH31" s="637"/>
      <c r="AI31" s="637"/>
      <c r="AJ31" s="637"/>
      <c r="AK31" s="637"/>
      <c r="AL31" s="637"/>
      <c r="AM31" s="637"/>
      <c r="AO31" s="733"/>
      <c r="AP31" s="730"/>
      <c r="AQ31" s="731"/>
      <c r="AR31" s="86">
        <v>1312</v>
      </c>
      <c r="AS31" s="616">
        <v>7312</v>
      </c>
      <c r="AT31" s="621">
        <f t="shared" si="29"/>
        <v>3</v>
      </c>
      <c r="AU31" s="621">
        <f>Hcol2/1000</f>
        <v>0.3</v>
      </c>
      <c r="AV31" s="616">
        <f t="shared" si="28"/>
        <v>1.29</v>
      </c>
      <c r="AW31" s="253">
        <f>(0.08*AV31*1000+0.022*Fyk*Phicol2)/1000</f>
        <v>0.23414400000000002</v>
      </c>
      <c r="AX31" s="640">
        <f t="shared" si="9"/>
        <v>7.9980000000000016E-3</v>
      </c>
      <c r="AY31" s="236">
        <v>81.8</v>
      </c>
      <c r="AZ31" s="645">
        <f t="shared" si="22"/>
        <v>0.65423640000000016</v>
      </c>
      <c r="BA31" s="640">
        <f>$AW$31*G126</f>
        <v>2.0862230400000001E-2</v>
      </c>
      <c r="BB31" s="236">
        <v>88.1</v>
      </c>
      <c r="BC31" s="645">
        <f>BA31*BB31</f>
        <v>1.83796249824</v>
      </c>
      <c r="BD31" s="640">
        <f>$AW$31*I126</f>
        <v>3.3014304000000001E-2</v>
      </c>
      <c r="BE31" s="236">
        <v>70.5</v>
      </c>
      <c r="BF31" s="645">
        <f>BE31*BD31</f>
        <v>2.3275084320000001</v>
      </c>
      <c r="BG31" s="640">
        <f>$AW$31*K126</f>
        <v>7.5605097600000004E-2</v>
      </c>
      <c r="BH31" s="236">
        <v>8.8000000000000007</v>
      </c>
      <c r="BI31" s="651">
        <f>BH31*BG31</f>
        <v>0.66532485888000004</v>
      </c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</row>
    <row r="32" spans="2:87" ht="15.75" customHeight="1" thickBot="1" x14ac:dyDescent="0.3">
      <c r="B32" s="733"/>
      <c r="C32" s="330">
        <v>5514</v>
      </c>
      <c r="D32" s="330" t="s">
        <v>8</v>
      </c>
      <c r="E32" s="36">
        <v>61.6</v>
      </c>
      <c r="F32" s="37">
        <v>120</v>
      </c>
      <c r="G32" s="38">
        <v>66.3</v>
      </c>
      <c r="H32" s="38">
        <v>129.19999999999999</v>
      </c>
      <c r="I32" s="39">
        <v>53.1</v>
      </c>
      <c r="J32" s="40">
        <v>103.4</v>
      </c>
      <c r="K32" s="85">
        <v>6.6</v>
      </c>
      <c r="L32" s="41">
        <v>12.9</v>
      </c>
      <c r="Q32" s="824" t="s">
        <v>285</v>
      </c>
      <c r="R32" s="825"/>
      <c r="S32" s="825"/>
      <c r="T32" s="825"/>
      <c r="U32" s="825"/>
      <c r="V32" s="825"/>
      <c r="W32" s="825"/>
      <c r="X32" s="825"/>
      <c r="Y32" s="825"/>
      <c r="Z32" s="825"/>
      <c r="AA32" s="825"/>
      <c r="AB32" s="825"/>
      <c r="AC32" s="825"/>
      <c r="AD32" s="825"/>
      <c r="AE32" s="825"/>
      <c r="AF32" s="825"/>
      <c r="AG32" s="825"/>
      <c r="AH32" s="825"/>
      <c r="AI32" s="825"/>
      <c r="AJ32" s="825"/>
      <c r="AK32" s="826"/>
      <c r="AL32" s="826"/>
      <c r="AM32" s="827"/>
      <c r="AO32" s="733"/>
      <c r="AP32" s="730"/>
      <c r="AQ32" s="731"/>
      <c r="AR32" s="86">
        <v>1412</v>
      </c>
      <c r="AS32" s="616">
        <v>7412</v>
      </c>
      <c r="AT32" s="621">
        <f t="shared" si="29"/>
        <v>3</v>
      </c>
      <c r="AU32" s="621">
        <f>Hcol2/1000</f>
        <v>0.3</v>
      </c>
      <c r="AV32" s="616">
        <f t="shared" si="28"/>
        <v>1.29</v>
      </c>
      <c r="AW32" s="253">
        <f>(0.08*AV32*1000+0.022*Fyk*Phicol2)/1000</f>
        <v>0.23414400000000002</v>
      </c>
      <c r="AX32" s="640">
        <f t="shared" si="9"/>
        <v>7.9980000000000016E-3</v>
      </c>
      <c r="AY32" s="236">
        <v>81.8</v>
      </c>
      <c r="AZ32" s="645">
        <f t="shared" si="22"/>
        <v>0.65423640000000016</v>
      </c>
      <c r="BA32" s="640">
        <f>$AW$32*G132</f>
        <v>2.0862230400000001E-2</v>
      </c>
      <c r="BB32" s="236">
        <v>88.1</v>
      </c>
      <c r="BC32" s="645">
        <f>BA32*BB32</f>
        <v>1.83796249824</v>
      </c>
      <c r="BD32" s="640">
        <f>$AW$32*I132</f>
        <v>3.3014304000000001E-2</v>
      </c>
      <c r="BE32" s="236">
        <v>70.5</v>
      </c>
      <c r="BF32" s="645">
        <f>BE32*BD32</f>
        <v>2.3275084320000001</v>
      </c>
      <c r="BG32" s="640">
        <f>$AW$32*K132</f>
        <v>7.5605097600000004E-2</v>
      </c>
      <c r="BH32" s="236">
        <v>8.8000000000000007</v>
      </c>
      <c r="BI32" s="651">
        <f>BH32*BG32</f>
        <v>0.66532485888000004</v>
      </c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</row>
    <row r="33" spans="2:87" ht="15.75" customHeight="1" x14ac:dyDescent="0.25">
      <c r="B33" s="733"/>
      <c r="C33" s="330">
        <v>5515</v>
      </c>
      <c r="D33" s="330" t="s">
        <v>8</v>
      </c>
      <c r="E33" s="36">
        <v>61.6</v>
      </c>
      <c r="F33" s="37">
        <v>120</v>
      </c>
      <c r="G33" s="38">
        <v>66.3</v>
      </c>
      <c r="H33" s="38">
        <v>129.19999999999999</v>
      </c>
      <c r="I33" s="39">
        <v>53.1</v>
      </c>
      <c r="J33" s="40">
        <v>103.4</v>
      </c>
      <c r="K33" s="85">
        <v>6.6</v>
      </c>
      <c r="L33" s="41">
        <v>12.9</v>
      </c>
      <c r="Q33" s="755" t="s">
        <v>5</v>
      </c>
      <c r="R33" s="756"/>
      <c r="S33" s="756">
        <v>1</v>
      </c>
      <c r="T33" s="756"/>
      <c r="U33" s="756"/>
      <c r="V33" s="756"/>
      <c r="W33" s="756"/>
      <c r="X33" s="756"/>
      <c r="Y33" s="756"/>
      <c r="Z33" s="756">
        <v>2</v>
      </c>
      <c r="AA33" s="756"/>
      <c r="AB33" s="756"/>
      <c r="AC33" s="756"/>
      <c r="AD33" s="756"/>
      <c r="AE33" s="756"/>
      <c r="AF33" s="756"/>
      <c r="AG33" s="756">
        <v>3</v>
      </c>
      <c r="AH33" s="756"/>
      <c r="AI33" s="756"/>
      <c r="AJ33" s="756"/>
      <c r="AK33" s="765"/>
      <c r="AL33" s="765"/>
      <c r="AM33" s="766"/>
      <c r="AO33" s="733"/>
      <c r="AP33" s="730"/>
      <c r="AQ33" s="731"/>
      <c r="AR33" s="86">
        <v>1512</v>
      </c>
      <c r="AS33" s="616">
        <v>7512</v>
      </c>
      <c r="AT33" s="621">
        <f t="shared" si="29"/>
        <v>3</v>
      </c>
      <c r="AU33" s="621">
        <f>Hcol2/1000</f>
        <v>0.3</v>
      </c>
      <c r="AV33" s="616">
        <f t="shared" si="28"/>
        <v>1.29</v>
      </c>
      <c r="AW33" s="253">
        <f>(0.08*AV33*1000+0.022*Fyk*Phicol2)/1000</f>
        <v>0.23414400000000002</v>
      </c>
      <c r="AX33" s="640">
        <f t="shared" si="9"/>
        <v>7.9980000000000016E-3</v>
      </c>
      <c r="AY33" s="236">
        <v>81.8</v>
      </c>
      <c r="AZ33" s="645">
        <f t="shared" si="22"/>
        <v>0.65423640000000016</v>
      </c>
      <c r="BA33" s="640">
        <f>$AW$33*G138</f>
        <v>2.0862230400000001E-2</v>
      </c>
      <c r="BB33" s="236">
        <v>88.1</v>
      </c>
      <c r="BC33" s="645">
        <f>BA33*BB33</f>
        <v>1.83796249824</v>
      </c>
      <c r="BD33" s="640">
        <f>$AW$33*I138</f>
        <v>3.3014304000000001E-2</v>
      </c>
      <c r="BE33" s="236">
        <v>70.5</v>
      </c>
      <c r="BF33" s="645">
        <f>BE33*BD33</f>
        <v>2.3275084320000001</v>
      </c>
      <c r="BG33" s="640">
        <f>$AW$33*K138</f>
        <v>7.5605097600000004E-2</v>
      </c>
      <c r="BH33" s="236">
        <v>8.8000000000000007</v>
      </c>
      <c r="BI33" s="651">
        <f>BH33*BG33</f>
        <v>0.66532485888000004</v>
      </c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</row>
    <row r="34" spans="2:87" ht="15.75" customHeight="1" thickBot="1" x14ac:dyDescent="0.3">
      <c r="B34" s="763"/>
      <c r="C34" s="332">
        <v>5516</v>
      </c>
      <c r="D34" s="332" t="s">
        <v>8</v>
      </c>
      <c r="E34" s="74">
        <v>61.6</v>
      </c>
      <c r="F34" s="75">
        <v>120</v>
      </c>
      <c r="G34" s="76">
        <v>66.3</v>
      </c>
      <c r="H34" s="76">
        <v>129.19999999999999</v>
      </c>
      <c r="I34" s="77">
        <v>53.1</v>
      </c>
      <c r="J34" s="78">
        <v>103.4</v>
      </c>
      <c r="K34" s="304">
        <v>6.6</v>
      </c>
      <c r="L34" s="79">
        <v>12.9</v>
      </c>
      <c r="Q34" s="757" t="s">
        <v>38</v>
      </c>
      <c r="R34" s="758"/>
      <c r="S34" s="624" t="s">
        <v>39</v>
      </c>
      <c r="T34" s="624" t="s">
        <v>40</v>
      </c>
      <c r="U34" s="624" t="s">
        <v>41</v>
      </c>
      <c r="V34" s="625" t="s">
        <v>42</v>
      </c>
      <c r="W34" s="624" t="s">
        <v>400</v>
      </c>
      <c r="X34" s="624" t="s">
        <v>401</v>
      </c>
      <c r="Y34" s="624" t="s">
        <v>54</v>
      </c>
      <c r="Z34" s="624" t="s">
        <v>43</v>
      </c>
      <c r="AA34" s="624" t="s">
        <v>44</v>
      </c>
      <c r="AB34" s="624" t="s">
        <v>45</v>
      </c>
      <c r="AC34" s="625" t="s">
        <v>46</v>
      </c>
      <c r="AD34" s="624" t="s">
        <v>398</v>
      </c>
      <c r="AE34" s="624" t="s">
        <v>399</v>
      </c>
      <c r="AF34" s="624" t="s">
        <v>54</v>
      </c>
      <c r="AG34" s="624" t="s">
        <v>47</v>
      </c>
      <c r="AH34" s="624" t="s">
        <v>48</v>
      </c>
      <c r="AI34" s="624" t="s">
        <v>49</v>
      </c>
      <c r="AJ34" s="625" t="s">
        <v>50</v>
      </c>
      <c r="AK34" s="624" t="s">
        <v>402</v>
      </c>
      <c r="AL34" s="624" t="s">
        <v>403</v>
      </c>
      <c r="AM34" s="626" t="s">
        <v>54</v>
      </c>
      <c r="AO34" s="734"/>
      <c r="AP34" s="737"/>
      <c r="AQ34" s="738"/>
      <c r="AR34" s="298">
        <v>1612</v>
      </c>
      <c r="AS34" s="619">
        <v>7612</v>
      </c>
      <c r="AT34" s="622">
        <f t="shared" si="29"/>
        <v>3</v>
      </c>
      <c r="AU34" s="622">
        <f>Hcol1/1000</f>
        <v>0.25</v>
      </c>
      <c r="AV34" s="619">
        <f t="shared" si="28"/>
        <v>1.29</v>
      </c>
      <c r="AW34" s="255">
        <f>(0.08*AV34*1000+0.022*Fyk*Phicol1)/1000</f>
        <v>0.23414400000000002</v>
      </c>
      <c r="AX34" s="640">
        <f t="shared" si="9"/>
        <v>9.5976000000000013E-3</v>
      </c>
      <c r="AY34" s="236">
        <v>46.9</v>
      </c>
      <c r="AZ34" s="645">
        <f t="shared" si="22"/>
        <v>0.45012744000000005</v>
      </c>
      <c r="BA34" s="641">
        <f>$AW$34*G144</f>
        <v>1.9831996800000001E-2</v>
      </c>
      <c r="BB34" s="642">
        <v>50.5</v>
      </c>
      <c r="BC34" s="646">
        <f>BB34*BA34</f>
        <v>1.0015158384</v>
      </c>
      <c r="BD34" s="641">
        <f>$AW$34*I144</f>
        <v>3.9640579200000005E-2</v>
      </c>
      <c r="BE34" s="642">
        <v>40.4</v>
      </c>
      <c r="BF34" s="646">
        <f t="shared" si="24"/>
        <v>1.6014793996800001</v>
      </c>
      <c r="BG34" s="641">
        <f>$AW$34*K144</f>
        <v>0.10890037440000001</v>
      </c>
      <c r="BH34" s="642">
        <v>5.0999999999999996</v>
      </c>
      <c r="BI34" s="652">
        <f t="shared" si="25"/>
        <v>0.55539190944000005</v>
      </c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</row>
    <row r="35" spans="2:87" ht="15" customHeight="1" thickBot="1" x14ac:dyDescent="0.3">
      <c r="Q35" s="759" t="s">
        <v>53</v>
      </c>
      <c r="R35" s="760"/>
      <c r="S35" s="628">
        <v>3.3</v>
      </c>
      <c r="T35" s="236">
        <v>10.7</v>
      </c>
      <c r="U35" s="236">
        <v>10.7</v>
      </c>
      <c r="V35" s="236">
        <v>10.7</v>
      </c>
      <c r="W35" s="236">
        <v>10.7</v>
      </c>
      <c r="X35" s="236">
        <v>7.6</v>
      </c>
      <c r="Y35" s="630">
        <f>S35+T35+U35+V35+W35+X35</f>
        <v>53.699999999999996</v>
      </c>
      <c r="Z35" s="628">
        <v>3.3</v>
      </c>
      <c r="AA35" s="236">
        <v>8.8000000000000007</v>
      </c>
      <c r="AB35" s="236">
        <v>8.8000000000000007</v>
      </c>
      <c r="AC35" s="236">
        <v>8.8000000000000007</v>
      </c>
      <c r="AD35" s="236">
        <v>8.8000000000000007</v>
      </c>
      <c r="AE35" s="236">
        <v>5.0999999999999996</v>
      </c>
      <c r="AF35" s="630">
        <f>Z35+AA35+AB35+AC35+AD35+AE35</f>
        <v>43.6</v>
      </c>
      <c r="AG35" s="628">
        <v>3.3</v>
      </c>
      <c r="AH35" s="236">
        <v>8.3000000000000007</v>
      </c>
      <c r="AI35" s="236">
        <v>8.3000000000000007</v>
      </c>
      <c r="AJ35" s="236">
        <v>8.3000000000000007</v>
      </c>
      <c r="AK35" s="236">
        <v>8.3000000000000007</v>
      </c>
      <c r="AL35" s="236">
        <v>4.8</v>
      </c>
      <c r="AM35" s="629">
        <f>AG35+AH35+AI35+AJ35+AK35+AL35</f>
        <v>41.3</v>
      </c>
      <c r="AO35" s="733">
        <v>1</v>
      </c>
      <c r="AP35" s="730" t="s">
        <v>38</v>
      </c>
      <c r="AQ35" s="731"/>
      <c r="AR35" s="86">
        <v>1111</v>
      </c>
      <c r="AS35" s="616">
        <v>7111</v>
      </c>
      <c r="AT35" s="621">
        <f t="shared" ref="AT35:AT46" si="30">hstr1</f>
        <v>2.75</v>
      </c>
      <c r="AU35" s="621">
        <f>Hcol2/1000</f>
        <v>0.3</v>
      </c>
      <c r="AV35" s="616">
        <f t="shared" si="28"/>
        <v>1.1824999999999999</v>
      </c>
      <c r="AW35" s="253">
        <f>(0.08*AV35*1000+0.022*Fyk*Phicol2)/1000</f>
        <v>0.22554399999999999</v>
      </c>
      <c r="AX35" s="638">
        <f t="shared" si="9"/>
        <v>7.3315000000000003E-3</v>
      </c>
      <c r="AY35" s="596">
        <v>70.2</v>
      </c>
      <c r="AZ35" s="644">
        <f t="shared" si="22"/>
        <v>0.51467130000000005</v>
      </c>
      <c r="BA35" s="638">
        <f>$AW$35*G113</f>
        <v>1.8381835999999999E-2</v>
      </c>
      <c r="BB35" s="596">
        <v>75.599999999999994</v>
      </c>
      <c r="BC35" s="644">
        <f>BA35*BB35</f>
        <v>1.3896668015999998</v>
      </c>
      <c r="BD35" s="638">
        <f>$AW$35*I113</f>
        <v>3.7101988000000002E-2</v>
      </c>
      <c r="BE35" s="596">
        <v>60.5</v>
      </c>
      <c r="BF35" s="644">
        <f>BD35*BE35</f>
        <v>2.2446702740000002</v>
      </c>
      <c r="BG35" s="638">
        <f>$AW$35*K113</f>
        <v>0.1025774112</v>
      </c>
      <c r="BH35" s="596">
        <v>7.6</v>
      </c>
      <c r="BI35" s="650">
        <f>BG35*BH35</f>
        <v>0.77958832511999998</v>
      </c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</row>
    <row r="36" spans="2:87" ht="15" customHeight="1" thickBot="1" x14ac:dyDescent="0.3">
      <c r="B36" s="837" t="s">
        <v>276</v>
      </c>
      <c r="C36" s="838"/>
      <c r="D36" s="838"/>
      <c r="E36" s="838"/>
      <c r="F36" s="838"/>
      <c r="G36" s="838"/>
      <c r="H36" s="838"/>
      <c r="I36" s="838"/>
      <c r="J36" s="838"/>
      <c r="K36" s="838"/>
      <c r="L36" s="838"/>
      <c r="M36" s="838"/>
      <c r="N36" s="838"/>
      <c r="O36" s="839"/>
      <c r="Q36" s="761" t="s">
        <v>52</v>
      </c>
      <c r="R36" s="762"/>
      <c r="S36" s="631">
        <v>7.6</v>
      </c>
      <c r="T36" s="632">
        <v>12.6</v>
      </c>
      <c r="U36" s="632">
        <v>12.6</v>
      </c>
      <c r="V36" s="632">
        <v>12.6</v>
      </c>
      <c r="W36" s="632">
        <v>12.6</v>
      </c>
      <c r="X36" s="632">
        <v>7.6</v>
      </c>
      <c r="Y36" s="634">
        <f>S36+T36+U36+V36+W36+X36</f>
        <v>65.599999999999994</v>
      </c>
      <c r="Z36" s="631">
        <v>3.3</v>
      </c>
      <c r="AA36" s="632">
        <v>8.8000000000000007</v>
      </c>
      <c r="AB36" s="632">
        <v>8.8000000000000007</v>
      </c>
      <c r="AC36" s="632">
        <v>8.8000000000000007</v>
      </c>
      <c r="AD36" s="632">
        <v>8.8000000000000007</v>
      </c>
      <c r="AE36" s="632">
        <v>5.0999999999999996</v>
      </c>
      <c r="AF36" s="634">
        <f>Z36+AA36+AB36+AC36+AD36+AE36</f>
        <v>43.6</v>
      </c>
      <c r="AG36" s="631">
        <v>3.3</v>
      </c>
      <c r="AH36" s="632">
        <v>8.3000000000000007</v>
      </c>
      <c r="AI36" s="632">
        <v>8.3000000000000007</v>
      </c>
      <c r="AJ36" s="632">
        <v>8.3000000000000007</v>
      </c>
      <c r="AK36" s="632">
        <v>8.3000000000000007</v>
      </c>
      <c r="AL36" s="632">
        <v>4.8</v>
      </c>
      <c r="AM36" s="633">
        <f>AG36+AH36+AI36+AJ36+AK36+AL36</f>
        <v>41.3</v>
      </c>
      <c r="AO36" s="733"/>
      <c r="AP36" s="730"/>
      <c r="AQ36" s="731"/>
      <c r="AR36" s="86">
        <v>1211</v>
      </c>
      <c r="AS36" s="616">
        <v>7211</v>
      </c>
      <c r="AT36" s="621">
        <f t="shared" si="30"/>
        <v>2.75</v>
      </c>
      <c r="AU36" s="621">
        <f>Hcol3/1000</f>
        <v>0.5</v>
      </c>
      <c r="AV36" s="616">
        <f t="shared" si="28"/>
        <v>1.1824999999999999</v>
      </c>
      <c r="AW36" s="253">
        <f>(0.08*AV36*1000+0.022*Fyk*Phicol3)/1000</f>
        <v>0.24191199999999999</v>
      </c>
      <c r="AX36" s="640">
        <f t="shared" si="9"/>
        <v>4.3988999999999999E-3</v>
      </c>
      <c r="AY36" s="236">
        <v>117.1</v>
      </c>
      <c r="AZ36" s="645">
        <f t="shared" si="22"/>
        <v>0.51511118999999994</v>
      </c>
      <c r="BA36" s="640">
        <f>$AW$36*G119</f>
        <v>1.71515608E-2</v>
      </c>
      <c r="BB36" s="236">
        <v>126.1</v>
      </c>
      <c r="BC36" s="645">
        <f>BA36*BB36</f>
        <v>2.1628118168799997</v>
      </c>
      <c r="BD36" s="640">
        <f>$AW$36*I119</f>
        <v>2.9247160799999998E-2</v>
      </c>
      <c r="BE36" s="236">
        <v>100.9</v>
      </c>
      <c r="BF36" s="645">
        <f>BD36*BE36</f>
        <v>2.9510385247199999</v>
      </c>
      <c r="BG36" s="640">
        <f>$AW$36*K119</f>
        <v>7.1557569599999996E-2</v>
      </c>
      <c r="BH36" s="236">
        <v>12.6</v>
      </c>
      <c r="BI36" s="651">
        <f>BG36*BH36</f>
        <v>0.90162537695999989</v>
      </c>
    </row>
    <row r="37" spans="2:87" ht="15" customHeight="1" x14ac:dyDescent="0.25">
      <c r="B37" s="834" t="s">
        <v>55</v>
      </c>
      <c r="C37" s="710" t="s">
        <v>28</v>
      </c>
      <c r="D37" s="795" t="s">
        <v>26</v>
      </c>
      <c r="E37" s="712" t="s">
        <v>362</v>
      </c>
      <c r="F37" s="712" t="s">
        <v>361</v>
      </c>
      <c r="G37" s="710" t="s">
        <v>360</v>
      </c>
      <c r="H37" s="795" t="s">
        <v>359</v>
      </c>
      <c r="I37" s="712" t="s">
        <v>358</v>
      </c>
      <c r="J37" s="712" t="s">
        <v>357</v>
      </c>
      <c r="K37" s="710" t="s">
        <v>356</v>
      </c>
      <c r="L37" s="795" t="s">
        <v>355</v>
      </c>
      <c r="M37" s="784" t="s">
        <v>297</v>
      </c>
      <c r="N37" s="786" t="s">
        <v>354</v>
      </c>
      <c r="O37" s="840" t="s">
        <v>353</v>
      </c>
      <c r="Q37" s="755" t="s">
        <v>5</v>
      </c>
      <c r="R37" s="756"/>
      <c r="S37" s="756">
        <v>4</v>
      </c>
      <c r="T37" s="756"/>
      <c r="U37" s="756"/>
      <c r="V37" s="756"/>
      <c r="W37" s="756"/>
      <c r="X37" s="756"/>
      <c r="Y37" s="756"/>
      <c r="Z37" s="756">
        <v>5</v>
      </c>
      <c r="AA37" s="756"/>
      <c r="AB37" s="756"/>
      <c r="AC37" s="756"/>
      <c r="AD37" s="756"/>
      <c r="AE37" s="756"/>
      <c r="AF37" s="756"/>
      <c r="AG37" s="756">
        <v>6</v>
      </c>
      <c r="AH37" s="756"/>
      <c r="AI37" s="756"/>
      <c r="AJ37" s="756"/>
      <c r="AK37" s="765"/>
      <c r="AL37" s="765"/>
      <c r="AM37" s="766"/>
      <c r="AO37" s="733"/>
      <c r="AP37" s="730"/>
      <c r="AQ37" s="731"/>
      <c r="AR37" s="86">
        <v>1311</v>
      </c>
      <c r="AS37" s="616">
        <v>7311</v>
      </c>
      <c r="AT37" s="621">
        <f t="shared" si="30"/>
        <v>2.75</v>
      </c>
      <c r="AU37" s="621">
        <f>Hcol3/1000</f>
        <v>0.5</v>
      </c>
      <c r="AV37" s="616">
        <f t="shared" si="28"/>
        <v>1.1824999999999999</v>
      </c>
      <c r="AW37" s="253">
        <f>(0.08*AV37*1000+0.022*Fyk*Phicol3)/1000</f>
        <v>0.24191199999999999</v>
      </c>
      <c r="AX37" s="640">
        <f t="shared" si="9"/>
        <v>4.3988999999999999E-3</v>
      </c>
      <c r="AY37" s="236">
        <v>117.1</v>
      </c>
      <c r="AZ37" s="645">
        <f t="shared" si="22"/>
        <v>0.51511118999999994</v>
      </c>
      <c r="BA37" s="640">
        <f>$AW$37*G125</f>
        <v>1.71515608E-2</v>
      </c>
      <c r="BB37" s="236">
        <v>126.1</v>
      </c>
      <c r="BC37" s="645">
        <f>BA37*BB37</f>
        <v>2.1628118168799997</v>
      </c>
      <c r="BD37" s="640">
        <f>$AW$37*I125</f>
        <v>2.9247160799999998E-2</v>
      </c>
      <c r="BE37" s="236">
        <v>100.9</v>
      </c>
      <c r="BF37" s="645">
        <f>BD37*BE37</f>
        <v>2.9510385247199999</v>
      </c>
      <c r="BG37" s="640">
        <f>$AW$37*K125</f>
        <v>7.1557569599999996E-2</v>
      </c>
      <c r="BH37" s="236">
        <v>12.6</v>
      </c>
      <c r="BI37" s="651">
        <f>BG37*BH37</f>
        <v>0.90162537695999989</v>
      </c>
    </row>
    <row r="38" spans="2:87" ht="15" customHeight="1" thickBot="1" x14ac:dyDescent="0.3">
      <c r="B38" s="835"/>
      <c r="C38" s="711"/>
      <c r="D38" s="796"/>
      <c r="E38" s="713"/>
      <c r="F38" s="713"/>
      <c r="G38" s="711"/>
      <c r="H38" s="796"/>
      <c r="I38" s="713"/>
      <c r="J38" s="713"/>
      <c r="K38" s="711"/>
      <c r="L38" s="796"/>
      <c r="M38" s="785"/>
      <c r="N38" s="787"/>
      <c r="O38" s="841"/>
      <c r="Q38" s="757" t="s">
        <v>38</v>
      </c>
      <c r="R38" s="758"/>
      <c r="S38" s="624" t="s">
        <v>415</v>
      </c>
      <c r="T38" s="624" t="s">
        <v>416</v>
      </c>
      <c r="U38" s="624" t="s">
        <v>417</v>
      </c>
      <c r="V38" s="625" t="s">
        <v>418</v>
      </c>
      <c r="W38" s="624" t="s">
        <v>419</v>
      </c>
      <c r="X38" s="624" t="s">
        <v>420</v>
      </c>
      <c r="Y38" s="624" t="s">
        <v>54</v>
      </c>
      <c r="Z38" s="624" t="s">
        <v>421</v>
      </c>
      <c r="AA38" s="624" t="s">
        <v>422</v>
      </c>
      <c r="AB38" s="624" t="s">
        <v>423</v>
      </c>
      <c r="AC38" s="625" t="s">
        <v>424</v>
      </c>
      <c r="AD38" s="624" t="s">
        <v>425</v>
      </c>
      <c r="AE38" s="624" t="s">
        <v>426</v>
      </c>
      <c r="AF38" s="624" t="s">
        <v>54</v>
      </c>
      <c r="AG38" s="624" t="s">
        <v>427</v>
      </c>
      <c r="AH38" s="624" t="s">
        <v>428</v>
      </c>
      <c r="AI38" s="624" t="s">
        <v>429</v>
      </c>
      <c r="AJ38" s="625" t="s">
        <v>430</v>
      </c>
      <c r="AK38" s="624" t="s">
        <v>431</v>
      </c>
      <c r="AL38" s="624" t="s">
        <v>432</v>
      </c>
      <c r="AM38" s="626" t="s">
        <v>54</v>
      </c>
      <c r="AO38" s="733"/>
      <c r="AP38" s="730"/>
      <c r="AQ38" s="731"/>
      <c r="AR38" s="86">
        <v>1411</v>
      </c>
      <c r="AS38" s="616">
        <v>7411</v>
      </c>
      <c r="AT38" s="621">
        <f t="shared" si="30"/>
        <v>2.75</v>
      </c>
      <c r="AU38" s="621">
        <f>Hcol3/1000</f>
        <v>0.5</v>
      </c>
      <c r="AV38" s="616">
        <f t="shared" si="28"/>
        <v>1.1824999999999999</v>
      </c>
      <c r="AW38" s="253">
        <f>(0.08*AV38*1000+0.022*Fyk*Phicol3)/1000</f>
        <v>0.24191199999999999</v>
      </c>
      <c r="AX38" s="640">
        <f t="shared" si="9"/>
        <v>4.3988999999999999E-3</v>
      </c>
      <c r="AY38" s="236">
        <v>117.1</v>
      </c>
      <c r="AZ38" s="645">
        <f t="shared" si="22"/>
        <v>0.51511118999999994</v>
      </c>
      <c r="BA38" s="640">
        <f>$AW$38*G131</f>
        <v>1.71515608E-2</v>
      </c>
      <c r="BB38" s="236">
        <v>126.1</v>
      </c>
      <c r="BC38" s="645">
        <f>BA38*BB38</f>
        <v>2.1628118168799997</v>
      </c>
      <c r="BD38" s="640">
        <f>$AW$38*I131</f>
        <v>2.9247160799999998E-2</v>
      </c>
      <c r="BE38" s="236">
        <v>100.9</v>
      </c>
      <c r="BF38" s="645">
        <f>BD38*BE38</f>
        <v>2.9510385247199999</v>
      </c>
      <c r="BG38" s="640">
        <f>$AW$38*K131</f>
        <v>7.1557569599999996E-2</v>
      </c>
      <c r="BH38" s="236">
        <v>12.6</v>
      </c>
      <c r="BI38" s="651">
        <f>BG38*BH38</f>
        <v>0.90162537695999989</v>
      </c>
    </row>
    <row r="39" spans="2:87" ht="15" customHeight="1" x14ac:dyDescent="0.25">
      <c r="B39" s="764">
        <v>1</v>
      </c>
      <c r="C39" s="373">
        <v>5111</v>
      </c>
      <c r="D39" s="373" t="s">
        <v>8</v>
      </c>
      <c r="E39" s="374">
        <v>7.7999999999999996E-3</v>
      </c>
      <c r="F39" s="375">
        <v>7.7999999999999996E-3</v>
      </c>
      <c r="G39" s="376">
        <v>4.53E-2</v>
      </c>
      <c r="H39" s="376">
        <v>4.53E-2</v>
      </c>
      <c r="I39" s="377">
        <v>0.14019999999999999</v>
      </c>
      <c r="J39" s="378">
        <v>0.14019999999999999</v>
      </c>
      <c r="K39" s="379">
        <v>0.47220000000000001</v>
      </c>
      <c r="L39" s="379">
        <v>0.47220000000000001</v>
      </c>
      <c r="M39" s="380">
        <v>0</v>
      </c>
      <c r="N39" s="381">
        <f t="shared" ref="N39:N40" si="31">G39/E39</f>
        <v>5.8076923076923084</v>
      </c>
      <c r="O39" s="382">
        <f t="shared" ref="O39:O40" si="32">I39/E39</f>
        <v>17.974358974358974</v>
      </c>
      <c r="Q39" s="759" t="s">
        <v>53</v>
      </c>
      <c r="R39" s="760"/>
      <c r="S39" s="628">
        <v>3.3</v>
      </c>
      <c r="T39" s="236">
        <v>5.2</v>
      </c>
      <c r="U39" s="236">
        <v>5.2</v>
      </c>
      <c r="V39" s="236">
        <v>5.2</v>
      </c>
      <c r="W39" s="236">
        <v>5.2</v>
      </c>
      <c r="X39" s="236">
        <v>4.4000000000000004</v>
      </c>
      <c r="Y39" s="630">
        <f>S39+T39+U39+V39+W39+X39</f>
        <v>28.5</v>
      </c>
      <c r="Z39" s="628">
        <v>3.3</v>
      </c>
      <c r="AA39" s="236">
        <v>4.7</v>
      </c>
      <c r="AB39" s="236">
        <v>4.7</v>
      </c>
      <c r="AC39" s="236">
        <v>4.7</v>
      </c>
      <c r="AD39" s="236">
        <v>4.7</v>
      </c>
      <c r="AE39" s="236">
        <v>3.9</v>
      </c>
      <c r="AF39" s="630">
        <f>Z39+AA39+AB39+AC39+AD39+AE39</f>
        <v>25.999999999999996</v>
      </c>
      <c r="AG39" s="628">
        <v>3.3</v>
      </c>
      <c r="AH39" s="236">
        <v>3.8</v>
      </c>
      <c r="AI39" s="236">
        <v>3.8</v>
      </c>
      <c r="AJ39" s="236">
        <v>3.8</v>
      </c>
      <c r="AK39" s="236">
        <v>3.8</v>
      </c>
      <c r="AL39" s="236">
        <v>3.3</v>
      </c>
      <c r="AM39" s="629">
        <f>AG39+AH39+AI39+AJ39+AK39+AL39</f>
        <v>21.8</v>
      </c>
      <c r="AO39" s="733"/>
      <c r="AP39" s="730"/>
      <c r="AQ39" s="731"/>
      <c r="AR39" s="86">
        <v>1511</v>
      </c>
      <c r="AS39" s="616">
        <v>7511</v>
      </c>
      <c r="AT39" s="621">
        <f t="shared" si="30"/>
        <v>2.75</v>
      </c>
      <c r="AU39" s="621">
        <f>Hcol3/1000</f>
        <v>0.5</v>
      </c>
      <c r="AV39" s="616">
        <f t="shared" si="28"/>
        <v>1.1824999999999999</v>
      </c>
      <c r="AW39" s="253">
        <f>(0.08*AV39*1000+0.022*Fyk*Phicol3)/1000</f>
        <v>0.24191199999999999</v>
      </c>
      <c r="AX39" s="640">
        <f t="shared" si="9"/>
        <v>4.3988999999999999E-3</v>
      </c>
      <c r="AY39" s="236">
        <v>117.1</v>
      </c>
      <c r="AZ39" s="645">
        <f t="shared" si="22"/>
        <v>0.51511118999999994</v>
      </c>
      <c r="BA39" s="640">
        <f>$AW$39*G143</f>
        <v>1.9715828000000001E-2</v>
      </c>
      <c r="BB39" s="236">
        <v>126.1</v>
      </c>
      <c r="BC39" s="645">
        <f>BA39*BB39</f>
        <v>2.4861659108</v>
      </c>
      <c r="BD39" s="640">
        <f>$AW$39*I137</f>
        <v>2.9247160799999998E-2</v>
      </c>
      <c r="BE39" s="236">
        <v>100.9</v>
      </c>
      <c r="BF39" s="645">
        <f>BD39*BE39</f>
        <v>2.9510385247199999</v>
      </c>
      <c r="BG39" s="640">
        <f>$AW$39*K137</f>
        <v>7.1557569599999996E-2</v>
      </c>
      <c r="BH39" s="236">
        <v>12.6</v>
      </c>
      <c r="BI39" s="651">
        <f>BG39*BH39</f>
        <v>0.90162537695999989</v>
      </c>
    </row>
    <row r="40" spans="2:87" ht="15" customHeight="1" thickBot="1" x14ac:dyDescent="0.3">
      <c r="B40" s="733"/>
      <c r="C40" s="330">
        <v>5112</v>
      </c>
      <c r="D40" s="330" t="s">
        <v>8</v>
      </c>
      <c r="E40" s="88">
        <v>7.7999999999999996E-3</v>
      </c>
      <c r="F40" s="89">
        <v>7.7999999999999996E-3</v>
      </c>
      <c r="G40" s="112">
        <v>4.53E-2</v>
      </c>
      <c r="H40" s="112">
        <v>4.53E-2</v>
      </c>
      <c r="I40" s="90">
        <v>0.14019999999999999</v>
      </c>
      <c r="J40" s="91">
        <v>0.14019999999999999</v>
      </c>
      <c r="K40" s="113">
        <v>0.47220000000000001</v>
      </c>
      <c r="L40" s="113">
        <v>0.47220000000000001</v>
      </c>
      <c r="M40" s="247">
        <v>0</v>
      </c>
      <c r="N40" s="48">
        <f t="shared" si="31"/>
        <v>5.8076923076923084</v>
      </c>
      <c r="O40" s="52">
        <f t="shared" si="32"/>
        <v>17.974358974358974</v>
      </c>
      <c r="Q40" s="761" t="s">
        <v>52</v>
      </c>
      <c r="R40" s="762"/>
      <c r="S40" s="631">
        <v>3.3</v>
      </c>
      <c r="T40" s="632">
        <v>5.2</v>
      </c>
      <c r="U40" s="632">
        <v>5.2</v>
      </c>
      <c r="V40" s="632">
        <v>5.2</v>
      </c>
      <c r="W40" s="632">
        <v>5.2</v>
      </c>
      <c r="X40" s="632">
        <v>4.4000000000000004</v>
      </c>
      <c r="Y40" s="634">
        <f>S40+T40+U40+V40+W40+X40</f>
        <v>28.5</v>
      </c>
      <c r="Z40" s="631">
        <v>3.3</v>
      </c>
      <c r="AA40" s="632">
        <v>4.7</v>
      </c>
      <c r="AB40" s="632">
        <v>4.7</v>
      </c>
      <c r="AC40" s="632">
        <v>4.7</v>
      </c>
      <c r="AD40" s="632">
        <v>4.7</v>
      </c>
      <c r="AE40" s="632">
        <v>3.9</v>
      </c>
      <c r="AF40" s="634">
        <f>Z40+AA40+AB40+AC40+AD40+AE40</f>
        <v>25.999999999999996</v>
      </c>
      <c r="AG40" s="631">
        <v>3.3</v>
      </c>
      <c r="AH40" s="632">
        <v>3.8</v>
      </c>
      <c r="AI40" s="632">
        <v>3.8</v>
      </c>
      <c r="AJ40" s="632">
        <v>3.8</v>
      </c>
      <c r="AK40" s="632">
        <v>3.8</v>
      </c>
      <c r="AL40" s="632">
        <v>3.3</v>
      </c>
      <c r="AM40" s="633">
        <f>AG40+AH40+AI40+AJ40+AK40+AL40</f>
        <v>21.8</v>
      </c>
      <c r="AO40" s="733"/>
      <c r="AP40" s="730"/>
      <c r="AQ40" s="731"/>
      <c r="AR40" s="86">
        <v>1611</v>
      </c>
      <c r="AS40" s="616">
        <v>7611</v>
      </c>
      <c r="AT40" s="621">
        <f t="shared" si="30"/>
        <v>2.75</v>
      </c>
      <c r="AU40" s="621">
        <f>Hcol2/1000</f>
        <v>0.3</v>
      </c>
      <c r="AV40" s="616">
        <f t="shared" si="28"/>
        <v>1.1824999999999999</v>
      </c>
      <c r="AW40" s="253">
        <f>(0.08*AV40*1000+0.022*Fyk*Phicol2)/1000</f>
        <v>0.22554399999999999</v>
      </c>
      <c r="AX40" s="641">
        <f t="shared" si="9"/>
        <v>7.3315000000000003E-3</v>
      </c>
      <c r="AY40" s="642">
        <v>70.2</v>
      </c>
      <c r="AZ40" s="646">
        <f t="shared" si="22"/>
        <v>0.51467130000000005</v>
      </c>
      <c r="BA40" s="641">
        <f>$AW$40*G143</f>
        <v>1.8381835999999999E-2</v>
      </c>
      <c r="BB40" s="642">
        <v>75.599999999999994</v>
      </c>
      <c r="BC40" s="646">
        <f t="shared" si="23"/>
        <v>1.3896668015999998</v>
      </c>
      <c r="BD40" s="641">
        <f>$AW$40*I143</f>
        <v>3.7101988000000002E-2</v>
      </c>
      <c r="BE40" s="642">
        <v>60.5</v>
      </c>
      <c r="BF40" s="646">
        <f t="shared" si="24"/>
        <v>2.2446702740000002</v>
      </c>
      <c r="BG40" s="641">
        <f>$AW$40*K143</f>
        <v>0.1025774112</v>
      </c>
      <c r="BH40" s="642">
        <v>7.6</v>
      </c>
      <c r="BI40" s="652">
        <f t="shared" si="25"/>
        <v>0.77958832511999998</v>
      </c>
    </row>
    <row r="41" spans="2:87" ht="15" customHeight="1" x14ac:dyDescent="0.25">
      <c r="B41" s="733"/>
      <c r="C41" s="330">
        <v>5113</v>
      </c>
      <c r="D41" s="330" t="s">
        <v>8</v>
      </c>
      <c r="E41" s="88">
        <v>7.7999999999999996E-3</v>
      </c>
      <c r="F41" s="89">
        <v>7.7999999999999996E-3</v>
      </c>
      <c r="G41" s="112">
        <v>4.53E-2</v>
      </c>
      <c r="H41" s="112">
        <v>4.53E-2</v>
      </c>
      <c r="I41" s="90">
        <v>0.14019999999999999</v>
      </c>
      <c r="J41" s="91">
        <v>0.14019999999999999</v>
      </c>
      <c r="K41" s="113">
        <v>0.47220000000000001</v>
      </c>
      <c r="L41" s="113">
        <v>0.47220000000000001</v>
      </c>
      <c r="M41" s="247">
        <v>0</v>
      </c>
      <c r="N41" s="48">
        <f t="shared" ref="N41:N44" si="33">G41/E41</f>
        <v>5.8076923076923084</v>
      </c>
      <c r="O41" s="52">
        <f t="shared" ref="O41:O44" si="34">I41/E41</f>
        <v>17.974358974358974</v>
      </c>
      <c r="AO41" s="732">
        <v>0</v>
      </c>
      <c r="AP41" s="735" t="s">
        <v>38</v>
      </c>
      <c r="AQ41" s="736"/>
      <c r="AR41" s="80">
        <v>1110</v>
      </c>
      <c r="AS41" s="617">
        <v>7111</v>
      </c>
      <c r="AT41" s="620">
        <f t="shared" si="30"/>
        <v>2.75</v>
      </c>
      <c r="AU41" s="620">
        <f>Hcol2/1000</f>
        <v>0.3</v>
      </c>
      <c r="AV41" s="620">
        <f>hstr1/((S5/S6)+1)</f>
        <v>1.9113861386138613</v>
      </c>
      <c r="AW41" s="305">
        <f>(0.08*AV41*1000+0.022*Fyk*Phicol2)/1000</f>
        <v>0.28385489108910889</v>
      </c>
      <c r="AX41" s="640">
        <f t="shared" ref="AX41:AX46" si="35">0.7*epy*AV41/AU41</f>
        <v>8.2954158415841587E-3</v>
      </c>
      <c r="AY41" s="236">
        <v>70.2</v>
      </c>
      <c r="AZ41" s="645">
        <f>AY41*AX41</f>
        <v>0.58233819207920801</v>
      </c>
      <c r="BA41" s="639">
        <f>$AW$41*G113</f>
        <v>2.3134173623762376E-2</v>
      </c>
      <c r="BB41" s="596">
        <v>75.599999999999994</v>
      </c>
      <c r="BC41" s="639">
        <f>BB41*BA41</f>
        <v>1.7489435259564354</v>
      </c>
      <c r="BD41" s="638">
        <f>$AW$41*I113</f>
        <v>4.6694129584158417E-2</v>
      </c>
      <c r="BE41" s="596">
        <v>60.5</v>
      </c>
      <c r="BF41" s="644">
        <f>BE41*BD41</f>
        <v>2.8249948398415841</v>
      </c>
      <c r="BG41" s="639">
        <f>$AW$41*K113</f>
        <v>0.12909720446732673</v>
      </c>
      <c r="BH41" s="596">
        <v>7.6</v>
      </c>
      <c r="BI41" s="650">
        <f>BH41*BG41</f>
        <v>0.98113875395168304</v>
      </c>
    </row>
    <row r="42" spans="2:87" ht="15.75" customHeight="1" x14ac:dyDescent="0.25">
      <c r="B42" s="733"/>
      <c r="C42" s="330">
        <v>5114</v>
      </c>
      <c r="D42" s="330" t="s">
        <v>8</v>
      </c>
      <c r="E42" s="88">
        <v>7.7999999999999996E-3</v>
      </c>
      <c r="F42" s="89">
        <v>7.7999999999999996E-3</v>
      </c>
      <c r="G42" s="112">
        <v>4.53E-2</v>
      </c>
      <c r="H42" s="112">
        <v>4.53E-2</v>
      </c>
      <c r="I42" s="90">
        <v>0.14019999999999999</v>
      </c>
      <c r="J42" s="91">
        <v>0.14019999999999999</v>
      </c>
      <c r="K42" s="113">
        <v>0.47220000000000001</v>
      </c>
      <c r="L42" s="113">
        <v>0.47220000000000001</v>
      </c>
      <c r="M42" s="247">
        <v>0</v>
      </c>
      <c r="N42" s="48">
        <f t="shared" si="33"/>
        <v>5.8076923076923084</v>
      </c>
      <c r="O42" s="52">
        <f t="shared" si="34"/>
        <v>17.974358974358974</v>
      </c>
      <c r="AO42" s="733"/>
      <c r="AP42" s="730"/>
      <c r="AQ42" s="731"/>
      <c r="AR42" s="86">
        <v>1210</v>
      </c>
      <c r="AS42" s="616">
        <v>7211</v>
      </c>
      <c r="AT42" s="621">
        <f t="shared" si="30"/>
        <v>2.75</v>
      </c>
      <c r="AU42" s="621">
        <f>Hcol3/1000</f>
        <v>0.5</v>
      </c>
      <c r="AV42" s="621">
        <f>hstr1/((T5/T6)+1)</f>
        <v>1.4846703550023053</v>
      </c>
      <c r="AW42" s="253">
        <f>(0.08*AV42*1000+0.022*Fyk*Phicol3)/1000</f>
        <v>0.2660856284001844</v>
      </c>
      <c r="AX42" s="640">
        <f t="shared" si="35"/>
        <v>3.8660816044260027E-3</v>
      </c>
      <c r="AY42" s="236">
        <v>117.1</v>
      </c>
      <c r="AZ42" s="645">
        <f>AY42*AX42</f>
        <v>0.4527181558782849</v>
      </c>
      <c r="BA42" s="655">
        <f>$AW$42*G119</f>
        <v>1.8865471053573075E-2</v>
      </c>
      <c r="BB42" s="236">
        <v>126.1</v>
      </c>
      <c r="BC42" s="655">
        <f>BB42*BA42</f>
        <v>2.3789358998555645</v>
      </c>
      <c r="BD42" s="640">
        <f>$AW$42*I119</f>
        <v>3.2169752473582294E-2</v>
      </c>
      <c r="BE42" s="236">
        <v>100.9</v>
      </c>
      <c r="BF42" s="645">
        <f>BE42*BD42</f>
        <v>3.2459280245844537</v>
      </c>
      <c r="BG42" s="655">
        <f>$AW$42*K119</f>
        <v>7.8708128880774553E-2</v>
      </c>
      <c r="BH42" s="236">
        <v>12.6</v>
      </c>
      <c r="BI42" s="651">
        <f>BH42*BG42</f>
        <v>0.99172242389775933</v>
      </c>
    </row>
    <row r="43" spans="2:87" x14ac:dyDescent="0.25">
      <c r="B43" s="733"/>
      <c r="C43" s="330">
        <v>5115</v>
      </c>
      <c r="D43" s="330" t="s">
        <v>8</v>
      </c>
      <c r="E43" s="88">
        <v>7.7999999999999996E-3</v>
      </c>
      <c r="F43" s="89">
        <v>7.7999999999999996E-3</v>
      </c>
      <c r="G43" s="112">
        <v>4.53E-2</v>
      </c>
      <c r="H43" s="112">
        <v>4.53E-2</v>
      </c>
      <c r="I43" s="90">
        <v>0.14019999999999999</v>
      </c>
      <c r="J43" s="91">
        <v>0.14019999999999999</v>
      </c>
      <c r="K43" s="113">
        <v>0.47220000000000001</v>
      </c>
      <c r="L43" s="113">
        <v>0.47220000000000001</v>
      </c>
      <c r="M43" s="247">
        <v>0</v>
      </c>
      <c r="N43" s="48">
        <f t="shared" si="33"/>
        <v>5.8076923076923084</v>
      </c>
      <c r="O43" s="52">
        <f t="shared" si="34"/>
        <v>17.974358974358974</v>
      </c>
      <c r="AO43" s="733"/>
      <c r="AP43" s="730"/>
      <c r="AQ43" s="731"/>
      <c r="AR43" s="86">
        <v>1310</v>
      </c>
      <c r="AS43" s="616">
        <v>7311</v>
      </c>
      <c r="AT43" s="621">
        <f t="shared" si="30"/>
        <v>2.75</v>
      </c>
      <c r="AU43" s="621">
        <f>Hcol3/1000</f>
        <v>0.5</v>
      </c>
      <c r="AV43" s="621">
        <f>hstr1/((U5/U6)+1)</f>
        <v>1.4846703550023053</v>
      </c>
      <c r="AW43" s="253">
        <f>(0.08*AV43*1000+0.022*Fyk*Phicol3)/1000</f>
        <v>0.2660856284001844</v>
      </c>
      <c r="AX43" s="640">
        <f t="shared" si="35"/>
        <v>3.8660816044260027E-3</v>
      </c>
      <c r="AY43" s="236">
        <v>117.1</v>
      </c>
      <c r="AZ43" s="645">
        <f t="shared" si="22"/>
        <v>0.4527181558782849</v>
      </c>
      <c r="BA43" s="655">
        <f>$AW$43*G125</f>
        <v>1.8865471053573075E-2</v>
      </c>
      <c r="BB43" s="236">
        <v>126.1</v>
      </c>
      <c r="BC43" s="655">
        <f t="shared" si="23"/>
        <v>2.3789358998555645</v>
      </c>
      <c r="BD43" s="640">
        <f>$AW$43*I125</f>
        <v>3.2169752473582294E-2</v>
      </c>
      <c r="BE43" s="236">
        <v>100.9</v>
      </c>
      <c r="BF43" s="645">
        <f t="shared" si="24"/>
        <v>3.2459280245844537</v>
      </c>
      <c r="BG43" s="655">
        <f>$AW$43*K125</f>
        <v>7.8708128880774553E-2</v>
      </c>
      <c r="BH43" s="236">
        <v>12.6</v>
      </c>
      <c r="BI43" s="651">
        <f t="shared" si="25"/>
        <v>0.99172242389775933</v>
      </c>
    </row>
    <row r="44" spans="2:87" x14ac:dyDescent="0.25">
      <c r="B44" s="733"/>
      <c r="C44" s="330">
        <v>5116</v>
      </c>
      <c r="D44" s="330" t="s">
        <v>8</v>
      </c>
      <c r="E44" s="88">
        <v>7.7999999999999996E-3</v>
      </c>
      <c r="F44" s="89">
        <v>7.7999999999999996E-3</v>
      </c>
      <c r="G44" s="112">
        <v>4.53E-2</v>
      </c>
      <c r="H44" s="112">
        <v>4.53E-2</v>
      </c>
      <c r="I44" s="90">
        <v>0.14019999999999999</v>
      </c>
      <c r="J44" s="91">
        <v>0.14019999999999999</v>
      </c>
      <c r="K44" s="113">
        <v>0.47220000000000001</v>
      </c>
      <c r="L44" s="113">
        <v>0.47220000000000001</v>
      </c>
      <c r="M44" s="247">
        <v>0</v>
      </c>
      <c r="N44" s="48">
        <f t="shared" si="33"/>
        <v>5.8076923076923084</v>
      </c>
      <c r="O44" s="52">
        <f t="shared" si="34"/>
        <v>17.974358974358974</v>
      </c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O44" s="733"/>
      <c r="AP44" s="730"/>
      <c r="AQ44" s="731"/>
      <c r="AR44" s="86">
        <v>1410</v>
      </c>
      <c r="AS44" s="616">
        <v>7411</v>
      </c>
      <c r="AT44" s="621">
        <f t="shared" si="30"/>
        <v>2.75</v>
      </c>
      <c r="AU44" s="621">
        <f>Hcol3/1000</f>
        <v>0.5</v>
      </c>
      <c r="AV44" s="621">
        <f>hstr1/((V5/V6)+1)</f>
        <v>1.4846703550023053</v>
      </c>
      <c r="AW44" s="253">
        <f>(0.08*AV44*1000+0.022*Fyk*Phicol3)/1000</f>
        <v>0.2660856284001844</v>
      </c>
      <c r="AX44" s="640">
        <f t="shared" si="35"/>
        <v>3.8660816044260027E-3</v>
      </c>
      <c r="AY44" s="236">
        <v>117.1</v>
      </c>
      <c r="AZ44" s="645">
        <f t="shared" si="22"/>
        <v>0.4527181558782849</v>
      </c>
      <c r="BA44" s="655">
        <f>$AW$44*G131</f>
        <v>1.8865471053573075E-2</v>
      </c>
      <c r="BB44" s="236">
        <v>126.1</v>
      </c>
      <c r="BC44" s="655">
        <f t="shared" si="23"/>
        <v>2.3789358998555645</v>
      </c>
      <c r="BD44" s="640">
        <f>$AW$44*I131</f>
        <v>3.2169752473582294E-2</v>
      </c>
      <c r="BE44" s="236">
        <v>100.9</v>
      </c>
      <c r="BF44" s="645">
        <f t="shared" si="24"/>
        <v>3.2459280245844537</v>
      </c>
      <c r="BG44" s="655">
        <f>$AW$44*K131</f>
        <v>7.8708128880774553E-2</v>
      </c>
      <c r="BH44" s="236">
        <v>12.6</v>
      </c>
      <c r="BI44" s="651">
        <f t="shared" si="25"/>
        <v>0.99172242389775933</v>
      </c>
    </row>
    <row r="45" spans="2:87" x14ac:dyDescent="0.25">
      <c r="B45" s="732">
        <v>2</v>
      </c>
      <c r="C45" s="328">
        <v>5211</v>
      </c>
      <c r="D45" s="328" t="s">
        <v>8</v>
      </c>
      <c r="E45" s="101">
        <v>7.7999999999999996E-3</v>
      </c>
      <c r="F45" s="102">
        <v>7.7999999999999996E-3</v>
      </c>
      <c r="G45" s="115">
        <v>4.53E-2</v>
      </c>
      <c r="H45" s="115">
        <v>4.53E-2</v>
      </c>
      <c r="I45" s="103">
        <v>0.14019999999999999</v>
      </c>
      <c r="J45" s="104">
        <v>0.14019999999999999</v>
      </c>
      <c r="K45" s="301">
        <v>0.47220000000000001</v>
      </c>
      <c r="L45" s="301">
        <v>0.47220000000000001</v>
      </c>
      <c r="M45" s="302">
        <v>0</v>
      </c>
      <c r="N45" s="43">
        <f>G45/E45</f>
        <v>5.8076923076923084</v>
      </c>
      <c r="O45" s="46">
        <f>I45/E45</f>
        <v>17.974358974358974</v>
      </c>
      <c r="AO45" s="733"/>
      <c r="AP45" s="730"/>
      <c r="AQ45" s="731"/>
      <c r="AR45" s="86">
        <v>1510</v>
      </c>
      <c r="AS45" s="616">
        <v>7511</v>
      </c>
      <c r="AT45" s="621">
        <f t="shared" si="30"/>
        <v>2.75</v>
      </c>
      <c r="AU45" s="621">
        <f>Hcol3/1000</f>
        <v>0.5</v>
      </c>
      <c r="AV45" s="621">
        <f>hstr1/((W5/W6)+1)</f>
        <v>1.4846703550023053</v>
      </c>
      <c r="AW45" s="253">
        <f>(0.08*AV45*1000+0.022*Fyk*Phicol3)/1000</f>
        <v>0.2660856284001844</v>
      </c>
      <c r="AX45" s="640">
        <f t="shared" si="35"/>
        <v>3.8660816044260027E-3</v>
      </c>
      <c r="AY45" s="236">
        <v>117.1</v>
      </c>
      <c r="AZ45" s="645">
        <f t="shared" si="22"/>
        <v>0.4527181558782849</v>
      </c>
      <c r="BA45" s="655">
        <f>$AW$45*G137</f>
        <v>1.8865471053573075E-2</v>
      </c>
      <c r="BB45" s="236">
        <v>126.1</v>
      </c>
      <c r="BC45" s="655">
        <f t="shared" si="23"/>
        <v>2.3789358998555645</v>
      </c>
      <c r="BD45" s="640">
        <f>$AW$45*I137</f>
        <v>3.2169752473582294E-2</v>
      </c>
      <c r="BE45" s="236">
        <v>100.9</v>
      </c>
      <c r="BF45" s="645">
        <f t="shared" si="24"/>
        <v>3.2459280245844537</v>
      </c>
      <c r="BG45" s="655">
        <f>$AW$45*K137</f>
        <v>7.8708128880774553E-2</v>
      </c>
      <c r="BH45" s="236">
        <v>12.6</v>
      </c>
      <c r="BI45" s="651">
        <f t="shared" si="25"/>
        <v>0.99172242389775933</v>
      </c>
    </row>
    <row r="46" spans="2:87" ht="15.75" thickBot="1" x14ac:dyDescent="0.3">
      <c r="B46" s="733"/>
      <c r="C46" s="330">
        <v>5212</v>
      </c>
      <c r="D46" s="330" t="s">
        <v>8</v>
      </c>
      <c r="E46" s="88">
        <v>7.7999999999999996E-3</v>
      </c>
      <c r="F46" s="89">
        <v>7.7999999999999996E-3</v>
      </c>
      <c r="G46" s="112">
        <v>4.53E-2</v>
      </c>
      <c r="H46" s="112">
        <v>4.53E-2</v>
      </c>
      <c r="I46" s="90">
        <v>0.14019999999999999</v>
      </c>
      <c r="J46" s="91">
        <v>0.14019999999999999</v>
      </c>
      <c r="K46" s="113">
        <v>0.47220000000000001</v>
      </c>
      <c r="L46" s="113">
        <v>0.47220000000000001</v>
      </c>
      <c r="M46" s="247">
        <v>0</v>
      </c>
      <c r="N46" s="48">
        <f>G46/E46</f>
        <v>5.8076923076923084</v>
      </c>
      <c r="O46" s="52">
        <f>I46/E46</f>
        <v>17.974358974358974</v>
      </c>
      <c r="AO46" s="763"/>
      <c r="AP46" s="767"/>
      <c r="AQ46" s="768"/>
      <c r="AR46" s="296">
        <v>1610</v>
      </c>
      <c r="AS46" s="618">
        <v>7611</v>
      </c>
      <c r="AT46" s="623">
        <f t="shared" si="30"/>
        <v>2.75</v>
      </c>
      <c r="AU46" s="623">
        <f>Hcol2/1000</f>
        <v>0.3</v>
      </c>
      <c r="AV46" s="623">
        <f>hstr1/((X5/X6)+1)</f>
        <v>1.375</v>
      </c>
      <c r="AW46" s="193">
        <f>(0.08*AV46*1000+0.022*Fyk*Phicol2)/1000</f>
        <v>0.24094399999999999</v>
      </c>
      <c r="AX46" s="647">
        <f t="shared" si="35"/>
        <v>5.9674999999999997E-3</v>
      </c>
      <c r="AY46" s="632">
        <v>70.2</v>
      </c>
      <c r="AZ46" s="648">
        <f t="shared" si="22"/>
        <v>0.41891849999999997</v>
      </c>
      <c r="BA46" s="649">
        <f>$AW$46*G143</f>
        <v>1.9636936000000001E-2</v>
      </c>
      <c r="BB46" s="632">
        <v>75.599999999999994</v>
      </c>
      <c r="BC46" s="649">
        <f>BB46*BA46</f>
        <v>1.4845523616</v>
      </c>
      <c r="BD46" s="647">
        <f>$AW$46*I143</f>
        <v>3.9635287999999998E-2</v>
      </c>
      <c r="BE46" s="632">
        <v>60.5</v>
      </c>
      <c r="BF46" s="648">
        <f t="shared" si="24"/>
        <v>2.3979349239999999</v>
      </c>
      <c r="BG46" s="649">
        <f>$AW$46*K143</f>
        <v>0.10958133119999999</v>
      </c>
      <c r="BH46" s="632">
        <v>7.6</v>
      </c>
      <c r="BI46" s="653">
        <f t="shared" si="25"/>
        <v>0.83281811711999987</v>
      </c>
    </row>
    <row r="47" spans="2:87" ht="15" customHeight="1" x14ac:dyDescent="0.25">
      <c r="B47" s="733"/>
      <c r="C47" s="330">
        <v>5213</v>
      </c>
      <c r="D47" s="330" t="s">
        <v>8</v>
      </c>
      <c r="E47" s="88">
        <v>7.7999999999999996E-3</v>
      </c>
      <c r="F47" s="89">
        <v>7.7999999999999996E-3</v>
      </c>
      <c r="G47" s="112">
        <v>4.53E-2</v>
      </c>
      <c r="H47" s="112">
        <v>4.53E-2</v>
      </c>
      <c r="I47" s="90">
        <v>0.14019999999999999</v>
      </c>
      <c r="J47" s="91">
        <v>0.14019999999999999</v>
      </c>
      <c r="K47" s="113">
        <v>0.47220000000000001</v>
      </c>
      <c r="L47" s="113">
        <v>0.47220000000000001</v>
      </c>
      <c r="M47" s="247">
        <v>0</v>
      </c>
      <c r="N47" s="48">
        <f t="shared" ref="N47:N50" si="36">G47/E47</f>
        <v>5.8076923076923084</v>
      </c>
      <c r="O47" s="52">
        <f t="shared" ref="O47:O50" si="37">I47/E47</f>
        <v>17.974358974358974</v>
      </c>
    </row>
    <row r="48" spans="2:87" x14ac:dyDescent="0.25">
      <c r="B48" s="733"/>
      <c r="C48" s="330">
        <v>5214</v>
      </c>
      <c r="D48" s="330" t="s">
        <v>8</v>
      </c>
      <c r="E48" s="88">
        <v>7.7999999999999996E-3</v>
      </c>
      <c r="F48" s="89">
        <v>7.7999999999999996E-3</v>
      </c>
      <c r="G48" s="112">
        <v>4.53E-2</v>
      </c>
      <c r="H48" s="112">
        <v>4.53E-2</v>
      </c>
      <c r="I48" s="90">
        <v>0.14019999999999999</v>
      </c>
      <c r="J48" s="91">
        <v>0.14019999999999999</v>
      </c>
      <c r="K48" s="113">
        <v>0.47220000000000001</v>
      </c>
      <c r="L48" s="113">
        <v>0.47220000000000001</v>
      </c>
      <c r="M48" s="247">
        <v>0</v>
      </c>
      <c r="N48" s="48">
        <f t="shared" si="36"/>
        <v>5.8076923076923084</v>
      </c>
      <c r="O48" s="52">
        <f t="shared" si="37"/>
        <v>17.974358974358974</v>
      </c>
    </row>
    <row r="49" spans="1:35" x14ac:dyDescent="0.25">
      <c r="B49" s="733"/>
      <c r="C49" s="330">
        <v>5215</v>
      </c>
      <c r="D49" s="330" t="s">
        <v>8</v>
      </c>
      <c r="E49" s="88">
        <v>7.7999999999999996E-3</v>
      </c>
      <c r="F49" s="89">
        <v>7.7999999999999996E-3</v>
      </c>
      <c r="G49" s="112">
        <v>4.53E-2</v>
      </c>
      <c r="H49" s="112">
        <v>4.53E-2</v>
      </c>
      <c r="I49" s="90">
        <v>0.14019999999999999</v>
      </c>
      <c r="J49" s="91">
        <v>0.14019999999999999</v>
      </c>
      <c r="K49" s="113">
        <v>0.47220000000000001</v>
      </c>
      <c r="L49" s="113">
        <v>0.47220000000000001</v>
      </c>
      <c r="M49" s="247">
        <v>0</v>
      </c>
      <c r="N49" s="48">
        <f t="shared" si="36"/>
        <v>5.8076923076923084</v>
      </c>
      <c r="O49" s="52">
        <f t="shared" si="37"/>
        <v>17.974358974358974</v>
      </c>
    </row>
    <row r="50" spans="1:35" x14ac:dyDescent="0.25">
      <c r="B50" s="733"/>
      <c r="C50" s="330">
        <v>5216</v>
      </c>
      <c r="D50" s="330" t="s">
        <v>8</v>
      </c>
      <c r="E50" s="88">
        <v>7.7999999999999996E-3</v>
      </c>
      <c r="F50" s="89">
        <v>7.7999999999999996E-3</v>
      </c>
      <c r="G50" s="112">
        <v>4.53E-2</v>
      </c>
      <c r="H50" s="112">
        <v>4.53E-2</v>
      </c>
      <c r="I50" s="90">
        <v>0.14019999999999999</v>
      </c>
      <c r="J50" s="91">
        <v>0.14019999999999999</v>
      </c>
      <c r="K50" s="113">
        <v>0.47220000000000001</v>
      </c>
      <c r="L50" s="113">
        <v>0.47220000000000001</v>
      </c>
      <c r="M50" s="247">
        <v>0</v>
      </c>
      <c r="N50" s="48">
        <f t="shared" si="36"/>
        <v>5.8076923076923084</v>
      </c>
      <c r="O50" s="52">
        <f t="shared" si="37"/>
        <v>17.974358974358974</v>
      </c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</row>
    <row r="51" spans="1:35" x14ac:dyDescent="0.25">
      <c r="A51" s="12"/>
      <c r="B51" s="732">
        <v>3</v>
      </c>
      <c r="C51" s="328">
        <v>5311</v>
      </c>
      <c r="D51" s="328" t="s">
        <v>8</v>
      </c>
      <c r="E51" s="101">
        <v>7.7999999999999996E-3</v>
      </c>
      <c r="F51" s="102">
        <v>7.7999999999999996E-3</v>
      </c>
      <c r="G51" s="115">
        <v>4.53E-2</v>
      </c>
      <c r="H51" s="115">
        <v>4.53E-2</v>
      </c>
      <c r="I51" s="103">
        <v>0.14019999999999999</v>
      </c>
      <c r="J51" s="104">
        <v>0.14019999999999999</v>
      </c>
      <c r="K51" s="301">
        <v>0.47220000000000001</v>
      </c>
      <c r="L51" s="301">
        <v>0.47220000000000001</v>
      </c>
      <c r="M51" s="302">
        <v>0</v>
      </c>
      <c r="N51" s="43">
        <f>G51/E51</f>
        <v>5.8076923076923084</v>
      </c>
      <c r="O51" s="46">
        <f>I51/E51</f>
        <v>17.974358974358974</v>
      </c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</row>
    <row r="52" spans="1:35" x14ac:dyDescent="0.25">
      <c r="A52" s="12"/>
      <c r="B52" s="733"/>
      <c r="C52" s="330">
        <v>5312</v>
      </c>
      <c r="D52" s="330" t="s">
        <v>8</v>
      </c>
      <c r="E52" s="88">
        <v>7.7999999999999996E-3</v>
      </c>
      <c r="F52" s="89">
        <v>7.7999999999999996E-3</v>
      </c>
      <c r="G52" s="112">
        <v>4.53E-2</v>
      </c>
      <c r="H52" s="112">
        <v>4.53E-2</v>
      </c>
      <c r="I52" s="90">
        <v>0.14019999999999999</v>
      </c>
      <c r="J52" s="91">
        <v>0.14019999999999999</v>
      </c>
      <c r="K52" s="113">
        <v>0.47220000000000001</v>
      </c>
      <c r="L52" s="113">
        <v>0.47220000000000001</v>
      </c>
      <c r="M52" s="247">
        <v>0</v>
      </c>
      <c r="N52" s="48">
        <f t="shared" ref="N52:N55" si="38">G52/E52</f>
        <v>5.8076923076923084</v>
      </c>
      <c r="O52" s="52">
        <f t="shared" ref="O52:O55" si="39">I52/E52</f>
        <v>17.974358974358974</v>
      </c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</row>
    <row r="53" spans="1:35" x14ac:dyDescent="0.25">
      <c r="A53" s="12"/>
      <c r="B53" s="733"/>
      <c r="C53" s="330">
        <v>5313</v>
      </c>
      <c r="D53" s="330" t="s">
        <v>8</v>
      </c>
      <c r="E53" s="88">
        <v>7.7999999999999996E-3</v>
      </c>
      <c r="F53" s="89">
        <v>7.7999999999999996E-3</v>
      </c>
      <c r="G53" s="112">
        <v>4.53E-2</v>
      </c>
      <c r="H53" s="112">
        <v>4.53E-2</v>
      </c>
      <c r="I53" s="90">
        <v>0.14019999999999999</v>
      </c>
      <c r="J53" s="91">
        <v>0.14019999999999999</v>
      </c>
      <c r="K53" s="113">
        <v>0.47220000000000001</v>
      </c>
      <c r="L53" s="113">
        <v>0.47220000000000001</v>
      </c>
      <c r="M53" s="247">
        <v>0</v>
      </c>
      <c r="N53" s="48">
        <f t="shared" si="38"/>
        <v>5.8076923076923084</v>
      </c>
      <c r="O53" s="52">
        <f t="shared" si="39"/>
        <v>17.974358974358974</v>
      </c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</row>
    <row r="54" spans="1:35" x14ac:dyDescent="0.25">
      <c r="A54" s="12"/>
      <c r="B54" s="733"/>
      <c r="C54" s="330">
        <v>5314</v>
      </c>
      <c r="D54" s="330" t="s">
        <v>8</v>
      </c>
      <c r="E54" s="88">
        <v>7.7999999999999996E-3</v>
      </c>
      <c r="F54" s="89">
        <v>7.7999999999999996E-3</v>
      </c>
      <c r="G54" s="112">
        <v>4.53E-2</v>
      </c>
      <c r="H54" s="112">
        <v>4.53E-2</v>
      </c>
      <c r="I54" s="90">
        <v>0.14019999999999999</v>
      </c>
      <c r="J54" s="91">
        <v>0.14019999999999999</v>
      </c>
      <c r="K54" s="113">
        <v>0.47220000000000001</v>
      </c>
      <c r="L54" s="113">
        <v>0.47220000000000001</v>
      </c>
      <c r="M54" s="247">
        <v>0</v>
      </c>
      <c r="N54" s="48">
        <f t="shared" si="38"/>
        <v>5.8076923076923084</v>
      </c>
      <c r="O54" s="52">
        <f t="shared" si="39"/>
        <v>17.974358974358974</v>
      </c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</row>
    <row r="55" spans="1:35" x14ac:dyDescent="0.25">
      <c r="A55" s="12"/>
      <c r="B55" s="733"/>
      <c r="C55" s="330">
        <v>5315</v>
      </c>
      <c r="D55" s="330" t="s">
        <v>8</v>
      </c>
      <c r="E55" s="88">
        <v>7.7999999999999996E-3</v>
      </c>
      <c r="F55" s="89">
        <v>7.7999999999999996E-3</v>
      </c>
      <c r="G55" s="112">
        <v>4.53E-2</v>
      </c>
      <c r="H55" s="112">
        <v>4.53E-2</v>
      </c>
      <c r="I55" s="90">
        <v>0.14019999999999999</v>
      </c>
      <c r="J55" s="91">
        <v>0.14019999999999999</v>
      </c>
      <c r="K55" s="113">
        <v>0.47220000000000001</v>
      </c>
      <c r="L55" s="113">
        <v>0.47220000000000001</v>
      </c>
      <c r="M55" s="247">
        <v>0</v>
      </c>
      <c r="N55" s="48">
        <f t="shared" si="38"/>
        <v>5.8076923076923084</v>
      </c>
      <c r="O55" s="52">
        <f t="shared" si="39"/>
        <v>17.974358974358974</v>
      </c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</row>
    <row r="56" spans="1:35" x14ac:dyDescent="0.25">
      <c r="A56" s="12"/>
      <c r="B56" s="734"/>
      <c r="C56" s="334">
        <v>5316</v>
      </c>
      <c r="D56" s="334" t="s">
        <v>8</v>
      </c>
      <c r="E56" s="94">
        <v>7.7999999999999996E-3</v>
      </c>
      <c r="F56" s="95">
        <v>7.7999999999999996E-3</v>
      </c>
      <c r="G56" s="142">
        <v>4.53E-2</v>
      </c>
      <c r="H56" s="142">
        <v>4.53E-2</v>
      </c>
      <c r="I56" s="96">
        <v>0.14019999999999999</v>
      </c>
      <c r="J56" s="97">
        <v>0.14019999999999999</v>
      </c>
      <c r="K56" s="270">
        <v>0.47220000000000001</v>
      </c>
      <c r="L56" s="270">
        <v>0.47220000000000001</v>
      </c>
      <c r="M56" s="248">
        <v>0</v>
      </c>
      <c r="N56" s="67">
        <f>G56/E56</f>
        <v>5.8076923076923084</v>
      </c>
      <c r="O56" s="69">
        <f>I56/E56</f>
        <v>17.974358974358974</v>
      </c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</row>
    <row r="57" spans="1:35" x14ac:dyDescent="0.25">
      <c r="A57" s="12"/>
      <c r="B57" s="732">
        <v>4</v>
      </c>
      <c r="C57" s="328">
        <v>5411</v>
      </c>
      <c r="D57" s="328" t="s">
        <v>8</v>
      </c>
      <c r="E57" s="101">
        <v>7.7999999999999996E-3</v>
      </c>
      <c r="F57" s="102">
        <v>7.7999999999999996E-3</v>
      </c>
      <c r="G57" s="115">
        <v>4.53E-2</v>
      </c>
      <c r="H57" s="115">
        <v>4.53E-2</v>
      </c>
      <c r="I57" s="103">
        <v>0.14019999999999999</v>
      </c>
      <c r="J57" s="104">
        <v>0.14019999999999999</v>
      </c>
      <c r="K57" s="301">
        <v>0.47220000000000001</v>
      </c>
      <c r="L57" s="301">
        <v>0.47220000000000001</v>
      </c>
      <c r="M57" s="302">
        <v>0</v>
      </c>
      <c r="N57" s="43">
        <f>G57/E57</f>
        <v>5.8076923076923084</v>
      </c>
      <c r="O57" s="46">
        <f>I57/E57</f>
        <v>17.974358974358974</v>
      </c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</row>
    <row r="58" spans="1:35" x14ac:dyDescent="0.25">
      <c r="A58" s="12"/>
      <c r="B58" s="733"/>
      <c r="C58" s="330">
        <v>5412</v>
      </c>
      <c r="D58" s="330" t="s">
        <v>8</v>
      </c>
      <c r="E58" s="88">
        <v>7.7999999999999996E-3</v>
      </c>
      <c r="F58" s="89">
        <v>7.7999999999999996E-3</v>
      </c>
      <c r="G58" s="112">
        <v>4.53E-2</v>
      </c>
      <c r="H58" s="112">
        <v>4.53E-2</v>
      </c>
      <c r="I58" s="90">
        <v>0.14019999999999999</v>
      </c>
      <c r="J58" s="91">
        <v>0.14019999999999999</v>
      </c>
      <c r="K58" s="113">
        <v>0.47220000000000001</v>
      </c>
      <c r="L58" s="113">
        <v>0.47220000000000001</v>
      </c>
      <c r="M58" s="247">
        <v>0</v>
      </c>
      <c r="N58" s="48">
        <f>G58/E58</f>
        <v>5.8076923076923084</v>
      </c>
      <c r="O58" s="52">
        <f>I58/E58</f>
        <v>17.974358974358974</v>
      </c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</row>
    <row r="59" spans="1:35" x14ac:dyDescent="0.25">
      <c r="A59" s="12"/>
      <c r="B59" s="733"/>
      <c r="C59" s="330">
        <v>5413</v>
      </c>
      <c r="D59" s="330" t="s">
        <v>8</v>
      </c>
      <c r="E59" s="88">
        <v>7.7999999999999996E-3</v>
      </c>
      <c r="F59" s="89">
        <v>7.7999999999999996E-3</v>
      </c>
      <c r="G59" s="112">
        <v>4.53E-2</v>
      </c>
      <c r="H59" s="112">
        <v>4.53E-2</v>
      </c>
      <c r="I59" s="90">
        <v>0.14019999999999999</v>
      </c>
      <c r="J59" s="91">
        <v>0.14019999999999999</v>
      </c>
      <c r="K59" s="113">
        <v>0.47220000000000001</v>
      </c>
      <c r="L59" s="113">
        <v>0.47220000000000001</v>
      </c>
      <c r="M59" s="247">
        <v>0</v>
      </c>
      <c r="N59" s="48">
        <f t="shared" ref="N59:N62" si="40">G59/E59</f>
        <v>5.8076923076923084</v>
      </c>
      <c r="O59" s="52">
        <f t="shared" ref="O59:O62" si="41">I59/E59</f>
        <v>17.974358974358974</v>
      </c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</row>
    <row r="60" spans="1:35" x14ac:dyDescent="0.25">
      <c r="A60" s="12"/>
      <c r="B60" s="733"/>
      <c r="C60" s="330">
        <v>5414</v>
      </c>
      <c r="D60" s="330" t="s">
        <v>8</v>
      </c>
      <c r="E60" s="88">
        <v>7.7999999999999996E-3</v>
      </c>
      <c r="F60" s="89">
        <v>7.7999999999999996E-3</v>
      </c>
      <c r="G60" s="112">
        <v>4.53E-2</v>
      </c>
      <c r="H60" s="112">
        <v>4.53E-2</v>
      </c>
      <c r="I60" s="90">
        <v>0.14019999999999999</v>
      </c>
      <c r="J60" s="91">
        <v>0.14019999999999999</v>
      </c>
      <c r="K60" s="113">
        <v>0.47220000000000001</v>
      </c>
      <c r="L60" s="113">
        <v>0.47220000000000001</v>
      </c>
      <c r="M60" s="247">
        <v>0</v>
      </c>
      <c r="N60" s="48">
        <f t="shared" si="40"/>
        <v>5.8076923076923084</v>
      </c>
      <c r="O60" s="52">
        <f t="shared" si="41"/>
        <v>17.974358974358974</v>
      </c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</row>
    <row r="61" spans="1:35" x14ac:dyDescent="0.25">
      <c r="A61" s="12"/>
      <c r="B61" s="733"/>
      <c r="C61" s="330">
        <v>5415</v>
      </c>
      <c r="D61" s="330" t="s">
        <v>8</v>
      </c>
      <c r="E61" s="88">
        <v>7.7999999999999996E-3</v>
      </c>
      <c r="F61" s="89">
        <v>7.7999999999999996E-3</v>
      </c>
      <c r="G61" s="112">
        <v>4.53E-2</v>
      </c>
      <c r="H61" s="112">
        <v>4.53E-2</v>
      </c>
      <c r="I61" s="90">
        <v>0.14019999999999999</v>
      </c>
      <c r="J61" s="91">
        <v>0.14019999999999999</v>
      </c>
      <c r="K61" s="113">
        <v>0.47220000000000001</v>
      </c>
      <c r="L61" s="113">
        <v>0.47220000000000001</v>
      </c>
      <c r="M61" s="247">
        <v>0</v>
      </c>
      <c r="N61" s="48">
        <f t="shared" si="40"/>
        <v>5.8076923076923084</v>
      </c>
      <c r="O61" s="52">
        <f t="shared" si="41"/>
        <v>17.974358974358974</v>
      </c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</row>
    <row r="62" spans="1:35" x14ac:dyDescent="0.25">
      <c r="A62" s="12"/>
      <c r="B62" s="733"/>
      <c r="C62" s="330">
        <v>5416</v>
      </c>
      <c r="D62" s="330" t="s">
        <v>8</v>
      </c>
      <c r="E62" s="88">
        <v>7.7999999999999996E-3</v>
      </c>
      <c r="F62" s="89">
        <v>7.7999999999999996E-3</v>
      </c>
      <c r="G62" s="112">
        <v>4.53E-2</v>
      </c>
      <c r="H62" s="112">
        <v>4.53E-2</v>
      </c>
      <c r="I62" s="90">
        <v>0.14019999999999999</v>
      </c>
      <c r="J62" s="91">
        <v>0.14019999999999999</v>
      </c>
      <c r="K62" s="113">
        <v>0.47220000000000001</v>
      </c>
      <c r="L62" s="113">
        <v>0.47220000000000001</v>
      </c>
      <c r="M62" s="247">
        <v>0</v>
      </c>
      <c r="N62" s="48">
        <f t="shared" si="40"/>
        <v>5.8076923076923084</v>
      </c>
      <c r="O62" s="52">
        <f t="shared" si="41"/>
        <v>17.974358974358974</v>
      </c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</row>
    <row r="63" spans="1:35" x14ac:dyDescent="0.25">
      <c r="A63" s="12"/>
      <c r="B63" s="732">
        <v>5</v>
      </c>
      <c r="C63" s="328">
        <v>5511</v>
      </c>
      <c r="D63" s="329" t="s">
        <v>8</v>
      </c>
      <c r="E63" s="115">
        <v>7.7999999999999996E-3</v>
      </c>
      <c r="F63" s="115">
        <v>7.7999999999999996E-3</v>
      </c>
      <c r="G63" s="101">
        <v>4.53E-2</v>
      </c>
      <c r="H63" s="102">
        <v>4.53E-2</v>
      </c>
      <c r="I63" s="301">
        <v>0.14019999999999999</v>
      </c>
      <c r="J63" s="301">
        <v>0.14019999999999999</v>
      </c>
      <c r="K63" s="103">
        <v>0.47220000000000001</v>
      </c>
      <c r="L63" s="104">
        <v>0.47220000000000001</v>
      </c>
      <c r="M63" s="43">
        <v>0</v>
      </c>
      <c r="N63" s="43">
        <f>G63/E63</f>
        <v>5.8076923076923084</v>
      </c>
      <c r="O63" s="46">
        <f>I63/E63</f>
        <v>17.974358974358974</v>
      </c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</row>
    <row r="64" spans="1:35" x14ac:dyDescent="0.25">
      <c r="A64" s="12"/>
      <c r="B64" s="733"/>
      <c r="C64" s="330">
        <v>5512</v>
      </c>
      <c r="D64" s="331" t="s">
        <v>8</v>
      </c>
      <c r="E64" s="112">
        <v>7.7999999999999996E-3</v>
      </c>
      <c r="F64" s="112">
        <v>7.7999999999999996E-3</v>
      </c>
      <c r="G64" s="88">
        <v>4.53E-2</v>
      </c>
      <c r="H64" s="89">
        <v>4.53E-2</v>
      </c>
      <c r="I64" s="113">
        <v>0.14019999999999999</v>
      </c>
      <c r="J64" s="113">
        <v>0.14019999999999999</v>
      </c>
      <c r="K64" s="90">
        <v>0.47220000000000001</v>
      </c>
      <c r="L64" s="91">
        <v>0.47220000000000001</v>
      </c>
      <c r="M64" s="48">
        <v>0</v>
      </c>
      <c r="N64" s="48">
        <f t="shared" ref="N64:N68" si="42">G64/E64</f>
        <v>5.8076923076923084</v>
      </c>
      <c r="O64" s="52">
        <f t="shared" ref="O64:O68" si="43">I64/E64</f>
        <v>17.974358974358974</v>
      </c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</row>
    <row r="65" spans="1:35" x14ac:dyDescent="0.25">
      <c r="A65" s="12"/>
      <c r="B65" s="733"/>
      <c r="C65" s="330">
        <v>5513</v>
      </c>
      <c r="D65" s="331" t="s">
        <v>8</v>
      </c>
      <c r="E65" s="112">
        <v>7.7999999999999996E-3</v>
      </c>
      <c r="F65" s="112">
        <v>7.7999999999999996E-3</v>
      </c>
      <c r="G65" s="88">
        <v>4.53E-2</v>
      </c>
      <c r="H65" s="89">
        <v>4.53E-2</v>
      </c>
      <c r="I65" s="113">
        <v>0.14019999999999999</v>
      </c>
      <c r="J65" s="113">
        <v>0.14019999999999999</v>
      </c>
      <c r="K65" s="90">
        <v>0.47220000000000001</v>
      </c>
      <c r="L65" s="91">
        <v>0.47220000000000001</v>
      </c>
      <c r="M65" s="48">
        <v>0</v>
      </c>
      <c r="N65" s="48">
        <f t="shared" si="42"/>
        <v>5.8076923076923084</v>
      </c>
      <c r="O65" s="52">
        <f t="shared" si="43"/>
        <v>17.974358974358974</v>
      </c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</row>
    <row r="66" spans="1:35" x14ac:dyDescent="0.25">
      <c r="A66" s="12"/>
      <c r="B66" s="733"/>
      <c r="C66" s="330">
        <v>5514</v>
      </c>
      <c r="D66" s="331" t="s">
        <v>8</v>
      </c>
      <c r="E66" s="112">
        <v>7.7999999999999996E-3</v>
      </c>
      <c r="F66" s="112">
        <v>7.7999999999999996E-3</v>
      </c>
      <c r="G66" s="88">
        <v>4.53E-2</v>
      </c>
      <c r="H66" s="89">
        <v>4.53E-2</v>
      </c>
      <c r="I66" s="113">
        <v>0.14019999999999999</v>
      </c>
      <c r="J66" s="113">
        <v>0.14019999999999999</v>
      </c>
      <c r="K66" s="90">
        <v>0.47220000000000001</v>
      </c>
      <c r="L66" s="91">
        <v>0.47220000000000001</v>
      </c>
      <c r="M66" s="48">
        <v>0</v>
      </c>
      <c r="N66" s="48">
        <f t="shared" si="42"/>
        <v>5.8076923076923084</v>
      </c>
      <c r="O66" s="52">
        <f t="shared" si="43"/>
        <v>17.974358974358974</v>
      </c>
      <c r="AF66" s="114"/>
    </row>
    <row r="67" spans="1:35" x14ac:dyDescent="0.25">
      <c r="A67" s="12"/>
      <c r="B67" s="733"/>
      <c r="C67" s="330">
        <v>5515</v>
      </c>
      <c r="D67" s="331" t="s">
        <v>8</v>
      </c>
      <c r="E67" s="112">
        <v>7.7999999999999996E-3</v>
      </c>
      <c r="F67" s="112">
        <v>7.7999999999999996E-3</v>
      </c>
      <c r="G67" s="88">
        <v>4.53E-2</v>
      </c>
      <c r="H67" s="89">
        <v>4.53E-2</v>
      </c>
      <c r="I67" s="113">
        <v>0.14019999999999999</v>
      </c>
      <c r="J67" s="113">
        <v>0.14019999999999999</v>
      </c>
      <c r="K67" s="90">
        <v>0.47220000000000001</v>
      </c>
      <c r="L67" s="91">
        <v>0.47220000000000001</v>
      </c>
      <c r="M67" s="48">
        <v>0</v>
      </c>
      <c r="N67" s="48">
        <f t="shared" si="42"/>
        <v>5.8076923076923084</v>
      </c>
      <c r="O67" s="52">
        <f t="shared" si="43"/>
        <v>17.974358974358974</v>
      </c>
      <c r="AF67" s="114"/>
    </row>
    <row r="68" spans="1:35" ht="15.75" thickBot="1" x14ac:dyDescent="0.3">
      <c r="A68" s="12"/>
      <c r="B68" s="763"/>
      <c r="C68" s="332">
        <v>5516</v>
      </c>
      <c r="D68" s="333" t="s">
        <v>8</v>
      </c>
      <c r="E68" s="116">
        <v>7.7999999999999996E-3</v>
      </c>
      <c r="F68" s="116">
        <v>7.7999999999999996E-3</v>
      </c>
      <c r="G68" s="105">
        <v>4.53E-2</v>
      </c>
      <c r="H68" s="106">
        <v>4.53E-2</v>
      </c>
      <c r="I68" s="303">
        <v>0.14019999999999999</v>
      </c>
      <c r="J68" s="303">
        <v>0.14019999999999999</v>
      </c>
      <c r="K68" s="107">
        <v>0.47220000000000001</v>
      </c>
      <c r="L68" s="108">
        <v>0.47220000000000001</v>
      </c>
      <c r="M68" s="99">
        <v>0</v>
      </c>
      <c r="N68" s="99">
        <f t="shared" si="42"/>
        <v>5.8076923076923084</v>
      </c>
      <c r="O68" s="100">
        <f t="shared" si="43"/>
        <v>17.974358974358974</v>
      </c>
      <c r="P68" s="12"/>
      <c r="AF68" s="114"/>
    </row>
    <row r="69" spans="1:35" ht="15.75" thickBot="1" x14ac:dyDescent="0.3">
      <c r="A69" s="12"/>
      <c r="C69" s="330"/>
      <c r="D69" s="330"/>
      <c r="E69" s="112"/>
      <c r="F69" s="112"/>
      <c r="G69" s="112"/>
      <c r="H69" s="112"/>
      <c r="I69" s="113"/>
      <c r="J69" s="113"/>
      <c r="K69" s="113"/>
      <c r="L69" s="113"/>
      <c r="M69" s="48"/>
      <c r="N69" s="48"/>
      <c r="O69" s="48"/>
      <c r="P69" s="12"/>
      <c r="AF69" s="114"/>
    </row>
    <row r="70" spans="1:35" ht="16.5" thickBot="1" x14ac:dyDescent="0.3">
      <c r="A70" s="12"/>
      <c r="B70" s="716" t="s">
        <v>274</v>
      </c>
      <c r="C70" s="717"/>
      <c r="D70" s="717"/>
      <c r="E70" s="717"/>
      <c r="F70" s="717"/>
      <c r="G70" s="717"/>
      <c r="H70" s="717"/>
      <c r="I70" s="717"/>
      <c r="J70" s="717"/>
      <c r="K70" s="717"/>
      <c r="L70" s="718"/>
      <c r="AF70" s="114"/>
    </row>
    <row r="71" spans="1:35" x14ac:dyDescent="0.25">
      <c r="A71" s="12"/>
      <c r="B71" s="714" t="s">
        <v>56</v>
      </c>
      <c r="C71" s="710" t="s">
        <v>28</v>
      </c>
      <c r="D71" s="712" t="s">
        <v>26</v>
      </c>
      <c r="E71" s="712" t="s">
        <v>197</v>
      </c>
      <c r="F71" s="712" t="s">
        <v>198</v>
      </c>
      <c r="G71" s="710" t="s">
        <v>201</v>
      </c>
      <c r="H71" s="795" t="s">
        <v>202</v>
      </c>
      <c r="I71" s="712" t="s">
        <v>199</v>
      </c>
      <c r="J71" s="712" t="s">
        <v>200</v>
      </c>
      <c r="K71" s="710" t="s">
        <v>278</v>
      </c>
      <c r="L71" s="773" t="s">
        <v>279</v>
      </c>
      <c r="AF71" s="114"/>
    </row>
    <row r="72" spans="1:35" ht="15.75" thickBot="1" x14ac:dyDescent="0.3">
      <c r="A72" s="12"/>
      <c r="B72" s="715"/>
      <c r="C72" s="711"/>
      <c r="D72" s="713"/>
      <c r="E72" s="713"/>
      <c r="F72" s="713"/>
      <c r="G72" s="711"/>
      <c r="H72" s="796"/>
      <c r="I72" s="713"/>
      <c r="J72" s="713"/>
      <c r="K72" s="711"/>
      <c r="L72" s="774"/>
      <c r="AF72" s="114"/>
    </row>
    <row r="73" spans="1:35" x14ac:dyDescent="0.25">
      <c r="B73" s="733">
        <v>1</v>
      </c>
      <c r="C73" s="364">
        <v>7111</v>
      </c>
      <c r="D73" s="365" t="s">
        <v>24</v>
      </c>
      <c r="E73" s="36">
        <v>70.2</v>
      </c>
      <c r="F73" s="37">
        <v>70.2</v>
      </c>
      <c r="G73" s="38">
        <v>75.599999999999994</v>
      </c>
      <c r="H73" s="38">
        <v>75.599999999999994</v>
      </c>
      <c r="I73" s="36">
        <v>60.5</v>
      </c>
      <c r="J73" s="37">
        <v>60.5</v>
      </c>
      <c r="K73" s="38">
        <v>7.6</v>
      </c>
      <c r="L73" s="110">
        <v>7.6</v>
      </c>
      <c r="AF73" s="114"/>
    </row>
    <row r="74" spans="1:35" x14ac:dyDescent="0.25">
      <c r="B74" s="733"/>
      <c r="C74" s="364">
        <v>7112</v>
      </c>
      <c r="D74" s="365" t="s">
        <v>23</v>
      </c>
      <c r="E74" s="36">
        <v>46.9</v>
      </c>
      <c r="F74" s="37">
        <v>46.9</v>
      </c>
      <c r="G74" s="38">
        <v>50.5</v>
      </c>
      <c r="H74" s="38">
        <v>50.5</v>
      </c>
      <c r="I74" s="36">
        <v>40.4</v>
      </c>
      <c r="J74" s="37">
        <v>40.4</v>
      </c>
      <c r="K74" s="38">
        <v>5.0999999999999996</v>
      </c>
      <c r="L74" s="110">
        <v>5.0999999999999996</v>
      </c>
      <c r="AF74" s="114"/>
    </row>
    <row r="75" spans="1:35" ht="15" customHeight="1" x14ac:dyDescent="0.25">
      <c r="B75" s="733"/>
      <c r="C75" s="364">
        <v>7113</v>
      </c>
      <c r="D75" s="365" t="s">
        <v>23</v>
      </c>
      <c r="E75" s="36">
        <v>44.4</v>
      </c>
      <c r="F75" s="37">
        <v>44.4</v>
      </c>
      <c r="G75" s="38">
        <v>47.8</v>
      </c>
      <c r="H75" s="38">
        <v>47.8</v>
      </c>
      <c r="I75" s="36">
        <v>38.200000000000003</v>
      </c>
      <c r="J75" s="37">
        <v>38.200000000000003</v>
      </c>
      <c r="K75" s="38">
        <v>4.8</v>
      </c>
      <c r="L75" s="110">
        <v>4.8</v>
      </c>
      <c r="AF75" s="114"/>
    </row>
    <row r="76" spans="1:35" ht="15.75" customHeight="1" x14ac:dyDescent="0.25">
      <c r="B76" s="733"/>
      <c r="C76" s="364">
        <v>7114</v>
      </c>
      <c r="D76" s="365" t="s">
        <v>23</v>
      </c>
      <c r="E76" s="39">
        <v>40.799999999999997</v>
      </c>
      <c r="F76" s="40">
        <v>40.799999999999997</v>
      </c>
      <c r="G76" s="85">
        <v>43.9</v>
      </c>
      <c r="H76" s="85">
        <v>43.9</v>
      </c>
      <c r="I76" s="39">
        <v>35.1</v>
      </c>
      <c r="J76" s="40">
        <v>35.1</v>
      </c>
      <c r="K76" s="85">
        <v>4.4000000000000004</v>
      </c>
      <c r="L76" s="41">
        <v>4.4000000000000004</v>
      </c>
      <c r="AF76" s="114"/>
    </row>
    <row r="77" spans="1:35" x14ac:dyDescent="0.25">
      <c r="B77" s="733"/>
      <c r="C77" s="364">
        <v>7115</v>
      </c>
      <c r="D77" s="365" t="s">
        <v>23</v>
      </c>
      <c r="E77" s="39">
        <v>35.9</v>
      </c>
      <c r="F77" s="40">
        <v>35.9</v>
      </c>
      <c r="G77" s="85">
        <v>38.700000000000003</v>
      </c>
      <c r="H77" s="85">
        <v>38.700000000000003</v>
      </c>
      <c r="I77" s="39">
        <v>31</v>
      </c>
      <c r="J77" s="40">
        <v>31</v>
      </c>
      <c r="K77" s="85">
        <v>3.9</v>
      </c>
      <c r="L77" s="41">
        <v>3.9</v>
      </c>
      <c r="AF77" s="114"/>
    </row>
    <row r="78" spans="1:35" x14ac:dyDescent="0.25">
      <c r="B78" s="734"/>
      <c r="C78" s="366">
        <v>7116</v>
      </c>
      <c r="D78" s="367" t="s">
        <v>23</v>
      </c>
      <c r="E78" s="57">
        <v>30.6</v>
      </c>
      <c r="F78" s="58">
        <v>30.6</v>
      </c>
      <c r="G78" s="300">
        <v>32.9</v>
      </c>
      <c r="H78" s="300">
        <v>32.9</v>
      </c>
      <c r="I78" s="57">
        <v>26.4</v>
      </c>
      <c r="J78" s="58">
        <v>26.4</v>
      </c>
      <c r="K78" s="300">
        <v>3.3</v>
      </c>
      <c r="L78" s="59">
        <v>3.3</v>
      </c>
      <c r="AF78" s="114"/>
    </row>
    <row r="79" spans="1:35" x14ac:dyDescent="0.25">
      <c r="A79" s="12"/>
      <c r="B79" s="733">
        <v>2</v>
      </c>
      <c r="C79" s="364">
        <v>7211</v>
      </c>
      <c r="D79" s="365" t="s">
        <v>25</v>
      </c>
      <c r="E79" s="36">
        <v>117.1</v>
      </c>
      <c r="F79" s="37">
        <v>117.1</v>
      </c>
      <c r="G79" s="38">
        <v>126.1</v>
      </c>
      <c r="H79" s="38">
        <v>126.1</v>
      </c>
      <c r="I79" s="36">
        <v>100.9</v>
      </c>
      <c r="J79" s="37">
        <v>100.9</v>
      </c>
      <c r="K79" s="38">
        <v>12.6</v>
      </c>
      <c r="L79" s="110">
        <v>12.6</v>
      </c>
      <c r="P79" s="12"/>
      <c r="AF79" s="114"/>
    </row>
    <row r="80" spans="1:35" x14ac:dyDescent="0.25">
      <c r="A80" s="12"/>
      <c r="B80" s="733"/>
      <c r="C80" s="364">
        <v>7212</v>
      </c>
      <c r="D80" s="365" t="s">
        <v>24</v>
      </c>
      <c r="E80" s="36">
        <v>81.8</v>
      </c>
      <c r="F80" s="37">
        <v>81.8</v>
      </c>
      <c r="G80" s="38">
        <v>88.1</v>
      </c>
      <c r="H80" s="38">
        <v>88.1</v>
      </c>
      <c r="I80" s="36">
        <v>70.5</v>
      </c>
      <c r="J80" s="37">
        <v>70.5</v>
      </c>
      <c r="K80" s="38">
        <v>8.8000000000000007</v>
      </c>
      <c r="L80" s="110">
        <v>8.8000000000000007</v>
      </c>
      <c r="P80" s="12"/>
      <c r="AF80" s="114"/>
    </row>
    <row r="81" spans="1:32" x14ac:dyDescent="0.25">
      <c r="A81" s="12"/>
      <c r="B81" s="733"/>
      <c r="C81" s="364">
        <v>7213</v>
      </c>
      <c r="D81" s="365" t="s">
        <v>24</v>
      </c>
      <c r="E81" s="36">
        <v>76.7</v>
      </c>
      <c r="F81" s="37">
        <v>76.7</v>
      </c>
      <c r="G81" s="38">
        <v>82.6</v>
      </c>
      <c r="H81" s="38">
        <v>82.6</v>
      </c>
      <c r="I81" s="36">
        <v>66.099999999999994</v>
      </c>
      <c r="J81" s="37">
        <v>66.099999999999994</v>
      </c>
      <c r="K81" s="38">
        <v>8.3000000000000007</v>
      </c>
      <c r="L81" s="110">
        <v>8.3000000000000007</v>
      </c>
      <c r="P81" s="12"/>
      <c r="AF81" s="114"/>
    </row>
    <row r="82" spans="1:32" x14ac:dyDescent="0.25">
      <c r="A82" s="12"/>
      <c r="B82" s="733"/>
      <c r="C82" s="364">
        <v>7214</v>
      </c>
      <c r="D82" s="365" t="s">
        <v>23</v>
      </c>
      <c r="E82" s="39">
        <v>48.7</v>
      </c>
      <c r="F82" s="40">
        <v>48.7</v>
      </c>
      <c r="G82" s="85">
        <v>52.4</v>
      </c>
      <c r="H82" s="85">
        <v>52.4</v>
      </c>
      <c r="I82" s="39">
        <v>41.9</v>
      </c>
      <c r="J82" s="40">
        <v>41.9</v>
      </c>
      <c r="K82" s="85">
        <v>5.2</v>
      </c>
      <c r="L82" s="41">
        <v>5.2</v>
      </c>
      <c r="P82" s="12"/>
    </row>
    <row r="83" spans="1:32" x14ac:dyDescent="0.25">
      <c r="A83" s="12"/>
      <c r="B83" s="733"/>
      <c r="C83" s="364">
        <v>7215</v>
      </c>
      <c r="D83" s="365" t="s">
        <v>23</v>
      </c>
      <c r="E83" s="39">
        <v>43.9</v>
      </c>
      <c r="F83" s="40">
        <v>43.9</v>
      </c>
      <c r="G83" s="85">
        <v>47.3</v>
      </c>
      <c r="H83" s="85">
        <v>47.3</v>
      </c>
      <c r="I83" s="39">
        <v>37.799999999999997</v>
      </c>
      <c r="J83" s="40">
        <v>37.799999999999997</v>
      </c>
      <c r="K83" s="85">
        <v>4.7</v>
      </c>
      <c r="L83" s="41">
        <v>4.7</v>
      </c>
      <c r="P83" s="12"/>
    </row>
    <row r="84" spans="1:32" x14ac:dyDescent="0.25">
      <c r="A84" s="12"/>
      <c r="B84" s="733"/>
      <c r="C84" s="364">
        <v>7216</v>
      </c>
      <c r="D84" s="365" t="s">
        <v>23</v>
      </c>
      <c r="E84" s="39">
        <v>35.6</v>
      </c>
      <c r="F84" s="40">
        <v>35.6</v>
      </c>
      <c r="G84" s="85">
        <v>38.299999999999997</v>
      </c>
      <c r="H84" s="85">
        <v>38.299999999999997</v>
      </c>
      <c r="I84" s="39">
        <v>30.6</v>
      </c>
      <c r="J84" s="40">
        <v>30.6</v>
      </c>
      <c r="K84" s="85">
        <v>3.8</v>
      </c>
      <c r="L84" s="41">
        <v>3.8</v>
      </c>
      <c r="P84" s="12"/>
    </row>
    <row r="85" spans="1:32" x14ac:dyDescent="0.25">
      <c r="A85" s="12"/>
      <c r="B85" s="732">
        <v>3</v>
      </c>
      <c r="C85" s="362">
        <v>7311</v>
      </c>
      <c r="D85" s="363" t="s">
        <v>25</v>
      </c>
      <c r="E85" s="60">
        <v>117.1</v>
      </c>
      <c r="F85" s="61">
        <v>117.1</v>
      </c>
      <c r="G85" s="62">
        <v>126.1</v>
      </c>
      <c r="H85" s="62">
        <v>126.1</v>
      </c>
      <c r="I85" s="60">
        <v>100.9</v>
      </c>
      <c r="J85" s="61">
        <v>100.9</v>
      </c>
      <c r="K85" s="62">
        <v>12.6</v>
      </c>
      <c r="L85" s="111">
        <v>12.6</v>
      </c>
      <c r="P85" s="12"/>
    </row>
    <row r="86" spans="1:32" x14ac:dyDescent="0.25">
      <c r="A86" s="12"/>
      <c r="B86" s="733"/>
      <c r="C86" s="364">
        <v>7312</v>
      </c>
      <c r="D86" s="365" t="s">
        <v>24</v>
      </c>
      <c r="E86" s="36">
        <v>81.8</v>
      </c>
      <c r="F86" s="37">
        <v>81.8</v>
      </c>
      <c r="G86" s="38">
        <v>88.1</v>
      </c>
      <c r="H86" s="38">
        <v>88.1</v>
      </c>
      <c r="I86" s="36">
        <v>70.5</v>
      </c>
      <c r="J86" s="37">
        <v>70.5</v>
      </c>
      <c r="K86" s="38">
        <v>8.8000000000000007</v>
      </c>
      <c r="L86" s="110">
        <v>8.8000000000000007</v>
      </c>
      <c r="P86" s="12"/>
    </row>
    <row r="87" spans="1:32" x14ac:dyDescent="0.25">
      <c r="A87" s="12"/>
      <c r="B87" s="733"/>
      <c r="C87" s="364">
        <v>7313</v>
      </c>
      <c r="D87" s="365" t="s">
        <v>24</v>
      </c>
      <c r="E87" s="36">
        <v>76.7</v>
      </c>
      <c r="F87" s="37">
        <v>76.7</v>
      </c>
      <c r="G87" s="38">
        <v>82.6</v>
      </c>
      <c r="H87" s="38">
        <v>82.6</v>
      </c>
      <c r="I87" s="36">
        <v>66.099999999999994</v>
      </c>
      <c r="J87" s="37">
        <v>66.099999999999994</v>
      </c>
      <c r="K87" s="38">
        <v>8.3000000000000007</v>
      </c>
      <c r="L87" s="110">
        <v>8.3000000000000007</v>
      </c>
      <c r="P87" s="12"/>
    </row>
    <row r="88" spans="1:32" x14ac:dyDescent="0.25">
      <c r="A88" s="12"/>
      <c r="B88" s="733"/>
      <c r="C88" s="364">
        <v>7314</v>
      </c>
      <c r="D88" s="365" t="s">
        <v>23</v>
      </c>
      <c r="E88" s="39">
        <v>48.7</v>
      </c>
      <c r="F88" s="40">
        <v>48.7</v>
      </c>
      <c r="G88" s="85">
        <v>52.4</v>
      </c>
      <c r="H88" s="85">
        <v>52.4</v>
      </c>
      <c r="I88" s="39">
        <v>41.9</v>
      </c>
      <c r="J88" s="40">
        <v>41.9</v>
      </c>
      <c r="K88" s="85">
        <v>5.2</v>
      </c>
      <c r="L88" s="41">
        <v>5.2</v>
      </c>
      <c r="P88" s="12"/>
    </row>
    <row r="89" spans="1:32" x14ac:dyDescent="0.25">
      <c r="A89" s="12"/>
      <c r="B89" s="733"/>
      <c r="C89" s="364">
        <v>7315</v>
      </c>
      <c r="D89" s="365" t="s">
        <v>23</v>
      </c>
      <c r="E89" s="39">
        <v>43.9</v>
      </c>
      <c r="F89" s="40">
        <v>43.9</v>
      </c>
      <c r="G89" s="85">
        <v>47.3</v>
      </c>
      <c r="H89" s="85">
        <v>47.3</v>
      </c>
      <c r="I89" s="39">
        <v>37.799999999999997</v>
      </c>
      <c r="J89" s="40">
        <v>37.799999999999997</v>
      </c>
      <c r="K89" s="85">
        <v>4.7</v>
      </c>
      <c r="L89" s="41">
        <v>4.7</v>
      </c>
      <c r="P89" s="12"/>
    </row>
    <row r="90" spans="1:32" x14ac:dyDescent="0.25">
      <c r="A90" s="12"/>
      <c r="B90" s="734"/>
      <c r="C90" s="366">
        <v>7316</v>
      </c>
      <c r="D90" s="367" t="s">
        <v>23</v>
      </c>
      <c r="E90" s="57">
        <v>35.6</v>
      </c>
      <c r="F90" s="58">
        <v>35.6</v>
      </c>
      <c r="G90" s="300">
        <v>38.299999999999997</v>
      </c>
      <c r="H90" s="300">
        <v>38.299999999999997</v>
      </c>
      <c r="I90" s="57">
        <v>30.6</v>
      </c>
      <c r="J90" s="58">
        <v>30.6</v>
      </c>
      <c r="K90" s="300">
        <v>3.8</v>
      </c>
      <c r="L90" s="59">
        <v>3.8</v>
      </c>
      <c r="P90" s="12"/>
    </row>
    <row r="91" spans="1:32" x14ac:dyDescent="0.25">
      <c r="A91" s="12"/>
      <c r="B91" s="733">
        <v>4</v>
      </c>
      <c r="C91" s="364">
        <v>7411</v>
      </c>
      <c r="D91" s="365" t="s">
        <v>25</v>
      </c>
      <c r="E91" s="36">
        <v>117.1</v>
      </c>
      <c r="F91" s="37">
        <v>117.1</v>
      </c>
      <c r="G91" s="38">
        <v>126.1</v>
      </c>
      <c r="H91" s="38">
        <v>126.1</v>
      </c>
      <c r="I91" s="36">
        <v>100.9</v>
      </c>
      <c r="J91" s="37">
        <v>100.9</v>
      </c>
      <c r="K91" s="38">
        <v>12.6</v>
      </c>
      <c r="L91" s="110">
        <v>12.6</v>
      </c>
      <c r="P91" s="12"/>
    </row>
    <row r="92" spans="1:32" x14ac:dyDescent="0.25">
      <c r="A92" s="12"/>
      <c r="B92" s="733"/>
      <c r="C92" s="364">
        <v>7412</v>
      </c>
      <c r="D92" s="365" t="s">
        <v>24</v>
      </c>
      <c r="E92" s="36">
        <v>81.8</v>
      </c>
      <c r="F92" s="37">
        <v>81.8</v>
      </c>
      <c r="G92" s="38">
        <v>88.1</v>
      </c>
      <c r="H92" s="38">
        <v>88.1</v>
      </c>
      <c r="I92" s="36">
        <v>70.5</v>
      </c>
      <c r="J92" s="37">
        <v>70.5</v>
      </c>
      <c r="K92" s="38">
        <v>8.8000000000000007</v>
      </c>
      <c r="L92" s="110">
        <v>8.8000000000000007</v>
      </c>
      <c r="P92" s="12"/>
    </row>
    <row r="93" spans="1:32" x14ac:dyDescent="0.25">
      <c r="A93" s="12"/>
      <c r="B93" s="733"/>
      <c r="C93" s="364">
        <v>7413</v>
      </c>
      <c r="D93" s="365" t="s">
        <v>24</v>
      </c>
      <c r="E93" s="36">
        <v>76.7</v>
      </c>
      <c r="F93" s="37">
        <v>76.7</v>
      </c>
      <c r="G93" s="38">
        <v>82.6</v>
      </c>
      <c r="H93" s="38">
        <v>82.6</v>
      </c>
      <c r="I93" s="36">
        <v>66.099999999999994</v>
      </c>
      <c r="J93" s="37">
        <v>66.099999999999994</v>
      </c>
      <c r="K93" s="38">
        <v>8.3000000000000007</v>
      </c>
      <c r="L93" s="110">
        <v>8.3000000000000007</v>
      </c>
      <c r="P93" s="12"/>
    </row>
    <row r="94" spans="1:32" x14ac:dyDescent="0.25">
      <c r="A94" s="12"/>
      <c r="B94" s="733"/>
      <c r="C94" s="364">
        <v>7414</v>
      </c>
      <c r="D94" s="365" t="s">
        <v>23</v>
      </c>
      <c r="E94" s="39">
        <v>48.7</v>
      </c>
      <c r="F94" s="40">
        <v>48.7</v>
      </c>
      <c r="G94" s="85">
        <v>52.4</v>
      </c>
      <c r="H94" s="85">
        <v>52.4</v>
      </c>
      <c r="I94" s="39">
        <v>41.9</v>
      </c>
      <c r="J94" s="40">
        <v>41.9</v>
      </c>
      <c r="K94" s="85">
        <v>5.2</v>
      </c>
      <c r="L94" s="41">
        <v>5.2</v>
      </c>
      <c r="P94" s="12"/>
      <c r="Q94" s="12"/>
      <c r="R94" s="12"/>
    </row>
    <row r="95" spans="1:32" x14ac:dyDescent="0.25">
      <c r="A95" s="12"/>
      <c r="B95" s="733"/>
      <c r="C95" s="364">
        <v>7415</v>
      </c>
      <c r="D95" s="365" t="s">
        <v>23</v>
      </c>
      <c r="E95" s="39">
        <v>43.9</v>
      </c>
      <c r="F95" s="40">
        <v>43.9</v>
      </c>
      <c r="G95" s="85">
        <v>47.3</v>
      </c>
      <c r="H95" s="85">
        <v>47.3</v>
      </c>
      <c r="I95" s="39">
        <v>37.799999999999997</v>
      </c>
      <c r="J95" s="40">
        <v>37.799999999999997</v>
      </c>
      <c r="K95" s="85">
        <v>4.7</v>
      </c>
      <c r="L95" s="41">
        <v>4.7</v>
      </c>
      <c r="P95" s="12"/>
      <c r="Q95" s="12"/>
      <c r="R95" s="12"/>
    </row>
    <row r="96" spans="1:32" x14ac:dyDescent="0.25">
      <c r="A96" s="12"/>
      <c r="B96" s="733"/>
      <c r="C96" s="364">
        <v>7416</v>
      </c>
      <c r="D96" s="365" t="s">
        <v>23</v>
      </c>
      <c r="E96" s="39">
        <v>35.6</v>
      </c>
      <c r="F96" s="40">
        <v>35.6</v>
      </c>
      <c r="G96" s="85">
        <v>38.299999999999997</v>
      </c>
      <c r="H96" s="85">
        <v>38.299999999999997</v>
      </c>
      <c r="I96" s="39">
        <v>30.6</v>
      </c>
      <c r="J96" s="40">
        <v>30.6</v>
      </c>
      <c r="K96" s="85">
        <v>3.8</v>
      </c>
      <c r="L96" s="41">
        <v>3.8</v>
      </c>
      <c r="P96" s="12"/>
      <c r="Q96" s="12"/>
      <c r="R96" s="12"/>
    </row>
    <row r="97" spans="1:18" x14ac:dyDescent="0.25">
      <c r="A97" s="12"/>
      <c r="B97" s="732">
        <v>5</v>
      </c>
      <c r="C97" s="362">
        <v>7511</v>
      </c>
      <c r="D97" s="363" t="s">
        <v>25</v>
      </c>
      <c r="E97" s="60">
        <v>117.1</v>
      </c>
      <c r="F97" s="61">
        <v>117.1</v>
      </c>
      <c r="G97" s="62">
        <v>126.1</v>
      </c>
      <c r="H97" s="62">
        <v>126.1</v>
      </c>
      <c r="I97" s="60">
        <v>100.9</v>
      </c>
      <c r="J97" s="61">
        <v>100.9</v>
      </c>
      <c r="K97" s="62">
        <v>12.6</v>
      </c>
      <c r="L97" s="111">
        <v>12.6</v>
      </c>
      <c r="P97" s="12"/>
      <c r="Q97" s="12"/>
      <c r="R97" s="12"/>
    </row>
    <row r="98" spans="1:18" x14ac:dyDescent="0.25">
      <c r="A98" s="12"/>
      <c r="B98" s="733"/>
      <c r="C98" s="364">
        <v>7512</v>
      </c>
      <c r="D98" s="365" t="s">
        <v>24</v>
      </c>
      <c r="E98" s="36">
        <v>81.8</v>
      </c>
      <c r="F98" s="37">
        <v>81.8</v>
      </c>
      <c r="G98" s="38">
        <v>88.1</v>
      </c>
      <c r="H98" s="38">
        <v>88.1</v>
      </c>
      <c r="I98" s="36">
        <v>70.5</v>
      </c>
      <c r="J98" s="37">
        <v>70.5</v>
      </c>
      <c r="K98" s="38">
        <v>8.8000000000000007</v>
      </c>
      <c r="L98" s="110">
        <v>8.8000000000000007</v>
      </c>
      <c r="P98" s="12"/>
      <c r="Q98" s="12"/>
      <c r="R98" s="12"/>
    </row>
    <row r="99" spans="1:18" x14ac:dyDescent="0.25">
      <c r="A99" s="12"/>
      <c r="B99" s="733"/>
      <c r="C99" s="364">
        <v>7513</v>
      </c>
      <c r="D99" s="365" t="s">
        <v>24</v>
      </c>
      <c r="E99" s="36">
        <v>76.7</v>
      </c>
      <c r="F99" s="37">
        <v>76.7</v>
      </c>
      <c r="G99" s="38">
        <v>82.6</v>
      </c>
      <c r="H99" s="38">
        <v>82.6</v>
      </c>
      <c r="I99" s="36">
        <v>66.099999999999994</v>
      </c>
      <c r="J99" s="37">
        <v>66.099999999999994</v>
      </c>
      <c r="K99" s="38">
        <v>8.3000000000000007</v>
      </c>
      <c r="L99" s="110">
        <v>8.3000000000000007</v>
      </c>
      <c r="P99" s="12"/>
      <c r="Q99" s="12"/>
      <c r="R99" s="12"/>
    </row>
    <row r="100" spans="1:18" x14ac:dyDescent="0.25">
      <c r="B100" s="733"/>
      <c r="C100" s="364">
        <v>7514</v>
      </c>
      <c r="D100" s="365" t="s">
        <v>23</v>
      </c>
      <c r="E100" s="39">
        <v>48.7</v>
      </c>
      <c r="F100" s="40">
        <v>48.7</v>
      </c>
      <c r="G100" s="85">
        <v>52.4</v>
      </c>
      <c r="H100" s="85">
        <v>52.4</v>
      </c>
      <c r="I100" s="39">
        <v>41.9</v>
      </c>
      <c r="J100" s="40">
        <v>41.9</v>
      </c>
      <c r="K100" s="85">
        <v>5.2</v>
      </c>
      <c r="L100" s="41">
        <v>5.2</v>
      </c>
      <c r="P100" s="12"/>
      <c r="Q100" s="12"/>
      <c r="R100" s="12"/>
    </row>
    <row r="101" spans="1:18" x14ac:dyDescent="0.25">
      <c r="B101" s="733"/>
      <c r="C101" s="364">
        <v>7515</v>
      </c>
      <c r="D101" s="365" t="s">
        <v>23</v>
      </c>
      <c r="E101" s="39">
        <v>43.9</v>
      </c>
      <c r="F101" s="40">
        <v>43.9</v>
      </c>
      <c r="G101" s="85">
        <v>47.3</v>
      </c>
      <c r="H101" s="85">
        <v>47.3</v>
      </c>
      <c r="I101" s="39">
        <v>37.799999999999997</v>
      </c>
      <c r="J101" s="40">
        <v>37.799999999999997</v>
      </c>
      <c r="K101" s="85">
        <v>4.7</v>
      </c>
      <c r="L101" s="41">
        <v>4.7</v>
      </c>
      <c r="P101" s="12"/>
      <c r="Q101" s="12"/>
      <c r="R101" s="12"/>
    </row>
    <row r="102" spans="1:18" x14ac:dyDescent="0.25">
      <c r="B102" s="734"/>
      <c r="C102" s="366">
        <v>7516</v>
      </c>
      <c r="D102" s="367" t="s">
        <v>23</v>
      </c>
      <c r="E102" s="57">
        <v>35.6</v>
      </c>
      <c r="F102" s="58">
        <v>35.6</v>
      </c>
      <c r="G102" s="300">
        <v>38.299999999999997</v>
      </c>
      <c r="H102" s="300">
        <v>38.299999999999997</v>
      </c>
      <c r="I102" s="57">
        <v>30.6</v>
      </c>
      <c r="J102" s="58">
        <v>30.6</v>
      </c>
      <c r="K102" s="300">
        <v>3.8</v>
      </c>
      <c r="L102" s="59">
        <v>3.8</v>
      </c>
      <c r="P102" s="12"/>
      <c r="Q102" s="12"/>
      <c r="R102" s="12"/>
    </row>
    <row r="103" spans="1:18" x14ac:dyDescent="0.25">
      <c r="B103" s="733">
        <v>6</v>
      </c>
      <c r="C103" s="364">
        <v>7611</v>
      </c>
      <c r="D103" s="365" t="s">
        <v>24</v>
      </c>
      <c r="E103" s="36">
        <v>70.2</v>
      </c>
      <c r="F103" s="37">
        <v>70.2</v>
      </c>
      <c r="G103" s="38">
        <v>75.599999999999994</v>
      </c>
      <c r="H103" s="38">
        <v>75.599999999999994</v>
      </c>
      <c r="I103" s="36">
        <v>60.5</v>
      </c>
      <c r="J103" s="37">
        <v>60.5</v>
      </c>
      <c r="K103" s="38">
        <v>7.6</v>
      </c>
      <c r="L103" s="110">
        <v>7.6</v>
      </c>
    </row>
    <row r="104" spans="1:18" x14ac:dyDescent="0.25">
      <c r="B104" s="733"/>
      <c r="C104" s="364">
        <v>7612</v>
      </c>
      <c r="D104" s="365" t="s">
        <v>23</v>
      </c>
      <c r="E104" s="36">
        <v>46.9</v>
      </c>
      <c r="F104" s="37">
        <v>46.9</v>
      </c>
      <c r="G104" s="38">
        <v>50.5</v>
      </c>
      <c r="H104" s="38">
        <v>50.5</v>
      </c>
      <c r="I104" s="36">
        <v>40.4</v>
      </c>
      <c r="J104" s="37">
        <v>40.4</v>
      </c>
      <c r="K104" s="38">
        <v>5.0999999999999996</v>
      </c>
      <c r="L104" s="110">
        <v>5.0999999999999996</v>
      </c>
    </row>
    <row r="105" spans="1:18" x14ac:dyDescent="0.25">
      <c r="B105" s="733"/>
      <c r="C105" s="364">
        <v>7613</v>
      </c>
      <c r="D105" s="365" t="s">
        <v>23</v>
      </c>
      <c r="E105" s="36">
        <v>44.4</v>
      </c>
      <c r="F105" s="37">
        <v>44.4</v>
      </c>
      <c r="G105" s="38">
        <v>47.8</v>
      </c>
      <c r="H105" s="38">
        <v>47.8</v>
      </c>
      <c r="I105" s="36">
        <v>38.200000000000003</v>
      </c>
      <c r="J105" s="37">
        <v>38.200000000000003</v>
      </c>
      <c r="K105" s="38">
        <v>4.8</v>
      </c>
      <c r="L105" s="110">
        <v>4.8</v>
      </c>
    </row>
    <row r="106" spans="1:18" x14ac:dyDescent="0.25">
      <c r="B106" s="733"/>
      <c r="C106" s="364">
        <v>7614</v>
      </c>
      <c r="D106" s="365" t="s">
        <v>23</v>
      </c>
      <c r="E106" s="39">
        <v>40.799999999999997</v>
      </c>
      <c r="F106" s="40">
        <v>40.799999999999997</v>
      </c>
      <c r="G106" s="85">
        <v>43.9</v>
      </c>
      <c r="H106" s="85">
        <v>43.9</v>
      </c>
      <c r="I106" s="39">
        <v>35.1</v>
      </c>
      <c r="J106" s="40">
        <v>35.1</v>
      </c>
      <c r="K106" s="85">
        <v>4.4000000000000004</v>
      </c>
      <c r="L106" s="41">
        <v>4.4000000000000004</v>
      </c>
    </row>
    <row r="107" spans="1:18" x14ac:dyDescent="0.25">
      <c r="B107" s="733"/>
      <c r="C107" s="364">
        <v>7615</v>
      </c>
      <c r="D107" s="365" t="s">
        <v>23</v>
      </c>
      <c r="E107" s="39">
        <v>35.9</v>
      </c>
      <c r="F107" s="40">
        <v>35.9</v>
      </c>
      <c r="G107" s="85">
        <v>38.700000000000003</v>
      </c>
      <c r="H107" s="85">
        <v>38.700000000000003</v>
      </c>
      <c r="I107" s="39">
        <v>31</v>
      </c>
      <c r="J107" s="40">
        <v>31</v>
      </c>
      <c r="K107" s="85">
        <v>3.9</v>
      </c>
      <c r="L107" s="41">
        <v>3.9</v>
      </c>
    </row>
    <row r="108" spans="1:18" ht="15.75" thickBot="1" x14ac:dyDescent="0.3">
      <c r="B108" s="763"/>
      <c r="C108" s="368">
        <v>7616</v>
      </c>
      <c r="D108" s="369" t="s">
        <v>23</v>
      </c>
      <c r="E108" s="77">
        <v>30.6</v>
      </c>
      <c r="F108" s="78">
        <v>30.6</v>
      </c>
      <c r="G108" s="304">
        <v>32.9</v>
      </c>
      <c r="H108" s="304">
        <v>32.9</v>
      </c>
      <c r="I108" s="77">
        <v>26.4</v>
      </c>
      <c r="J108" s="78">
        <v>26.4</v>
      </c>
      <c r="K108" s="304">
        <v>3.3</v>
      </c>
      <c r="L108" s="79">
        <v>3.3</v>
      </c>
    </row>
    <row r="109" spans="1:18" ht="15.75" thickBot="1" x14ac:dyDescent="0.3"/>
    <row r="110" spans="1:18" ht="16.5" thickBot="1" x14ac:dyDescent="0.3">
      <c r="B110" s="781" t="s">
        <v>277</v>
      </c>
      <c r="C110" s="782"/>
      <c r="D110" s="782"/>
      <c r="E110" s="782"/>
      <c r="F110" s="782"/>
      <c r="G110" s="782"/>
      <c r="H110" s="782"/>
      <c r="I110" s="782"/>
      <c r="J110" s="782"/>
      <c r="K110" s="782"/>
      <c r="L110" s="782"/>
      <c r="M110" s="782"/>
      <c r="N110" s="782"/>
      <c r="O110" s="783"/>
    </row>
    <row r="111" spans="1:18" x14ac:dyDescent="0.25">
      <c r="B111" s="788" t="s">
        <v>56</v>
      </c>
      <c r="C111" s="769" t="s">
        <v>28</v>
      </c>
      <c r="D111" s="775" t="s">
        <v>26</v>
      </c>
      <c r="E111" s="769" t="s">
        <v>362</v>
      </c>
      <c r="F111" s="769" t="s">
        <v>361</v>
      </c>
      <c r="G111" s="779" t="s">
        <v>360</v>
      </c>
      <c r="H111" s="775" t="s">
        <v>359</v>
      </c>
      <c r="I111" s="769" t="s">
        <v>358</v>
      </c>
      <c r="J111" s="769" t="s">
        <v>357</v>
      </c>
      <c r="K111" s="779" t="s">
        <v>356</v>
      </c>
      <c r="L111" s="775" t="s">
        <v>355</v>
      </c>
      <c r="M111" s="791" t="s">
        <v>297</v>
      </c>
      <c r="N111" s="793" t="s">
        <v>354</v>
      </c>
      <c r="O111" s="771" t="s">
        <v>353</v>
      </c>
    </row>
    <row r="112" spans="1:18" x14ac:dyDescent="0.25">
      <c r="B112" s="789"/>
      <c r="C112" s="770"/>
      <c r="D112" s="776"/>
      <c r="E112" s="770"/>
      <c r="F112" s="770"/>
      <c r="G112" s="780"/>
      <c r="H112" s="776"/>
      <c r="I112" s="770"/>
      <c r="J112" s="770"/>
      <c r="K112" s="780"/>
      <c r="L112" s="776"/>
      <c r="M112" s="792"/>
      <c r="N112" s="794"/>
      <c r="O112" s="772"/>
    </row>
    <row r="113" spans="2:15" x14ac:dyDescent="0.25">
      <c r="B113" s="751">
        <v>1</v>
      </c>
      <c r="C113" s="80">
        <v>7111</v>
      </c>
      <c r="D113" s="363" t="s">
        <v>24</v>
      </c>
      <c r="E113" s="101">
        <v>1.2999999999999999E-2</v>
      </c>
      <c r="F113" s="102">
        <v>1.2999999999999999E-2</v>
      </c>
      <c r="G113" s="115">
        <v>8.1500000000000003E-2</v>
      </c>
      <c r="H113" s="115">
        <v>8.1500000000000003E-2</v>
      </c>
      <c r="I113" s="101">
        <v>0.16450000000000001</v>
      </c>
      <c r="J113" s="102">
        <v>0.16450000000000001</v>
      </c>
      <c r="K113" s="115">
        <v>0.45479999999999998</v>
      </c>
      <c r="L113" s="115">
        <v>0.45479999999999998</v>
      </c>
      <c r="M113" s="44">
        <v>0.21199999999999999</v>
      </c>
      <c r="N113" s="87">
        <f>G113/E113</f>
        <v>6.2692307692307701</v>
      </c>
      <c r="O113" s="436">
        <f>I113/E113</f>
        <v>12.653846153846155</v>
      </c>
    </row>
    <row r="114" spans="2:15" x14ac:dyDescent="0.25">
      <c r="B114" s="752"/>
      <c r="C114" s="86">
        <v>7112</v>
      </c>
      <c r="D114" s="365" t="s">
        <v>25</v>
      </c>
      <c r="E114" s="88">
        <v>1.5699999999999999E-2</v>
      </c>
      <c r="F114" s="89">
        <v>1.5699999999999999E-2</v>
      </c>
      <c r="G114" s="112">
        <v>8.4699999999999998E-2</v>
      </c>
      <c r="H114" s="112">
        <v>8.4699999999999998E-2</v>
      </c>
      <c r="I114" s="88">
        <v>0.16930000000000001</v>
      </c>
      <c r="J114" s="89">
        <v>0.16930000000000001</v>
      </c>
      <c r="K114" s="112">
        <v>0.46510000000000001</v>
      </c>
      <c r="L114" s="112">
        <v>0.46510000000000001</v>
      </c>
      <c r="M114" s="49">
        <v>0.254</v>
      </c>
      <c r="N114" s="92">
        <f t="shared" ref="N114" si="44">G114/E114</f>
        <v>5.3949044585987265</v>
      </c>
      <c r="O114" s="177">
        <f t="shared" ref="O114" si="45">I114/E114</f>
        <v>10.783439490445861</v>
      </c>
    </row>
    <row r="115" spans="2:15" x14ac:dyDescent="0.25">
      <c r="B115" s="752"/>
      <c r="C115" s="86">
        <v>7113</v>
      </c>
      <c r="D115" s="365" t="s">
        <v>25</v>
      </c>
      <c r="E115" s="88">
        <v>1.5699999999999999E-2</v>
      </c>
      <c r="F115" s="89">
        <v>1.5699999999999999E-2</v>
      </c>
      <c r="G115" s="112">
        <v>0.1007</v>
      </c>
      <c r="H115" s="112">
        <v>0.1007</v>
      </c>
      <c r="I115" s="88">
        <v>0.20449999999999999</v>
      </c>
      <c r="J115" s="89">
        <v>0.20449999999999999</v>
      </c>
      <c r="K115" s="112">
        <v>0.5675</v>
      </c>
      <c r="L115" s="112">
        <v>0.5675</v>
      </c>
      <c r="M115" s="49">
        <v>0.20300000000000001</v>
      </c>
      <c r="N115" s="92">
        <f t="shared" ref="N115:N116" si="46">G115/E115</f>
        <v>6.4140127388535033</v>
      </c>
      <c r="O115" s="177">
        <f t="shared" ref="O115:O117" si="47">I115/E115</f>
        <v>13.02547770700637</v>
      </c>
    </row>
    <row r="116" spans="2:15" x14ac:dyDescent="0.25">
      <c r="B116" s="752"/>
      <c r="C116" s="86">
        <v>7114</v>
      </c>
      <c r="D116" s="365" t="s">
        <v>25</v>
      </c>
      <c r="E116" s="370">
        <v>1.5699999999999999E-2</v>
      </c>
      <c r="F116" s="430">
        <v>1.5699999999999999E-2</v>
      </c>
      <c r="G116" s="360">
        <v>0.10829999999999999</v>
      </c>
      <c r="H116" s="360">
        <v>0.10829999999999999</v>
      </c>
      <c r="I116" s="370">
        <v>0.24260000000000001</v>
      </c>
      <c r="J116" s="430">
        <v>0.24260000000000001</v>
      </c>
      <c r="K116" s="360">
        <v>0.71250000000000002</v>
      </c>
      <c r="L116" s="360">
        <v>0.71250000000000002</v>
      </c>
      <c r="M116" s="370">
        <v>0.151</v>
      </c>
      <c r="N116" s="92">
        <f t="shared" si="46"/>
        <v>6.8980891719745223</v>
      </c>
      <c r="O116" s="177">
        <f t="shared" si="47"/>
        <v>15.45222929936306</v>
      </c>
    </row>
    <row r="117" spans="2:15" x14ac:dyDescent="0.25">
      <c r="B117" s="752"/>
      <c r="C117" s="86">
        <v>7115</v>
      </c>
      <c r="D117" s="365" t="s">
        <v>25</v>
      </c>
      <c r="E117" s="370">
        <v>1.5699999999999999E-2</v>
      </c>
      <c r="F117" s="430">
        <v>1.5699999999999999E-2</v>
      </c>
      <c r="G117" s="360">
        <v>9.0700000000000003E-2</v>
      </c>
      <c r="H117" s="360">
        <v>9.0700000000000003E-2</v>
      </c>
      <c r="I117" s="370">
        <v>0.28039999999999998</v>
      </c>
      <c r="J117" s="430">
        <v>0.28039999999999998</v>
      </c>
      <c r="K117" s="360">
        <v>0.94440000000000002</v>
      </c>
      <c r="L117" s="360">
        <v>0.94440000000000002</v>
      </c>
      <c r="M117" s="370">
        <v>0.1</v>
      </c>
      <c r="N117" s="92">
        <f>G117/E117</f>
        <v>5.7770700636942678</v>
      </c>
      <c r="O117" s="177">
        <f t="shared" si="47"/>
        <v>17.859872611464969</v>
      </c>
    </row>
    <row r="118" spans="2:15" x14ac:dyDescent="0.25">
      <c r="B118" s="753"/>
      <c r="C118" s="298">
        <v>7116</v>
      </c>
      <c r="D118" s="367" t="s">
        <v>24</v>
      </c>
      <c r="E118" s="431">
        <v>1.5699999999999999E-2</v>
      </c>
      <c r="F118" s="432">
        <v>1.5699999999999999E-2</v>
      </c>
      <c r="G118" s="433">
        <v>9.0700000000000003E-2</v>
      </c>
      <c r="H118" s="433">
        <v>9.0700000000000003E-2</v>
      </c>
      <c r="I118" s="431">
        <v>0.28039999999999998</v>
      </c>
      <c r="J118" s="432">
        <v>0.28039999999999998</v>
      </c>
      <c r="K118" s="433">
        <v>0.94440000000000002</v>
      </c>
      <c r="L118" s="433">
        <v>0.94440000000000002</v>
      </c>
      <c r="M118" s="431">
        <v>4.8000000000000001E-2</v>
      </c>
      <c r="N118" s="149">
        <f>G118/E118</f>
        <v>5.7770700636942678</v>
      </c>
      <c r="O118" s="435">
        <f>I118/E118</f>
        <v>17.859872611464969</v>
      </c>
    </row>
    <row r="119" spans="2:15" x14ac:dyDescent="0.25">
      <c r="B119" s="752">
        <v>2</v>
      </c>
      <c r="C119" s="86">
        <v>7211</v>
      </c>
      <c r="D119" s="365" t="s">
        <v>23</v>
      </c>
      <c r="E119" s="88">
        <v>1.12E-2</v>
      </c>
      <c r="F119" s="89">
        <v>1.12E-2</v>
      </c>
      <c r="G119" s="112">
        <v>7.0900000000000005E-2</v>
      </c>
      <c r="H119" s="112">
        <v>7.0900000000000005E-2</v>
      </c>
      <c r="I119" s="88">
        <v>0.12089999999999999</v>
      </c>
      <c r="J119" s="89">
        <v>0.12089999999999999</v>
      </c>
      <c r="K119" s="112">
        <v>0.29580000000000001</v>
      </c>
      <c r="L119" s="112">
        <v>0.29580000000000001</v>
      </c>
      <c r="M119" s="49">
        <v>0.312</v>
      </c>
      <c r="N119" s="92">
        <f>G119/E119</f>
        <v>6.3303571428571432</v>
      </c>
      <c r="O119" s="177">
        <f>I119/E119</f>
        <v>10.794642857142856</v>
      </c>
    </row>
    <row r="120" spans="2:15" x14ac:dyDescent="0.25">
      <c r="B120" s="752"/>
      <c r="C120" s="86">
        <v>7212</v>
      </c>
      <c r="D120" s="365" t="s">
        <v>24</v>
      </c>
      <c r="E120" s="88">
        <v>1.2999999999999999E-2</v>
      </c>
      <c r="F120" s="89">
        <v>1.2999999999999999E-2</v>
      </c>
      <c r="G120" s="112">
        <v>8.9099999999999999E-2</v>
      </c>
      <c r="H120" s="112">
        <v>8.9099999999999999E-2</v>
      </c>
      <c r="I120" s="88">
        <v>0.14099999999999999</v>
      </c>
      <c r="J120" s="89">
        <v>0.14099999999999999</v>
      </c>
      <c r="K120" s="112">
        <v>0.32290000000000002</v>
      </c>
      <c r="L120" s="112">
        <v>0.32290000000000002</v>
      </c>
      <c r="M120" s="49">
        <v>0.35299999999999998</v>
      </c>
      <c r="N120" s="92">
        <f t="shared" ref="N120:N123" si="48">G120/E120</f>
        <v>6.8538461538461544</v>
      </c>
      <c r="O120" s="177">
        <f t="shared" ref="O120:O123" si="49">I120/E120</f>
        <v>10.846153846153845</v>
      </c>
    </row>
    <row r="121" spans="2:15" x14ac:dyDescent="0.25">
      <c r="B121" s="752"/>
      <c r="C121" s="86">
        <v>7213</v>
      </c>
      <c r="D121" s="365" t="s">
        <v>24</v>
      </c>
      <c r="E121" s="88">
        <v>1.2999999999999999E-2</v>
      </c>
      <c r="F121" s="89">
        <v>1.2999999999999999E-2</v>
      </c>
      <c r="G121" s="112">
        <v>7.6899999999999996E-2</v>
      </c>
      <c r="H121" s="112">
        <v>7.6899999999999996E-2</v>
      </c>
      <c r="I121" s="88">
        <v>0.14099999999999999</v>
      </c>
      <c r="J121" s="89">
        <v>0.14099999999999999</v>
      </c>
      <c r="K121" s="112">
        <v>0.36549999999999999</v>
      </c>
      <c r="L121" s="112">
        <v>0.36549999999999999</v>
      </c>
      <c r="M121" s="49">
        <v>0.28100000000000003</v>
      </c>
      <c r="N121" s="92">
        <f t="shared" si="48"/>
        <v>5.9153846153846157</v>
      </c>
      <c r="O121" s="177">
        <f t="shared" si="49"/>
        <v>10.846153846153845</v>
      </c>
    </row>
    <row r="122" spans="2:15" x14ac:dyDescent="0.25">
      <c r="B122" s="752"/>
      <c r="C122" s="86">
        <v>7214</v>
      </c>
      <c r="D122" s="365" t="s">
        <v>24</v>
      </c>
      <c r="E122" s="370">
        <v>1.5699999999999999E-2</v>
      </c>
      <c r="F122" s="430">
        <v>1.5699999999999999E-2</v>
      </c>
      <c r="G122" s="360">
        <v>9.7199999999999995E-2</v>
      </c>
      <c r="H122" s="360">
        <v>9.7199999999999995E-2</v>
      </c>
      <c r="I122" s="370">
        <v>0.16930000000000001</v>
      </c>
      <c r="J122" s="430">
        <v>0.16930000000000001</v>
      </c>
      <c r="K122" s="360">
        <v>0.42130000000000001</v>
      </c>
      <c r="L122" s="360">
        <v>0.42130000000000001</v>
      </c>
      <c r="M122" s="370">
        <v>0.30199999999999999</v>
      </c>
      <c r="N122" s="92">
        <f t="shared" si="48"/>
        <v>6.1910828025477711</v>
      </c>
      <c r="O122" s="177">
        <f t="shared" si="49"/>
        <v>10.783439490445861</v>
      </c>
    </row>
    <row r="123" spans="2:15" x14ac:dyDescent="0.25">
      <c r="B123" s="752"/>
      <c r="C123" s="86">
        <v>7215</v>
      </c>
      <c r="D123" s="365" t="s">
        <v>24</v>
      </c>
      <c r="E123" s="370">
        <v>1.5699999999999999E-2</v>
      </c>
      <c r="F123" s="430">
        <v>1.5699999999999999E-2</v>
      </c>
      <c r="G123" s="360">
        <v>0.1016</v>
      </c>
      <c r="H123" s="360">
        <v>0.1016</v>
      </c>
      <c r="I123" s="370">
        <v>0.20680000000000001</v>
      </c>
      <c r="J123" s="430">
        <v>0.20680000000000001</v>
      </c>
      <c r="K123" s="360">
        <v>0.57509999999999994</v>
      </c>
      <c r="L123" s="360">
        <v>0.57509999999999994</v>
      </c>
      <c r="M123" s="370">
        <v>0.19900000000000001</v>
      </c>
      <c r="N123" s="92">
        <f t="shared" si="48"/>
        <v>6.4713375796178347</v>
      </c>
      <c r="O123" s="177">
        <f t="shared" si="49"/>
        <v>13.171974522292995</v>
      </c>
    </row>
    <row r="124" spans="2:15" x14ac:dyDescent="0.25">
      <c r="B124" s="752"/>
      <c r="C124" s="86">
        <v>7216</v>
      </c>
      <c r="D124" s="365" t="s">
        <v>23</v>
      </c>
      <c r="E124" s="370">
        <v>1.5699999999999999E-2</v>
      </c>
      <c r="F124" s="430">
        <v>1.5699999999999999E-2</v>
      </c>
      <c r="G124" s="360">
        <v>9.0700000000000003E-2</v>
      </c>
      <c r="H124" s="360">
        <v>9.0700000000000003E-2</v>
      </c>
      <c r="I124" s="370">
        <v>0.28039999999999998</v>
      </c>
      <c r="J124" s="430">
        <v>0.28039999999999998</v>
      </c>
      <c r="K124" s="360">
        <v>0.94440000000000002</v>
      </c>
      <c r="L124" s="360">
        <v>0.94440000000000002</v>
      </c>
      <c r="M124" s="370">
        <v>9.6000000000000002E-2</v>
      </c>
      <c r="N124" s="92">
        <f>G124/E124</f>
        <v>5.7770700636942678</v>
      </c>
      <c r="O124" s="177">
        <f>I124/E124</f>
        <v>17.859872611464969</v>
      </c>
    </row>
    <row r="125" spans="2:15" x14ac:dyDescent="0.25">
      <c r="B125" s="751">
        <v>3</v>
      </c>
      <c r="C125" s="80">
        <v>7311</v>
      </c>
      <c r="D125" s="363" t="s">
        <v>23</v>
      </c>
      <c r="E125" s="101">
        <v>1.12E-2</v>
      </c>
      <c r="F125" s="102">
        <v>1.12E-2</v>
      </c>
      <c r="G125" s="115">
        <v>7.0900000000000005E-2</v>
      </c>
      <c r="H125" s="115">
        <v>7.0900000000000005E-2</v>
      </c>
      <c r="I125" s="101">
        <v>0.12089999999999999</v>
      </c>
      <c r="J125" s="102">
        <v>0.12089999999999999</v>
      </c>
      <c r="K125" s="115">
        <v>0.29580000000000001</v>
      </c>
      <c r="L125" s="115">
        <v>0.29580000000000001</v>
      </c>
      <c r="M125" s="44">
        <v>0.312</v>
      </c>
      <c r="N125" s="87">
        <f>G125/E125</f>
        <v>6.3303571428571432</v>
      </c>
      <c r="O125" s="436">
        <f>I125/E125</f>
        <v>10.794642857142856</v>
      </c>
    </row>
    <row r="126" spans="2:15" x14ac:dyDescent="0.25">
      <c r="B126" s="752"/>
      <c r="C126" s="86">
        <v>7312</v>
      </c>
      <c r="D126" s="365" t="s">
        <v>24</v>
      </c>
      <c r="E126" s="88">
        <v>1.2999999999999999E-2</v>
      </c>
      <c r="F126" s="89">
        <v>1.2999999999999999E-2</v>
      </c>
      <c r="G126" s="112">
        <v>8.9099999999999999E-2</v>
      </c>
      <c r="H126" s="112">
        <v>8.9099999999999999E-2</v>
      </c>
      <c r="I126" s="88">
        <v>0.14099999999999999</v>
      </c>
      <c r="J126" s="89">
        <v>0.14099999999999999</v>
      </c>
      <c r="K126" s="112">
        <v>0.32290000000000002</v>
      </c>
      <c r="L126" s="112">
        <v>0.32290000000000002</v>
      </c>
      <c r="M126" s="49">
        <v>0.35299999999999998</v>
      </c>
      <c r="N126" s="92">
        <f t="shared" ref="N126:N129" si="50">G126/E126</f>
        <v>6.8538461538461544</v>
      </c>
      <c r="O126" s="177">
        <f t="shared" ref="O126:O129" si="51">I126/E126</f>
        <v>10.846153846153845</v>
      </c>
    </row>
    <row r="127" spans="2:15" x14ac:dyDescent="0.25">
      <c r="B127" s="752"/>
      <c r="C127" s="86">
        <v>7313</v>
      </c>
      <c r="D127" s="365" t="s">
        <v>24</v>
      </c>
      <c r="E127" s="88">
        <v>1.2999999999999999E-2</v>
      </c>
      <c r="F127" s="89">
        <v>1.2999999999999999E-2</v>
      </c>
      <c r="G127" s="112">
        <v>7.6899999999999996E-2</v>
      </c>
      <c r="H127" s="112">
        <v>7.6899999999999996E-2</v>
      </c>
      <c r="I127" s="88">
        <v>0.14099999999999999</v>
      </c>
      <c r="J127" s="89">
        <v>0.14099999999999999</v>
      </c>
      <c r="K127" s="112">
        <v>0.36549999999999999</v>
      </c>
      <c r="L127" s="112">
        <v>0.36549999999999999</v>
      </c>
      <c r="M127" s="49">
        <v>0.28100000000000003</v>
      </c>
      <c r="N127" s="92">
        <f t="shared" si="50"/>
        <v>5.9153846153846157</v>
      </c>
      <c r="O127" s="177">
        <f t="shared" si="51"/>
        <v>10.846153846153845</v>
      </c>
    </row>
    <row r="128" spans="2:15" x14ac:dyDescent="0.25">
      <c r="B128" s="752"/>
      <c r="C128" s="86">
        <v>7314</v>
      </c>
      <c r="D128" s="365" t="s">
        <v>24</v>
      </c>
      <c r="E128" s="370">
        <v>1.5699999999999999E-2</v>
      </c>
      <c r="F128" s="430">
        <v>1.5699999999999999E-2</v>
      </c>
      <c r="G128" s="360">
        <v>9.7199999999999995E-2</v>
      </c>
      <c r="H128" s="360">
        <v>9.7199999999999995E-2</v>
      </c>
      <c r="I128" s="370">
        <v>0.16930000000000001</v>
      </c>
      <c r="J128" s="430">
        <v>0.16930000000000001</v>
      </c>
      <c r="K128" s="360">
        <v>0.42130000000000001</v>
      </c>
      <c r="L128" s="360">
        <v>0.42130000000000001</v>
      </c>
      <c r="M128" s="370">
        <v>0.30199999999999999</v>
      </c>
      <c r="N128" s="92">
        <f t="shared" si="50"/>
        <v>6.1910828025477711</v>
      </c>
      <c r="O128" s="177">
        <f t="shared" si="51"/>
        <v>10.783439490445861</v>
      </c>
    </row>
    <row r="129" spans="2:17" x14ac:dyDescent="0.25">
      <c r="B129" s="752"/>
      <c r="C129" s="86">
        <v>7315</v>
      </c>
      <c r="D129" s="365" t="s">
        <v>24</v>
      </c>
      <c r="E129" s="370">
        <v>1.5699999999999999E-2</v>
      </c>
      <c r="F129" s="430">
        <v>1.5699999999999999E-2</v>
      </c>
      <c r="G129" s="360">
        <v>0.1016</v>
      </c>
      <c r="H129" s="360">
        <v>0.1016</v>
      </c>
      <c r="I129" s="370">
        <v>0.20680000000000001</v>
      </c>
      <c r="J129" s="430">
        <v>0.20680000000000001</v>
      </c>
      <c r="K129" s="360">
        <v>0.57509999999999994</v>
      </c>
      <c r="L129" s="360">
        <v>0.57509999999999994</v>
      </c>
      <c r="M129" s="370">
        <v>0.19900000000000001</v>
      </c>
      <c r="N129" s="92">
        <f t="shared" si="50"/>
        <v>6.4713375796178347</v>
      </c>
      <c r="O129" s="177">
        <f t="shared" si="51"/>
        <v>13.171974522292995</v>
      </c>
    </row>
    <row r="130" spans="2:17" x14ac:dyDescent="0.25">
      <c r="B130" s="753"/>
      <c r="C130" s="298">
        <v>7316</v>
      </c>
      <c r="D130" s="367" t="s">
        <v>23</v>
      </c>
      <c r="E130" s="431">
        <v>1.5699999999999999E-2</v>
      </c>
      <c r="F130" s="432">
        <v>1.5699999999999999E-2</v>
      </c>
      <c r="G130" s="433">
        <v>9.0700000000000003E-2</v>
      </c>
      <c r="H130" s="433">
        <v>9.0700000000000003E-2</v>
      </c>
      <c r="I130" s="431">
        <v>0.28039999999999998</v>
      </c>
      <c r="J130" s="432">
        <v>0.28039999999999998</v>
      </c>
      <c r="K130" s="433">
        <v>0.94440000000000002</v>
      </c>
      <c r="L130" s="433">
        <v>0.94440000000000002</v>
      </c>
      <c r="M130" s="431">
        <v>9.6000000000000002E-2</v>
      </c>
      <c r="N130" s="149">
        <f>G130/E130</f>
        <v>5.7770700636942678</v>
      </c>
      <c r="O130" s="435">
        <f>I130/E130</f>
        <v>17.859872611464969</v>
      </c>
    </row>
    <row r="131" spans="2:17" x14ac:dyDescent="0.25">
      <c r="B131" s="752">
        <v>4</v>
      </c>
      <c r="C131" s="86">
        <v>7411</v>
      </c>
      <c r="D131" s="365" t="s">
        <v>23</v>
      </c>
      <c r="E131" s="88">
        <v>1.12E-2</v>
      </c>
      <c r="F131" s="89">
        <v>1.12E-2</v>
      </c>
      <c r="G131" s="112">
        <v>7.0900000000000005E-2</v>
      </c>
      <c r="H131" s="112">
        <v>7.0900000000000005E-2</v>
      </c>
      <c r="I131" s="88">
        <v>0.12089999999999999</v>
      </c>
      <c r="J131" s="89">
        <v>0.12089999999999999</v>
      </c>
      <c r="K131" s="112">
        <v>0.29580000000000001</v>
      </c>
      <c r="L131" s="112">
        <v>0.29580000000000001</v>
      </c>
      <c r="M131" s="49">
        <v>0.312</v>
      </c>
      <c r="N131" s="92">
        <f>G131/E131</f>
        <v>6.3303571428571432</v>
      </c>
      <c r="O131" s="177">
        <f>I131/E131</f>
        <v>10.794642857142856</v>
      </c>
      <c r="P131" s="12"/>
    </row>
    <row r="132" spans="2:17" x14ac:dyDescent="0.25">
      <c r="B132" s="752"/>
      <c r="C132" s="86">
        <v>7412</v>
      </c>
      <c r="D132" s="365" t="s">
        <v>23</v>
      </c>
      <c r="E132" s="88">
        <v>1.2999999999999999E-2</v>
      </c>
      <c r="F132" s="89">
        <v>1.2999999999999999E-2</v>
      </c>
      <c r="G132" s="112">
        <v>8.9099999999999999E-2</v>
      </c>
      <c r="H132" s="112">
        <v>8.9099999999999999E-2</v>
      </c>
      <c r="I132" s="88">
        <v>0.14099999999999999</v>
      </c>
      <c r="J132" s="89">
        <v>0.14099999999999999</v>
      </c>
      <c r="K132" s="112">
        <v>0.32290000000000002</v>
      </c>
      <c r="L132" s="112">
        <v>0.32290000000000002</v>
      </c>
      <c r="M132" s="49">
        <v>0.35299999999999998</v>
      </c>
      <c r="N132" s="92">
        <f t="shared" ref="N132:N135" si="52">G132/E132</f>
        <v>6.8538461538461544</v>
      </c>
      <c r="O132" s="177">
        <f t="shared" ref="O132:O135" si="53">I132/E132</f>
        <v>10.846153846153845</v>
      </c>
      <c r="P132" s="12"/>
    </row>
    <row r="133" spans="2:17" x14ac:dyDescent="0.25">
      <c r="B133" s="752"/>
      <c r="C133" s="86">
        <v>7413</v>
      </c>
      <c r="D133" s="365" t="s">
        <v>23</v>
      </c>
      <c r="E133" s="88">
        <v>1.2999999999999999E-2</v>
      </c>
      <c r="F133" s="89">
        <v>1.2999999999999999E-2</v>
      </c>
      <c r="G133" s="112">
        <v>7.6899999999999996E-2</v>
      </c>
      <c r="H133" s="112">
        <v>7.6899999999999996E-2</v>
      </c>
      <c r="I133" s="88">
        <v>0.14099999999999999</v>
      </c>
      <c r="J133" s="89">
        <v>0.14099999999999999</v>
      </c>
      <c r="K133" s="112">
        <v>0.36549999999999999</v>
      </c>
      <c r="L133" s="112">
        <v>0.36549999999999999</v>
      </c>
      <c r="M133" s="49">
        <v>0.28100000000000003</v>
      </c>
      <c r="N133" s="92">
        <f t="shared" si="52"/>
        <v>5.9153846153846157</v>
      </c>
      <c r="O133" s="177">
        <f t="shared" si="53"/>
        <v>10.846153846153845</v>
      </c>
      <c r="P133" s="12"/>
    </row>
    <row r="134" spans="2:17" x14ac:dyDescent="0.25">
      <c r="B134" s="752"/>
      <c r="C134" s="86">
        <v>7414</v>
      </c>
      <c r="D134" s="365" t="s">
        <v>23</v>
      </c>
      <c r="E134" s="370">
        <v>1.5699999999999999E-2</v>
      </c>
      <c r="F134" s="430">
        <v>1.5699999999999999E-2</v>
      </c>
      <c r="G134" s="360">
        <v>9.7199999999999995E-2</v>
      </c>
      <c r="H134" s="360">
        <v>9.7199999999999995E-2</v>
      </c>
      <c r="I134" s="370">
        <v>0.16930000000000001</v>
      </c>
      <c r="J134" s="430">
        <v>0.16930000000000001</v>
      </c>
      <c r="K134" s="360">
        <v>0.42130000000000001</v>
      </c>
      <c r="L134" s="360">
        <v>0.42130000000000001</v>
      </c>
      <c r="M134" s="370">
        <v>0.30199999999999999</v>
      </c>
      <c r="N134" s="92">
        <f t="shared" si="52"/>
        <v>6.1910828025477711</v>
      </c>
      <c r="O134" s="177">
        <f t="shared" si="53"/>
        <v>10.783439490445861</v>
      </c>
      <c r="P134" s="12"/>
    </row>
    <row r="135" spans="2:17" x14ac:dyDescent="0.25">
      <c r="B135" s="752"/>
      <c r="C135" s="86">
        <v>7415</v>
      </c>
      <c r="D135" s="365" t="s">
        <v>23</v>
      </c>
      <c r="E135" s="370">
        <v>1.5699999999999999E-2</v>
      </c>
      <c r="F135" s="430">
        <v>1.5699999999999999E-2</v>
      </c>
      <c r="G135" s="360">
        <v>0.1016</v>
      </c>
      <c r="H135" s="360">
        <v>0.1016</v>
      </c>
      <c r="I135" s="370">
        <v>0.20680000000000001</v>
      </c>
      <c r="J135" s="430">
        <v>0.20680000000000001</v>
      </c>
      <c r="K135" s="360">
        <v>0.57509999999999994</v>
      </c>
      <c r="L135" s="360">
        <v>0.57509999999999994</v>
      </c>
      <c r="M135" s="370">
        <v>0.19900000000000001</v>
      </c>
      <c r="N135" s="92">
        <f t="shared" si="52"/>
        <v>6.4713375796178347</v>
      </c>
      <c r="O135" s="177">
        <f t="shared" si="53"/>
        <v>13.171974522292995</v>
      </c>
      <c r="P135" s="12"/>
    </row>
    <row r="136" spans="2:17" x14ac:dyDescent="0.25">
      <c r="B136" s="752"/>
      <c r="C136" s="86">
        <v>7416</v>
      </c>
      <c r="D136" s="365" t="s">
        <v>23</v>
      </c>
      <c r="E136" s="370">
        <v>1.5699999999999999E-2</v>
      </c>
      <c r="F136" s="430">
        <v>1.5699999999999999E-2</v>
      </c>
      <c r="G136" s="360">
        <v>9.0700000000000003E-2</v>
      </c>
      <c r="H136" s="360">
        <v>9.0700000000000003E-2</v>
      </c>
      <c r="I136" s="370">
        <v>0.28039999999999998</v>
      </c>
      <c r="J136" s="430">
        <v>0.28039999999999998</v>
      </c>
      <c r="K136" s="360">
        <v>0.94440000000000002</v>
      </c>
      <c r="L136" s="360">
        <v>0.94440000000000002</v>
      </c>
      <c r="M136" s="370">
        <v>9.6000000000000002E-2</v>
      </c>
      <c r="N136" s="92">
        <f>G136/E136</f>
        <v>5.7770700636942678</v>
      </c>
      <c r="O136" s="177">
        <f>I136/E136</f>
        <v>17.859872611464969</v>
      </c>
      <c r="P136" s="12"/>
    </row>
    <row r="137" spans="2:17" x14ac:dyDescent="0.25">
      <c r="B137" s="751">
        <v>5</v>
      </c>
      <c r="C137" s="80">
        <v>7511</v>
      </c>
      <c r="D137" s="363" t="s">
        <v>23</v>
      </c>
      <c r="E137" s="101">
        <v>1.12E-2</v>
      </c>
      <c r="F137" s="102">
        <v>1.12E-2</v>
      </c>
      <c r="G137" s="115">
        <v>7.0900000000000005E-2</v>
      </c>
      <c r="H137" s="115">
        <v>7.0900000000000005E-2</v>
      </c>
      <c r="I137" s="101">
        <v>0.12089999999999999</v>
      </c>
      <c r="J137" s="102">
        <v>0.12089999999999999</v>
      </c>
      <c r="K137" s="115">
        <v>0.29580000000000001</v>
      </c>
      <c r="L137" s="115">
        <v>0.29580000000000001</v>
      </c>
      <c r="M137" s="44">
        <v>0.312</v>
      </c>
      <c r="N137" s="87">
        <f>G137/E137</f>
        <v>6.3303571428571432</v>
      </c>
      <c r="O137" s="436">
        <f>I137/E137</f>
        <v>10.794642857142856</v>
      </c>
      <c r="P137" s="12"/>
    </row>
    <row r="138" spans="2:17" x14ac:dyDescent="0.25">
      <c r="B138" s="752"/>
      <c r="C138" s="86">
        <v>7512</v>
      </c>
      <c r="D138" s="365" t="s">
        <v>23</v>
      </c>
      <c r="E138" s="88">
        <v>1.2999999999999999E-2</v>
      </c>
      <c r="F138" s="89">
        <v>1.2999999999999999E-2</v>
      </c>
      <c r="G138" s="112">
        <v>8.9099999999999999E-2</v>
      </c>
      <c r="H138" s="112">
        <v>8.9099999999999999E-2</v>
      </c>
      <c r="I138" s="88">
        <v>0.14099999999999999</v>
      </c>
      <c r="J138" s="89">
        <v>0.14099999999999999</v>
      </c>
      <c r="K138" s="112">
        <v>0.32290000000000002</v>
      </c>
      <c r="L138" s="112">
        <v>0.32290000000000002</v>
      </c>
      <c r="M138" s="49">
        <v>0.35299999999999998</v>
      </c>
      <c r="N138" s="92">
        <f t="shared" ref="N138:N141" si="54">G138/E138</f>
        <v>6.8538461538461544</v>
      </c>
      <c r="O138" s="177">
        <f t="shared" ref="O138:O141" si="55">I138/E138</f>
        <v>10.846153846153845</v>
      </c>
      <c r="P138" s="12"/>
    </row>
    <row r="139" spans="2:17" x14ac:dyDescent="0.25">
      <c r="B139" s="752"/>
      <c r="C139" s="86">
        <v>7513</v>
      </c>
      <c r="D139" s="365" t="s">
        <v>23</v>
      </c>
      <c r="E139" s="88">
        <v>1.2999999999999999E-2</v>
      </c>
      <c r="F139" s="89">
        <v>1.2999999999999999E-2</v>
      </c>
      <c r="G139" s="112">
        <v>7.6899999999999996E-2</v>
      </c>
      <c r="H139" s="112">
        <v>7.6899999999999996E-2</v>
      </c>
      <c r="I139" s="88">
        <v>0.14099999999999999</v>
      </c>
      <c r="J139" s="89">
        <v>0.14099999999999999</v>
      </c>
      <c r="K139" s="112">
        <v>0.36549999999999999</v>
      </c>
      <c r="L139" s="112">
        <v>0.36549999999999999</v>
      </c>
      <c r="M139" s="49">
        <v>0.28100000000000003</v>
      </c>
      <c r="N139" s="92">
        <f t="shared" si="54"/>
        <v>5.9153846153846157</v>
      </c>
      <c r="O139" s="177">
        <f t="shared" si="55"/>
        <v>10.846153846153845</v>
      </c>
      <c r="P139" s="12"/>
    </row>
    <row r="140" spans="2:17" x14ac:dyDescent="0.25">
      <c r="B140" s="752"/>
      <c r="C140" s="86">
        <v>7514</v>
      </c>
      <c r="D140" s="365" t="s">
        <v>23</v>
      </c>
      <c r="E140" s="370">
        <v>1.5699999999999999E-2</v>
      </c>
      <c r="F140" s="430">
        <v>1.5699999999999999E-2</v>
      </c>
      <c r="G140" s="360">
        <v>9.7199999999999995E-2</v>
      </c>
      <c r="H140" s="360">
        <v>9.7199999999999995E-2</v>
      </c>
      <c r="I140" s="370">
        <v>0.16930000000000001</v>
      </c>
      <c r="J140" s="430">
        <v>0.16930000000000001</v>
      </c>
      <c r="K140" s="360">
        <v>0.42130000000000001</v>
      </c>
      <c r="L140" s="360">
        <v>0.42130000000000001</v>
      </c>
      <c r="M140" s="370">
        <v>0.30199999999999999</v>
      </c>
      <c r="N140" s="92">
        <f t="shared" si="54"/>
        <v>6.1910828025477711</v>
      </c>
      <c r="O140" s="177">
        <f t="shared" si="55"/>
        <v>10.783439490445861</v>
      </c>
      <c r="P140" s="12"/>
    </row>
    <row r="141" spans="2:17" x14ac:dyDescent="0.25">
      <c r="B141" s="752"/>
      <c r="C141" s="86">
        <v>7515</v>
      </c>
      <c r="D141" s="365" t="s">
        <v>23</v>
      </c>
      <c r="E141" s="370">
        <v>1.5699999999999999E-2</v>
      </c>
      <c r="F141" s="430">
        <v>1.5699999999999999E-2</v>
      </c>
      <c r="G141" s="360">
        <v>0.1016</v>
      </c>
      <c r="H141" s="360">
        <v>0.1016</v>
      </c>
      <c r="I141" s="370">
        <v>0.20680000000000001</v>
      </c>
      <c r="J141" s="430">
        <v>0.20680000000000001</v>
      </c>
      <c r="K141" s="360">
        <v>0.57509999999999994</v>
      </c>
      <c r="L141" s="360">
        <v>0.57509999999999994</v>
      </c>
      <c r="M141" s="370">
        <v>0.19900000000000001</v>
      </c>
      <c r="N141" s="92">
        <f t="shared" si="54"/>
        <v>6.4713375796178347</v>
      </c>
      <c r="O141" s="177">
        <f t="shared" si="55"/>
        <v>13.171974522292995</v>
      </c>
      <c r="P141" s="12"/>
    </row>
    <row r="142" spans="2:17" x14ac:dyDescent="0.25">
      <c r="B142" s="753"/>
      <c r="C142" s="298">
        <v>7516</v>
      </c>
      <c r="D142" s="367" t="s">
        <v>23</v>
      </c>
      <c r="E142" s="431">
        <v>1.5699999999999999E-2</v>
      </c>
      <c r="F142" s="432">
        <v>1.5699999999999999E-2</v>
      </c>
      <c r="G142" s="433">
        <v>9.0700000000000003E-2</v>
      </c>
      <c r="H142" s="433">
        <v>9.0700000000000003E-2</v>
      </c>
      <c r="I142" s="431">
        <v>0.28039999999999998</v>
      </c>
      <c r="J142" s="432">
        <v>0.28039999999999998</v>
      </c>
      <c r="K142" s="433">
        <v>0.94440000000000002</v>
      </c>
      <c r="L142" s="433">
        <v>0.94440000000000002</v>
      </c>
      <c r="M142" s="431">
        <v>9.6000000000000002E-2</v>
      </c>
      <c r="N142" s="149">
        <f>G142/E142</f>
        <v>5.7770700636942678</v>
      </c>
      <c r="O142" s="435">
        <f>I142/E142</f>
        <v>17.859872611464969</v>
      </c>
      <c r="P142" s="12"/>
    </row>
    <row r="143" spans="2:17" x14ac:dyDescent="0.25">
      <c r="B143" s="752">
        <v>6</v>
      </c>
      <c r="C143" s="86">
        <v>7611</v>
      </c>
      <c r="D143" s="365" t="s">
        <v>23</v>
      </c>
      <c r="E143" s="88">
        <v>1.2999999999999999E-2</v>
      </c>
      <c r="F143" s="89">
        <v>1.2999999999999999E-2</v>
      </c>
      <c r="G143" s="112">
        <v>8.1500000000000003E-2</v>
      </c>
      <c r="H143" s="112">
        <v>8.1500000000000003E-2</v>
      </c>
      <c r="I143" s="88">
        <v>0.16450000000000001</v>
      </c>
      <c r="J143" s="89">
        <v>0.16450000000000001</v>
      </c>
      <c r="K143" s="112">
        <v>0.45479999999999998</v>
      </c>
      <c r="L143" s="112">
        <v>0.45479999999999998</v>
      </c>
      <c r="M143" s="49">
        <v>0.21199999999999999</v>
      </c>
      <c r="N143" s="92">
        <f>G143/E143</f>
        <v>6.2692307692307701</v>
      </c>
      <c r="O143" s="177">
        <f>I143/E143</f>
        <v>12.653846153846155</v>
      </c>
      <c r="P143" s="12"/>
      <c r="Q143" s="12"/>
    </row>
    <row r="144" spans="2:17" x14ac:dyDescent="0.25">
      <c r="B144" s="752"/>
      <c r="C144" s="86">
        <v>7612</v>
      </c>
      <c r="D144" s="365" t="s">
        <v>23</v>
      </c>
      <c r="E144" s="88">
        <v>1.5699999999999999E-2</v>
      </c>
      <c r="F144" s="89">
        <v>1.5699999999999999E-2</v>
      </c>
      <c r="G144" s="112">
        <v>8.4699999999999998E-2</v>
      </c>
      <c r="H144" s="112">
        <v>8.4699999999999998E-2</v>
      </c>
      <c r="I144" s="88">
        <v>0.16930000000000001</v>
      </c>
      <c r="J144" s="89">
        <v>0.16930000000000001</v>
      </c>
      <c r="K144" s="112">
        <v>0.46510000000000001</v>
      </c>
      <c r="L144" s="112">
        <v>0.46510000000000001</v>
      </c>
      <c r="M144" s="49">
        <v>0.254</v>
      </c>
      <c r="N144" s="92">
        <f t="shared" ref="N144:N147" si="56">G144/E144</f>
        <v>5.3949044585987265</v>
      </c>
      <c r="O144" s="177">
        <f t="shared" ref="O144:O147" si="57">I144/E144</f>
        <v>10.783439490445861</v>
      </c>
      <c r="P144" s="12"/>
      <c r="Q144" s="12"/>
    </row>
    <row r="145" spans="2:17" x14ac:dyDescent="0.25">
      <c r="B145" s="752"/>
      <c r="C145" s="86">
        <v>7613</v>
      </c>
      <c r="D145" s="365" t="s">
        <v>23</v>
      </c>
      <c r="E145" s="88">
        <v>1.5699999999999999E-2</v>
      </c>
      <c r="F145" s="89">
        <v>1.5699999999999999E-2</v>
      </c>
      <c r="G145" s="112">
        <v>0.1007</v>
      </c>
      <c r="H145" s="112">
        <v>0.1007</v>
      </c>
      <c r="I145" s="88">
        <v>0.20449999999999999</v>
      </c>
      <c r="J145" s="89">
        <v>0.20449999999999999</v>
      </c>
      <c r="K145" s="112">
        <v>0.5675</v>
      </c>
      <c r="L145" s="112">
        <v>0.5675</v>
      </c>
      <c r="M145" s="49">
        <v>0.20300000000000001</v>
      </c>
      <c r="N145" s="92">
        <f t="shared" si="56"/>
        <v>6.4140127388535033</v>
      </c>
      <c r="O145" s="177">
        <f t="shared" si="57"/>
        <v>13.02547770700637</v>
      </c>
      <c r="P145" s="12"/>
      <c r="Q145" s="12"/>
    </row>
    <row r="146" spans="2:17" x14ac:dyDescent="0.25">
      <c r="B146" s="752"/>
      <c r="C146" s="86">
        <v>7614</v>
      </c>
      <c r="D146" s="365" t="s">
        <v>23</v>
      </c>
      <c r="E146" s="370">
        <v>1.5699999999999999E-2</v>
      </c>
      <c r="F146" s="430">
        <v>1.5699999999999999E-2</v>
      </c>
      <c r="G146" s="360">
        <v>0.10829999999999999</v>
      </c>
      <c r="H146" s="360">
        <v>0.10829999999999999</v>
      </c>
      <c r="I146" s="370">
        <v>0.24260000000000001</v>
      </c>
      <c r="J146" s="430">
        <v>0.24260000000000001</v>
      </c>
      <c r="K146" s="360">
        <v>0.71250000000000002</v>
      </c>
      <c r="L146" s="360">
        <v>0.71250000000000002</v>
      </c>
      <c r="M146" s="370">
        <v>0.151</v>
      </c>
      <c r="N146" s="92">
        <f t="shared" si="56"/>
        <v>6.8980891719745223</v>
      </c>
      <c r="O146" s="177">
        <f t="shared" si="57"/>
        <v>15.45222929936306</v>
      </c>
      <c r="P146" s="12"/>
      <c r="Q146" s="12"/>
    </row>
    <row r="147" spans="2:17" x14ac:dyDescent="0.25">
      <c r="B147" s="752"/>
      <c r="C147" s="86">
        <v>7615</v>
      </c>
      <c r="D147" s="365" t="s">
        <v>23</v>
      </c>
      <c r="E147" s="370">
        <v>1.5699999999999999E-2</v>
      </c>
      <c r="F147" s="430">
        <v>1.5699999999999999E-2</v>
      </c>
      <c r="G147" s="360">
        <v>9.0700000000000003E-2</v>
      </c>
      <c r="H147" s="360">
        <v>9.0700000000000003E-2</v>
      </c>
      <c r="I147" s="370">
        <v>0.28039999999999998</v>
      </c>
      <c r="J147" s="430">
        <v>0.28039999999999998</v>
      </c>
      <c r="K147" s="360">
        <v>0.94440000000000002</v>
      </c>
      <c r="L147" s="360">
        <v>0.94440000000000002</v>
      </c>
      <c r="M147" s="370">
        <v>0.1</v>
      </c>
      <c r="N147" s="92">
        <f t="shared" si="56"/>
        <v>5.7770700636942678</v>
      </c>
      <c r="O147" s="177">
        <f t="shared" si="57"/>
        <v>17.859872611464969</v>
      </c>
      <c r="P147" s="12"/>
      <c r="Q147" s="12"/>
    </row>
    <row r="148" spans="2:17" ht="15.75" thickBot="1" x14ac:dyDescent="0.3">
      <c r="B148" s="754"/>
      <c r="C148" s="296">
        <v>7616</v>
      </c>
      <c r="D148" s="369" t="s">
        <v>23</v>
      </c>
      <c r="E148" s="372">
        <v>1.5699999999999999E-2</v>
      </c>
      <c r="F148" s="434">
        <v>1.5699999999999999E-2</v>
      </c>
      <c r="G148" s="361">
        <v>9.0700000000000003E-2</v>
      </c>
      <c r="H148" s="361">
        <v>9.0700000000000003E-2</v>
      </c>
      <c r="I148" s="372">
        <v>0.28039999999999998</v>
      </c>
      <c r="J148" s="434">
        <v>0.28039999999999998</v>
      </c>
      <c r="K148" s="361">
        <v>0.94440000000000002</v>
      </c>
      <c r="L148" s="361">
        <v>0.94440000000000002</v>
      </c>
      <c r="M148" s="372">
        <v>4.8000000000000001E-2</v>
      </c>
      <c r="N148" s="98">
        <f>G148/E148</f>
        <v>5.7770700636942678</v>
      </c>
      <c r="O148" s="183">
        <f>I148/E148</f>
        <v>17.859872611464969</v>
      </c>
      <c r="P148" s="12"/>
      <c r="Q148" s="12"/>
    </row>
  </sheetData>
  <mergeCells count="202">
    <mergeCell ref="BG3:BG4"/>
    <mergeCell ref="BH3:BH4"/>
    <mergeCell ref="BI3:BI4"/>
    <mergeCell ref="AO2:BI2"/>
    <mergeCell ref="AP23:AQ28"/>
    <mergeCell ref="Q2:AM2"/>
    <mergeCell ref="H71:H72"/>
    <mergeCell ref="I71:I72"/>
    <mergeCell ref="J71:J7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AG7:AM7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CA19:CA20"/>
    <mergeCell ref="CB19:CB20"/>
    <mergeCell ref="B63:B68"/>
    <mergeCell ref="C3:C4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G3:G4"/>
    <mergeCell ref="H3:H4"/>
    <mergeCell ref="D3:D4"/>
    <mergeCell ref="J37:J38"/>
    <mergeCell ref="G37:G38"/>
    <mergeCell ref="Q3:R3"/>
    <mergeCell ref="S7:Y7"/>
    <mergeCell ref="Z7:AF7"/>
    <mergeCell ref="M111:M112"/>
    <mergeCell ref="N111:N112"/>
    <mergeCell ref="Q33:R33"/>
    <mergeCell ref="H37:H38"/>
    <mergeCell ref="I37:I38"/>
    <mergeCell ref="BY18:CD18"/>
    <mergeCell ref="CD19:CD20"/>
    <mergeCell ref="BK9:BK10"/>
    <mergeCell ref="BL9:BL10"/>
    <mergeCell ref="BM9:BM10"/>
    <mergeCell ref="BN9:BN10"/>
    <mergeCell ref="BO9:BO10"/>
    <mergeCell ref="BR9:BR10"/>
    <mergeCell ref="BS9:BS10"/>
    <mergeCell ref="BU9:BU10"/>
    <mergeCell ref="BV9:BV10"/>
    <mergeCell ref="BY9:BY10"/>
    <mergeCell ref="BZ9:BZ10"/>
    <mergeCell ref="CA9:CA10"/>
    <mergeCell ref="CB9:CB10"/>
    <mergeCell ref="CC9:CC10"/>
    <mergeCell ref="BT9:BT10"/>
    <mergeCell ref="BY19:BY20"/>
    <mergeCell ref="BZ19:BZ20"/>
    <mergeCell ref="K37:K38"/>
    <mergeCell ref="I3:I4"/>
    <mergeCell ref="J3:J4"/>
    <mergeCell ref="H111:H112"/>
    <mergeCell ref="I111:I112"/>
    <mergeCell ref="BE3:BE4"/>
    <mergeCell ref="BF3:BF4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Z3:AF3"/>
    <mergeCell ref="AG3:AM3"/>
    <mergeCell ref="Q6:R6"/>
    <mergeCell ref="Q16:R16"/>
    <mergeCell ref="D111:D112"/>
    <mergeCell ref="E111:E112"/>
    <mergeCell ref="F111:F112"/>
    <mergeCell ref="G111:G112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Q13:R13"/>
    <mergeCell ref="S13:Y13"/>
    <mergeCell ref="AG13:AM13"/>
    <mergeCell ref="B113:B118"/>
    <mergeCell ref="B119:B124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J111:J112"/>
    <mergeCell ref="O111:O112"/>
    <mergeCell ref="K71:K72"/>
    <mergeCell ref="L71:L72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8:R8"/>
    <mergeCell ref="Q9:R9"/>
    <mergeCell ref="G71:G72"/>
    <mergeCell ref="D71:D72"/>
    <mergeCell ref="C71:C72"/>
    <mergeCell ref="B71:B72"/>
    <mergeCell ref="E71:E72"/>
    <mergeCell ref="B70:L70"/>
    <mergeCell ref="F71:F72"/>
    <mergeCell ref="CE9:CE10"/>
    <mergeCell ref="BK8:BQ8"/>
    <mergeCell ref="BR8:BX8"/>
    <mergeCell ref="BY8:CE8"/>
    <mergeCell ref="AP11:AQ16"/>
    <mergeCell ref="AO17:AO22"/>
    <mergeCell ref="AP17:AQ22"/>
    <mergeCell ref="CC19:CC20"/>
    <mergeCell ref="BW9:BW10"/>
    <mergeCell ref="BP9:BP10"/>
    <mergeCell ref="CD9:CD10"/>
    <mergeCell ref="BQ9:BQ10"/>
    <mergeCell ref="BX9:BX10"/>
    <mergeCell ref="AO5:AO10"/>
    <mergeCell ref="AP5:AQ10"/>
    <mergeCell ref="AO11:AO16"/>
    <mergeCell ref="AO23:AO28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CJ1" zoomScale="80" zoomScaleNormal="80" zoomScaleSheetLayoutView="50" workbookViewId="0">
      <selection activeCell="AI21" sqref="AI21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898" t="s">
        <v>137</v>
      </c>
      <c r="C2" s="899"/>
      <c r="D2" s="899"/>
      <c r="E2" s="899"/>
      <c r="F2" s="899"/>
      <c r="G2" s="899"/>
      <c r="H2" s="899"/>
      <c r="I2" s="899"/>
      <c r="J2" s="899"/>
      <c r="K2" s="899"/>
      <c r="L2" s="899"/>
      <c r="M2" s="899"/>
      <c r="N2" s="900"/>
      <c r="P2" s="904" t="s">
        <v>151</v>
      </c>
      <c r="Q2" s="904"/>
      <c r="R2" s="904"/>
      <c r="S2" s="904"/>
      <c r="T2" s="12"/>
      <c r="U2" s="907" t="s">
        <v>498</v>
      </c>
      <c r="V2" s="908"/>
      <c r="W2" s="908"/>
      <c r="X2" s="908"/>
      <c r="Y2" s="908"/>
      <c r="Z2" s="908"/>
      <c r="AA2" s="908"/>
      <c r="AB2" s="908"/>
      <c r="AC2" s="908"/>
      <c r="AD2" s="908"/>
      <c r="AE2" s="908"/>
      <c r="AF2" s="908"/>
      <c r="AG2" s="908"/>
      <c r="AH2" s="908"/>
      <c r="AI2" s="908"/>
      <c r="AJ2" s="908"/>
      <c r="AK2" s="909"/>
      <c r="AL2" s="12"/>
      <c r="AM2" s="901" t="s">
        <v>499</v>
      </c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3"/>
      <c r="BD2" s="12"/>
      <c r="BE2" s="891" t="s">
        <v>363</v>
      </c>
      <c r="BF2" s="892"/>
      <c r="BG2" s="892"/>
      <c r="BH2" s="892"/>
      <c r="BI2" s="892"/>
      <c r="BJ2" s="892"/>
      <c r="BK2" s="893"/>
      <c r="BL2" s="12"/>
      <c r="BM2" s="862" t="s">
        <v>366</v>
      </c>
      <c r="BN2" s="863"/>
      <c r="BO2" s="863"/>
      <c r="BP2" s="863"/>
      <c r="BQ2" s="863"/>
      <c r="BR2" s="863"/>
      <c r="BS2" s="863"/>
      <c r="BT2" s="863"/>
      <c r="BU2" s="864"/>
      <c r="BV2" s="33"/>
      <c r="BW2" s="865" t="s">
        <v>253</v>
      </c>
      <c r="BX2" s="866"/>
      <c r="BY2" s="866"/>
      <c r="BZ2" s="866"/>
      <c r="CA2" s="866"/>
      <c r="CB2" s="866"/>
      <c r="CC2" s="866"/>
      <c r="CD2" s="867"/>
      <c r="CE2" s="12"/>
      <c r="CF2" s="874" t="s">
        <v>284</v>
      </c>
      <c r="CG2" s="875"/>
      <c r="CH2" s="875"/>
      <c r="CI2" s="875"/>
      <c r="CJ2" s="876"/>
      <c r="CK2" s="12"/>
      <c r="CL2" s="109"/>
      <c r="CM2" s="109"/>
      <c r="CN2" s="109"/>
      <c r="CO2" s="109"/>
      <c r="CP2" s="109"/>
      <c r="CQ2" s="109"/>
      <c r="CR2" s="109"/>
      <c r="CS2" s="109"/>
      <c r="CT2" s="109"/>
      <c r="CU2" s="308"/>
      <c r="CV2" s="308"/>
      <c r="CW2" s="308"/>
      <c r="CX2" s="308"/>
      <c r="CY2" s="308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06" t="s">
        <v>5</v>
      </c>
      <c r="C3" s="117" t="s">
        <v>55</v>
      </c>
      <c r="D3" s="307" t="s">
        <v>28</v>
      </c>
      <c r="E3" s="118" t="s">
        <v>135</v>
      </c>
      <c r="F3" s="118" t="s">
        <v>136</v>
      </c>
      <c r="G3" s="118" t="s">
        <v>139</v>
      </c>
      <c r="H3" s="118" t="s">
        <v>138</v>
      </c>
      <c r="I3" s="118" t="s">
        <v>140</v>
      </c>
      <c r="J3" s="118" t="s">
        <v>162</v>
      </c>
      <c r="K3" s="118" t="s">
        <v>141</v>
      </c>
      <c r="L3" s="118" t="s">
        <v>142</v>
      </c>
      <c r="M3" s="118" t="s">
        <v>143</v>
      </c>
      <c r="N3" s="119" t="s">
        <v>144</v>
      </c>
      <c r="P3" s="295" t="s">
        <v>150</v>
      </c>
      <c r="Q3" s="294" t="s">
        <v>147</v>
      </c>
      <c r="R3" s="290" t="s">
        <v>148</v>
      </c>
      <c r="S3" s="294" t="s">
        <v>149</v>
      </c>
      <c r="T3" s="12"/>
      <c r="U3" s="70" t="s">
        <v>5</v>
      </c>
      <c r="V3" s="612" t="s">
        <v>55</v>
      </c>
      <c r="W3" s="612" t="s">
        <v>28</v>
      </c>
      <c r="X3" s="612" t="s">
        <v>152</v>
      </c>
      <c r="Y3" s="612" t="s">
        <v>153</v>
      </c>
      <c r="Z3" s="612" t="s">
        <v>150</v>
      </c>
      <c r="AA3" s="612" t="s">
        <v>145</v>
      </c>
      <c r="AB3" s="612" t="s">
        <v>146</v>
      </c>
      <c r="AC3" s="612" t="s">
        <v>154</v>
      </c>
      <c r="AD3" s="613" t="s">
        <v>171</v>
      </c>
      <c r="AE3" s="612" t="s">
        <v>172</v>
      </c>
      <c r="AF3" s="612" t="s">
        <v>173</v>
      </c>
      <c r="AG3" s="612" t="s">
        <v>174</v>
      </c>
      <c r="AH3" s="614" t="s">
        <v>175</v>
      </c>
      <c r="AI3" s="612" t="s">
        <v>159</v>
      </c>
      <c r="AJ3" s="612" t="s">
        <v>160</v>
      </c>
      <c r="AK3" s="615" t="s">
        <v>161</v>
      </c>
      <c r="AL3" s="12"/>
      <c r="AM3" s="534" t="s">
        <v>5</v>
      </c>
      <c r="AN3" s="536" t="s">
        <v>55</v>
      </c>
      <c r="AO3" s="526" t="s">
        <v>28</v>
      </c>
      <c r="AP3" s="531" t="s">
        <v>69</v>
      </c>
      <c r="AQ3" s="122" t="s">
        <v>160</v>
      </c>
      <c r="AR3" s="292" t="s">
        <v>238</v>
      </c>
      <c r="AS3" s="292" t="s">
        <v>220</v>
      </c>
      <c r="AT3" s="122" t="s">
        <v>230</v>
      </c>
      <c r="AU3" s="123" t="s">
        <v>159</v>
      </c>
      <c r="AV3" s="291" t="s">
        <v>239</v>
      </c>
      <c r="AW3" s="123" t="s">
        <v>228</v>
      </c>
      <c r="AX3" s="291" t="s">
        <v>365</v>
      </c>
      <c r="AY3" s="291" t="s">
        <v>364</v>
      </c>
      <c r="AZ3" s="547" t="s">
        <v>161</v>
      </c>
      <c r="BA3" s="293" t="s">
        <v>240</v>
      </c>
      <c r="BB3" s="547" t="s">
        <v>232</v>
      </c>
      <c r="BC3" s="124" t="s">
        <v>231</v>
      </c>
      <c r="BD3" s="12"/>
      <c r="BE3" s="437" t="s">
        <v>5</v>
      </c>
      <c r="BF3" s="422" t="s">
        <v>56</v>
      </c>
      <c r="BG3" s="422" t="s">
        <v>28</v>
      </c>
      <c r="BH3" s="422" t="s">
        <v>26</v>
      </c>
      <c r="BI3" s="421" t="s">
        <v>69</v>
      </c>
      <c r="BJ3" s="442" t="s">
        <v>264</v>
      </c>
      <c r="BK3" s="443" t="s">
        <v>265</v>
      </c>
      <c r="BL3" s="12"/>
      <c r="BM3" s="870" t="s">
        <v>367</v>
      </c>
      <c r="BN3" s="707"/>
      <c r="BO3" s="336" t="s">
        <v>368</v>
      </c>
      <c r="BP3" s="353">
        <v>6</v>
      </c>
      <c r="BQ3" s="336">
        <v>5</v>
      </c>
      <c r="BR3" s="336">
        <v>4</v>
      </c>
      <c r="BS3" s="336">
        <v>3</v>
      </c>
      <c r="BT3" s="336">
        <v>2</v>
      </c>
      <c r="BU3" s="338">
        <v>1</v>
      </c>
      <c r="BV3" s="12"/>
      <c r="BW3" s="348" t="s">
        <v>20</v>
      </c>
      <c r="BX3" s="392" t="s">
        <v>5</v>
      </c>
      <c r="BY3" s="390">
        <v>6</v>
      </c>
      <c r="BZ3" s="390">
        <v>5</v>
      </c>
      <c r="CA3" s="390">
        <v>4</v>
      </c>
      <c r="CB3" s="390">
        <v>3</v>
      </c>
      <c r="CC3" s="390">
        <v>2</v>
      </c>
      <c r="CD3" s="391">
        <v>1</v>
      </c>
      <c r="CE3" s="12"/>
      <c r="CF3" s="351" t="s">
        <v>5</v>
      </c>
      <c r="CG3" s="341" t="s">
        <v>55</v>
      </c>
      <c r="CH3" s="393" t="s">
        <v>189</v>
      </c>
      <c r="CI3" s="324" t="s">
        <v>190</v>
      </c>
      <c r="CJ3" s="325" t="s">
        <v>191</v>
      </c>
      <c r="CK3" s="12"/>
      <c r="CL3" s="109"/>
      <c r="CM3" s="109"/>
      <c r="CN3" s="109"/>
      <c r="CO3" s="109"/>
      <c r="CP3" s="109"/>
      <c r="CQ3" s="109"/>
      <c r="CR3" s="109"/>
      <c r="CS3" s="109"/>
      <c r="CT3" s="109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88">
        <v>6</v>
      </c>
      <c r="C4" s="328">
        <v>1</v>
      </c>
      <c r="D4" s="418">
        <v>116</v>
      </c>
      <c r="E4" s="125">
        <f>'Structural Information'!$AC$6</f>
        <v>3</v>
      </c>
      <c r="F4" s="342">
        <f>'Structural Information'!$AM$10</f>
        <v>4.5</v>
      </c>
      <c r="G4" s="423">
        <f>'Structural Information'!$AB$19/1000</f>
        <v>0.5</v>
      </c>
      <c r="H4" s="423">
        <f>'Structural Information'!$AB$24/1000</f>
        <v>0.25</v>
      </c>
      <c r="I4" s="126">
        <f>'Structural Information'!$AB$25/1000</f>
        <v>0.25</v>
      </c>
      <c r="J4" s="127">
        <f>I4*(H4^3)/12</f>
        <v>3.2552083333333332E-4</v>
      </c>
      <c r="K4" s="342">
        <f>F4-H4</f>
        <v>4.25</v>
      </c>
      <c r="L4" s="342">
        <f>E4-G4</f>
        <v>2.5</v>
      </c>
      <c r="M4" s="342">
        <f t="shared" ref="M4:M18" si="0">SQRT(K4^2+L4^2)</f>
        <v>4.9307707308290052</v>
      </c>
      <c r="N4" s="345">
        <f>ATAN(L4/K4)</f>
        <v>0.53172406725880561</v>
      </c>
      <c r="P4" s="290" t="s">
        <v>145</v>
      </c>
      <c r="Q4" s="128">
        <v>1.3</v>
      </c>
      <c r="R4" s="128">
        <v>0.70699999999999996</v>
      </c>
      <c r="S4" s="128">
        <v>0.47</v>
      </c>
      <c r="T4" s="12"/>
      <c r="U4" s="888">
        <v>6</v>
      </c>
      <c r="V4" s="598">
        <v>1</v>
      </c>
      <c r="W4" s="598">
        <v>116</v>
      </c>
      <c r="X4" s="604">
        <f>1/((((COS(N4))^4)/'Structural Information'!$AR$30)+(((SIN(N4))^4)/'Structural Information'!$AR$31)+(((SIN(N4))^2)*((COS(N4))^2)*((1/'Structural Information'!$AR$32)-(2*'Structural Information'!$AV$32/'Structural Information'!$AR$31))))</f>
        <v>1492.8812750676027</v>
      </c>
      <c r="Y4" s="604">
        <f>((X4*('Structural Information'!$AV$30/1000)*SIN(2*N4))/(4*'Structural Information'!$AR$33*J4*L4))^(1/4)</f>
        <v>1.5504857878772818</v>
      </c>
      <c r="Z4" s="604">
        <f t="shared" ref="Z4:Z33" si="1">Y4*E4</f>
        <v>4.6514573636318453</v>
      </c>
      <c r="AA4" s="115">
        <f>IF(Z4&lt;3.14,$Q$4,0)+IF(Z4&gt;3.14,1,0)*IF(Z4&lt;7.85,$R$4,0)+IF(Z4&gt;7.85,$S$4,0)</f>
        <v>0.70699999999999996</v>
      </c>
      <c r="AB4" s="115">
        <f>IF(Z4&lt;3.14,$Q$5,0)+IF(Z4&gt;3.14,1,0)*IF(Z4&lt;7.85,$R$5,0)+IF(Z4&gt;7.85,$S$5,0)</f>
        <v>0.01</v>
      </c>
      <c r="AC4" s="604">
        <f>((AA4/Z4)+AB4)*M4</f>
        <v>0.79876204692072605</v>
      </c>
      <c r="AD4" s="125">
        <f>((0.6*'Structural Information'!$AT$30)+(0.3*'Structural Information'!$AV$31))/(AC4/M4)</f>
        <v>1.3333714113794979</v>
      </c>
      <c r="AE4" s="604">
        <f>(((1.2*SIN(N4)+0.45*COS(N4))*'Structural Information'!$AT$31)+(0.3*'Structural Information'!$AV$31))/(AC4/M4)</f>
        <v>1.8450425952026535</v>
      </c>
      <c r="AF4" s="604">
        <f>(1.12*'Structural Information'!$AT$32*COS(N4)*SIN(N4))/((AA4*(Z4^(-0.12)))+(AB4*(Z4^(0.88))))</f>
        <v>2.7418487136841865</v>
      </c>
      <c r="AG4" s="604">
        <f>(1.16*'Structural Information'!$AT$32*TAN(N4))/((AA4)+(AB4*Z4))</f>
        <v>3.1785169223354388</v>
      </c>
      <c r="AH4" s="126">
        <f>MIN(AD4:AG4)</f>
        <v>1.3333714113794979</v>
      </c>
      <c r="AI4" s="604">
        <f>AH4*AC4*'Structural Information'!$AV$30</f>
        <v>319.51394335771954</v>
      </c>
      <c r="AJ4" s="604">
        <f t="shared" ref="AJ4:AJ18" si="2">0.8*AI4</f>
        <v>255.61115468617564</v>
      </c>
      <c r="AK4" s="601">
        <f t="shared" ref="AK4:AK18" si="3">0.1*AI4</f>
        <v>31.951394335771955</v>
      </c>
      <c r="AL4" s="12"/>
      <c r="AM4" s="888">
        <v>6</v>
      </c>
      <c r="AN4" s="529">
        <v>1</v>
      </c>
      <c r="AO4" s="527">
        <v>106</v>
      </c>
      <c r="AP4" s="125">
        <f>'Structural Information'!$AC$6</f>
        <v>3</v>
      </c>
      <c r="AQ4" s="125">
        <f t="shared" ref="AQ4:AQ33" si="4">AJ4</f>
        <v>255.61115468617564</v>
      </c>
      <c r="AR4" s="45">
        <f t="shared" ref="AR4:AR18" si="5">0.08/100</f>
        <v>8.0000000000000004E-4</v>
      </c>
      <c r="AS4" s="537">
        <f t="shared" ref="AS4:AS33" si="6">AQ4/(AR4*(SQRT((F4^2)+(E4^2))))</f>
        <v>59078.149025741252</v>
      </c>
      <c r="AT4" s="144">
        <f t="shared" ref="AT4:AT33" si="7">AS4*((COS(N4))^2)</f>
        <v>43890.964186219077</v>
      </c>
      <c r="AU4" s="125">
        <f t="shared" ref="AU4:AU33" si="8">AI4</f>
        <v>319.51394335771954</v>
      </c>
      <c r="AV4" s="45">
        <f t="shared" ref="AV4:AV18" si="9">0.22/100</f>
        <v>2.2000000000000001E-3</v>
      </c>
      <c r="AW4" s="537">
        <f t="shared" ref="AW4:AW33" si="10">AU4/(AV4*(SQRT((F4^2)+(E4^2))))</f>
        <v>26853.704102609659</v>
      </c>
      <c r="AX4" s="87">
        <f t="shared" ref="AX4:AX33" si="11">(AU4-AQ4)/((AV4-AR4)*(SQRT((F4^2)+(E4^2))))</f>
        <v>8439.7355751058913</v>
      </c>
      <c r="AY4" s="144">
        <f>AX4*((COS(N4))^2)</f>
        <v>6270.1377408884373</v>
      </c>
      <c r="AZ4" s="538">
        <f t="shared" ref="AZ4:AZ33" si="12">AK4</f>
        <v>31.951394335771955</v>
      </c>
      <c r="BA4" s="51">
        <f t="shared" ref="BA4:BA18" si="13">0.89/100</f>
        <v>8.8999999999999999E-3</v>
      </c>
      <c r="BB4" s="538">
        <f>((AZ4*COS(N4))-(AU4*COS(N4)))/((BA4-AV4)*AP4)</f>
        <v>-12331.343283582089</v>
      </c>
      <c r="BC4" s="542">
        <f>BB4*((COS(N4))^2)</f>
        <v>-9161.3321566972318</v>
      </c>
      <c r="BD4" s="12"/>
      <c r="BE4" s="888">
        <v>6</v>
      </c>
      <c r="BF4" s="417">
        <v>1</v>
      </c>
      <c r="BG4" s="418">
        <v>7116</v>
      </c>
      <c r="BH4" s="418" t="s">
        <v>23</v>
      </c>
      <c r="BI4" s="423">
        <f>'Structural Information'!$AC$6</f>
        <v>3</v>
      </c>
      <c r="BJ4" s="125">
        <f>(Ascol1)*(200)/$BI4</f>
        <v>53616.514621265807</v>
      </c>
      <c r="BK4" s="426">
        <f>Hcol1*Wcol1*(4700*SQRT(Fck))/(hstr6*1000)</f>
        <v>433495.56258141535</v>
      </c>
      <c r="BL4" s="12"/>
      <c r="BM4" s="387" t="s">
        <v>369</v>
      </c>
      <c r="BN4" s="327" t="s">
        <v>370</v>
      </c>
      <c r="BO4" s="327" t="s">
        <v>371</v>
      </c>
      <c r="BP4" s="386">
        <f>'Structural Information'!AC6</f>
        <v>3</v>
      </c>
      <c r="BQ4" s="384">
        <f>'Structural Information'!AC7</f>
        <v>3</v>
      </c>
      <c r="BR4" s="384">
        <f>'Structural Information'!AC8</f>
        <v>3</v>
      </c>
      <c r="BS4" s="384">
        <f>'Structural Information'!AC9</f>
        <v>3</v>
      </c>
      <c r="BT4" s="384">
        <f>'Structural Information'!AC10</f>
        <v>3</v>
      </c>
      <c r="BU4" s="385">
        <f>'Structural Information'!AC11</f>
        <v>2.75</v>
      </c>
      <c r="BV4" s="12"/>
      <c r="BW4" s="881">
        <v>1</v>
      </c>
      <c r="BX4" s="315" t="s">
        <v>23</v>
      </c>
      <c r="BY4" s="150">
        <f>(BP5*BP5)/$BK$4</f>
        <v>1.0252571947861007E-6</v>
      </c>
      <c r="BZ4" s="150">
        <f>(BQ5*BQ5)/$BK$10</f>
        <v>1.0252571947861007E-6</v>
      </c>
      <c r="CA4" s="150">
        <f>(BR5*BR5)/$BK$16</f>
        <v>1.0252571947861007E-6</v>
      </c>
      <c r="CB4" s="150">
        <f>(BS5*BS5)/$BK$22</f>
        <v>1.0252571947861007E-6</v>
      </c>
      <c r="CC4" s="150">
        <f>((BT5*BT5)/$BK$28)</f>
        <v>1.0252571947861007E-6</v>
      </c>
      <c r="CD4" s="151">
        <f>(BU5*BU5)/$BK$34</f>
        <v>5.4840909780908416E-7</v>
      </c>
      <c r="CE4" s="12"/>
      <c r="CF4" s="868">
        <v>6</v>
      </c>
      <c r="CG4" s="394">
        <v>1</v>
      </c>
      <c r="CH4" s="871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114279.16818422273</v>
      </c>
      <c r="CI4" s="871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22428.420960596442</v>
      </c>
      <c r="CJ4" s="877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-33593.713205269407</v>
      </c>
      <c r="CK4" s="12"/>
      <c r="CL4" s="109"/>
      <c r="CM4" s="109"/>
      <c r="CN4" s="109"/>
      <c r="CO4" s="109"/>
      <c r="CP4" s="109"/>
      <c r="CQ4" s="109"/>
      <c r="CR4" s="109"/>
      <c r="CS4" s="109"/>
      <c r="CT4" s="109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86"/>
      <c r="C5" s="330">
        <v>2</v>
      </c>
      <c r="D5" s="418">
        <v>216</v>
      </c>
      <c r="E5" s="358">
        <f>'Structural Information'!$AC$6</f>
        <v>3</v>
      </c>
      <c r="F5" s="343">
        <f>'Structural Information'!$AM$9</f>
        <v>2</v>
      </c>
      <c r="G5" s="424">
        <f>'Structural Information'!$AB$19/1000</f>
        <v>0.5</v>
      </c>
      <c r="H5" s="424">
        <f>'Structural Information'!$AB$24/1000</f>
        <v>0.25</v>
      </c>
      <c r="I5" s="429">
        <f>'Structural Information'!$AB$25/1000</f>
        <v>0.25</v>
      </c>
      <c r="J5" s="135">
        <f t="shared" ref="J5:J18" si="14">I5*(H5^3)/12</f>
        <v>3.2552083333333332E-4</v>
      </c>
      <c r="K5" s="343">
        <f t="shared" ref="K5:K6" si="15">F5-H5</f>
        <v>1.75</v>
      </c>
      <c r="L5" s="343">
        <f t="shared" ref="L5:L6" si="16">E5-G5</f>
        <v>2.5</v>
      </c>
      <c r="M5" s="343">
        <f t="shared" si="0"/>
        <v>3.0516389039334255</v>
      </c>
      <c r="N5" s="346">
        <f t="shared" ref="N5:N6" si="17">ATAN(L5/K5)</f>
        <v>0.96007036240568799</v>
      </c>
      <c r="P5" s="290" t="s">
        <v>146</v>
      </c>
      <c r="Q5" s="128">
        <v>-0.17799999999999999</v>
      </c>
      <c r="R5" s="128">
        <v>0.01</v>
      </c>
      <c r="S5" s="128">
        <v>0.04</v>
      </c>
      <c r="T5" s="12"/>
      <c r="U5" s="886"/>
      <c r="V5" s="597">
        <v>2</v>
      </c>
      <c r="W5" s="597">
        <v>216</v>
      </c>
      <c r="X5" s="605">
        <f>1/((((COS(N5))^4)/'Structural Information'!$AR$30)+(((SIN(N5))^4)/'Structural Information'!$AR$31)+(((SIN(N5))^2)*((COS(N5))^2)*((1/'Structural Information'!$AR$32)-(2*'Structural Information'!$AV$32/'Structural Information'!$AR$31))))</f>
        <v>2596.9081693069729</v>
      </c>
      <c r="Y5" s="605">
        <f>((X5*('Structural Information'!$AV$30/1000)*SIN(2*N5))/(4*'Structural Information'!$AR$33*J5*L5))^(1/4)</f>
        <v>1.8131291203134809</v>
      </c>
      <c r="Z5" s="605">
        <f t="shared" si="1"/>
        <v>5.4393873609404428</v>
      </c>
      <c r="AA5" s="112">
        <f t="shared" ref="AA5:AA18" si="18">IF(Z5&lt;3.14,$Q$4,0)+IF(Z5&gt;3.14,1,0)*IF(Z5&lt;7.85,$R$4,0)+IF(Z5&gt;7.85,$S$4,0)</f>
        <v>0.70699999999999996</v>
      </c>
      <c r="AB5" s="112">
        <f t="shared" ref="AB5:AB18" si="19">IF(Z5&lt;3.14,$Q$5,0)+IF(Z5&gt;3.14,1,0)*IF(Z5&lt;7.85,$R$5,0)+IF(Z5&gt;7.85,$S$5,0)</f>
        <v>0.01</v>
      </c>
      <c r="AC5" s="605">
        <f t="shared" ref="AC5:AC33" si="20">((AA5/Z5)+AB5)*M5</f>
        <v>0.42716192316211632</v>
      </c>
      <c r="AD5" s="609">
        <f>((0.6*'Structural Information'!$AT$30)+(0.3*'Structural Information'!$AV$31))/(AC5/M5)</f>
        <v>1.5431010291604526</v>
      </c>
      <c r="AE5" s="605">
        <f>(((1.2*SIN(N5)+0.45*COS(N5))*'Structural Information'!$AT$31)+(0.3*'Structural Information'!$AV$31))/(AC5/M5)</f>
        <v>2.6599983247307617</v>
      </c>
      <c r="AF5" s="605">
        <f>(1.12*'Structural Information'!$AT$32*COS(N5)*SIN(N5))/((AA5*(Z5^(-0.12)))+(AB5*(Z5^(0.88))))</f>
        <v>2.9723060894510924</v>
      </c>
      <c r="AG5" s="605">
        <f>(1.16*'Structural Information'!$AT$32*TAN(N5))/((AA5)+(AB5*Z5))</f>
        <v>7.6393725116250852</v>
      </c>
      <c r="AH5" s="610">
        <f t="shared" ref="AH5:AH18" si="21">MIN(AD5:AG5)</f>
        <v>1.5431010291604526</v>
      </c>
      <c r="AI5" s="605">
        <f>AH5*AC5*'Structural Information'!$AV$30</f>
        <v>197.74620097488594</v>
      </c>
      <c r="AJ5" s="605">
        <f t="shared" si="2"/>
        <v>158.19696077990875</v>
      </c>
      <c r="AK5" s="602">
        <f t="shared" si="3"/>
        <v>19.774620097488594</v>
      </c>
      <c r="AL5" s="12"/>
      <c r="AM5" s="886"/>
      <c r="AN5" s="527">
        <v>2</v>
      </c>
      <c r="AO5" s="527">
        <v>206</v>
      </c>
      <c r="AP5" s="548">
        <f>'Structural Information'!$AC$6</f>
        <v>3</v>
      </c>
      <c r="AQ5" s="548">
        <f t="shared" si="4"/>
        <v>158.19696077990875</v>
      </c>
      <c r="AR5" s="51">
        <f t="shared" si="5"/>
        <v>8.0000000000000004E-4</v>
      </c>
      <c r="AS5" s="538">
        <f t="shared" si="6"/>
        <v>54844.92824178141</v>
      </c>
      <c r="AT5" s="130">
        <f t="shared" si="7"/>
        <v>18036.251569444896</v>
      </c>
      <c r="AU5" s="548">
        <f t="shared" si="8"/>
        <v>197.74620097488594</v>
      </c>
      <c r="AV5" s="51">
        <f t="shared" si="9"/>
        <v>2.2000000000000001E-3</v>
      </c>
      <c r="AW5" s="538">
        <f t="shared" si="10"/>
        <v>24929.512837173366</v>
      </c>
      <c r="AX5" s="92">
        <f t="shared" si="11"/>
        <v>7834.9897488259148</v>
      </c>
      <c r="AY5" s="130">
        <f t="shared" ref="AY5:AY33" si="22">AX5*((COS(N5))^2)</f>
        <v>2576.607367063556</v>
      </c>
      <c r="AZ5" s="538">
        <f t="shared" si="12"/>
        <v>19.774620097488594</v>
      </c>
      <c r="BA5" s="51">
        <f t="shared" si="13"/>
        <v>8.8999999999999999E-3</v>
      </c>
      <c r="BB5" s="538">
        <f t="shared" ref="BB5:BB33" si="23">((AZ5*COS(N5))-(AU5*COS(N5)))/((BA5-AV5)*AP5)</f>
        <v>-5077.6119402985059</v>
      </c>
      <c r="BC5" s="542">
        <f t="shared" ref="BC5:BC33" si="24">BB5*((COS(N5))^2)</f>
        <v>-1669.8186917760188</v>
      </c>
      <c r="BD5" s="12"/>
      <c r="BE5" s="886"/>
      <c r="BF5" s="418">
        <v>2</v>
      </c>
      <c r="BG5" s="418">
        <v>7216</v>
      </c>
      <c r="BH5" s="418" t="s">
        <v>23</v>
      </c>
      <c r="BI5" s="424">
        <f>'Structural Information'!$AC$6</f>
        <v>3</v>
      </c>
      <c r="BJ5" s="428">
        <f>('Structural Information'!$AF$25)*(200)/$BI5</f>
        <v>53616.514621265807</v>
      </c>
      <c r="BK5" s="438">
        <f t="shared" ref="BK5:BK9" si="25">Hcol1*Wcol1*(4700*SQRT(Fck))/(hstr6*1000)</f>
        <v>433495.56258141535</v>
      </c>
      <c r="BL5" s="12"/>
      <c r="BM5" s="913">
        <v>1</v>
      </c>
      <c r="BN5" s="137">
        <v>1</v>
      </c>
      <c r="BO5" s="138">
        <f>'Structural Information'!$AM$10</f>
        <v>4.5</v>
      </c>
      <c r="BP5" s="445">
        <f t="shared" ref="BP5:BR5" si="26">(BP$4/$BO5)</f>
        <v>0.66666666666666663</v>
      </c>
      <c r="BQ5" s="445">
        <f t="shared" si="26"/>
        <v>0.66666666666666663</v>
      </c>
      <c r="BR5" s="445">
        <f t="shared" si="26"/>
        <v>0.66666666666666663</v>
      </c>
      <c r="BS5" s="343">
        <f>(BS$4/$BO5)</f>
        <v>0.66666666666666663</v>
      </c>
      <c r="BT5" s="343">
        <f t="shared" ref="BP5:BU14" si="27">(BT$4/$BO5)</f>
        <v>0.66666666666666663</v>
      </c>
      <c r="BU5" s="346">
        <f t="shared" si="27"/>
        <v>0.61111111111111116</v>
      </c>
      <c r="BV5" s="12"/>
      <c r="BW5" s="880"/>
      <c r="BX5" s="316" t="s">
        <v>246</v>
      </c>
      <c r="BY5" s="133">
        <f>1/($AT$4)</f>
        <v>2.278373279195313E-5</v>
      </c>
      <c r="BZ5" s="133">
        <f>1/($AT$9)</f>
        <v>2.278373279195313E-5</v>
      </c>
      <c r="CA5" s="133">
        <f>1/($AT$14)</f>
        <v>2.278373279195313E-5</v>
      </c>
      <c r="CB5" s="133">
        <f>1/($AT$19)</f>
        <v>2.278373279195313E-5</v>
      </c>
      <c r="CC5" s="133">
        <f>1/($AT$24)</f>
        <v>2.278373279195313E-5</v>
      </c>
      <c r="CD5" s="134">
        <f>1/($AT$29)</f>
        <v>2.1982813209515501E-5</v>
      </c>
      <c r="CE5" s="12"/>
      <c r="CF5" s="869"/>
      <c r="CG5" s="395">
        <v>2</v>
      </c>
      <c r="CH5" s="872"/>
      <c r="CI5" s="872"/>
      <c r="CJ5" s="878"/>
      <c r="CK5" s="12"/>
      <c r="CL5" s="109"/>
      <c r="CM5" s="109"/>
      <c r="CN5" s="109"/>
      <c r="CO5" s="109"/>
      <c r="CP5" s="109"/>
      <c r="CQ5" s="109"/>
      <c r="CR5" s="109"/>
      <c r="CS5" s="109"/>
      <c r="CT5" s="109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86"/>
      <c r="C6" s="330">
        <v>3</v>
      </c>
      <c r="D6" s="418">
        <v>316</v>
      </c>
      <c r="E6" s="428">
        <f>'Structural Information'!$AC$6</f>
        <v>3</v>
      </c>
      <c r="F6" s="343">
        <f>'Structural Information'!$AM$8</f>
        <v>4.5</v>
      </c>
      <c r="G6" s="424">
        <f>'Structural Information'!$AB$19/1000</f>
        <v>0.5</v>
      </c>
      <c r="H6" s="424">
        <f>'Structural Information'!$AB$24/1000</f>
        <v>0.25</v>
      </c>
      <c r="I6" s="429">
        <f>'Structural Information'!$AB$25/1000</f>
        <v>0.25</v>
      </c>
      <c r="J6" s="135">
        <f t="shared" si="14"/>
        <v>3.2552083333333332E-4</v>
      </c>
      <c r="K6" s="343">
        <f t="shared" si="15"/>
        <v>4.25</v>
      </c>
      <c r="L6" s="343">
        <f t="shared" si="16"/>
        <v>2.5</v>
      </c>
      <c r="M6" s="343">
        <f t="shared" si="0"/>
        <v>4.9307707308290052</v>
      </c>
      <c r="N6" s="346">
        <f t="shared" si="17"/>
        <v>0.53172406725880561</v>
      </c>
      <c r="T6" s="12"/>
      <c r="U6" s="886"/>
      <c r="V6" s="597">
        <v>3</v>
      </c>
      <c r="W6" s="597">
        <v>316</v>
      </c>
      <c r="X6" s="605">
        <f>1/((((COS(N6))^4)/'Structural Information'!$AR$30)+(((SIN(N6))^4)/'Structural Information'!$AR$31)+(((SIN(N6))^2)*((COS(N6))^2)*((1/'Structural Information'!$AR$32)-(2*'Structural Information'!$AV$32/'Structural Information'!$AR$31))))</f>
        <v>1492.8812750676027</v>
      </c>
      <c r="Y6" s="605">
        <f>((X6*('Structural Information'!$AV$30/1000)*SIN(2*N6))/(4*'Structural Information'!$AR$33*J6*L6))^(1/4)</f>
        <v>1.5504857878772818</v>
      </c>
      <c r="Z6" s="605">
        <f t="shared" si="1"/>
        <v>4.6514573636318453</v>
      </c>
      <c r="AA6" s="112">
        <f t="shared" si="18"/>
        <v>0.70699999999999996</v>
      </c>
      <c r="AB6" s="112">
        <f t="shared" si="19"/>
        <v>0.01</v>
      </c>
      <c r="AC6" s="605">
        <f t="shared" si="20"/>
        <v>0.79876204692072605</v>
      </c>
      <c r="AD6" s="609">
        <f>((0.6*'Structural Information'!$AT$30)+(0.3*'Structural Information'!$AV$31))/(AC6/M6)</f>
        <v>1.3333714113794979</v>
      </c>
      <c r="AE6" s="605">
        <f>(((1.2*SIN(N6)+0.45*COS(N6))*'Structural Information'!$AT$31)+(0.3*'Structural Information'!$AV$31))/(AC6/M6)</f>
        <v>1.8450425952026535</v>
      </c>
      <c r="AF6" s="605">
        <f>(1.12*'Structural Information'!$AT$32*COS(N6)*SIN(N6))/((AA6*(Z6^(-0.12)))+(AB6*(Z6^(0.88))))</f>
        <v>2.7418487136841865</v>
      </c>
      <c r="AG6" s="605">
        <f>(1.16*'Structural Information'!$AT$32*TAN(N6))/((AA6)+(AB6*Z6))</f>
        <v>3.1785169223354388</v>
      </c>
      <c r="AH6" s="610">
        <f t="shared" si="21"/>
        <v>1.3333714113794979</v>
      </c>
      <c r="AI6" s="605">
        <f>AH6*AC6*'Structural Information'!$AV$30</f>
        <v>319.51394335771954</v>
      </c>
      <c r="AJ6" s="605">
        <f t="shared" si="2"/>
        <v>255.61115468617564</v>
      </c>
      <c r="AK6" s="602">
        <f t="shared" si="3"/>
        <v>31.951394335771955</v>
      </c>
      <c r="AL6" s="12"/>
      <c r="AM6" s="886"/>
      <c r="AN6" s="527">
        <v>3</v>
      </c>
      <c r="AO6" s="527">
        <v>306</v>
      </c>
      <c r="AP6" s="548">
        <f>'Structural Information'!$AC$6</f>
        <v>3</v>
      </c>
      <c r="AQ6" s="548">
        <f t="shared" si="4"/>
        <v>255.61115468617564</v>
      </c>
      <c r="AR6" s="51">
        <f t="shared" si="5"/>
        <v>8.0000000000000004E-4</v>
      </c>
      <c r="AS6" s="538">
        <f t="shared" si="6"/>
        <v>59078.149025741252</v>
      </c>
      <c r="AT6" s="130">
        <f t="shared" si="7"/>
        <v>43890.964186219077</v>
      </c>
      <c r="AU6" s="548">
        <f t="shared" si="8"/>
        <v>319.51394335771954</v>
      </c>
      <c r="AV6" s="51">
        <f t="shared" si="9"/>
        <v>2.2000000000000001E-3</v>
      </c>
      <c r="AW6" s="538">
        <f t="shared" si="10"/>
        <v>26853.704102609659</v>
      </c>
      <c r="AX6" s="92">
        <f t="shared" si="11"/>
        <v>8439.7355751058913</v>
      </c>
      <c r="AY6" s="130">
        <f t="shared" si="22"/>
        <v>6270.1377408884373</v>
      </c>
      <c r="AZ6" s="538">
        <f t="shared" si="12"/>
        <v>31.951394335771955</v>
      </c>
      <c r="BA6" s="51">
        <f t="shared" si="13"/>
        <v>8.8999999999999999E-3</v>
      </c>
      <c r="BB6" s="538">
        <f t="shared" si="23"/>
        <v>-12331.343283582089</v>
      </c>
      <c r="BC6" s="542">
        <f t="shared" si="24"/>
        <v>-9161.3321566972318</v>
      </c>
      <c r="BD6" s="12"/>
      <c r="BE6" s="886"/>
      <c r="BF6" s="418">
        <v>3</v>
      </c>
      <c r="BG6" s="418">
        <v>7316</v>
      </c>
      <c r="BH6" s="418" t="s">
        <v>23</v>
      </c>
      <c r="BI6" s="424">
        <f>'Structural Information'!$AC$6</f>
        <v>3</v>
      </c>
      <c r="BJ6" s="428">
        <f>('Structural Information'!$AF$25)*(200)/$BI6</f>
        <v>53616.514621265807</v>
      </c>
      <c r="BK6" s="438">
        <f t="shared" si="25"/>
        <v>433495.56258141535</v>
      </c>
      <c r="BL6" s="12"/>
      <c r="BM6" s="913"/>
      <c r="BN6" s="337" t="s">
        <v>372</v>
      </c>
      <c r="BO6" s="313">
        <f>'Structural Information'!$AM$10</f>
        <v>4.5</v>
      </c>
      <c r="BP6" s="445">
        <f>(BP$4/$BO6)</f>
        <v>0.66666666666666663</v>
      </c>
      <c r="BQ6" s="445">
        <f t="shared" si="27"/>
        <v>0.66666666666666663</v>
      </c>
      <c r="BR6" s="445">
        <f t="shared" si="27"/>
        <v>0.66666666666666663</v>
      </c>
      <c r="BS6" s="343">
        <f t="shared" si="27"/>
        <v>0.66666666666666663</v>
      </c>
      <c r="BT6" s="343">
        <f t="shared" si="27"/>
        <v>0.66666666666666663</v>
      </c>
      <c r="BU6" s="346">
        <f t="shared" si="27"/>
        <v>0.61111111111111116</v>
      </c>
      <c r="BV6" s="12"/>
      <c r="BW6" s="880"/>
      <c r="BX6" s="317" t="s">
        <v>246</v>
      </c>
      <c r="BY6" s="133">
        <f>1/($AY$4)</f>
        <v>1.5948612954367196E-4</v>
      </c>
      <c r="BZ6" s="133">
        <f>1/($AY$9)</f>
        <v>1.5948612954367196E-4</v>
      </c>
      <c r="CA6" s="133">
        <f>1/($AY$14)</f>
        <v>1.5948612954367196E-4</v>
      </c>
      <c r="CB6" s="133">
        <f>1/($AY$19)</f>
        <v>1.5948612954367196E-4</v>
      </c>
      <c r="CC6" s="133">
        <f>1/($AY$24)</f>
        <v>1.5948612954367196E-4</v>
      </c>
      <c r="CD6" s="134">
        <f>1/($AY$29)</f>
        <v>1.538796924666086E-4</v>
      </c>
      <c r="CE6" s="12"/>
      <c r="CF6" s="869"/>
      <c r="CG6" s="395">
        <v>3</v>
      </c>
      <c r="CH6" s="872"/>
      <c r="CI6" s="872"/>
      <c r="CJ6" s="878"/>
      <c r="CK6" s="12"/>
      <c r="CL6" s="109"/>
      <c r="CM6" s="109"/>
      <c r="CN6" s="109"/>
      <c r="CO6" s="109"/>
      <c r="CP6" s="109"/>
      <c r="CQ6" s="109"/>
      <c r="CR6" s="109"/>
      <c r="CS6" s="109"/>
      <c r="CT6" s="109"/>
      <c r="CU6" s="12"/>
      <c r="CV6" s="12"/>
      <c r="CW6" s="12"/>
      <c r="CX6" s="12"/>
      <c r="CY6" s="12"/>
      <c r="CZ6" s="12"/>
      <c r="DA6" s="53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86"/>
      <c r="C7" s="330">
        <v>4</v>
      </c>
      <c r="D7" s="418">
        <v>416</v>
      </c>
      <c r="E7" s="428">
        <f>'Structural Information'!$AC$6</f>
        <v>3</v>
      </c>
      <c r="F7" s="343">
        <f>'Structural Information'!$AM$7</f>
        <v>2</v>
      </c>
      <c r="G7" s="424">
        <f>'Structural Information'!$AB$19/1000</f>
        <v>0.5</v>
      </c>
      <c r="H7" s="424">
        <f>'Structural Information'!$AB$24/1000</f>
        <v>0.25</v>
      </c>
      <c r="I7" s="429">
        <f>'Structural Information'!$AB$25/1000</f>
        <v>0.25</v>
      </c>
      <c r="J7" s="135">
        <f t="shared" si="14"/>
        <v>3.2552083333333332E-4</v>
      </c>
      <c r="K7" s="343">
        <f>F7-H7</f>
        <v>1.75</v>
      </c>
      <c r="L7" s="343">
        <f>E7-G7</f>
        <v>2.5</v>
      </c>
      <c r="M7" s="343">
        <f t="shared" si="0"/>
        <v>3.0516389039334255</v>
      </c>
      <c r="N7" s="346">
        <f>ATAN(L7/K7)</f>
        <v>0.96007036240568799</v>
      </c>
      <c r="P7" s="905" t="s">
        <v>170</v>
      </c>
      <c r="Q7" s="905"/>
      <c r="R7" s="905"/>
      <c r="S7" s="905"/>
      <c r="T7" s="12"/>
      <c r="U7" s="886"/>
      <c r="V7" s="597">
        <v>4</v>
      </c>
      <c r="W7" s="597">
        <v>416</v>
      </c>
      <c r="X7" s="605">
        <f>1/((((COS(N7))^4)/'Structural Information'!$AR$30)+(((SIN(N7))^4)/'Structural Information'!$AR$31)+(((SIN(N7))^2)*((COS(N7))^2)*((1/'Structural Information'!$AR$32)-(2*'Structural Information'!$AV$32/'Structural Information'!$AR$31))))</f>
        <v>2596.9081693069729</v>
      </c>
      <c r="Y7" s="605">
        <f>((X7*('Structural Information'!$AV$30/1000)*SIN(2*N7))/(4*'Structural Information'!$AR$33*J7*L7))^(1/4)</f>
        <v>1.8131291203134809</v>
      </c>
      <c r="Z7" s="605">
        <f t="shared" si="1"/>
        <v>5.4393873609404428</v>
      </c>
      <c r="AA7" s="112">
        <f t="shared" si="18"/>
        <v>0.70699999999999996</v>
      </c>
      <c r="AB7" s="112">
        <f t="shared" si="19"/>
        <v>0.01</v>
      </c>
      <c r="AC7" s="605">
        <f t="shared" si="20"/>
        <v>0.42716192316211632</v>
      </c>
      <c r="AD7" s="609">
        <f>((0.6*'Structural Information'!$AT$30)+(0.3*'Structural Information'!$AV$31))/(AC7/M7)</f>
        <v>1.5431010291604526</v>
      </c>
      <c r="AE7" s="605">
        <f>(((1.2*SIN(N7)+0.45*COS(N7))*'Structural Information'!$AT$31)+(0.3*'Structural Information'!$AV$31))/(AC7/M7)</f>
        <v>2.6599983247307617</v>
      </c>
      <c r="AF7" s="605">
        <f>(1.12*'Structural Information'!$AT$32*COS(N7)*SIN(N7))/((AA7*(Z7^(-0.12)))+(AB7*(Z7^(0.88))))</f>
        <v>2.9723060894510924</v>
      </c>
      <c r="AG7" s="605">
        <f>(1.16*'Structural Information'!$AT$32*TAN(N7))/((AA7)+(AB7*Z7))</f>
        <v>7.6393725116250852</v>
      </c>
      <c r="AH7" s="610">
        <f t="shared" si="21"/>
        <v>1.5431010291604526</v>
      </c>
      <c r="AI7" s="605">
        <f>AH7*AC7*'Structural Information'!$AV$30</f>
        <v>197.74620097488594</v>
      </c>
      <c r="AJ7" s="605">
        <f t="shared" si="2"/>
        <v>158.19696077990875</v>
      </c>
      <c r="AK7" s="602">
        <f t="shared" si="3"/>
        <v>19.774620097488594</v>
      </c>
      <c r="AL7" s="12"/>
      <c r="AM7" s="886"/>
      <c r="AN7" s="527">
        <v>4</v>
      </c>
      <c r="AO7" s="527">
        <v>406</v>
      </c>
      <c r="AP7" s="548">
        <f>'Structural Information'!$AC$6</f>
        <v>3</v>
      </c>
      <c r="AQ7" s="548">
        <f t="shared" si="4"/>
        <v>158.19696077990875</v>
      </c>
      <c r="AR7" s="51">
        <f t="shared" si="5"/>
        <v>8.0000000000000004E-4</v>
      </c>
      <c r="AS7" s="538">
        <f t="shared" si="6"/>
        <v>54844.92824178141</v>
      </c>
      <c r="AT7" s="130">
        <f t="shared" si="7"/>
        <v>18036.251569444896</v>
      </c>
      <c r="AU7" s="548">
        <f t="shared" si="8"/>
        <v>197.74620097488594</v>
      </c>
      <c r="AV7" s="51">
        <f t="shared" si="9"/>
        <v>2.2000000000000001E-3</v>
      </c>
      <c r="AW7" s="538">
        <f t="shared" si="10"/>
        <v>24929.512837173366</v>
      </c>
      <c r="AX7" s="92">
        <f t="shared" si="11"/>
        <v>7834.9897488259148</v>
      </c>
      <c r="AY7" s="130">
        <f t="shared" si="22"/>
        <v>2576.607367063556</v>
      </c>
      <c r="AZ7" s="538">
        <f t="shared" si="12"/>
        <v>19.774620097488594</v>
      </c>
      <c r="BA7" s="51">
        <f t="shared" si="13"/>
        <v>8.8999999999999999E-3</v>
      </c>
      <c r="BB7" s="538">
        <f t="shared" si="23"/>
        <v>-5077.6119402985059</v>
      </c>
      <c r="BC7" s="542">
        <f t="shared" si="24"/>
        <v>-1669.8186917760188</v>
      </c>
      <c r="BD7" s="12"/>
      <c r="BE7" s="886"/>
      <c r="BF7" s="418">
        <v>4</v>
      </c>
      <c r="BG7" s="418">
        <v>7416</v>
      </c>
      <c r="BH7" s="418" t="s">
        <v>23</v>
      </c>
      <c r="BI7" s="424">
        <f>'Structural Information'!$AC$6</f>
        <v>3</v>
      </c>
      <c r="BJ7" s="428">
        <f>('Structural Information'!$AF$25)*(200)/$BI7</f>
        <v>53616.514621265807</v>
      </c>
      <c r="BK7" s="438">
        <f t="shared" si="25"/>
        <v>433495.56258141535</v>
      </c>
      <c r="BL7" s="12"/>
      <c r="BM7" s="753">
        <v>2</v>
      </c>
      <c r="BN7" s="388" t="s">
        <v>373</v>
      </c>
      <c r="BO7" s="389">
        <f>'Structural Information'!$AM$9</f>
        <v>2</v>
      </c>
      <c r="BP7" s="444">
        <f t="shared" si="27"/>
        <v>1.5</v>
      </c>
      <c r="BQ7" s="444">
        <f t="shared" si="27"/>
        <v>1.5</v>
      </c>
      <c r="BR7" s="444">
        <f t="shared" si="27"/>
        <v>1.5</v>
      </c>
      <c r="BS7" s="342">
        <f t="shared" si="27"/>
        <v>1.5</v>
      </c>
      <c r="BT7" s="342">
        <f t="shared" si="27"/>
        <v>1.5</v>
      </c>
      <c r="BU7" s="345">
        <f t="shared" si="27"/>
        <v>1.375</v>
      </c>
      <c r="BV7" s="12"/>
      <c r="BW7" s="880"/>
      <c r="BX7" s="318" t="s">
        <v>246</v>
      </c>
      <c r="BY7" s="133">
        <f>1/($BC$4)</f>
        <v>-1.09154431134665E-4</v>
      </c>
      <c r="BZ7" s="133">
        <f>1/($BC$9)</f>
        <v>-1.09154431134665E-4</v>
      </c>
      <c r="CA7" s="133">
        <f>1/($BC$14)</f>
        <v>-1.09154431134665E-4</v>
      </c>
      <c r="CB7" s="133">
        <f>1/($BC$19)</f>
        <v>-1.09154431134665E-4</v>
      </c>
      <c r="CC7" s="133">
        <f>1/($BC$24)</f>
        <v>-1.09154431134665E-4</v>
      </c>
      <c r="CD7" s="134">
        <f>1/($BC$29)</f>
        <v>-9.6809013447138572E-5</v>
      </c>
      <c r="CE7" s="12"/>
      <c r="CF7" s="869"/>
      <c r="CG7" s="395">
        <v>4</v>
      </c>
      <c r="CH7" s="872"/>
      <c r="CI7" s="872"/>
      <c r="CJ7" s="878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53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887"/>
      <c r="C8" s="334">
        <v>5</v>
      </c>
      <c r="D8" s="419">
        <v>516</v>
      </c>
      <c r="E8" s="428">
        <f>'Structural Information'!$AC$6</f>
        <v>3</v>
      </c>
      <c r="F8" s="354">
        <f>'Structural Information'!$AM$6</f>
        <v>4.5</v>
      </c>
      <c r="G8" s="425">
        <f>'Structural Information'!$AB$19/1000</f>
        <v>0.5</v>
      </c>
      <c r="H8" s="425">
        <f>'Structural Information'!$AB$24/1000</f>
        <v>0.25</v>
      </c>
      <c r="I8" s="140">
        <f>'Structural Information'!$AB$25/1000</f>
        <v>0.25</v>
      </c>
      <c r="J8" s="141">
        <f t="shared" si="14"/>
        <v>3.2552083333333332E-4</v>
      </c>
      <c r="K8" s="354">
        <f>F8-H8</f>
        <v>4.25</v>
      </c>
      <c r="L8" s="354">
        <f>E8-G8</f>
        <v>2.5</v>
      </c>
      <c r="M8" s="354">
        <f t="shared" si="0"/>
        <v>4.9307707308290052</v>
      </c>
      <c r="N8" s="355">
        <f>ATAN(L8/K8)</f>
        <v>0.53172406725880561</v>
      </c>
      <c r="P8" s="906" t="s">
        <v>168</v>
      </c>
      <c r="Q8" s="906"/>
      <c r="R8" s="906"/>
      <c r="S8" s="294" t="s">
        <v>169</v>
      </c>
      <c r="T8" s="12"/>
      <c r="U8" s="887"/>
      <c r="V8" s="600">
        <v>5</v>
      </c>
      <c r="W8" s="600">
        <v>516</v>
      </c>
      <c r="X8" s="606">
        <f>1/((((COS(N8))^4)/'Structural Information'!$AR$30)+(((SIN(N8))^4)/'Structural Information'!$AR$31)+(((SIN(N8))^2)*((COS(N8))^2)*((1/'Structural Information'!$AR$32)-(2*'Structural Information'!$AV$32/'Structural Information'!$AR$31))))</f>
        <v>1492.8812750676027</v>
      </c>
      <c r="Y8" s="606">
        <f>((X8*('Structural Information'!$AV$30/1000)*SIN(2*N8))/(4*'Structural Information'!$AR$33*J8*L8))^(1/4)</f>
        <v>1.5504857878772818</v>
      </c>
      <c r="Z8" s="606">
        <f t="shared" si="1"/>
        <v>4.6514573636318453</v>
      </c>
      <c r="AA8" s="142">
        <f t="shared" si="18"/>
        <v>0.70699999999999996</v>
      </c>
      <c r="AB8" s="142">
        <f t="shared" si="19"/>
        <v>0.01</v>
      </c>
      <c r="AC8" s="606">
        <f t="shared" si="20"/>
        <v>0.79876204692072605</v>
      </c>
      <c r="AD8" s="139">
        <f>((0.6*'Structural Information'!$AT$30)+(0.3*'Structural Information'!$AV$31))/(AC8/M8)</f>
        <v>1.3333714113794979</v>
      </c>
      <c r="AE8" s="606">
        <f>(((1.2*SIN(N8)+0.45*COS(N8))*'Structural Information'!$AT$31)+(0.3*'Structural Information'!$AV$31))/(AC8/M8)</f>
        <v>1.8450425952026535</v>
      </c>
      <c r="AF8" s="606">
        <f>(1.12*'Structural Information'!$AT$32*COS(N8)*SIN(N8))/((AA8*(Z8^(-0.12)))+(AB8*(Z8^(0.88))))</f>
        <v>2.7418487136841865</v>
      </c>
      <c r="AG8" s="606">
        <f>(1.16*'Structural Information'!$AT$32*TAN(N8))/((AA8)+(AB8*Z8))</f>
        <v>3.1785169223354388</v>
      </c>
      <c r="AH8" s="140">
        <f t="shared" si="21"/>
        <v>1.3333714113794979</v>
      </c>
      <c r="AI8" s="606">
        <f>AH8*AC8*'Structural Information'!$AV$30</f>
        <v>319.51394335771954</v>
      </c>
      <c r="AJ8" s="606">
        <f t="shared" si="2"/>
        <v>255.61115468617564</v>
      </c>
      <c r="AK8" s="603">
        <f t="shared" si="3"/>
        <v>31.951394335771955</v>
      </c>
      <c r="AL8" s="12"/>
      <c r="AM8" s="887"/>
      <c r="AN8" s="530">
        <v>5</v>
      </c>
      <c r="AO8" s="530">
        <v>506</v>
      </c>
      <c r="AP8" s="548">
        <f>'Structural Information'!$AC$6</f>
        <v>3</v>
      </c>
      <c r="AQ8" s="139">
        <f t="shared" si="4"/>
        <v>255.61115468617564</v>
      </c>
      <c r="AR8" s="68">
        <f t="shared" si="5"/>
        <v>8.0000000000000004E-4</v>
      </c>
      <c r="AS8" s="539">
        <f t="shared" si="6"/>
        <v>59078.149025741252</v>
      </c>
      <c r="AT8" s="148">
        <f t="shared" si="7"/>
        <v>43890.964186219077</v>
      </c>
      <c r="AU8" s="139">
        <f t="shared" si="8"/>
        <v>319.51394335771954</v>
      </c>
      <c r="AV8" s="68">
        <f t="shared" si="9"/>
        <v>2.2000000000000001E-3</v>
      </c>
      <c r="AW8" s="539">
        <f t="shared" si="10"/>
        <v>26853.704102609659</v>
      </c>
      <c r="AX8" s="149">
        <f t="shared" si="11"/>
        <v>8439.7355751058913</v>
      </c>
      <c r="AY8" s="148">
        <f t="shared" si="22"/>
        <v>6270.1377408884373</v>
      </c>
      <c r="AZ8" s="539">
        <f t="shared" si="12"/>
        <v>31.951394335771955</v>
      </c>
      <c r="BA8" s="68">
        <f t="shared" si="13"/>
        <v>8.8999999999999999E-3</v>
      </c>
      <c r="BB8" s="539">
        <f t="shared" si="23"/>
        <v>-12331.343283582089</v>
      </c>
      <c r="BC8" s="544">
        <f t="shared" si="24"/>
        <v>-9161.3321566972318</v>
      </c>
      <c r="BD8" s="12"/>
      <c r="BE8" s="886"/>
      <c r="BF8" s="418">
        <v>5</v>
      </c>
      <c r="BG8" s="418">
        <v>7516</v>
      </c>
      <c r="BH8" s="418" t="s">
        <v>23</v>
      </c>
      <c r="BI8" s="424">
        <f>'Structural Information'!$AC$6</f>
        <v>3</v>
      </c>
      <c r="BJ8" s="428">
        <f>('Structural Information'!$AF$25)*(200)/$BI8</f>
        <v>53616.514621265807</v>
      </c>
      <c r="BK8" s="438">
        <f t="shared" si="25"/>
        <v>433495.56258141535</v>
      </c>
      <c r="BL8" s="12"/>
      <c r="BM8" s="751"/>
      <c r="BN8" s="388" t="s">
        <v>374</v>
      </c>
      <c r="BO8" s="389">
        <f>'Structural Information'!$AM$9</f>
        <v>2</v>
      </c>
      <c r="BP8" s="446">
        <f t="shared" si="27"/>
        <v>1.5</v>
      </c>
      <c r="BQ8" s="446">
        <f t="shared" si="27"/>
        <v>1.5</v>
      </c>
      <c r="BR8" s="446">
        <f t="shared" si="27"/>
        <v>1.5</v>
      </c>
      <c r="BS8" s="354">
        <f t="shared" si="27"/>
        <v>1.5</v>
      </c>
      <c r="BT8" s="354">
        <f t="shared" si="27"/>
        <v>1.5</v>
      </c>
      <c r="BU8" s="355">
        <f t="shared" si="27"/>
        <v>1.375</v>
      </c>
      <c r="BV8" s="12"/>
      <c r="BW8" s="884"/>
      <c r="BX8" s="132" t="s">
        <v>249</v>
      </c>
      <c r="BY8" s="145">
        <f>(BP6*BP6)/$BK$5</f>
        <v>1.0252571947861007E-6</v>
      </c>
      <c r="BZ8" s="145">
        <f>(BQ6*BQ6)/$BK$11</f>
        <v>1.0252571947861007E-6</v>
      </c>
      <c r="CA8" s="145">
        <f>(BR6*BR6)/$BK$17</f>
        <v>1.0252571947861007E-6</v>
      </c>
      <c r="CB8" s="145">
        <f>(BS6*BS6)/$BK$23</f>
        <v>7.1198416304590332E-7</v>
      </c>
      <c r="CC8" s="145">
        <f>(BT6*BT6)/$BK$29</f>
        <v>7.1198416304590332E-7</v>
      </c>
      <c r="CD8" s="146">
        <f>(BU6*BU6)/$BK$35</f>
        <v>2.82038964587529E-7</v>
      </c>
      <c r="CE8" s="12"/>
      <c r="CF8" s="870"/>
      <c r="CG8" s="396">
        <v>5</v>
      </c>
      <c r="CH8" s="873"/>
      <c r="CI8" s="873"/>
      <c r="CJ8" s="885"/>
      <c r="CK8" s="12"/>
      <c r="CL8" s="721" t="s">
        <v>289</v>
      </c>
      <c r="CM8" s="722"/>
      <c r="CN8" s="722"/>
      <c r="CO8" s="722"/>
      <c r="CP8" s="722"/>
      <c r="CQ8" s="723"/>
      <c r="CR8" s="724" t="s">
        <v>290</v>
      </c>
      <c r="CS8" s="725"/>
      <c r="CT8" s="725"/>
      <c r="CU8" s="725"/>
      <c r="CV8" s="725"/>
      <c r="CW8" s="726"/>
      <c r="CX8" s="727" t="s">
        <v>291</v>
      </c>
      <c r="CY8" s="728"/>
      <c r="CZ8" s="728"/>
      <c r="DA8" s="728"/>
      <c r="DB8" s="728"/>
      <c r="DC8" s="729"/>
      <c r="DD8" s="12"/>
      <c r="DE8" s="12"/>
      <c r="DF8" s="12"/>
      <c r="DG8" s="12"/>
      <c r="DH8" s="12"/>
      <c r="DI8" s="12"/>
    </row>
    <row r="9" spans="2:115" x14ac:dyDescent="0.25">
      <c r="B9" s="888">
        <v>5</v>
      </c>
      <c r="C9" s="328">
        <v>1</v>
      </c>
      <c r="D9" s="418">
        <v>115</v>
      </c>
      <c r="E9" s="125">
        <f>'Structural Information'!$AC$7</f>
        <v>3</v>
      </c>
      <c r="F9" s="342">
        <f>'Structural Information'!$AM$10</f>
        <v>4.5</v>
      </c>
      <c r="G9" s="423">
        <f>'Structural Information'!$AB$19/1000</f>
        <v>0.5</v>
      </c>
      <c r="H9" s="423">
        <f>'Structural Information'!$AB$24/1000</f>
        <v>0.25</v>
      </c>
      <c r="I9" s="126">
        <f>'Structural Information'!$AB$25/1000</f>
        <v>0.25</v>
      </c>
      <c r="J9" s="127">
        <f t="shared" si="14"/>
        <v>3.2552083333333332E-4</v>
      </c>
      <c r="K9" s="342">
        <f t="shared" ref="K9:K18" si="28">F9-H9</f>
        <v>4.25</v>
      </c>
      <c r="L9" s="342">
        <f t="shared" ref="L9:L18" si="29">E9-G9</f>
        <v>2.5</v>
      </c>
      <c r="M9" s="342">
        <f t="shared" si="0"/>
        <v>4.9307707308290052</v>
      </c>
      <c r="N9" s="345">
        <f t="shared" ref="N9:N18" si="30">ATAN(L9/K9)</f>
        <v>0.53172406725880561</v>
      </c>
      <c r="P9" s="894" t="s">
        <v>164</v>
      </c>
      <c r="Q9" s="894"/>
      <c r="R9" s="894"/>
      <c r="S9" s="147" t="s">
        <v>155</v>
      </c>
      <c r="T9" s="12"/>
      <c r="U9" s="886">
        <v>5</v>
      </c>
      <c r="V9" s="597">
        <v>1</v>
      </c>
      <c r="W9" s="597">
        <v>115</v>
      </c>
      <c r="X9" s="605">
        <f>1/((((COS(N9))^4)/'Structural Information'!$AR$30)+(((SIN(N9))^4)/'Structural Information'!$AR$31)+(((SIN(N9))^2)*((COS(N9))^2)*((1/'Structural Information'!$AR$32)-(2*'Structural Information'!$AV$32/'Structural Information'!$AR$31))))</f>
        <v>1492.8812750676027</v>
      </c>
      <c r="Y9" s="605">
        <f>((X9*('Structural Information'!$AV$30/1000)*SIN(2*N9))/(4*'Structural Information'!$AR$33*J9*L9))^(1/4)</f>
        <v>1.5504857878772818</v>
      </c>
      <c r="Z9" s="605">
        <f t="shared" si="1"/>
        <v>4.6514573636318453</v>
      </c>
      <c r="AA9" s="112">
        <f t="shared" si="18"/>
        <v>0.70699999999999996</v>
      </c>
      <c r="AB9" s="112">
        <f t="shared" si="19"/>
        <v>0.01</v>
      </c>
      <c r="AC9" s="605">
        <f t="shared" si="20"/>
        <v>0.79876204692072605</v>
      </c>
      <c r="AD9" s="609">
        <f>((0.6*'Structural Information'!$AT$30)+(0.3*'Structural Information'!$AV$31))/(AC9/M9)</f>
        <v>1.3333714113794979</v>
      </c>
      <c r="AE9" s="605">
        <f>(((1.2*SIN(N9)+0.45*COS(N9))*'Structural Information'!$AT$31)+(0.3*'Structural Information'!$AV$31))/(AC9/M9)</f>
        <v>1.8450425952026535</v>
      </c>
      <c r="AF9" s="605">
        <f>(1.12*'Structural Information'!$AT$32*COS(N9)*SIN(N9))/((AA9*(Z9^(-0.12)))+(AB9*(Z9^(0.88))))</f>
        <v>2.7418487136841865</v>
      </c>
      <c r="AG9" s="605">
        <f>(1.16*'Structural Information'!$AT$32*TAN(N9))/((AA9)+(AB9*Z9))</f>
        <v>3.1785169223354388</v>
      </c>
      <c r="AH9" s="610">
        <f t="shared" si="21"/>
        <v>1.3333714113794979</v>
      </c>
      <c r="AI9" s="605">
        <f>AH9*AC9*'Structural Information'!$AV$30</f>
        <v>319.51394335771954</v>
      </c>
      <c r="AJ9" s="605">
        <f t="shared" si="2"/>
        <v>255.61115468617564</v>
      </c>
      <c r="AK9" s="602">
        <f t="shared" si="3"/>
        <v>31.951394335771955</v>
      </c>
      <c r="AL9" s="12"/>
      <c r="AM9" s="888">
        <v>5</v>
      </c>
      <c r="AN9" s="529">
        <v>1</v>
      </c>
      <c r="AO9" s="527">
        <v>105</v>
      </c>
      <c r="AP9" s="125">
        <f>'Structural Information'!$AC$7</f>
        <v>3</v>
      </c>
      <c r="AQ9" s="125">
        <f t="shared" si="4"/>
        <v>255.61115468617564</v>
      </c>
      <c r="AR9" s="45">
        <f t="shared" si="5"/>
        <v>8.0000000000000004E-4</v>
      </c>
      <c r="AS9" s="537">
        <f t="shared" si="6"/>
        <v>59078.149025741252</v>
      </c>
      <c r="AT9" s="144">
        <f t="shared" si="7"/>
        <v>43890.964186219077</v>
      </c>
      <c r="AU9" s="125">
        <f t="shared" si="8"/>
        <v>319.51394335771954</v>
      </c>
      <c r="AV9" s="45">
        <f t="shared" si="9"/>
        <v>2.2000000000000001E-3</v>
      </c>
      <c r="AW9" s="537">
        <f t="shared" si="10"/>
        <v>26853.704102609659</v>
      </c>
      <c r="AX9" s="87">
        <f t="shared" si="11"/>
        <v>8439.7355751058913</v>
      </c>
      <c r="AY9" s="144">
        <f t="shared" si="22"/>
        <v>6270.1377408884373</v>
      </c>
      <c r="AZ9" s="537">
        <f t="shared" si="12"/>
        <v>31.951394335771955</v>
      </c>
      <c r="BA9" s="45">
        <f t="shared" si="13"/>
        <v>8.8999999999999999E-3</v>
      </c>
      <c r="BB9" s="537">
        <f t="shared" si="23"/>
        <v>-12331.343283582089</v>
      </c>
      <c r="BC9" s="541">
        <f t="shared" si="24"/>
        <v>-9161.3321566972318</v>
      </c>
      <c r="BD9" s="12"/>
      <c r="BE9" s="887"/>
      <c r="BF9" s="419">
        <v>6</v>
      </c>
      <c r="BG9" s="419">
        <v>7616</v>
      </c>
      <c r="BH9" s="419" t="s">
        <v>23</v>
      </c>
      <c r="BI9" s="425">
        <f>'Structural Information'!$AC$6</f>
        <v>3</v>
      </c>
      <c r="BJ9" s="139">
        <f>('Structural Information'!$AF$25)*(200)/$BI9</f>
        <v>53616.514621265807</v>
      </c>
      <c r="BK9" s="439">
        <f t="shared" si="25"/>
        <v>433495.56258141535</v>
      </c>
      <c r="BL9" s="12"/>
      <c r="BM9" s="913">
        <v>3</v>
      </c>
      <c r="BN9" s="137" t="s">
        <v>375</v>
      </c>
      <c r="BO9" s="138">
        <f>'Structural Information'!$AM$8</f>
        <v>4.5</v>
      </c>
      <c r="BP9" s="445">
        <f t="shared" si="27"/>
        <v>0.66666666666666663</v>
      </c>
      <c r="BQ9" s="445">
        <f t="shared" si="27"/>
        <v>0.66666666666666663</v>
      </c>
      <c r="BR9" s="445">
        <f t="shared" si="27"/>
        <v>0.66666666666666663</v>
      </c>
      <c r="BS9" s="343">
        <f t="shared" si="27"/>
        <v>0.66666666666666663</v>
      </c>
      <c r="BT9" s="343">
        <f t="shared" si="27"/>
        <v>0.66666666666666663</v>
      </c>
      <c r="BU9" s="346">
        <f t="shared" si="27"/>
        <v>0.61111111111111116</v>
      </c>
      <c r="BV9" s="12"/>
      <c r="BW9" s="880">
        <v>2</v>
      </c>
      <c r="BX9" s="319" t="s">
        <v>250</v>
      </c>
      <c r="BY9" s="133">
        <f>(BP7*BP7)/$BK$5</f>
        <v>5.190364548604635E-6</v>
      </c>
      <c r="BZ9" s="133">
        <f>(BQ7*BQ7)/$BK$11</f>
        <v>5.190364548604635E-6</v>
      </c>
      <c r="CA9" s="133">
        <f>(BR7*BR7)/$BK$17</f>
        <v>5.190364548604635E-6</v>
      </c>
      <c r="CB9" s="133">
        <f>(BS7*BS7)/$BK$23</f>
        <v>3.6044198254198856E-6</v>
      </c>
      <c r="CC9" s="133">
        <f>(BT7*BT7)/$BK$29</f>
        <v>3.6044198254198856E-6</v>
      </c>
      <c r="CD9" s="134">
        <f>(BU7*BU7)/$BK$35</f>
        <v>1.4278222582243652E-6</v>
      </c>
      <c r="CE9" s="12"/>
      <c r="CF9" s="868">
        <v>5</v>
      </c>
      <c r="CG9" s="394">
        <v>1</v>
      </c>
      <c r="CH9" s="871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123119.20359633045</v>
      </c>
      <c r="CI9" s="871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22761.787789609498</v>
      </c>
      <c r="CJ9" s="877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-32925.123958400334</v>
      </c>
      <c r="CK9" s="12"/>
      <c r="CL9" s="802" t="s">
        <v>193</v>
      </c>
      <c r="CM9" s="804" t="s">
        <v>189</v>
      </c>
      <c r="CN9" s="806" t="s">
        <v>190</v>
      </c>
      <c r="CO9" s="806" t="s">
        <v>191</v>
      </c>
      <c r="CP9" s="743" t="s">
        <v>192</v>
      </c>
      <c r="CQ9" s="747" t="s">
        <v>497</v>
      </c>
      <c r="CR9" s="808" t="s">
        <v>222</v>
      </c>
      <c r="CS9" s="810" t="s">
        <v>189</v>
      </c>
      <c r="CT9" s="812" t="s">
        <v>190</v>
      </c>
      <c r="CU9" s="812" t="s">
        <v>191</v>
      </c>
      <c r="CV9" s="741" t="s">
        <v>192</v>
      </c>
      <c r="CW9" s="749" t="s">
        <v>497</v>
      </c>
      <c r="CX9" s="814" t="s">
        <v>295</v>
      </c>
      <c r="CY9" s="816" t="s">
        <v>189</v>
      </c>
      <c r="CZ9" s="818" t="s">
        <v>190</v>
      </c>
      <c r="DA9" s="818" t="s">
        <v>191</v>
      </c>
      <c r="DB9" s="745" t="s">
        <v>192</v>
      </c>
      <c r="DC9" s="719" t="s">
        <v>497</v>
      </c>
      <c r="DD9" s="12"/>
      <c r="DE9" s="12"/>
      <c r="DF9" s="12"/>
      <c r="DG9" s="12"/>
      <c r="DH9" s="12"/>
      <c r="DI9" s="12"/>
    </row>
    <row r="10" spans="2:115" x14ac:dyDescent="0.25">
      <c r="B10" s="886"/>
      <c r="C10" s="330">
        <v>2</v>
      </c>
      <c r="D10" s="418">
        <v>215</v>
      </c>
      <c r="E10" s="358">
        <f>'Structural Information'!$AC$7</f>
        <v>3</v>
      </c>
      <c r="F10" s="343">
        <f>'Structural Information'!$AM$9</f>
        <v>2</v>
      </c>
      <c r="G10" s="424">
        <f>'Structural Information'!$AB$19/1000</f>
        <v>0.5</v>
      </c>
      <c r="H10" s="424">
        <f>'Structural Information'!$AB$24/1000</f>
        <v>0.25</v>
      </c>
      <c r="I10" s="429">
        <f>'Structural Information'!$AB$25/1000</f>
        <v>0.25</v>
      </c>
      <c r="J10" s="135">
        <f t="shared" si="14"/>
        <v>3.2552083333333332E-4</v>
      </c>
      <c r="K10" s="343">
        <f t="shared" si="28"/>
        <v>1.75</v>
      </c>
      <c r="L10" s="343">
        <f t="shared" si="29"/>
        <v>2.5</v>
      </c>
      <c r="M10" s="343">
        <f t="shared" si="0"/>
        <v>3.0516389039334255</v>
      </c>
      <c r="N10" s="346">
        <f t="shared" si="30"/>
        <v>0.96007036240568799</v>
      </c>
      <c r="P10" s="894" t="s">
        <v>166</v>
      </c>
      <c r="Q10" s="894"/>
      <c r="R10" s="894"/>
      <c r="S10" s="147" t="s">
        <v>156</v>
      </c>
      <c r="T10" s="12"/>
      <c r="U10" s="886"/>
      <c r="V10" s="597">
        <v>2</v>
      </c>
      <c r="W10" s="597">
        <v>215</v>
      </c>
      <c r="X10" s="605">
        <f>1/((((COS(N10))^4)/'Structural Information'!$AR$30)+(((SIN(N10))^4)/'Structural Information'!$AR$31)+(((SIN(N10))^2)*((COS(N10))^2)*((1/'Structural Information'!$AR$32)-(2*'Structural Information'!$AV$32/'Structural Information'!$AR$31))))</f>
        <v>2596.9081693069729</v>
      </c>
      <c r="Y10" s="605">
        <f>((X10*('Structural Information'!$AV$30/1000)*SIN(2*N10))/(4*'Structural Information'!$AR$33*J10*L10))^(1/4)</f>
        <v>1.8131291203134809</v>
      </c>
      <c r="Z10" s="605">
        <f t="shared" si="1"/>
        <v>5.4393873609404428</v>
      </c>
      <c r="AA10" s="112">
        <f t="shared" si="18"/>
        <v>0.70699999999999996</v>
      </c>
      <c r="AB10" s="112">
        <f t="shared" si="19"/>
        <v>0.01</v>
      </c>
      <c r="AC10" s="605">
        <f t="shared" si="20"/>
        <v>0.42716192316211632</v>
      </c>
      <c r="AD10" s="609">
        <f>((0.6*'Structural Information'!$AT$30)+(0.3*'Structural Information'!$AV$31))/(AC10/M10)</f>
        <v>1.5431010291604526</v>
      </c>
      <c r="AE10" s="605">
        <f>(((1.2*SIN(N10)+0.45*COS(N10))*'Structural Information'!$AT$31)+(0.3*'Structural Information'!$AV$31))/(AC10/M10)</f>
        <v>2.6599983247307617</v>
      </c>
      <c r="AF10" s="605">
        <f>(1.12*'Structural Information'!$AT$32*COS(N10)*SIN(N10))/((AA10*(Z10^(-0.12)))+(AB10*(Z10^(0.88))))</f>
        <v>2.9723060894510924</v>
      </c>
      <c r="AG10" s="605">
        <f>(1.16*'Structural Information'!$AT$32*TAN(N10))/((AA10)+(AB10*Z10))</f>
        <v>7.6393725116250852</v>
      </c>
      <c r="AH10" s="610">
        <f t="shared" si="21"/>
        <v>1.5431010291604526</v>
      </c>
      <c r="AI10" s="605">
        <f>AH10*AC10*'Structural Information'!$AV$30</f>
        <v>197.74620097488594</v>
      </c>
      <c r="AJ10" s="605">
        <f t="shared" si="2"/>
        <v>158.19696077990875</v>
      </c>
      <c r="AK10" s="602">
        <f t="shared" si="3"/>
        <v>19.774620097488594</v>
      </c>
      <c r="AL10" s="12"/>
      <c r="AM10" s="886"/>
      <c r="AN10" s="527">
        <v>2</v>
      </c>
      <c r="AO10" s="527">
        <v>205</v>
      </c>
      <c r="AP10" s="548">
        <f>'Structural Information'!$AC$7</f>
        <v>3</v>
      </c>
      <c r="AQ10" s="548">
        <f t="shared" si="4"/>
        <v>158.19696077990875</v>
      </c>
      <c r="AR10" s="51">
        <f t="shared" si="5"/>
        <v>8.0000000000000004E-4</v>
      </c>
      <c r="AS10" s="538">
        <f t="shared" si="6"/>
        <v>54844.92824178141</v>
      </c>
      <c r="AT10" s="130">
        <f t="shared" si="7"/>
        <v>18036.251569444896</v>
      </c>
      <c r="AU10" s="548">
        <f t="shared" si="8"/>
        <v>197.74620097488594</v>
      </c>
      <c r="AV10" s="51">
        <f t="shared" si="9"/>
        <v>2.2000000000000001E-3</v>
      </c>
      <c r="AW10" s="538">
        <f t="shared" si="10"/>
        <v>24929.512837173366</v>
      </c>
      <c r="AX10" s="92">
        <f t="shared" si="11"/>
        <v>7834.9897488259148</v>
      </c>
      <c r="AY10" s="130">
        <f t="shared" si="22"/>
        <v>2576.607367063556</v>
      </c>
      <c r="AZ10" s="538">
        <f t="shared" si="12"/>
        <v>19.774620097488594</v>
      </c>
      <c r="BA10" s="51">
        <f t="shared" si="13"/>
        <v>8.8999999999999999E-3</v>
      </c>
      <c r="BB10" s="538">
        <f t="shared" si="23"/>
        <v>-5077.6119402985059</v>
      </c>
      <c r="BC10" s="542">
        <f t="shared" si="24"/>
        <v>-1669.8186917760188</v>
      </c>
      <c r="BD10" s="12"/>
      <c r="BE10" s="888">
        <v>5</v>
      </c>
      <c r="BF10" s="417">
        <v>1</v>
      </c>
      <c r="BG10" s="417">
        <v>7115</v>
      </c>
      <c r="BH10" s="417" t="s">
        <v>23</v>
      </c>
      <c r="BI10" s="423">
        <f>'Structural Information'!$AC$7</f>
        <v>3</v>
      </c>
      <c r="BJ10" s="125">
        <f>('Structural Information'!$AF$25)*(200)/$BI10</f>
        <v>53616.514621265807</v>
      </c>
      <c r="BK10" s="440">
        <f t="shared" ref="BK10:BK15" si="31">Hcol1*Wcol1*(4700*SQRT(Fck))/(hstr5*1000)</f>
        <v>433495.56258141535</v>
      </c>
      <c r="BL10" s="12"/>
      <c r="BM10" s="913"/>
      <c r="BN10" s="337" t="s">
        <v>405</v>
      </c>
      <c r="BO10" s="313">
        <f>'Structural Information'!$AM$8</f>
        <v>4.5</v>
      </c>
      <c r="BP10" s="445">
        <f t="shared" si="27"/>
        <v>0.66666666666666663</v>
      </c>
      <c r="BQ10" s="445">
        <f t="shared" si="27"/>
        <v>0.66666666666666663</v>
      </c>
      <c r="BR10" s="445">
        <f t="shared" si="27"/>
        <v>0.66666666666666663</v>
      </c>
      <c r="BS10" s="343">
        <f t="shared" si="27"/>
        <v>0.66666666666666663</v>
      </c>
      <c r="BT10" s="343">
        <f t="shared" si="27"/>
        <v>0.66666666666666663</v>
      </c>
      <c r="BU10" s="346">
        <f t="shared" si="27"/>
        <v>0.61111111111111116</v>
      </c>
      <c r="BV10" s="12"/>
      <c r="BW10" s="880"/>
      <c r="BX10" s="316" t="s">
        <v>247</v>
      </c>
      <c r="BY10" s="133">
        <f>1/($AT$5)</f>
        <v>5.5443892881495063E-5</v>
      </c>
      <c r="BZ10" s="133">
        <f>1/($AT$10)</f>
        <v>5.5443892881495063E-5</v>
      </c>
      <c r="CA10" s="133">
        <f>1/($AT$15)</f>
        <v>5.5443892881495063E-5</v>
      </c>
      <c r="CB10" s="133">
        <f>1/($AT$20)</f>
        <v>5.8206558940708928E-5</v>
      </c>
      <c r="CC10" s="133">
        <f>1/($AT$25)</f>
        <v>5.8206558940708928E-5</v>
      </c>
      <c r="CD10" s="134">
        <f>1/($AT$30)</f>
        <v>6.3066871580448692E-5</v>
      </c>
      <c r="CE10" s="12"/>
      <c r="CF10" s="869"/>
      <c r="CG10" s="395">
        <v>2</v>
      </c>
      <c r="CH10" s="872"/>
      <c r="CI10" s="872"/>
      <c r="CJ10" s="878"/>
      <c r="CK10" s="12"/>
      <c r="CL10" s="803"/>
      <c r="CM10" s="805"/>
      <c r="CN10" s="807"/>
      <c r="CO10" s="807"/>
      <c r="CP10" s="744"/>
      <c r="CQ10" s="748"/>
      <c r="CR10" s="809"/>
      <c r="CS10" s="811"/>
      <c r="CT10" s="813"/>
      <c r="CU10" s="813"/>
      <c r="CV10" s="742"/>
      <c r="CW10" s="750"/>
      <c r="CX10" s="815"/>
      <c r="CY10" s="817"/>
      <c r="CZ10" s="819"/>
      <c r="DA10" s="819"/>
      <c r="DB10" s="746"/>
      <c r="DC10" s="720"/>
      <c r="DD10" s="12"/>
      <c r="DE10" s="12"/>
      <c r="DF10" s="12"/>
      <c r="DG10" s="12"/>
      <c r="DH10" s="12"/>
      <c r="DI10" s="12"/>
    </row>
    <row r="11" spans="2:115" ht="15" customHeight="1" x14ac:dyDescent="0.25">
      <c r="B11" s="886"/>
      <c r="C11" s="330">
        <v>3</v>
      </c>
      <c r="D11" s="418">
        <v>315</v>
      </c>
      <c r="E11" s="428">
        <f>'Structural Information'!$AC$7</f>
        <v>3</v>
      </c>
      <c r="F11" s="343">
        <f>'Structural Information'!$AM$8</f>
        <v>4.5</v>
      </c>
      <c r="G11" s="424">
        <f>'Structural Information'!$AB$19/1000</f>
        <v>0.5</v>
      </c>
      <c r="H11" s="424">
        <f>'Structural Information'!$AB$24/1000</f>
        <v>0.25</v>
      </c>
      <c r="I11" s="429">
        <f>'Structural Information'!$AB$25/1000</f>
        <v>0.25</v>
      </c>
      <c r="J11" s="135">
        <f t="shared" si="14"/>
        <v>3.2552083333333332E-4</v>
      </c>
      <c r="K11" s="343">
        <f t="shared" si="28"/>
        <v>4.25</v>
      </c>
      <c r="L11" s="343">
        <f t="shared" si="29"/>
        <v>2.5</v>
      </c>
      <c r="M11" s="343">
        <f t="shared" si="0"/>
        <v>4.9307707308290052</v>
      </c>
      <c r="N11" s="346">
        <f t="shared" si="30"/>
        <v>0.53172406725880561</v>
      </c>
      <c r="P11" s="894" t="s">
        <v>165</v>
      </c>
      <c r="Q11" s="894"/>
      <c r="R11" s="894"/>
      <c r="S11" s="147" t="s">
        <v>157</v>
      </c>
      <c r="T11" s="12"/>
      <c r="U11" s="886"/>
      <c r="V11" s="597">
        <v>3</v>
      </c>
      <c r="W11" s="597">
        <v>315</v>
      </c>
      <c r="X11" s="605">
        <f>1/((((COS(N11))^4)/'Structural Information'!$AR$30)+(((SIN(N11))^4)/'Structural Information'!$AR$31)+(((SIN(N11))^2)*((COS(N11))^2)*((1/'Structural Information'!$AR$32)-(2*'Structural Information'!$AV$32/'Structural Information'!$AR$31))))</f>
        <v>1492.8812750676027</v>
      </c>
      <c r="Y11" s="605">
        <f>((X11*('Structural Information'!$AV$30/1000)*SIN(2*N11))/(4*'Structural Information'!$AR$33*J11*L11))^(1/4)</f>
        <v>1.5504857878772818</v>
      </c>
      <c r="Z11" s="605">
        <f t="shared" si="1"/>
        <v>4.6514573636318453</v>
      </c>
      <c r="AA11" s="112">
        <f t="shared" si="18"/>
        <v>0.70699999999999996</v>
      </c>
      <c r="AB11" s="112">
        <f t="shared" si="19"/>
        <v>0.01</v>
      </c>
      <c r="AC11" s="605">
        <f t="shared" si="20"/>
        <v>0.79876204692072605</v>
      </c>
      <c r="AD11" s="609">
        <f>((0.6*'Structural Information'!$AT$30)+(0.3*'Structural Information'!$AV$31))/(AC11/M11)</f>
        <v>1.3333714113794979</v>
      </c>
      <c r="AE11" s="605">
        <f>(((1.2*SIN(N11)+0.45*COS(N11))*'Structural Information'!$AT$31)+(0.3*'Structural Information'!$AV$31))/(AC11/M11)</f>
        <v>1.8450425952026535</v>
      </c>
      <c r="AF11" s="605">
        <f>(1.12*'Structural Information'!$AT$32*COS(N11)*SIN(N11))/((AA11*(Z11^(-0.12)))+(AB11*(Z11^(0.88))))</f>
        <v>2.7418487136841865</v>
      </c>
      <c r="AG11" s="605">
        <f>(1.16*'Structural Information'!$AT$32*TAN(N11))/((AA11)+(AB11*Z11))</f>
        <v>3.1785169223354388</v>
      </c>
      <c r="AH11" s="610">
        <f t="shared" si="21"/>
        <v>1.3333714113794979</v>
      </c>
      <c r="AI11" s="605">
        <f>AH11*AC11*'Structural Information'!$AV$30</f>
        <v>319.51394335771954</v>
      </c>
      <c r="AJ11" s="605">
        <f t="shared" si="2"/>
        <v>255.61115468617564</v>
      </c>
      <c r="AK11" s="602">
        <f t="shared" si="3"/>
        <v>31.951394335771955</v>
      </c>
      <c r="AL11" s="12"/>
      <c r="AM11" s="886"/>
      <c r="AN11" s="527">
        <v>3</v>
      </c>
      <c r="AO11" s="527">
        <v>305</v>
      </c>
      <c r="AP11" s="548">
        <f>'Structural Information'!$AC$7</f>
        <v>3</v>
      </c>
      <c r="AQ11" s="548">
        <f t="shared" si="4"/>
        <v>255.61115468617564</v>
      </c>
      <c r="AR11" s="51">
        <f t="shared" si="5"/>
        <v>8.0000000000000004E-4</v>
      </c>
      <c r="AS11" s="538">
        <f t="shared" si="6"/>
        <v>59078.149025741252</v>
      </c>
      <c r="AT11" s="130">
        <f t="shared" si="7"/>
        <v>43890.964186219077</v>
      </c>
      <c r="AU11" s="548">
        <f t="shared" si="8"/>
        <v>319.51394335771954</v>
      </c>
      <c r="AV11" s="51">
        <f t="shared" si="9"/>
        <v>2.2000000000000001E-3</v>
      </c>
      <c r="AW11" s="538">
        <f t="shared" si="10"/>
        <v>26853.704102609659</v>
      </c>
      <c r="AX11" s="92">
        <f t="shared" si="11"/>
        <v>8439.7355751058913</v>
      </c>
      <c r="AY11" s="130">
        <f t="shared" si="22"/>
        <v>6270.1377408884373</v>
      </c>
      <c r="AZ11" s="538">
        <f t="shared" si="12"/>
        <v>31.951394335771955</v>
      </c>
      <c r="BA11" s="51">
        <f t="shared" si="13"/>
        <v>8.8999999999999999E-3</v>
      </c>
      <c r="BB11" s="538">
        <f t="shared" si="23"/>
        <v>-12331.343283582089</v>
      </c>
      <c r="BC11" s="542">
        <f t="shared" si="24"/>
        <v>-9161.3321566972318</v>
      </c>
      <c r="BD11" s="12"/>
      <c r="BE11" s="886"/>
      <c r="BF11" s="418">
        <v>2</v>
      </c>
      <c r="BG11" s="418">
        <v>7215</v>
      </c>
      <c r="BH11" s="418" t="s">
        <v>23</v>
      </c>
      <c r="BI11" s="424">
        <f>'Structural Information'!$AC$7</f>
        <v>3</v>
      </c>
      <c r="BJ11" s="428">
        <f>('Structural Information'!$AF$25)*(200)/$BI11</f>
        <v>53616.514621265807</v>
      </c>
      <c r="BK11" s="438">
        <f t="shared" si="31"/>
        <v>433495.56258141535</v>
      </c>
      <c r="BL11" s="12"/>
      <c r="BM11" s="753">
        <v>4</v>
      </c>
      <c r="BN11" s="388" t="s">
        <v>406</v>
      </c>
      <c r="BO11" s="389">
        <f>'Structural Information'!$AM$7</f>
        <v>2</v>
      </c>
      <c r="BP11" s="444">
        <f t="shared" si="27"/>
        <v>1.5</v>
      </c>
      <c r="BQ11" s="444">
        <f t="shared" si="27"/>
        <v>1.5</v>
      </c>
      <c r="BR11" s="444">
        <f t="shared" si="27"/>
        <v>1.5</v>
      </c>
      <c r="BS11" s="342">
        <f t="shared" si="27"/>
        <v>1.5</v>
      </c>
      <c r="BT11" s="342">
        <f t="shared" si="27"/>
        <v>1.5</v>
      </c>
      <c r="BU11" s="345">
        <f t="shared" si="27"/>
        <v>1.375</v>
      </c>
      <c r="BV11" s="12"/>
      <c r="BW11" s="880"/>
      <c r="BX11" s="317" t="s">
        <v>247</v>
      </c>
      <c r="BY11" s="133">
        <f>1/($AY$5)</f>
        <v>3.8810725017046551E-4</v>
      </c>
      <c r="BZ11" s="133">
        <f>1/($AY$10)</f>
        <v>3.8810725017046551E-4</v>
      </c>
      <c r="CA11" s="133">
        <f>1/($AY$15)</f>
        <v>3.8810725017046551E-4</v>
      </c>
      <c r="CB11" s="133">
        <f>1/($AY$20)</f>
        <v>4.0744591258496272E-4</v>
      </c>
      <c r="CC11" s="133">
        <f>1/($AY$25)</f>
        <v>4.0744591258496272E-4</v>
      </c>
      <c r="CD11" s="134">
        <f>1/($AY$30)</f>
        <v>4.4146810106314075E-4</v>
      </c>
      <c r="CE11" s="12"/>
      <c r="CF11" s="869"/>
      <c r="CG11" s="395">
        <v>3</v>
      </c>
      <c r="CH11" s="872"/>
      <c r="CI11" s="872"/>
      <c r="CJ11" s="878"/>
      <c r="CK11" s="12"/>
      <c r="CL11" s="70" t="s">
        <v>447</v>
      </c>
      <c r="CM11" s="455">
        <f>AQ4*COS($N4)+AQ5*COS($N5)+AQ6*COS($N6)+AQ7*COS($N7)+AQ8*COS($N8)</f>
        <v>842.39999999999986</v>
      </c>
      <c r="CN11" s="455">
        <f t="shared" ref="CN11:CN13" si="32">AU16*COS($N16)+AU17*COS($N17)+AU18*COS($N18)+AU19*COS($N19)+AU20*COS($N20)</f>
        <v>1049.76</v>
      </c>
      <c r="CO11" s="455">
        <f t="shared" ref="CO11:CO13" si="33">AZ16*COS($N16)+AZ17*COS($N17)+AZ18*COS($N18)+AZ19*COS($N19)+AZ20*COS($N20)</f>
        <v>104.97599999999998</v>
      </c>
      <c r="CP11" s="580">
        <f t="shared" ref="CP11:CP13" si="34">AZ16*COS($N16)+AZ17*COS($N17)+AZ18*COS($N18)+AZ19*COS($N19)+AZ20*COS($N20)</f>
        <v>104.97599999999998</v>
      </c>
      <c r="CQ11" s="581">
        <v>277.47359178896437</v>
      </c>
      <c r="CR11" s="70" t="s">
        <v>450</v>
      </c>
      <c r="CS11" s="580">
        <f>CH4</f>
        <v>114279.16818422273</v>
      </c>
      <c r="CT11" s="580">
        <f>CI4</f>
        <v>22428.420960596442</v>
      </c>
      <c r="CU11" s="580">
        <f>CJ4</f>
        <v>-33593.713205269407</v>
      </c>
      <c r="CV11" s="580">
        <v>0</v>
      </c>
      <c r="CW11" s="581">
        <f t="shared" ref="CW11:CW16" si="35">CS11*3</f>
        <v>342837.50455266819</v>
      </c>
      <c r="CX11" s="70" t="s">
        <v>453</v>
      </c>
      <c r="CY11" s="51">
        <f>CM11/(CS11*'Structural Information'!$AC$6)</f>
        <v>2.4571407410608624E-3</v>
      </c>
      <c r="CZ11" s="51">
        <f>CY11+(((1/CT11)*(CN11-CM11))/'Structural Information'!$AC$6)</f>
        <v>5.5389448556453927E-3</v>
      </c>
      <c r="DA11" s="51">
        <f>CZ11+(((1/CU11)*(CO11-CN11))/'Structural Information'!$AC$6)</f>
        <v>1.4913556053749014E-2</v>
      </c>
      <c r="DB11" s="51">
        <f t="shared" ref="DB11:DB13" si="36">0.08</f>
        <v>0.08</v>
      </c>
      <c r="DC11" s="584">
        <v>8.0934433398997536E-4</v>
      </c>
      <c r="DD11" s="12"/>
      <c r="DE11" s="12"/>
      <c r="DF11" s="12"/>
      <c r="DG11" s="12"/>
      <c r="DH11" s="12"/>
      <c r="DI11" s="12"/>
    </row>
    <row r="12" spans="2:115" x14ac:dyDescent="0.25">
      <c r="B12" s="886"/>
      <c r="C12" s="330">
        <v>4</v>
      </c>
      <c r="D12" s="418">
        <v>415</v>
      </c>
      <c r="E12" s="428">
        <f>'Structural Information'!$AC$7</f>
        <v>3</v>
      </c>
      <c r="F12" s="343">
        <f>'Structural Information'!$AM$7</f>
        <v>2</v>
      </c>
      <c r="G12" s="424">
        <f>'Structural Information'!$AB$19/1000</f>
        <v>0.5</v>
      </c>
      <c r="H12" s="424">
        <f>'Structural Information'!$AB$24/1000</f>
        <v>0.25</v>
      </c>
      <c r="I12" s="429">
        <f>'Structural Information'!$AB$25/1000</f>
        <v>0.25</v>
      </c>
      <c r="J12" s="135">
        <f t="shared" si="14"/>
        <v>3.2552083333333332E-4</v>
      </c>
      <c r="K12" s="343">
        <f t="shared" si="28"/>
        <v>1.75</v>
      </c>
      <c r="L12" s="343">
        <f t="shared" si="29"/>
        <v>2.5</v>
      </c>
      <c r="M12" s="343">
        <f t="shared" si="0"/>
        <v>3.0516389039334255</v>
      </c>
      <c r="N12" s="346">
        <f t="shared" si="30"/>
        <v>0.96007036240568799</v>
      </c>
      <c r="P12" s="894" t="s">
        <v>167</v>
      </c>
      <c r="Q12" s="894"/>
      <c r="R12" s="894"/>
      <c r="S12" s="147" t="s">
        <v>158</v>
      </c>
      <c r="T12" s="12"/>
      <c r="U12" s="886"/>
      <c r="V12" s="597">
        <v>4</v>
      </c>
      <c r="W12" s="597">
        <v>415</v>
      </c>
      <c r="X12" s="605">
        <f>1/((((COS(N12))^4)/'Structural Information'!$AR$30)+(((SIN(N12))^4)/'Structural Information'!$AR$31)+(((SIN(N12))^2)*((COS(N12))^2)*((1/'Structural Information'!$AR$32)-(2*'Structural Information'!$AV$32/'Structural Information'!$AR$31))))</f>
        <v>2596.9081693069729</v>
      </c>
      <c r="Y12" s="605">
        <f>((X12*('Structural Information'!$AV$30/1000)*SIN(2*N12))/(4*'Structural Information'!$AR$33*J12*L12))^(1/4)</f>
        <v>1.8131291203134809</v>
      </c>
      <c r="Z12" s="605">
        <f t="shared" si="1"/>
        <v>5.4393873609404428</v>
      </c>
      <c r="AA12" s="112">
        <f t="shared" si="18"/>
        <v>0.70699999999999996</v>
      </c>
      <c r="AB12" s="112">
        <f t="shared" si="19"/>
        <v>0.01</v>
      </c>
      <c r="AC12" s="605">
        <f t="shared" si="20"/>
        <v>0.42716192316211632</v>
      </c>
      <c r="AD12" s="609">
        <f>((0.6*'Structural Information'!$AT$30)+(0.3*'Structural Information'!$AV$31))/(AC12/M12)</f>
        <v>1.5431010291604526</v>
      </c>
      <c r="AE12" s="605">
        <f>(((1.2*SIN(N12)+0.45*COS(N12))*'Structural Information'!$AT$31)+(0.3*'Structural Information'!$AV$31))/(AC12/M12)</f>
        <v>2.6599983247307617</v>
      </c>
      <c r="AF12" s="605">
        <f>(1.12*'Structural Information'!$AT$32*COS(N12)*SIN(N12))/((AA12*(Z12^(-0.12)))+(AB12*(Z12^(0.88))))</f>
        <v>2.9723060894510924</v>
      </c>
      <c r="AG12" s="605">
        <f>(1.16*'Structural Information'!$AT$32*TAN(N12))/((AA12)+(AB12*Z12))</f>
        <v>7.6393725116250852</v>
      </c>
      <c r="AH12" s="610">
        <f t="shared" si="21"/>
        <v>1.5431010291604526</v>
      </c>
      <c r="AI12" s="605">
        <f>AH12*AC12*'Structural Information'!$AV$30</f>
        <v>197.74620097488594</v>
      </c>
      <c r="AJ12" s="605">
        <f t="shared" si="2"/>
        <v>158.19696077990875</v>
      </c>
      <c r="AK12" s="602">
        <f t="shared" si="3"/>
        <v>19.774620097488594</v>
      </c>
      <c r="AL12" s="12"/>
      <c r="AM12" s="886"/>
      <c r="AN12" s="527">
        <v>4</v>
      </c>
      <c r="AO12" s="527">
        <v>405</v>
      </c>
      <c r="AP12" s="548">
        <f>'Structural Information'!$AC$7</f>
        <v>3</v>
      </c>
      <c r="AQ12" s="548">
        <f t="shared" si="4"/>
        <v>158.19696077990875</v>
      </c>
      <c r="AR12" s="51">
        <f t="shared" si="5"/>
        <v>8.0000000000000004E-4</v>
      </c>
      <c r="AS12" s="538">
        <f t="shared" si="6"/>
        <v>54844.92824178141</v>
      </c>
      <c r="AT12" s="130">
        <f t="shared" si="7"/>
        <v>18036.251569444896</v>
      </c>
      <c r="AU12" s="548">
        <f t="shared" si="8"/>
        <v>197.74620097488594</v>
      </c>
      <c r="AV12" s="51">
        <f t="shared" si="9"/>
        <v>2.2000000000000001E-3</v>
      </c>
      <c r="AW12" s="538">
        <f t="shared" si="10"/>
        <v>24929.512837173366</v>
      </c>
      <c r="AX12" s="92">
        <f t="shared" si="11"/>
        <v>7834.9897488259148</v>
      </c>
      <c r="AY12" s="130">
        <f t="shared" si="22"/>
        <v>2576.607367063556</v>
      </c>
      <c r="AZ12" s="538">
        <f t="shared" si="12"/>
        <v>19.774620097488594</v>
      </c>
      <c r="BA12" s="51">
        <f t="shared" si="13"/>
        <v>8.8999999999999999E-3</v>
      </c>
      <c r="BB12" s="538">
        <f t="shared" si="23"/>
        <v>-5077.6119402985059</v>
      </c>
      <c r="BC12" s="542">
        <f t="shared" si="24"/>
        <v>-1669.8186917760188</v>
      </c>
      <c r="BD12" s="12"/>
      <c r="BE12" s="886"/>
      <c r="BF12" s="418">
        <v>3</v>
      </c>
      <c r="BG12" s="418">
        <v>7315</v>
      </c>
      <c r="BH12" s="418" t="s">
        <v>23</v>
      </c>
      <c r="BI12" s="424">
        <f>'Structural Information'!$AC$7</f>
        <v>3</v>
      </c>
      <c r="BJ12" s="428">
        <f>('Structural Information'!$AF$25)*(200)/$BI12</f>
        <v>53616.514621265807</v>
      </c>
      <c r="BK12" s="438">
        <f t="shared" si="31"/>
        <v>433495.56258141535</v>
      </c>
      <c r="BL12" s="12"/>
      <c r="BM12" s="751"/>
      <c r="BN12" s="388" t="s">
        <v>407</v>
      </c>
      <c r="BO12" s="389">
        <f>'Structural Information'!$AM$7</f>
        <v>2</v>
      </c>
      <c r="BP12" s="446">
        <f t="shared" si="27"/>
        <v>1.5</v>
      </c>
      <c r="BQ12" s="446">
        <f t="shared" si="27"/>
        <v>1.5</v>
      </c>
      <c r="BR12" s="446">
        <f t="shared" si="27"/>
        <v>1.5</v>
      </c>
      <c r="BS12" s="354">
        <f t="shared" si="27"/>
        <v>1.5</v>
      </c>
      <c r="BT12" s="354">
        <f t="shared" si="27"/>
        <v>1.5</v>
      </c>
      <c r="BU12" s="355">
        <f t="shared" si="27"/>
        <v>1.375</v>
      </c>
      <c r="BV12" s="12"/>
      <c r="BW12" s="880"/>
      <c r="BX12" s="318" t="s">
        <v>247</v>
      </c>
      <c r="BY12" s="133">
        <f>1/($BC$5)</f>
        <v>-5.9886741292636996E-4</v>
      </c>
      <c r="BZ12" s="133">
        <f>1/($BC$10)</f>
        <v>-5.9886741292636996E-4</v>
      </c>
      <c r="CA12" s="133">
        <f>1/($BC$15)</f>
        <v>-5.9886741292636996E-4</v>
      </c>
      <c r="CB12" s="133">
        <f>1/($BC$20)</f>
        <v>-6.4117705692213231E-4</v>
      </c>
      <c r="CC12" s="133">
        <f>1/($BC$25)</f>
        <v>-6.4117705692213231E-4</v>
      </c>
      <c r="CD12" s="134">
        <f>1/($BC$30)</f>
        <v>-6.8451360310928168E-4</v>
      </c>
      <c r="CE12" s="12"/>
      <c r="CF12" s="869"/>
      <c r="CG12" s="395">
        <v>4</v>
      </c>
      <c r="CH12" s="872"/>
      <c r="CI12" s="872"/>
      <c r="CJ12" s="878"/>
      <c r="CK12" s="12"/>
      <c r="CL12" s="70" t="s">
        <v>446</v>
      </c>
      <c r="CM12" s="455">
        <f>AQ9*COS($N9)+AQ10*COS($N10)+AQ11*COS($N11)+AQ12*COS($N12)+AQ13*COS($N13)</f>
        <v>842.39999999999986</v>
      </c>
      <c r="CN12" s="455">
        <f t="shared" si="32"/>
        <v>1046.52</v>
      </c>
      <c r="CO12" s="455">
        <f t="shared" si="33"/>
        <v>104.652</v>
      </c>
      <c r="CP12" s="580">
        <f t="shared" si="34"/>
        <v>104.652</v>
      </c>
      <c r="CQ12" s="581">
        <v>560.38573618452904</v>
      </c>
      <c r="CR12" s="70" t="s">
        <v>449</v>
      </c>
      <c r="CS12" s="580">
        <f>CH9</f>
        <v>123119.20359633045</v>
      </c>
      <c r="CT12" s="580">
        <f>CI9</f>
        <v>22761.787789609498</v>
      </c>
      <c r="CU12" s="580">
        <f>CJ9</f>
        <v>-32925.123958400334</v>
      </c>
      <c r="CV12" s="580">
        <v>0</v>
      </c>
      <c r="CW12" s="581">
        <f t="shared" si="35"/>
        <v>369357.61078899133</v>
      </c>
      <c r="CX12" s="70" t="s">
        <v>452</v>
      </c>
      <c r="CY12" s="51">
        <f>CM12/(CS12*'Structural Information'!$AC$7)</f>
        <v>2.2807165072368058E-3</v>
      </c>
      <c r="CZ12" s="51">
        <f>CY12+(((1/CT12)*(CN12-CM12))/'Structural Information'!$AC$7)</f>
        <v>5.2699368896120223E-3</v>
      </c>
      <c r="DA12" s="51">
        <f>CZ12+(((1/CU12)*(CO12-CN12))/'Structural Information'!$AC$7)</f>
        <v>1.4805390739282312E-2</v>
      </c>
      <c r="DB12" s="51">
        <f t="shared" si="36"/>
        <v>0.08</v>
      </c>
      <c r="DC12" s="584">
        <v>1.517190169677238E-3</v>
      </c>
      <c r="DD12" s="12"/>
      <c r="DE12" s="12"/>
      <c r="DF12" s="12"/>
      <c r="DG12" s="12"/>
      <c r="DH12" s="12"/>
      <c r="DI12" s="12"/>
      <c r="DK12" s="156"/>
    </row>
    <row r="13" spans="2:115" x14ac:dyDescent="0.25">
      <c r="B13" s="887"/>
      <c r="C13" s="334">
        <v>5</v>
      </c>
      <c r="D13" s="419">
        <v>515</v>
      </c>
      <c r="E13" s="139">
        <f>'Structural Information'!$AC$7</f>
        <v>3</v>
      </c>
      <c r="F13" s="354">
        <f>'Structural Information'!$AM$6</f>
        <v>4.5</v>
      </c>
      <c r="G13" s="425">
        <f>'Structural Information'!$AB$19/1000</f>
        <v>0.5</v>
      </c>
      <c r="H13" s="425">
        <f>'Structural Information'!$AB$24/1000</f>
        <v>0.25</v>
      </c>
      <c r="I13" s="140">
        <f>'Structural Information'!$AB$25/1000</f>
        <v>0.25</v>
      </c>
      <c r="J13" s="141">
        <f t="shared" si="14"/>
        <v>3.2552083333333332E-4</v>
      </c>
      <c r="K13" s="354">
        <f t="shared" si="28"/>
        <v>4.25</v>
      </c>
      <c r="L13" s="354">
        <f t="shared" si="29"/>
        <v>2.5</v>
      </c>
      <c r="M13" s="354">
        <f t="shared" si="0"/>
        <v>4.9307707308290052</v>
      </c>
      <c r="N13" s="355">
        <f t="shared" si="30"/>
        <v>0.53172406725880561</v>
      </c>
      <c r="T13" s="12"/>
      <c r="U13" s="886"/>
      <c r="V13" s="597">
        <v>5</v>
      </c>
      <c r="W13" s="597">
        <v>515</v>
      </c>
      <c r="X13" s="605">
        <f>1/((((COS(N13))^4)/'Structural Information'!$AR$30)+(((SIN(N13))^4)/'Structural Information'!$AR$31)+(((SIN(N13))^2)*((COS(N13))^2)*((1/'Structural Information'!$AR$32)-(2*'Structural Information'!$AV$32/'Structural Information'!$AR$31))))</f>
        <v>1492.8812750676027</v>
      </c>
      <c r="Y13" s="605">
        <f>((X13*('Structural Information'!$AV$30/1000)*SIN(2*N13))/(4*'Structural Information'!$AR$33*J13*L13))^(1/4)</f>
        <v>1.5504857878772818</v>
      </c>
      <c r="Z13" s="605">
        <f t="shared" si="1"/>
        <v>4.6514573636318453</v>
      </c>
      <c r="AA13" s="112">
        <f t="shared" si="18"/>
        <v>0.70699999999999996</v>
      </c>
      <c r="AB13" s="112">
        <f t="shared" si="19"/>
        <v>0.01</v>
      </c>
      <c r="AC13" s="605">
        <f t="shared" si="20"/>
        <v>0.79876204692072605</v>
      </c>
      <c r="AD13" s="609">
        <f>((0.6*'Structural Information'!$AT$30)+(0.3*'Structural Information'!$AV$31))/(AC13/M13)</f>
        <v>1.3333714113794979</v>
      </c>
      <c r="AE13" s="605">
        <f>(((1.2*SIN(N13)+0.45*COS(N13))*'Structural Information'!$AT$31)+(0.3*'Structural Information'!$AV$31))/(AC13/M13)</f>
        <v>1.8450425952026535</v>
      </c>
      <c r="AF13" s="605">
        <f>(1.12*'Structural Information'!$AT$32*COS(N13)*SIN(N13))/((AA13*(Z13^(-0.12)))+(AB13*(Z13^(0.88))))</f>
        <v>2.7418487136841865</v>
      </c>
      <c r="AG13" s="605">
        <f>(1.16*'Structural Information'!$AT$32*TAN(N13))/((AA13)+(AB13*Z13))</f>
        <v>3.1785169223354388</v>
      </c>
      <c r="AH13" s="610">
        <f t="shared" si="21"/>
        <v>1.3333714113794979</v>
      </c>
      <c r="AI13" s="605">
        <f>AH13*AC13*'Structural Information'!$AV$30</f>
        <v>319.51394335771954</v>
      </c>
      <c r="AJ13" s="605">
        <f t="shared" si="2"/>
        <v>255.61115468617564</v>
      </c>
      <c r="AK13" s="602">
        <f t="shared" si="3"/>
        <v>31.951394335771955</v>
      </c>
      <c r="AL13" s="12"/>
      <c r="AM13" s="887"/>
      <c r="AN13" s="530">
        <v>5</v>
      </c>
      <c r="AO13" s="530">
        <v>505</v>
      </c>
      <c r="AP13" s="139">
        <f>'Structural Information'!$AC$7</f>
        <v>3</v>
      </c>
      <c r="AQ13" s="139">
        <f t="shared" si="4"/>
        <v>255.61115468617564</v>
      </c>
      <c r="AR13" s="68">
        <f t="shared" si="5"/>
        <v>8.0000000000000004E-4</v>
      </c>
      <c r="AS13" s="539">
        <f t="shared" si="6"/>
        <v>59078.149025741252</v>
      </c>
      <c r="AT13" s="148">
        <f t="shared" si="7"/>
        <v>43890.964186219077</v>
      </c>
      <c r="AU13" s="139">
        <f t="shared" si="8"/>
        <v>319.51394335771954</v>
      </c>
      <c r="AV13" s="68">
        <f t="shared" si="9"/>
        <v>2.2000000000000001E-3</v>
      </c>
      <c r="AW13" s="539">
        <f t="shared" si="10"/>
        <v>26853.704102609659</v>
      </c>
      <c r="AX13" s="149">
        <f t="shared" si="11"/>
        <v>8439.7355751058913</v>
      </c>
      <c r="AY13" s="148">
        <f t="shared" si="22"/>
        <v>6270.1377408884373</v>
      </c>
      <c r="AZ13" s="539">
        <f t="shared" si="12"/>
        <v>31.951394335771955</v>
      </c>
      <c r="BA13" s="68">
        <f t="shared" si="13"/>
        <v>8.8999999999999999E-3</v>
      </c>
      <c r="BB13" s="539">
        <f t="shared" si="23"/>
        <v>-12331.343283582089</v>
      </c>
      <c r="BC13" s="544">
        <f t="shared" si="24"/>
        <v>-9161.3321566972318</v>
      </c>
      <c r="BD13" s="12"/>
      <c r="BE13" s="886"/>
      <c r="BF13" s="418">
        <v>4</v>
      </c>
      <c r="BG13" s="418">
        <v>7415</v>
      </c>
      <c r="BH13" s="418" t="s">
        <v>23</v>
      </c>
      <c r="BI13" s="424">
        <f>'Structural Information'!$AC$7</f>
        <v>3</v>
      </c>
      <c r="BJ13" s="428">
        <f>('Structural Information'!$AF$25)*(200)/$BI13</f>
        <v>53616.514621265807</v>
      </c>
      <c r="BK13" s="438">
        <f t="shared" si="31"/>
        <v>433495.56258141535</v>
      </c>
      <c r="BL13" s="12"/>
      <c r="BM13" s="913">
        <v>5</v>
      </c>
      <c r="BN13" s="137" t="s">
        <v>408</v>
      </c>
      <c r="BO13" s="138">
        <f>'Structural Information'!$AM$6</f>
        <v>4.5</v>
      </c>
      <c r="BP13" s="445">
        <f t="shared" si="27"/>
        <v>0.66666666666666663</v>
      </c>
      <c r="BQ13" s="445">
        <f t="shared" si="27"/>
        <v>0.66666666666666663</v>
      </c>
      <c r="BR13" s="445">
        <f t="shared" si="27"/>
        <v>0.66666666666666663</v>
      </c>
      <c r="BS13" s="343">
        <f t="shared" si="27"/>
        <v>0.66666666666666663</v>
      </c>
      <c r="BT13" s="343">
        <f t="shared" si="27"/>
        <v>0.66666666666666663</v>
      </c>
      <c r="BU13" s="346">
        <f t="shared" si="27"/>
        <v>0.61111111111111116</v>
      </c>
      <c r="BV13" s="12"/>
      <c r="BW13" s="880"/>
      <c r="BX13" s="319" t="s">
        <v>251</v>
      </c>
      <c r="BY13" s="133">
        <f>(BP8*BP8)/$BK$6</f>
        <v>5.190364548604635E-6</v>
      </c>
      <c r="BZ13" s="133">
        <f>(BQ8*BQ8)/$BK$12</f>
        <v>5.190364548604635E-6</v>
      </c>
      <c r="CA13" s="133">
        <f>(BR8*BR8)/$BK$18</f>
        <v>5.190364548604635E-6</v>
      </c>
      <c r="CB13" s="133">
        <f>(BS8*BS8)/$BK$24</f>
        <v>3.6044198254198856E-6</v>
      </c>
      <c r="CC13" s="133">
        <f>(BT8*BT8)/$BK$30</f>
        <v>3.6044198254198856E-6</v>
      </c>
      <c r="CD13" s="134">
        <f>(BU8*BU8)/$BK$36</f>
        <v>1.4278222582243652E-6</v>
      </c>
      <c r="CE13" s="12"/>
      <c r="CF13" s="870"/>
      <c r="CG13" s="396">
        <v>5</v>
      </c>
      <c r="CH13" s="873"/>
      <c r="CI13" s="873"/>
      <c r="CJ13" s="885"/>
      <c r="CK13" s="12"/>
      <c r="CL13" s="70" t="s">
        <v>445</v>
      </c>
      <c r="CM13" s="455">
        <f>AQ14*COS($N14)+AQ15*COS($N15)+AQ16*COS($N16)+AQ17*COS($N17)+AQ18*COS($N18)</f>
        <v>842.39999999999986</v>
      </c>
      <c r="CN13" s="455">
        <f t="shared" si="32"/>
        <v>1043.28</v>
      </c>
      <c r="CO13" s="455">
        <f t="shared" si="33"/>
        <v>104.32800000000002</v>
      </c>
      <c r="CP13" s="580">
        <f t="shared" si="34"/>
        <v>104.32800000000002</v>
      </c>
      <c r="CQ13" s="581">
        <v>812.7598540711956</v>
      </c>
      <c r="CR13" s="70" t="s">
        <v>448</v>
      </c>
      <c r="CS13" s="580">
        <f>CH14</f>
        <v>133546.91453196958</v>
      </c>
      <c r="CT13" s="580">
        <f>CI14</f>
        <v>23106.396469249394</v>
      </c>
      <c r="CU13" s="580">
        <f>CJ14</f>
        <v>-32282.647167685293</v>
      </c>
      <c r="CV13" s="580">
        <v>0</v>
      </c>
      <c r="CW13" s="581">
        <f t="shared" si="35"/>
        <v>400640.74359590875</v>
      </c>
      <c r="CX13" s="70" t="s">
        <v>451</v>
      </c>
      <c r="CY13" s="51">
        <f>CM13/(CS13*'Structural Information'!$AC$8)</f>
        <v>2.1026318802204874E-3</v>
      </c>
      <c r="CZ13" s="51">
        <f>CY13+(((1/CT13)*(CN13-CM13))/'Structural Information'!$AC$8)</f>
        <v>5.0005307407854482E-3</v>
      </c>
      <c r="DA13" s="51">
        <f>CZ13+(((1/CU13)*(CO13-CN13))/'Structural Information'!$AC$8)</f>
        <v>1.4695646459588547E-2</v>
      </c>
      <c r="DB13" s="51">
        <f t="shared" si="36"/>
        <v>0.08</v>
      </c>
      <c r="DC13" s="584">
        <v>2.0286500239001036E-3</v>
      </c>
      <c r="DD13" s="12"/>
      <c r="DE13" s="12"/>
      <c r="DF13" s="12"/>
      <c r="DG13" s="12"/>
      <c r="DH13" s="12"/>
      <c r="DI13" s="12"/>
      <c r="DK13" s="152"/>
    </row>
    <row r="14" spans="2:115" ht="15.75" thickBot="1" x14ac:dyDescent="0.3">
      <c r="B14" s="888">
        <v>4</v>
      </c>
      <c r="C14" s="328">
        <v>1</v>
      </c>
      <c r="D14" s="418">
        <v>114</v>
      </c>
      <c r="E14" s="125">
        <f>'Structural Information'!$AC$8</f>
        <v>3</v>
      </c>
      <c r="F14" s="342">
        <f>'Structural Information'!$AM$10</f>
        <v>4.5</v>
      </c>
      <c r="G14" s="423">
        <f>'Structural Information'!$AB$19/1000</f>
        <v>0.5</v>
      </c>
      <c r="H14" s="423">
        <f>'Structural Information'!$AB$24/1000</f>
        <v>0.25</v>
      </c>
      <c r="I14" s="126">
        <f>'Structural Information'!$AB$25/1000</f>
        <v>0.25</v>
      </c>
      <c r="J14" s="127">
        <f t="shared" si="14"/>
        <v>3.2552083333333332E-4</v>
      </c>
      <c r="K14" s="342">
        <f t="shared" si="28"/>
        <v>4.25</v>
      </c>
      <c r="L14" s="342">
        <f t="shared" si="29"/>
        <v>2.5</v>
      </c>
      <c r="M14" s="342">
        <f t="shared" si="0"/>
        <v>4.9307707308290052</v>
      </c>
      <c r="N14" s="345">
        <f t="shared" si="30"/>
        <v>0.53172406725880561</v>
      </c>
      <c r="T14" s="12"/>
      <c r="U14" s="888">
        <v>4</v>
      </c>
      <c r="V14" s="598">
        <v>1</v>
      </c>
      <c r="W14" s="598">
        <v>114</v>
      </c>
      <c r="X14" s="604">
        <f>1/((((COS(N14))^4)/'Structural Information'!$AR$30)+(((SIN(N14))^4)/'Structural Information'!$AR$31)+(((SIN(N14))^2)*((COS(N14))^2)*((1/'Structural Information'!$AR$32)-(2*'Structural Information'!$AV$32/'Structural Information'!$AR$31))))</f>
        <v>1492.8812750676027</v>
      </c>
      <c r="Y14" s="604">
        <f>((X14*('Structural Information'!$AV$30/1000)*SIN(2*N14))/(4*'Structural Information'!$AR$33*J14*L14))^(1/4)</f>
        <v>1.5504857878772818</v>
      </c>
      <c r="Z14" s="604">
        <f t="shared" si="1"/>
        <v>4.6514573636318453</v>
      </c>
      <c r="AA14" s="115">
        <f t="shared" si="18"/>
        <v>0.70699999999999996</v>
      </c>
      <c r="AB14" s="115">
        <f t="shared" si="19"/>
        <v>0.01</v>
      </c>
      <c r="AC14" s="604">
        <f t="shared" si="20"/>
        <v>0.79876204692072605</v>
      </c>
      <c r="AD14" s="125">
        <f>((0.6*'Structural Information'!$AT$30)+(0.3*'Structural Information'!$AV$31))/(AC14/M14)</f>
        <v>1.3333714113794979</v>
      </c>
      <c r="AE14" s="604">
        <f>(((1.2*SIN(N14)+0.45*COS(N14))*'Structural Information'!$AT$31)+(0.3*'Structural Information'!$AV$31))/(AC14/M14)</f>
        <v>1.8450425952026535</v>
      </c>
      <c r="AF14" s="604">
        <f>(1.12*'Structural Information'!$AT$32*COS(N14)*SIN(N14))/((AA14*(Z14^(-0.12)))+(AB14*(Z14^(0.88))))</f>
        <v>2.7418487136841865</v>
      </c>
      <c r="AG14" s="604">
        <f>(1.16*'Structural Information'!$AT$32*TAN(N14))/((AA14)+(AB14*Z14))</f>
        <v>3.1785169223354388</v>
      </c>
      <c r="AH14" s="126">
        <f t="shared" si="21"/>
        <v>1.3333714113794979</v>
      </c>
      <c r="AI14" s="604">
        <f>AH14*AC14*'Structural Information'!$AV$30</f>
        <v>319.51394335771954</v>
      </c>
      <c r="AJ14" s="604">
        <f t="shared" si="2"/>
        <v>255.61115468617564</v>
      </c>
      <c r="AK14" s="601">
        <f t="shared" si="3"/>
        <v>31.951394335771955</v>
      </c>
      <c r="AL14" s="12"/>
      <c r="AM14" s="888">
        <v>4</v>
      </c>
      <c r="AN14" s="529">
        <v>1</v>
      </c>
      <c r="AO14" s="527">
        <v>104</v>
      </c>
      <c r="AP14" s="125">
        <f>'Structural Information'!$AC$8</f>
        <v>3</v>
      </c>
      <c r="AQ14" s="125">
        <f t="shared" si="4"/>
        <v>255.61115468617564</v>
      </c>
      <c r="AR14" s="45">
        <f t="shared" si="5"/>
        <v>8.0000000000000004E-4</v>
      </c>
      <c r="AS14" s="537">
        <f t="shared" si="6"/>
        <v>59078.149025741252</v>
      </c>
      <c r="AT14" s="144">
        <f t="shared" si="7"/>
        <v>43890.964186219077</v>
      </c>
      <c r="AU14" s="125">
        <f t="shared" si="8"/>
        <v>319.51394335771954</v>
      </c>
      <c r="AV14" s="45">
        <f t="shared" si="9"/>
        <v>2.2000000000000001E-3</v>
      </c>
      <c r="AW14" s="537">
        <f t="shared" si="10"/>
        <v>26853.704102609659</v>
      </c>
      <c r="AX14" s="87">
        <f t="shared" si="11"/>
        <v>8439.7355751058913</v>
      </c>
      <c r="AY14" s="144">
        <f t="shared" si="22"/>
        <v>6270.1377408884373</v>
      </c>
      <c r="AZ14" s="537">
        <f t="shared" si="12"/>
        <v>31.951394335771955</v>
      </c>
      <c r="BA14" s="45">
        <f t="shared" si="13"/>
        <v>8.8999999999999999E-3</v>
      </c>
      <c r="BB14" s="537">
        <f t="shared" si="23"/>
        <v>-12331.343283582089</v>
      </c>
      <c r="BC14" s="541">
        <f t="shared" si="24"/>
        <v>-9161.3321566972318</v>
      </c>
      <c r="BD14" s="12"/>
      <c r="BE14" s="886"/>
      <c r="BF14" s="418">
        <v>5</v>
      </c>
      <c r="BG14" s="418">
        <v>7515</v>
      </c>
      <c r="BH14" s="418" t="s">
        <v>23</v>
      </c>
      <c r="BI14" s="424">
        <f>'Structural Information'!$AC$7</f>
        <v>3</v>
      </c>
      <c r="BJ14" s="428">
        <f>('Structural Information'!$AF$25)*(200)/$BI14</f>
        <v>53616.514621265807</v>
      </c>
      <c r="BK14" s="438">
        <f t="shared" si="31"/>
        <v>433495.56258141535</v>
      </c>
      <c r="BL14" s="12"/>
      <c r="BM14" s="914"/>
      <c r="BN14" s="340">
        <v>6</v>
      </c>
      <c r="BO14" s="314">
        <f>'Structural Information'!$AM$6</f>
        <v>4.5</v>
      </c>
      <c r="BP14" s="447">
        <f t="shared" si="27"/>
        <v>0.66666666666666663</v>
      </c>
      <c r="BQ14" s="447">
        <f t="shared" si="27"/>
        <v>0.66666666666666663</v>
      </c>
      <c r="BR14" s="447">
        <f t="shared" si="27"/>
        <v>0.66666666666666663</v>
      </c>
      <c r="BS14" s="344">
        <f t="shared" si="27"/>
        <v>0.66666666666666663</v>
      </c>
      <c r="BT14" s="344">
        <f t="shared" si="27"/>
        <v>0.66666666666666663</v>
      </c>
      <c r="BU14" s="347">
        <f t="shared" si="27"/>
        <v>0.61111111111111116</v>
      </c>
      <c r="BV14" s="12"/>
      <c r="BW14" s="881">
        <v>3</v>
      </c>
      <c r="BX14" s="320" t="s">
        <v>252</v>
      </c>
      <c r="BY14" s="150">
        <f>(BP9*BP9)/$BK$6</f>
        <v>1.0252571947861007E-6</v>
      </c>
      <c r="BZ14" s="150">
        <f>(BQ9*BQ9)/$BK$12</f>
        <v>1.0252571947861007E-6</v>
      </c>
      <c r="CA14" s="150">
        <f>(BR9*BR9)/$BK$18</f>
        <v>1.0252571947861007E-6</v>
      </c>
      <c r="CB14" s="150">
        <f>(BS9*BS9)/$BK$24</f>
        <v>7.1198416304590332E-7</v>
      </c>
      <c r="CC14" s="150">
        <f>(BT9*BT9)/$BK$30</f>
        <v>7.1198416304590332E-7</v>
      </c>
      <c r="CD14" s="151">
        <f>(BU9*BU9)/$BK$36</f>
        <v>2.82038964587529E-7</v>
      </c>
      <c r="CE14" s="12"/>
      <c r="CF14" s="868">
        <v>4</v>
      </c>
      <c r="CG14" s="394">
        <v>1</v>
      </c>
      <c r="CH14" s="871">
        <f>1/(CA5+CA4+CB4+CC4+CD4+CB8+CC8+CD8)+1/(CA10+CA9+CB9+CC9+CD9+CB13+CC13+CD13)+1/(CA15+CA14+CB14+CC14+CD14+CB18+CC18+CD18)+1/(CA20+CA19+CB19+CC19+CD19+CB23+CC23+CD23)+1/(CA25+CA24+CB24+CC24+CD24+CB28+CC28+CD28)</f>
        <v>133546.91453196958</v>
      </c>
      <c r="CI14" s="871">
        <f>1/(CA6+CA4+CB4+CC4+CD4+CB8+CC8+CD8)+1/(CA11+CA9+CB9+CC9+CD9+CB13+CC13+CD13)+1/(CA16+CA14+CB14+CC14+CD14+CB18+CC18+CD18)+1/(CA21+CA19+CB19+CC19+CD19+CB23+CC23+CD23)+1/(CA26+CA24+CB24+CC24+CD24+CB28+CC28+CD28)</f>
        <v>23106.396469249394</v>
      </c>
      <c r="CJ14" s="877">
        <f>1/(CA7+CA4+CB4+CC4+CD4+CB8+CC8+CD8)+1/(CA12+CA9+CB9+CC9+CD9+CB13+CC13+CD13)+1/(CA17+CA14+CB14+CC14+CD14+CB18+CC18+CD18)+1/(CA22+CA19+CB19+CC19+CD19+CB23+CC23+CD23)+1/(CA27+CA24+CB24+CC24+CD24+CB28+CC28+CD28)</f>
        <v>-32282.647167685293</v>
      </c>
      <c r="CK14" s="12"/>
      <c r="CL14" s="70" t="s">
        <v>180</v>
      </c>
      <c r="CM14" s="455">
        <f>AQ19*COS($N19)+AQ20*COS($N20)+AQ21*COS($N21)+AQ22*COS($N22)+AQ23*COS($N23)</f>
        <v>834.62400000000002</v>
      </c>
      <c r="CN14" s="455">
        <f>AU19*COS($N19)+AU20*COS($N20)+AU21*COS($N21)+AU22*COS($N22)+AU23*COS($N23)</f>
        <v>1043.28</v>
      </c>
      <c r="CO14" s="455">
        <f>AZ19*COS($N19)+AZ20*COS($N20)+AZ21*COS($N21)+AZ22*COS($N22)+AZ23*COS($N23)</f>
        <v>104.328</v>
      </c>
      <c r="CP14" s="580">
        <f>AZ19*COS($N19)+AZ20*COS($N20)+AZ21*COS($N21)+AZ22*COS($N22)+AZ23*COS($N23)</f>
        <v>104.328</v>
      </c>
      <c r="CQ14" s="581">
        <v>966.38726894910894</v>
      </c>
      <c r="CR14" s="70" t="s">
        <v>223</v>
      </c>
      <c r="CS14" s="455">
        <f>CH19</f>
        <v>142827.02669058536</v>
      </c>
      <c r="CT14" s="455">
        <f>CI19</f>
        <v>23101.129863108945</v>
      </c>
      <c r="CU14" s="455">
        <f>CJ19</f>
        <v>-31327.688674398905</v>
      </c>
      <c r="CV14" s="455">
        <v>0</v>
      </c>
      <c r="CW14" s="581">
        <f t="shared" si="35"/>
        <v>428481.08007175609</v>
      </c>
      <c r="CX14" s="70" t="s">
        <v>303</v>
      </c>
      <c r="CY14" s="51">
        <f>CM14/(CS14*'Structural Information'!$AC$9)</f>
        <v>1.9478666359322766E-3</v>
      </c>
      <c r="CZ14" s="51">
        <f>CY14+(((1/CT14)*(CN14-CM14))/'Structural Information'!$AC$9)</f>
        <v>4.9586284649919959E-3</v>
      </c>
      <c r="DA14" s="51">
        <f>CZ14+(((1/CU14)*(CO14-CN14))/'Structural Information'!$AC$9)</f>
        <v>1.4949279331481602E-2</v>
      </c>
      <c r="DB14" s="51">
        <f t="shared" ref="DB14:DB16" si="37">0.08</f>
        <v>0.08</v>
      </c>
      <c r="DC14" s="584">
        <v>3.8491195144697114E-3</v>
      </c>
      <c r="DD14" s="12"/>
      <c r="DE14" s="12"/>
      <c r="DF14" s="12"/>
      <c r="DG14" s="12"/>
      <c r="DH14" s="12"/>
      <c r="DI14" s="12"/>
      <c r="DK14" s="152"/>
    </row>
    <row r="15" spans="2:115" x14ac:dyDescent="0.25">
      <c r="B15" s="886"/>
      <c r="C15" s="330">
        <v>2</v>
      </c>
      <c r="D15" s="418">
        <v>214</v>
      </c>
      <c r="E15" s="358">
        <f>'Structural Information'!$AC$8</f>
        <v>3</v>
      </c>
      <c r="F15" s="343">
        <f>'Structural Information'!$AM$9</f>
        <v>2</v>
      </c>
      <c r="G15" s="424">
        <f>'Structural Information'!$AB$19/1000</f>
        <v>0.5</v>
      </c>
      <c r="H15" s="424">
        <f>'Structural Information'!$AB$24/1000</f>
        <v>0.25</v>
      </c>
      <c r="I15" s="429">
        <f>'Structural Information'!$AB$25/1000</f>
        <v>0.25</v>
      </c>
      <c r="J15" s="135">
        <f t="shared" si="14"/>
        <v>3.2552083333333332E-4</v>
      </c>
      <c r="K15" s="343">
        <f t="shared" si="28"/>
        <v>1.75</v>
      </c>
      <c r="L15" s="343">
        <f t="shared" si="29"/>
        <v>2.5</v>
      </c>
      <c r="M15" s="343">
        <f t="shared" si="0"/>
        <v>3.0516389039334255</v>
      </c>
      <c r="N15" s="346">
        <f t="shared" si="30"/>
        <v>0.96007036240568799</v>
      </c>
      <c r="T15" s="12"/>
      <c r="U15" s="886"/>
      <c r="V15" s="597">
        <v>2</v>
      </c>
      <c r="W15" s="597">
        <v>214</v>
      </c>
      <c r="X15" s="605">
        <f>1/((((COS(N15))^4)/'Structural Information'!$AR$30)+(((SIN(N15))^4)/'Structural Information'!$AR$31)+(((SIN(N15))^2)*((COS(N15))^2)*((1/'Structural Information'!$AR$32)-(2*'Structural Information'!$AV$32/'Structural Information'!$AR$31))))</f>
        <v>2596.9081693069729</v>
      </c>
      <c r="Y15" s="605">
        <f>((X15*('Structural Information'!$AV$30/1000)*SIN(2*N15))/(4*'Structural Information'!$AR$33*J15*L15))^(1/4)</f>
        <v>1.8131291203134809</v>
      </c>
      <c r="Z15" s="605">
        <f t="shared" si="1"/>
        <v>5.4393873609404428</v>
      </c>
      <c r="AA15" s="112">
        <f t="shared" si="18"/>
        <v>0.70699999999999996</v>
      </c>
      <c r="AB15" s="112">
        <f t="shared" si="19"/>
        <v>0.01</v>
      </c>
      <c r="AC15" s="605">
        <f t="shared" si="20"/>
        <v>0.42716192316211632</v>
      </c>
      <c r="AD15" s="609">
        <f>((0.6*'Structural Information'!$AT$30)+(0.3*'Structural Information'!$AV$31))/(AC15/M15)</f>
        <v>1.5431010291604526</v>
      </c>
      <c r="AE15" s="605">
        <f>(((1.2*SIN(N15)+0.45*COS(N15))*'Structural Information'!$AT$31)+(0.3*'Structural Information'!$AV$31))/(AC15/M15)</f>
        <v>2.6599983247307617</v>
      </c>
      <c r="AF15" s="605">
        <f>(1.12*'Structural Information'!$AT$32*COS(N15)*SIN(N15))/((AA15*(Z15^(-0.12)))+(AB15*(Z15^(0.88))))</f>
        <v>2.9723060894510924</v>
      </c>
      <c r="AG15" s="605">
        <f>(1.16*'Structural Information'!$AT$32*TAN(N15))/((AA15)+(AB15*Z15))</f>
        <v>7.6393725116250852</v>
      </c>
      <c r="AH15" s="610">
        <f t="shared" si="21"/>
        <v>1.5431010291604526</v>
      </c>
      <c r="AI15" s="605">
        <f>AH15*AC15*'Structural Information'!$AV$30</f>
        <v>197.74620097488594</v>
      </c>
      <c r="AJ15" s="605">
        <f t="shared" si="2"/>
        <v>158.19696077990875</v>
      </c>
      <c r="AK15" s="602">
        <f t="shared" si="3"/>
        <v>19.774620097488594</v>
      </c>
      <c r="AL15" s="12"/>
      <c r="AM15" s="886"/>
      <c r="AN15" s="527">
        <v>2</v>
      </c>
      <c r="AO15" s="527">
        <v>204</v>
      </c>
      <c r="AP15" s="548">
        <f>'Structural Information'!$AC$8</f>
        <v>3</v>
      </c>
      <c r="AQ15" s="548">
        <f t="shared" si="4"/>
        <v>158.19696077990875</v>
      </c>
      <c r="AR15" s="51">
        <f t="shared" si="5"/>
        <v>8.0000000000000004E-4</v>
      </c>
      <c r="AS15" s="538">
        <f t="shared" si="6"/>
        <v>54844.92824178141</v>
      </c>
      <c r="AT15" s="130">
        <f t="shared" si="7"/>
        <v>18036.251569444896</v>
      </c>
      <c r="AU15" s="548">
        <f t="shared" si="8"/>
        <v>197.74620097488594</v>
      </c>
      <c r="AV15" s="51">
        <f t="shared" si="9"/>
        <v>2.2000000000000001E-3</v>
      </c>
      <c r="AW15" s="538">
        <f t="shared" si="10"/>
        <v>24929.512837173366</v>
      </c>
      <c r="AX15" s="92">
        <f t="shared" si="11"/>
        <v>7834.9897488259148</v>
      </c>
      <c r="AY15" s="130">
        <f t="shared" si="22"/>
        <v>2576.607367063556</v>
      </c>
      <c r="AZ15" s="538">
        <f t="shared" si="12"/>
        <v>19.774620097488594</v>
      </c>
      <c r="BA15" s="51">
        <f t="shared" si="13"/>
        <v>8.8999999999999999E-3</v>
      </c>
      <c r="BB15" s="538">
        <f t="shared" si="23"/>
        <v>-5077.6119402985059</v>
      </c>
      <c r="BC15" s="542">
        <f t="shared" si="24"/>
        <v>-1669.8186917760188</v>
      </c>
      <c r="BD15" s="12"/>
      <c r="BE15" s="887"/>
      <c r="BF15" s="419">
        <v>6</v>
      </c>
      <c r="BG15" s="419">
        <v>7615</v>
      </c>
      <c r="BH15" s="419" t="s">
        <v>23</v>
      </c>
      <c r="BI15" s="425">
        <f>'Structural Information'!$AC$7</f>
        <v>3</v>
      </c>
      <c r="BJ15" s="139">
        <f>('Structural Information'!$AF$25)*(200)/$BI15</f>
        <v>53616.514621265807</v>
      </c>
      <c r="BK15" s="439">
        <f t="shared" si="31"/>
        <v>433495.56258141535</v>
      </c>
      <c r="BL15" s="12"/>
      <c r="BM15" s="84"/>
      <c r="BV15" s="12"/>
      <c r="BW15" s="880"/>
      <c r="BX15" s="316" t="s">
        <v>248</v>
      </c>
      <c r="BY15" s="133">
        <f>1/($AT$6)</f>
        <v>2.278373279195313E-5</v>
      </c>
      <c r="BZ15" s="133">
        <f>1/($AT$11)</f>
        <v>2.278373279195313E-5</v>
      </c>
      <c r="CA15" s="133">
        <f>1/($AT$16)</f>
        <v>2.278373279195313E-5</v>
      </c>
      <c r="CB15" s="133">
        <f>1/($AT$21)</f>
        <v>2.3125835039275522E-5</v>
      </c>
      <c r="CC15" s="133">
        <f>1/($AT$26)</f>
        <v>2.3125835039275522E-5</v>
      </c>
      <c r="CD15" s="134">
        <f>1/($AT$31)</f>
        <v>2.334425318160132E-5</v>
      </c>
      <c r="CE15" s="12"/>
      <c r="CF15" s="869"/>
      <c r="CG15" s="395">
        <v>2</v>
      </c>
      <c r="CH15" s="872"/>
      <c r="CI15" s="872"/>
      <c r="CJ15" s="878"/>
      <c r="CK15" s="12"/>
      <c r="CL15" s="70" t="s">
        <v>181</v>
      </c>
      <c r="CM15" s="455">
        <f>AQ24*COS($N24)+AQ25*COS($N25)+AQ26*COS($N26)+AQ27*COS($N27)+AQ28*COS($N28)</f>
        <v>834.62400000000002</v>
      </c>
      <c r="CN15" s="455">
        <f>AU24*COS($N24)+AU25*COS($N25)+AU26*COS($N26)+AU27*COS($N27)+AU28*COS($N28)</f>
        <v>1043.28</v>
      </c>
      <c r="CO15" s="455">
        <f>AZ24*COS($N24)+AZ25*COS($N25)+AZ26*COS($N26)+AZ27*COS($N27)+AZ28*COS($N28)</f>
        <v>104.328</v>
      </c>
      <c r="CP15" s="580">
        <f>AZ24*COS($N24)+AZ25*COS($N25)+AZ26*COS($N26)+AZ27*COS($N27)+AZ28*COS($N28)</f>
        <v>104.328</v>
      </c>
      <c r="CQ15" s="581">
        <v>0</v>
      </c>
      <c r="CR15" s="70" t="s">
        <v>224</v>
      </c>
      <c r="CS15" s="455">
        <f>CH24</f>
        <v>153601.61761731451</v>
      </c>
      <c r="CT15" s="455">
        <f>CI24</f>
        <v>23369.183561331651</v>
      </c>
      <c r="CU15" s="455">
        <f>CJ24</f>
        <v>-30866.097440457404</v>
      </c>
      <c r="CV15" s="455">
        <v>0</v>
      </c>
      <c r="CW15" s="581">
        <f t="shared" si="35"/>
        <v>460804.85285194352</v>
      </c>
      <c r="CX15" s="70" t="s">
        <v>302</v>
      </c>
      <c r="CY15" s="51">
        <f>CM15/(CS15*'Structural Information'!$AC$10)</f>
        <v>1.8112309252701479E-3</v>
      </c>
      <c r="CZ15" s="51">
        <f>CY15+(((1/CT15)*(CN15-CM15))/'Structural Information'!$AC$10)</f>
        <v>4.7874581356672531E-3</v>
      </c>
      <c r="DA15" s="51">
        <f>CZ15+(((1/CU15)*(CO15-CN15))/'Structural Information'!$AC$10)</f>
        <v>1.4927515543435287E-2</v>
      </c>
      <c r="DB15" s="51">
        <f t="shared" si="37"/>
        <v>0.08</v>
      </c>
      <c r="DC15" s="584">
        <v>0</v>
      </c>
      <c r="DD15" s="12"/>
      <c r="DE15" s="12"/>
      <c r="DF15" s="12"/>
      <c r="DG15" s="12"/>
      <c r="DH15" s="12"/>
      <c r="DI15" s="12"/>
      <c r="DK15" s="152"/>
    </row>
    <row r="16" spans="2:115" ht="15.75" thickBot="1" x14ac:dyDescent="0.3">
      <c r="B16" s="886"/>
      <c r="C16" s="330">
        <v>3</v>
      </c>
      <c r="D16" s="418">
        <v>314</v>
      </c>
      <c r="E16" s="428">
        <f>'Structural Information'!$AC$8</f>
        <v>3</v>
      </c>
      <c r="F16" s="343">
        <f>'Structural Information'!$AM$8</f>
        <v>4.5</v>
      </c>
      <c r="G16" s="424">
        <f>'Structural Information'!$AB$19/1000</f>
        <v>0.5</v>
      </c>
      <c r="H16" s="424">
        <f>'Structural Information'!$AB$24/1000</f>
        <v>0.25</v>
      </c>
      <c r="I16" s="429">
        <f>'Structural Information'!$AB$25/1000</f>
        <v>0.25</v>
      </c>
      <c r="J16" s="135">
        <f t="shared" si="14"/>
        <v>3.2552083333333332E-4</v>
      </c>
      <c r="K16" s="343">
        <f t="shared" si="28"/>
        <v>4.25</v>
      </c>
      <c r="L16" s="343">
        <f t="shared" si="29"/>
        <v>2.5</v>
      </c>
      <c r="M16" s="343">
        <f t="shared" si="0"/>
        <v>4.9307707308290052</v>
      </c>
      <c r="N16" s="346">
        <f t="shared" si="30"/>
        <v>0.53172406725880561</v>
      </c>
      <c r="T16" s="12"/>
      <c r="U16" s="886"/>
      <c r="V16" s="597">
        <v>3</v>
      </c>
      <c r="W16" s="597">
        <v>314</v>
      </c>
      <c r="X16" s="605">
        <f>1/((((COS(N16))^4)/'Structural Information'!$AR$30)+(((SIN(N16))^4)/'Structural Information'!$AR$31)+(((SIN(N16))^2)*((COS(N16))^2)*((1/'Structural Information'!$AR$32)-(2*'Structural Information'!$AV$32/'Structural Information'!$AR$31))))</f>
        <v>1492.8812750676027</v>
      </c>
      <c r="Y16" s="605">
        <f>((X16*('Structural Information'!$AV$30/1000)*SIN(2*N16))/(4*'Structural Information'!$AR$33*J16*L16))^(1/4)</f>
        <v>1.5504857878772818</v>
      </c>
      <c r="Z16" s="605">
        <f t="shared" si="1"/>
        <v>4.6514573636318453</v>
      </c>
      <c r="AA16" s="112">
        <f t="shared" si="18"/>
        <v>0.70699999999999996</v>
      </c>
      <c r="AB16" s="112">
        <f t="shared" si="19"/>
        <v>0.01</v>
      </c>
      <c r="AC16" s="605">
        <f t="shared" si="20"/>
        <v>0.79876204692072605</v>
      </c>
      <c r="AD16" s="609">
        <f>((0.6*'Structural Information'!$AT$30)+(0.3*'Structural Information'!$AV$31))/(AC16/M16)</f>
        <v>1.3333714113794979</v>
      </c>
      <c r="AE16" s="605">
        <f>(((1.2*SIN(N16)+0.45*COS(N16))*'Structural Information'!$AT$31)+(0.3*'Structural Information'!$AV$31))/(AC16/M16)</f>
        <v>1.8450425952026535</v>
      </c>
      <c r="AF16" s="605">
        <f>(1.12*'Structural Information'!$AT$32*COS(N16)*SIN(N16))/((AA16*(Z16^(-0.12)))+(AB16*(Z16^(0.88))))</f>
        <v>2.7418487136841865</v>
      </c>
      <c r="AG16" s="605">
        <f>(1.16*'Structural Information'!$AT$32*TAN(N16))/((AA16)+(AB16*Z16))</f>
        <v>3.1785169223354388</v>
      </c>
      <c r="AH16" s="610">
        <f t="shared" si="21"/>
        <v>1.3333714113794979</v>
      </c>
      <c r="AI16" s="605">
        <f>AH16*AC16*'Structural Information'!$AV$30</f>
        <v>319.51394335771954</v>
      </c>
      <c r="AJ16" s="605">
        <f t="shared" si="2"/>
        <v>255.61115468617564</v>
      </c>
      <c r="AK16" s="602">
        <f t="shared" si="3"/>
        <v>31.951394335771955</v>
      </c>
      <c r="AL16" s="12"/>
      <c r="AM16" s="886"/>
      <c r="AN16" s="527">
        <v>3</v>
      </c>
      <c r="AO16" s="527">
        <v>304</v>
      </c>
      <c r="AP16" s="548">
        <f>'Structural Information'!$AC$8</f>
        <v>3</v>
      </c>
      <c r="AQ16" s="548">
        <f t="shared" si="4"/>
        <v>255.61115468617564</v>
      </c>
      <c r="AR16" s="51">
        <f t="shared" si="5"/>
        <v>8.0000000000000004E-4</v>
      </c>
      <c r="AS16" s="538">
        <f t="shared" si="6"/>
        <v>59078.149025741252</v>
      </c>
      <c r="AT16" s="130">
        <f t="shared" si="7"/>
        <v>43890.964186219077</v>
      </c>
      <c r="AU16" s="548">
        <f t="shared" si="8"/>
        <v>319.51394335771954</v>
      </c>
      <c r="AV16" s="51">
        <f t="shared" si="9"/>
        <v>2.2000000000000001E-3</v>
      </c>
      <c r="AW16" s="538">
        <f t="shared" si="10"/>
        <v>26853.704102609659</v>
      </c>
      <c r="AX16" s="92">
        <f t="shared" si="11"/>
        <v>8439.7355751058913</v>
      </c>
      <c r="AY16" s="130">
        <f t="shared" si="22"/>
        <v>6270.1377408884373</v>
      </c>
      <c r="AZ16" s="538">
        <f t="shared" si="12"/>
        <v>31.951394335771955</v>
      </c>
      <c r="BA16" s="51">
        <f t="shared" si="13"/>
        <v>8.8999999999999999E-3</v>
      </c>
      <c r="BB16" s="538">
        <f t="shared" si="23"/>
        <v>-12331.343283582089</v>
      </c>
      <c r="BC16" s="542">
        <f t="shared" si="24"/>
        <v>-9161.3321566972318</v>
      </c>
      <c r="BD16" s="12"/>
      <c r="BE16" s="888">
        <v>4</v>
      </c>
      <c r="BF16" s="417">
        <v>1</v>
      </c>
      <c r="BG16" s="417">
        <v>7114</v>
      </c>
      <c r="BH16" s="417" t="s">
        <v>23</v>
      </c>
      <c r="BI16" s="423">
        <f>'Structural Information'!$AC$8</f>
        <v>3</v>
      </c>
      <c r="BJ16" s="125">
        <f>('Structural Information'!$AF$25)*(200)/$BI16</f>
        <v>53616.514621265807</v>
      </c>
      <c r="BK16" s="440">
        <f t="shared" ref="BK16:BK21" si="38">Hcol1*Wcol1*(4700*SQRT(Fck))/(hstr4*1000)</f>
        <v>433495.56258141535</v>
      </c>
      <c r="BL16" s="12"/>
      <c r="BM16" s="84"/>
      <c r="BN16" s="309"/>
      <c r="BO16" s="310"/>
      <c r="BP16" s="143"/>
      <c r="BQ16" s="143"/>
      <c r="BR16" s="143"/>
      <c r="BS16" s="143"/>
      <c r="BT16" s="143"/>
      <c r="BU16" s="143"/>
      <c r="BV16" s="12"/>
      <c r="BW16" s="880"/>
      <c r="BX16" s="317" t="s">
        <v>248</v>
      </c>
      <c r="BY16" s="133">
        <f>1/($AY$6)</f>
        <v>1.5948612954367196E-4</v>
      </c>
      <c r="BZ16" s="133">
        <f>1/($AY$11)</f>
        <v>1.5948612954367196E-4</v>
      </c>
      <c r="CA16" s="133">
        <f>1/($AY$16)</f>
        <v>1.5948612954367196E-4</v>
      </c>
      <c r="CB16" s="133">
        <f>1/($AY$21)</f>
        <v>1.6188084527492868E-4</v>
      </c>
      <c r="CC16" s="133">
        <f>1/($AY$26)</f>
        <v>1.6188084527492868E-4</v>
      </c>
      <c r="CD16" s="134">
        <f>1/($AY$31)</f>
        <v>1.6340977227120935E-4</v>
      </c>
      <c r="CE16" s="12"/>
      <c r="CF16" s="869"/>
      <c r="CG16" s="395">
        <v>3</v>
      </c>
      <c r="CH16" s="872"/>
      <c r="CI16" s="872"/>
      <c r="CJ16" s="878"/>
      <c r="CK16" s="12"/>
      <c r="CL16" s="81" t="s">
        <v>182</v>
      </c>
      <c r="CM16" s="456">
        <f>AQ29*COS($N29)+AQ30*COS($N30)+AQ31*COS($N31)+AQ32*COS($N32)+AQ33*COS($N33)</f>
        <v>798.33600000000001</v>
      </c>
      <c r="CN16" s="456">
        <f>AU29*COS($N29)+AU30*COS($N30)+AU31*COS($N31)+AU32*COS($N32)+AU33*COS($N33)</f>
        <v>997.9200000000003</v>
      </c>
      <c r="CO16" s="456">
        <f>AZ29*COS($N29)+AZ30*COS($N30)+AZ31*COS($N31)+AZ32*COS($N32)+AZ33*COS($N33)</f>
        <v>99.792000000000002</v>
      </c>
      <c r="CP16" s="583">
        <f>AZ29*COS($N29)+AZ30*COS($N30)+AZ31*COS($N31)+AZ32*COS($N32)+AZ33*COS($N33)</f>
        <v>99.792000000000002</v>
      </c>
      <c r="CQ16" s="582">
        <v>959.73337444626134</v>
      </c>
      <c r="CR16" s="81" t="s">
        <v>225</v>
      </c>
      <c r="CS16" s="456">
        <f>CH29</f>
        <v>162632.72624494298</v>
      </c>
      <c r="CT16" s="456">
        <f>CI29</f>
        <v>23586.974183733419</v>
      </c>
      <c r="CU16" s="456">
        <f>CJ29</f>
        <v>-33320.210871654686</v>
      </c>
      <c r="CV16" s="456">
        <v>0</v>
      </c>
      <c r="CW16" s="582">
        <f t="shared" si="35"/>
        <v>487898.17873482895</v>
      </c>
      <c r="CX16" s="81" t="s">
        <v>301</v>
      </c>
      <c r="CY16" s="82">
        <f>CM16/(CS16*'Structural Information'!$AC$11)</f>
        <v>1.7850281840739108E-3</v>
      </c>
      <c r="CZ16" s="82">
        <f>CY16+(((1/CT16)*(CN16-CM16))/'Structural Information'!$AC$11)</f>
        <v>4.8619807187509365E-3</v>
      </c>
      <c r="DA16" s="82">
        <f>CZ16+(((1/CU16)*(CO16-CN16))/'Structural Information'!$AC$11)</f>
        <v>1.4663599359701077E-2</v>
      </c>
      <c r="DB16" s="82">
        <f t="shared" si="37"/>
        <v>0.08</v>
      </c>
      <c r="DC16" s="585">
        <v>4.2732640165687001E-3</v>
      </c>
      <c r="DD16" s="12"/>
      <c r="DE16" s="12"/>
      <c r="DF16" s="12"/>
      <c r="DG16" s="12"/>
      <c r="DH16" s="12"/>
      <c r="DI16" s="12"/>
      <c r="DK16" s="152"/>
    </row>
    <row r="17" spans="1:115" ht="15.75" thickBot="1" x14ac:dyDescent="0.3">
      <c r="B17" s="886"/>
      <c r="C17" s="330">
        <v>4</v>
      </c>
      <c r="D17" s="418">
        <v>414</v>
      </c>
      <c r="E17" s="428">
        <f>'Structural Information'!$AC$8</f>
        <v>3</v>
      </c>
      <c r="F17" s="343">
        <f>'Structural Information'!$AM$7</f>
        <v>2</v>
      </c>
      <c r="G17" s="424">
        <f>'Structural Information'!$AB$19/1000</f>
        <v>0.5</v>
      </c>
      <c r="H17" s="424">
        <f>'Structural Information'!$AB$24/1000</f>
        <v>0.25</v>
      </c>
      <c r="I17" s="429">
        <f>'Structural Information'!$AB$25/1000</f>
        <v>0.25</v>
      </c>
      <c r="J17" s="135">
        <f t="shared" si="14"/>
        <v>3.2552083333333332E-4</v>
      </c>
      <c r="K17" s="343">
        <f t="shared" si="28"/>
        <v>1.75</v>
      </c>
      <c r="L17" s="343">
        <f t="shared" si="29"/>
        <v>2.5</v>
      </c>
      <c r="M17" s="343">
        <f t="shared" si="0"/>
        <v>3.0516389039334255</v>
      </c>
      <c r="N17" s="346">
        <f t="shared" si="30"/>
        <v>0.96007036240568799</v>
      </c>
      <c r="T17" s="12"/>
      <c r="U17" s="886"/>
      <c r="V17" s="597">
        <v>4</v>
      </c>
      <c r="W17" s="597">
        <v>414</v>
      </c>
      <c r="X17" s="605">
        <f>1/((((COS(N17))^4)/'Structural Information'!$AR$30)+(((SIN(N17))^4)/'Structural Information'!$AR$31)+(((SIN(N17))^2)*((COS(N17))^2)*((1/'Structural Information'!$AR$32)-(2*'Structural Information'!$AV$32/'Structural Information'!$AR$31))))</f>
        <v>2596.9081693069729</v>
      </c>
      <c r="Y17" s="605">
        <f>((X17*('Structural Information'!$AV$30/1000)*SIN(2*N17))/(4*'Structural Information'!$AR$33*J17*L17))^(1/4)</f>
        <v>1.8131291203134809</v>
      </c>
      <c r="Z17" s="605">
        <f t="shared" si="1"/>
        <v>5.4393873609404428</v>
      </c>
      <c r="AA17" s="112">
        <f t="shared" si="18"/>
        <v>0.70699999999999996</v>
      </c>
      <c r="AB17" s="112">
        <f t="shared" si="19"/>
        <v>0.01</v>
      </c>
      <c r="AC17" s="605">
        <f t="shared" si="20"/>
        <v>0.42716192316211632</v>
      </c>
      <c r="AD17" s="609">
        <f>((0.6*'Structural Information'!$AT$30)+(0.3*'Structural Information'!$AV$31))/(AC17/M17)</f>
        <v>1.5431010291604526</v>
      </c>
      <c r="AE17" s="605">
        <f>(((1.2*SIN(N17)+0.45*COS(N17))*'Structural Information'!$AT$31)+(0.3*'Structural Information'!$AV$31))/(AC17/M17)</f>
        <v>2.6599983247307617</v>
      </c>
      <c r="AF17" s="605">
        <f>(1.12*'Structural Information'!$AT$32*COS(N17)*SIN(N17))/((AA17*(Z17^(-0.12)))+(AB17*(Z17^(0.88))))</f>
        <v>2.9723060894510924</v>
      </c>
      <c r="AG17" s="605">
        <f>(1.16*'Structural Information'!$AT$32*TAN(N17))/((AA17)+(AB17*Z17))</f>
        <v>7.6393725116250852</v>
      </c>
      <c r="AH17" s="610">
        <f t="shared" si="21"/>
        <v>1.5431010291604526</v>
      </c>
      <c r="AI17" s="605">
        <f>AH17*AC17*'Structural Information'!$AV$30</f>
        <v>197.74620097488594</v>
      </c>
      <c r="AJ17" s="605">
        <f t="shared" si="2"/>
        <v>158.19696077990875</v>
      </c>
      <c r="AK17" s="602">
        <f t="shared" si="3"/>
        <v>19.774620097488594</v>
      </c>
      <c r="AL17" s="12"/>
      <c r="AM17" s="886"/>
      <c r="AN17" s="527">
        <v>4</v>
      </c>
      <c r="AO17" s="527">
        <v>404</v>
      </c>
      <c r="AP17" s="548">
        <f>'Structural Information'!$AC$8</f>
        <v>3</v>
      </c>
      <c r="AQ17" s="548">
        <f t="shared" si="4"/>
        <v>158.19696077990875</v>
      </c>
      <c r="AR17" s="51">
        <f t="shared" si="5"/>
        <v>8.0000000000000004E-4</v>
      </c>
      <c r="AS17" s="538">
        <f t="shared" si="6"/>
        <v>54844.92824178141</v>
      </c>
      <c r="AT17" s="130">
        <f t="shared" si="7"/>
        <v>18036.251569444896</v>
      </c>
      <c r="AU17" s="548">
        <f t="shared" si="8"/>
        <v>197.74620097488594</v>
      </c>
      <c r="AV17" s="51">
        <f t="shared" si="9"/>
        <v>2.2000000000000001E-3</v>
      </c>
      <c r="AW17" s="538">
        <f t="shared" si="10"/>
        <v>24929.512837173366</v>
      </c>
      <c r="AX17" s="92">
        <f t="shared" si="11"/>
        <v>7834.9897488259148</v>
      </c>
      <c r="AY17" s="130">
        <f t="shared" si="22"/>
        <v>2576.607367063556</v>
      </c>
      <c r="AZ17" s="538">
        <f t="shared" si="12"/>
        <v>19.774620097488594</v>
      </c>
      <c r="BA17" s="51">
        <f t="shared" si="13"/>
        <v>8.8999999999999999E-3</v>
      </c>
      <c r="BB17" s="538">
        <f t="shared" si="23"/>
        <v>-5077.6119402985059</v>
      </c>
      <c r="BC17" s="542">
        <f t="shared" si="24"/>
        <v>-1669.8186917760188</v>
      </c>
      <c r="BD17" s="12"/>
      <c r="BE17" s="886"/>
      <c r="BF17" s="418">
        <v>2</v>
      </c>
      <c r="BG17" s="418">
        <v>7214</v>
      </c>
      <c r="BH17" s="418" t="s">
        <v>23</v>
      </c>
      <c r="BI17" s="424">
        <f>'Structural Information'!$AC$8</f>
        <v>3</v>
      </c>
      <c r="BJ17" s="428">
        <f>('Structural Information'!$AF$25)*(200)/$BI17</f>
        <v>53616.514621265807</v>
      </c>
      <c r="BK17" s="438">
        <f t="shared" si="38"/>
        <v>433495.56258141535</v>
      </c>
      <c r="BL17" s="12"/>
      <c r="BM17" s="84"/>
      <c r="BN17" s="12"/>
      <c r="BO17" s="12"/>
      <c r="BP17" s="12"/>
      <c r="BQ17" s="12"/>
      <c r="BR17" s="12"/>
      <c r="BS17" s="12"/>
      <c r="BT17" s="12"/>
      <c r="BU17" s="12"/>
      <c r="BV17" s="12"/>
      <c r="BW17" s="880"/>
      <c r="BX17" s="318" t="s">
        <v>248</v>
      </c>
      <c r="BY17" s="133">
        <f>1/($BC$6)</f>
        <v>-1.09154431134665E-4</v>
      </c>
      <c r="BZ17" s="133">
        <f>1/($BC$11)</f>
        <v>-1.09154431134665E-4</v>
      </c>
      <c r="CA17" s="133">
        <f>1/($BC$16)</f>
        <v>-1.09154431134665E-4</v>
      </c>
      <c r="CB17" s="133">
        <f>1/($BC$21)</f>
        <v>-1.1113396792514117E-4</v>
      </c>
      <c r="CC17" s="133">
        <f>1/($BC$26)</f>
        <v>-1.1113396792514117E-4</v>
      </c>
      <c r="CD17" s="134">
        <f>1/($BC$31)</f>
        <v>-1.0397284446266286E-4</v>
      </c>
      <c r="CE17" s="12"/>
      <c r="CF17" s="869"/>
      <c r="CG17" s="395">
        <v>4</v>
      </c>
      <c r="CH17" s="872"/>
      <c r="CI17" s="872"/>
      <c r="CJ17" s="878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52"/>
    </row>
    <row r="18" spans="1:115" ht="15.75" customHeight="1" x14ac:dyDescent="0.25">
      <c r="B18" s="887"/>
      <c r="C18" s="334">
        <v>5</v>
      </c>
      <c r="D18" s="419">
        <v>514</v>
      </c>
      <c r="E18" s="139">
        <f>'Structural Information'!$AC$8</f>
        <v>3</v>
      </c>
      <c r="F18" s="354">
        <f>'Structural Information'!$AM$6</f>
        <v>4.5</v>
      </c>
      <c r="G18" s="425">
        <f>'Structural Information'!$AB$19/1000</f>
        <v>0.5</v>
      </c>
      <c r="H18" s="425">
        <f>'Structural Information'!$AB$24/1000</f>
        <v>0.25</v>
      </c>
      <c r="I18" s="140">
        <f>'Structural Information'!$AB$25/1000</f>
        <v>0.25</v>
      </c>
      <c r="J18" s="141">
        <f t="shared" si="14"/>
        <v>3.2552083333333332E-4</v>
      </c>
      <c r="K18" s="354">
        <f t="shared" si="28"/>
        <v>4.25</v>
      </c>
      <c r="L18" s="354">
        <f t="shared" si="29"/>
        <v>2.5</v>
      </c>
      <c r="M18" s="354">
        <f t="shared" si="0"/>
        <v>4.9307707308290052</v>
      </c>
      <c r="N18" s="355">
        <f t="shared" si="30"/>
        <v>0.53172406725880561</v>
      </c>
      <c r="T18" s="12"/>
      <c r="U18" s="887"/>
      <c r="V18" s="600">
        <v>5</v>
      </c>
      <c r="W18" s="600">
        <v>514</v>
      </c>
      <c r="X18" s="606">
        <f>1/((((COS(N18))^4)/'Structural Information'!$AR$30)+(((SIN(N18))^4)/'Structural Information'!$AR$31)+(((SIN(N18))^2)*((COS(N18))^2)*((1/'Structural Information'!$AR$32)-(2*'Structural Information'!$AV$32/'Structural Information'!$AR$31))))</f>
        <v>1492.8812750676027</v>
      </c>
      <c r="Y18" s="606">
        <f>((X18*('Structural Information'!$AV$30/1000)*SIN(2*N18))/(4*'Structural Information'!$AR$33*J18*L18))^(1/4)</f>
        <v>1.5504857878772818</v>
      </c>
      <c r="Z18" s="606">
        <f t="shared" si="1"/>
        <v>4.6514573636318453</v>
      </c>
      <c r="AA18" s="142">
        <f t="shared" si="18"/>
        <v>0.70699999999999996</v>
      </c>
      <c r="AB18" s="142">
        <f t="shared" si="19"/>
        <v>0.01</v>
      </c>
      <c r="AC18" s="606">
        <f t="shared" si="20"/>
        <v>0.79876204692072605</v>
      </c>
      <c r="AD18" s="139">
        <f>((0.6*'Structural Information'!$AT$30)+(0.3*'Structural Information'!$AV$31))/(AC18/M18)</f>
        <v>1.3333714113794979</v>
      </c>
      <c r="AE18" s="606">
        <f>(((1.2*SIN(N18)+0.45*COS(N18))*'Structural Information'!$AT$31)+(0.3*'Structural Information'!$AV$31))/(AC18/M18)</f>
        <v>1.8450425952026535</v>
      </c>
      <c r="AF18" s="606">
        <f>(1.12*'Structural Information'!$AT$32*COS(N18)*SIN(N18))/((AA18*(Z18^(-0.12)))+(AB18*(Z18^(0.88))))</f>
        <v>2.7418487136841865</v>
      </c>
      <c r="AG18" s="606">
        <f>(1.16*'Structural Information'!$AT$32*TAN(N18))/((AA18)+(AB18*Z18))</f>
        <v>3.1785169223354388</v>
      </c>
      <c r="AH18" s="140">
        <f t="shared" si="21"/>
        <v>1.3333714113794979</v>
      </c>
      <c r="AI18" s="606">
        <f>AH18*AC18*'Structural Information'!$AV$30</f>
        <v>319.51394335771954</v>
      </c>
      <c r="AJ18" s="606">
        <f t="shared" si="2"/>
        <v>255.61115468617564</v>
      </c>
      <c r="AK18" s="603">
        <f t="shared" si="3"/>
        <v>31.951394335771955</v>
      </c>
      <c r="AL18" s="12"/>
      <c r="AM18" s="887"/>
      <c r="AN18" s="530">
        <v>5</v>
      </c>
      <c r="AO18" s="530">
        <v>504</v>
      </c>
      <c r="AP18" s="139">
        <f>'Structural Information'!$AC$8</f>
        <v>3</v>
      </c>
      <c r="AQ18" s="139">
        <f t="shared" si="4"/>
        <v>255.61115468617564</v>
      </c>
      <c r="AR18" s="68">
        <f t="shared" si="5"/>
        <v>8.0000000000000004E-4</v>
      </c>
      <c r="AS18" s="539">
        <f t="shared" si="6"/>
        <v>59078.149025741252</v>
      </c>
      <c r="AT18" s="148">
        <f t="shared" si="7"/>
        <v>43890.964186219077</v>
      </c>
      <c r="AU18" s="139">
        <f t="shared" si="8"/>
        <v>319.51394335771954</v>
      </c>
      <c r="AV18" s="68">
        <f t="shared" si="9"/>
        <v>2.2000000000000001E-3</v>
      </c>
      <c r="AW18" s="539">
        <f t="shared" si="10"/>
        <v>26853.704102609659</v>
      </c>
      <c r="AX18" s="149">
        <f t="shared" si="11"/>
        <v>8439.7355751058913</v>
      </c>
      <c r="AY18" s="148">
        <f t="shared" si="22"/>
        <v>6270.1377408884373</v>
      </c>
      <c r="AZ18" s="539">
        <f t="shared" si="12"/>
        <v>31.951394335771955</v>
      </c>
      <c r="BA18" s="68">
        <f t="shared" si="13"/>
        <v>8.8999999999999999E-3</v>
      </c>
      <c r="BB18" s="539">
        <f t="shared" si="23"/>
        <v>-12331.343283582089</v>
      </c>
      <c r="BC18" s="544">
        <f t="shared" si="24"/>
        <v>-9161.3321566972318</v>
      </c>
      <c r="BD18" s="12"/>
      <c r="BE18" s="886"/>
      <c r="BF18" s="418">
        <v>3</v>
      </c>
      <c r="BG18" s="418">
        <v>7314</v>
      </c>
      <c r="BH18" s="418" t="s">
        <v>23</v>
      </c>
      <c r="BI18" s="424">
        <f>'Structural Information'!$AC$8</f>
        <v>3</v>
      </c>
      <c r="BJ18" s="428">
        <f>('Structural Information'!$AF$25)*(200)/$BI18</f>
        <v>53616.514621265807</v>
      </c>
      <c r="BK18" s="438">
        <f t="shared" si="38"/>
        <v>433495.56258141535</v>
      </c>
      <c r="BL18" s="12"/>
      <c r="BM18" s="84"/>
      <c r="BN18" s="12"/>
      <c r="BO18" s="12"/>
      <c r="BP18" s="12"/>
      <c r="BQ18" s="12"/>
      <c r="BR18" s="12"/>
      <c r="BS18" s="12"/>
      <c r="BT18" s="12"/>
      <c r="BU18" s="12"/>
      <c r="BV18" s="12"/>
      <c r="BW18" s="884"/>
      <c r="BX18" s="321" t="s">
        <v>409</v>
      </c>
      <c r="BY18" s="145">
        <f>(BP10*BP10)/$BK$7</f>
        <v>1.0252571947861007E-6</v>
      </c>
      <c r="BZ18" s="145">
        <f>(BQ10*BQ10)/$BK$13</f>
        <v>1.0252571947861007E-6</v>
      </c>
      <c r="CA18" s="145">
        <f>(BR10*BR10)/$BK$19</f>
        <v>1.0252571947861007E-6</v>
      </c>
      <c r="CB18" s="145">
        <f>(BS10*BS10)/$BK$25</f>
        <v>7.1198416304590332E-7</v>
      </c>
      <c r="CC18" s="145">
        <f>(BT10*BT10)/$BK$31</f>
        <v>7.1198416304590332E-7</v>
      </c>
      <c r="CD18" s="146">
        <f>(BU10*BU10)/$BK$37</f>
        <v>2.82038964587529E-7</v>
      </c>
      <c r="CE18" s="12"/>
      <c r="CF18" s="870"/>
      <c r="CG18" s="396">
        <v>5</v>
      </c>
      <c r="CH18" s="873"/>
      <c r="CI18" s="873"/>
      <c r="CJ18" s="885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910" t="s">
        <v>300</v>
      </c>
      <c r="CY18" s="911"/>
      <c r="CZ18" s="911"/>
      <c r="DA18" s="911"/>
      <c r="DB18" s="912"/>
      <c r="DC18" s="573"/>
      <c r="DD18" s="12"/>
      <c r="DE18" s="12"/>
      <c r="DF18" s="12"/>
      <c r="DG18" s="12"/>
      <c r="DH18" s="12"/>
      <c r="DI18" s="12"/>
      <c r="DK18" s="152"/>
    </row>
    <row r="19" spans="1:115" x14ac:dyDescent="0.25">
      <c r="B19" s="886">
        <v>3</v>
      </c>
      <c r="C19" s="330">
        <v>1</v>
      </c>
      <c r="D19" s="330">
        <v>113</v>
      </c>
      <c r="E19" s="358">
        <f>'Structural Information'!$AC$9</f>
        <v>3</v>
      </c>
      <c r="F19" s="343">
        <f>'Structural Information'!$AM$10</f>
        <v>4.5</v>
      </c>
      <c r="G19" s="423">
        <f>'Structural Information'!$AB$19/1000</f>
        <v>0.5</v>
      </c>
      <c r="H19" s="424">
        <f>'Structural Information'!$AB$24/1000</f>
        <v>0.25</v>
      </c>
      <c r="I19" s="429">
        <f>'Structural Information'!$AB$25/1000</f>
        <v>0.25</v>
      </c>
      <c r="J19" s="135">
        <f t="shared" ref="J19:J21" si="39">I19*(H19^3)/12</f>
        <v>3.2552083333333332E-4</v>
      </c>
      <c r="K19" s="343">
        <f>F19-H19</f>
        <v>4.25</v>
      </c>
      <c r="L19" s="343">
        <f>E19-G19</f>
        <v>2.5</v>
      </c>
      <c r="M19" s="343">
        <f t="shared" ref="M19:M21" si="40">SQRT(K19^2+L19^2)</f>
        <v>4.9307707308290052</v>
      </c>
      <c r="N19" s="346">
        <f>ATAN(L19/K19)</f>
        <v>0.53172406725880561</v>
      </c>
      <c r="T19" s="12"/>
      <c r="U19" s="886">
        <v>3</v>
      </c>
      <c r="V19" s="597">
        <v>1</v>
      </c>
      <c r="W19" s="597">
        <v>113</v>
      </c>
      <c r="X19" s="605">
        <f>1/((((COS(N19))^4)/'Structural Information'!$AR$30)+(((SIN(N19))^4)/'Structural Information'!$AR$31)+(((SIN(N19))^2)*((COS(N19))^2)*((1/'Structural Information'!$AR$32)-(2*'Structural Information'!$AV$32/'Structural Information'!$AR$31))))</f>
        <v>1492.8812750676027</v>
      </c>
      <c r="Y19" s="605">
        <f>((X19*('Structural Information'!$AV$30/1000)*SIN(2*N19))/(4*'Structural Information'!$AR$33*J19*L19))^(1/4)</f>
        <v>1.5504857878772818</v>
      </c>
      <c r="Z19" s="605">
        <f t="shared" si="1"/>
        <v>4.6514573636318453</v>
      </c>
      <c r="AA19" s="112">
        <f>IF(Z19&lt;3.14,$Q$4,0)+IF(Z19&gt;3.14,1,0)*IF(Z19&lt;7.85,$R$4,0)+IF(Z19&gt;7.85,$S$4,0)</f>
        <v>0.70699999999999996</v>
      </c>
      <c r="AB19" s="112">
        <f t="shared" ref="AB19:AB33" si="41">IF(Z19&lt;3.14,$Q$5,0)+IF(Z19&gt;3.14,1,0)*IF(Z19&lt;7.85,$R$5,0)+IF(Z19&gt;7.85,$S$5,0)</f>
        <v>0.01</v>
      </c>
      <c r="AC19" s="605">
        <f t="shared" si="20"/>
        <v>0.79876204692072605</v>
      </c>
      <c r="AD19" s="609">
        <f>((0.6*'Structural Information'!$AT$30)+(0.3*'Structural Information'!$AV$31))/(AC19/M19)</f>
        <v>1.3333714113794979</v>
      </c>
      <c r="AE19" s="605">
        <f>(((1.2*SIN(N19)+0.45*COS(N19))*'Structural Information'!$AT$31)+(0.3*'Structural Information'!$AV$31))/(AC19/M19)</f>
        <v>1.8450425952026535</v>
      </c>
      <c r="AF19" s="605">
        <f>(1.12*'Structural Information'!$AT$32*COS(N19)*SIN(N19))/((AA19*(Z19^(-0.12)))+(AB19*(Z19^(0.88))))</f>
        <v>2.7418487136841865</v>
      </c>
      <c r="AG19" s="605">
        <f>(1.16*'Structural Information'!$AT$32*TAN(N19))/((AA19)+(AB19*Z19))</f>
        <v>3.1785169223354388</v>
      </c>
      <c r="AH19" s="610">
        <f t="shared" ref="AH19" si="42">MIN(AD19:AG19)</f>
        <v>1.3333714113794979</v>
      </c>
      <c r="AI19" s="605">
        <f>AH19*AC19*'Structural Information'!$AV$30</f>
        <v>319.51394335771954</v>
      </c>
      <c r="AJ19" s="605">
        <f t="shared" ref="AJ19" si="43">0.8*AI19</f>
        <v>255.61115468617564</v>
      </c>
      <c r="AK19" s="602">
        <f t="shared" ref="AK19" si="44">0.1*AI19</f>
        <v>31.951394335771955</v>
      </c>
      <c r="AL19" s="311"/>
      <c r="AM19" s="886">
        <v>3</v>
      </c>
      <c r="AN19" s="527">
        <v>1</v>
      </c>
      <c r="AO19" s="527">
        <v>103</v>
      </c>
      <c r="AP19" s="548">
        <f>'Structural Information'!$AC$9</f>
        <v>3</v>
      </c>
      <c r="AQ19" s="548">
        <f t="shared" si="4"/>
        <v>255.61115468617564</v>
      </c>
      <c r="AR19" s="51">
        <f t="shared" ref="AR19:AR33" si="45">0.08/100</f>
        <v>8.0000000000000004E-4</v>
      </c>
      <c r="AS19" s="538">
        <f t="shared" si="6"/>
        <v>59078.149025741252</v>
      </c>
      <c r="AT19" s="130">
        <f t="shared" si="7"/>
        <v>43890.964186219077</v>
      </c>
      <c r="AU19" s="125">
        <f t="shared" si="8"/>
        <v>319.51394335771954</v>
      </c>
      <c r="AV19" s="45">
        <f t="shared" ref="AV19:AV33" si="46">0.22/100</f>
        <v>2.2000000000000001E-3</v>
      </c>
      <c r="AW19" s="537">
        <f t="shared" si="10"/>
        <v>26853.704102609659</v>
      </c>
      <c r="AX19" s="87">
        <f t="shared" si="11"/>
        <v>8439.7355751058913</v>
      </c>
      <c r="AY19" s="144">
        <f t="shared" si="22"/>
        <v>6270.1377408884373</v>
      </c>
      <c r="AZ19" s="537">
        <f t="shared" si="12"/>
        <v>31.951394335771955</v>
      </c>
      <c r="BA19" s="45">
        <f t="shared" ref="BA19:BA33" si="47">0.89/100</f>
        <v>8.8999999999999999E-3</v>
      </c>
      <c r="BB19" s="537">
        <f t="shared" si="23"/>
        <v>-12331.343283582089</v>
      </c>
      <c r="BC19" s="541">
        <f t="shared" si="24"/>
        <v>-9161.3321566972318</v>
      </c>
      <c r="BD19" s="12"/>
      <c r="BE19" s="886"/>
      <c r="BF19" s="418">
        <v>4</v>
      </c>
      <c r="BG19" s="418">
        <v>7414</v>
      </c>
      <c r="BH19" s="418" t="s">
        <v>23</v>
      </c>
      <c r="BI19" s="424">
        <f>'Structural Information'!$AC$8</f>
        <v>3</v>
      </c>
      <c r="BJ19" s="428">
        <f>('Structural Information'!$AF$25)*(200)/$BI19</f>
        <v>53616.514621265807</v>
      </c>
      <c r="BK19" s="438">
        <f t="shared" si="38"/>
        <v>433495.56258141535</v>
      </c>
      <c r="BL19" s="12"/>
      <c r="BM19" s="84"/>
      <c r="BN19" s="12"/>
      <c r="BO19" s="12"/>
      <c r="BP19" s="12"/>
      <c r="BQ19" s="12"/>
      <c r="BR19" s="12"/>
      <c r="BS19" s="12"/>
      <c r="BT19" s="12"/>
      <c r="BU19" s="12"/>
      <c r="BV19" s="12"/>
      <c r="BW19" s="880">
        <v>4</v>
      </c>
      <c r="BX19" s="322" t="s">
        <v>410</v>
      </c>
      <c r="BY19" s="133">
        <f>(BP11*BP11)/$BK$7</f>
        <v>5.190364548604635E-6</v>
      </c>
      <c r="BZ19" s="133">
        <f>(BQ11*BQ11)/$BK$13</f>
        <v>5.190364548604635E-6</v>
      </c>
      <c r="CA19" s="133">
        <f>(BR11*BR11)/$BK$19</f>
        <v>5.190364548604635E-6</v>
      </c>
      <c r="CB19" s="133">
        <f>(BS11*BS11)/$BK$25</f>
        <v>3.6044198254198856E-6</v>
      </c>
      <c r="CC19" s="133">
        <f>(BT11*BT11)/$BK$31</f>
        <v>3.6044198254198856E-6</v>
      </c>
      <c r="CD19" s="134">
        <f>(BU11*BU11)/$BK$37</f>
        <v>1.4278222582243652E-6</v>
      </c>
      <c r="CE19" s="12"/>
      <c r="CF19" s="869">
        <v>3</v>
      </c>
      <c r="CG19" s="395">
        <v>1</v>
      </c>
      <c r="CH19" s="872">
        <f>1/(CB5+CB4+CC4+CD4+CC8+CD8)+1/(CB10+CB9+CC9+CD9+CC13+CD13)+1/(CB15+CB14+CC14+CD14+CC18+CD18)+1/(CD19+CC19+CB19+CB20+CC23+CD23)+1/(CD24+CC24+CB24+CB25+CC28+CD28)</f>
        <v>142827.02669058536</v>
      </c>
      <c r="CI19" s="872">
        <f>1/(CB6+CB4+CC4+CD4+CC8+CD8)+1/(CB11+CB9+CC9+CD9+CC13+CD13)+1/(CB16+CB14+CC14+CD14+CC18+CD18)+1/(CD19+CC19+CB19+CB21+CC23+CD23)+1/(CD24+CC24+CB24+CB26+CC28+CD28)</f>
        <v>23101.129863108945</v>
      </c>
      <c r="CJ19" s="878">
        <f>1/(CB7+CB4+CC4+CD4+CC8+CD8)+1/(CB12+CB9+CC9+CD9+CC13+CD13)+1/(CB17+CB14+CC14+CD14+CC18+CD18)+1/(CD19+CC19+CB19+CB22+CC23+CD23)+1/(CD24+CC24+CB24+CB27+CC28+CD28)</f>
        <v>-31327.688674398905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21" t="s">
        <v>298</v>
      </c>
      <c r="CY19" s="823" t="s">
        <v>189</v>
      </c>
      <c r="CZ19" s="740" t="s">
        <v>190</v>
      </c>
      <c r="DA19" s="740" t="s">
        <v>191</v>
      </c>
      <c r="DB19" s="801" t="s">
        <v>192</v>
      </c>
      <c r="DC19" s="574"/>
      <c r="DD19" s="12"/>
      <c r="DE19" s="12"/>
      <c r="DF19" s="12"/>
      <c r="DG19" s="12"/>
      <c r="DH19" s="12"/>
      <c r="DI19" s="12"/>
    </row>
    <row r="20" spans="1:115" x14ac:dyDescent="0.25">
      <c r="B20" s="886"/>
      <c r="C20" s="330">
        <v>2</v>
      </c>
      <c r="D20" s="330">
        <v>213</v>
      </c>
      <c r="E20" s="358">
        <f>'Structural Information'!$AC$9</f>
        <v>3</v>
      </c>
      <c r="F20" s="343">
        <f>'Structural Information'!$AM$9</f>
        <v>2</v>
      </c>
      <c r="G20" s="424">
        <f>'Structural Information'!$AB$19/1000</f>
        <v>0.5</v>
      </c>
      <c r="H20" s="424">
        <f>'Structural Information'!$AB$29/1000</f>
        <v>0.3</v>
      </c>
      <c r="I20" s="429">
        <f>'Structural Information'!$AB$30/1000</f>
        <v>0.3</v>
      </c>
      <c r="J20" s="135">
        <f t="shared" si="39"/>
        <v>6.7499999999999993E-4</v>
      </c>
      <c r="K20" s="343">
        <f t="shared" ref="K20:K21" si="48">F20-H20</f>
        <v>1.7</v>
      </c>
      <c r="L20" s="343">
        <f t="shared" ref="L20:L21" si="49">E20-G20</f>
        <v>2.5</v>
      </c>
      <c r="M20" s="343">
        <f t="shared" si="40"/>
        <v>3.0232432915661951</v>
      </c>
      <c r="N20" s="346">
        <f t="shared" ref="N20:N21" si="50">ATAN(L20/K20)</f>
        <v>0.97361966870221905</v>
      </c>
      <c r="T20" s="12"/>
      <c r="U20" s="886"/>
      <c r="V20" s="597">
        <v>2</v>
      </c>
      <c r="W20" s="597">
        <v>213</v>
      </c>
      <c r="X20" s="605">
        <f>1/((((COS(N20))^4)/'Structural Information'!$AR$30)+(((SIN(N20))^4)/'Structural Information'!$AR$31)+(((SIN(N20))^2)*((COS(N20))^2)*((1/'Structural Information'!$AR$32)-(2*'Structural Information'!$AV$32/'Structural Information'!$AR$31))))</f>
        <v>2633.8326950752903</v>
      </c>
      <c r="Y20" s="605">
        <f>((X20*('Structural Information'!$AV$30/1000)*SIN(2*N20))/(4*'Structural Information'!$AR$33*J20*L20))^(1/4)</f>
        <v>1.5123876617767853</v>
      </c>
      <c r="Z20" s="605">
        <f t="shared" si="1"/>
        <v>4.5371629853303563</v>
      </c>
      <c r="AA20" s="112">
        <f t="shared" ref="AA20:AA33" si="51">IF(Z20&lt;3.14,$Q$4,0)+IF(Z20&gt;3.14,1,0)*IF(Z20&lt;7.85,$R$4,0)+IF(Z20&gt;7.85,$S$4,0)</f>
        <v>0.70699999999999996</v>
      </c>
      <c r="AB20" s="112">
        <f t="shared" si="41"/>
        <v>0.01</v>
      </c>
      <c r="AC20" s="605">
        <f t="shared" si="20"/>
        <v>0.50132703852010907</v>
      </c>
      <c r="AD20" s="609">
        <f>((0.6*'Structural Information'!$AT$30)+(0.3*'Structural Information'!$AV$31))/(AC20/M20)</f>
        <v>1.3025839438183511</v>
      </c>
      <c r="AE20" s="605">
        <f>(((1.2*SIN(N20)+0.45*COS(N20))*'Structural Information'!$AT$31)+(0.3*'Structural Information'!$AV$31))/(AC20/M20)</f>
        <v>2.2530203105226962</v>
      </c>
      <c r="AF20" s="605">
        <f>(1.12*'Structural Information'!$AT$32*COS(N20)*SIN(N20))/((AA20*(Z20^(-0.12)))+(AB20*(Z20^(0.88))))</f>
        <v>2.9130610617271073</v>
      </c>
      <c r="AG20" s="605">
        <f>(1.16*'Structural Information'!$AT$32*TAN(N20))/((AA20)+(AB20*Z20))</f>
        <v>7.9583636878905075</v>
      </c>
      <c r="AH20" s="610">
        <f t="shared" ref="AH20:AH25" si="52">MIN(AD20:AG20)</f>
        <v>1.3025839438183511</v>
      </c>
      <c r="AI20" s="605">
        <f>AH20*AC20*'Structural Information'!$AV$30</f>
        <v>195.90616529348941</v>
      </c>
      <c r="AJ20" s="605">
        <f t="shared" ref="AJ20:AJ25" si="53">0.8*AI20</f>
        <v>156.72493223479154</v>
      </c>
      <c r="AK20" s="602">
        <f t="shared" ref="AK20:AK25" si="54">0.1*AI20</f>
        <v>19.590616529348942</v>
      </c>
      <c r="AL20" s="311"/>
      <c r="AM20" s="886"/>
      <c r="AN20" s="527">
        <v>2</v>
      </c>
      <c r="AO20" s="527">
        <v>203</v>
      </c>
      <c r="AP20" s="548">
        <f>'Structural Information'!$AC$9</f>
        <v>3</v>
      </c>
      <c r="AQ20" s="548">
        <f t="shared" si="4"/>
        <v>156.72493223479154</v>
      </c>
      <c r="AR20" s="51">
        <f t="shared" si="45"/>
        <v>8.0000000000000004E-4</v>
      </c>
      <c r="AS20" s="538">
        <f t="shared" si="6"/>
        <v>54334.594165015376</v>
      </c>
      <c r="AT20" s="130">
        <f t="shared" si="7"/>
        <v>17180.194435108802</v>
      </c>
      <c r="AU20" s="548">
        <f t="shared" si="8"/>
        <v>195.90616529348941</v>
      </c>
      <c r="AV20" s="51">
        <f t="shared" si="46"/>
        <v>2.2000000000000001E-3</v>
      </c>
      <c r="AW20" s="538">
        <f t="shared" si="10"/>
        <v>24697.542802279713</v>
      </c>
      <c r="AX20" s="92">
        <f t="shared" si="11"/>
        <v>7762.0848807164784</v>
      </c>
      <c r="AY20" s="130">
        <f t="shared" si="22"/>
        <v>2454.3134907298277</v>
      </c>
      <c r="AZ20" s="538">
        <f t="shared" si="12"/>
        <v>19.590616529348942</v>
      </c>
      <c r="BA20" s="51">
        <f t="shared" si="47"/>
        <v>8.8999999999999999E-3</v>
      </c>
      <c r="BB20" s="538">
        <f t="shared" si="23"/>
        <v>-4932.5373134328356</v>
      </c>
      <c r="BC20" s="542">
        <f t="shared" si="24"/>
        <v>-1559.6316012933148</v>
      </c>
      <c r="BD20" s="12"/>
      <c r="BE20" s="886"/>
      <c r="BF20" s="418">
        <v>5</v>
      </c>
      <c r="BG20" s="418">
        <v>7514</v>
      </c>
      <c r="BH20" s="418" t="s">
        <v>23</v>
      </c>
      <c r="BI20" s="424">
        <f>'Structural Information'!$AC$8</f>
        <v>3</v>
      </c>
      <c r="BJ20" s="428">
        <f>('Structural Information'!$AF$25)*(200)/$BI20</f>
        <v>53616.514621265807</v>
      </c>
      <c r="BK20" s="438">
        <f t="shared" si="38"/>
        <v>433495.56258141535</v>
      </c>
      <c r="BL20" s="12"/>
      <c r="BM20" s="84"/>
      <c r="BN20" s="12"/>
      <c r="BO20" s="12"/>
      <c r="BP20" s="12"/>
      <c r="BQ20" s="12"/>
      <c r="BR20" s="12"/>
      <c r="BS20" s="12"/>
      <c r="BT20" s="12"/>
      <c r="BU20" s="12"/>
      <c r="BV20" s="12"/>
      <c r="BW20" s="880"/>
      <c r="BX20" s="316" t="s">
        <v>411</v>
      </c>
      <c r="BY20" s="133">
        <f>1/($AT$7)</f>
        <v>5.5443892881495063E-5</v>
      </c>
      <c r="BZ20" s="133">
        <f>1/($AT$12)</f>
        <v>5.5443892881495063E-5</v>
      </c>
      <c r="CA20" s="133">
        <f>1/($AT$17)</f>
        <v>5.5443892881495063E-5</v>
      </c>
      <c r="CB20" s="133">
        <f>1/($AT$22)</f>
        <v>5.8206558940708928E-5</v>
      </c>
      <c r="CC20" s="133">
        <f>1/($AT$27)</f>
        <v>5.8206558940708928E-5</v>
      </c>
      <c r="CD20" s="134">
        <f>1/($AT$32)</f>
        <v>6.3066871580448692E-5</v>
      </c>
      <c r="CE20" s="330"/>
      <c r="CF20" s="869"/>
      <c r="CG20" s="395">
        <v>2</v>
      </c>
      <c r="CH20" s="872"/>
      <c r="CI20" s="872"/>
      <c r="CJ20" s="878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21"/>
      <c r="CY20" s="823"/>
      <c r="CZ20" s="740"/>
      <c r="DA20" s="740"/>
      <c r="DB20" s="801"/>
      <c r="DC20" s="574"/>
      <c r="DD20" s="12"/>
      <c r="DE20" s="12"/>
      <c r="DF20" s="12"/>
      <c r="DG20" s="12"/>
      <c r="DH20" s="12"/>
      <c r="DI20" s="12"/>
    </row>
    <row r="21" spans="1:115" x14ac:dyDescent="0.25">
      <c r="B21" s="886"/>
      <c r="C21" s="330">
        <v>3</v>
      </c>
      <c r="D21" s="330">
        <v>313</v>
      </c>
      <c r="E21" s="358">
        <f>'Structural Information'!$AC$9</f>
        <v>3</v>
      </c>
      <c r="F21" s="343">
        <f>'Structural Information'!$AM$8</f>
        <v>4.5</v>
      </c>
      <c r="G21" s="424">
        <f>'Structural Information'!$AB$19/1000</f>
        <v>0.5</v>
      </c>
      <c r="H21" s="424">
        <f>'Structural Information'!$AB$29/1000</f>
        <v>0.3</v>
      </c>
      <c r="I21" s="429">
        <f>'Structural Information'!$AB$30/1000</f>
        <v>0.3</v>
      </c>
      <c r="J21" s="135">
        <f t="shared" si="39"/>
        <v>6.7499999999999993E-4</v>
      </c>
      <c r="K21" s="343">
        <f t="shared" si="48"/>
        <v>4.2</v>
      </c>
      <c r="L21" s="343">
        <f t="shared" si="49"/>
        <v>2.5</v>
      </c>
      <c r="M21" s="343">
        <f t="shared" si="40"/>
        <v>4.8877397639399751</v>
      </c>
      <c r="N21" s="346">
        <f t="shared" si="50"/>
        <v>0.53691074274004558</v>
      </c>
      <c r="T21" s="12"/>
      <c r="U21" s="886"/>
      <c r="V21" s="597">
        <v>3</v>
      </c>
      <c r="W21" s="597">
        <v>313</v>
      </c>
      <c r="X21" s="605">
        <f>1/((((COS(N21))^4)/'Structural Information'!$AR$30)+(((SIN(N21))^4)/'Structural Information'!$AR$31)+(((SIN(N21))^2)*((COS(N21))^2)*((1/'Structural Information'!$AR$32)-(2*'Structural Information'!$AV$32/'Structural Information'!$AR$31))))</f>
        <v>1502.4537801186543</v>
      </c>
      <c r="Y21" s="605">
        <f>((X21*('Structural Information'!$AV$30/1000)*SIN(2*N21))/(4*'Structural Information'!$AR$33*J21*L21))^(1/4)</f>
        <v>1.2959819816988092</v>
      </c>
      <c r="Z21" s="605">
        <f t="shared" si="1"/>
        <v>3.8879459450964275</v>
      </c>
      <c r="AA21" s="112">
        <f t="shared" si="51"/>
        <v>0.70699999999999996</v>
      </c>
      <c r="AB21" s="112">
        <f t="shared" si="41"/>
        <v>0.01</v>
      </c>
      <c r="AC21" s="605">
        <f t="shared" si="20"/>
        <v>0.93768399678049374</v>
      </c>
      <c r="AD21" s="609">
        <f>((0.6*'Structural Information'!$AT$30)+(0.3*'Structural Information'!$AV$31))/(AC21/M21)</f>
        <v>1.1259142660383696</v>
      </c>
      <c r="AE21" s="605">
        <f>(((1.2*SIN(N21)+0.45*COS(N21))*'Structural Information'!$AT$31)+(0.3*'Structural Information'!$AV$31))/(AC21/M21)</f>
        <v>1.5644929475568472</v>
      </c>
      <c r="AF21" s="605">
        <f>(1.12*'Structural Information'!$AT$32*COS(N21)*SIN(N21))/((AA21*(Z21^(-0.12)))+(AB21*(Z21^(0.88))))</f>
        <v>2.7264407690263406</v>
      </c>
      <c r="AG21" s="605">
        <f>(1.16*'Structural Information'!$AT$32*TAN(N21))/((AA21)+(AB21*Z21))</f>
        <v>3.2492802930320659</v>
      </c>
      <c r="AH21" s="610">
        <f t="shared" si="52"/>
        <v>1.1259142660383696</v>
      </c>
      <c r="AI21" s="605">
        <f>AH21*AC21*'Structural Information'!$AV$30</f>
        <v>316.72553670331041</v>
      </c>
      <c r="AJ21" s="605">
        <f t="shared" si="53"/>
        <v>253.38042936264833</v>
      </c>
      <c r="AK21" s="602">
        <f t="shared" si="54"/>
        <v>31.672553670331041</v>
      </c>
      <c r="AL21" s="311"/>
      <c r="AM21" s="886"/>
      <c r="AN21" s="527">
        <v>3</v>
      </c>
      <c r="AO21" s="527">
        <v>303</v>
      </c>
      <c r="AP21" s="548">
        <f>'Structural Information'!$AC$9</f>
        <v>3</v>
      </c>
      <c r="AQ21" s="548">
        <f t="shared" si="4"/>
        <v>253.38042936264833</v>
      </c>
      <c r="AR21" s="51">
        <f t="shared" si="45"/>
        <v>8.0000000000000004E-4</v>
      </c>
      <c r="AS21" s="538">
        <f t="shared" si="6"/>
        <v>58562.572452955756</v>
      </c>
      <c r="AT21" s="130">
        <f t="shared" si="7"/>
        <v>43241.681794480515</v>
      </c>
      <c r="AU21" s="548">
        <f t="shared" si="8"/>
        <v>316.72553670331041</v>
      </c>
      <c r="AV21" s="51">
        <f t="shared" si="46"/>
        <v>2.2000000000000001E-3</v>
      </c>
      <c r="AW21" s="538">
        <f t="shared" si="10"/>
        <v>26619.351114979887</v>
      </c>
      <c r="AX21" s="92">
        <f t="shared" si="11"/>
        <v>8366.0817789936791</v>
      </c>
      <c r="AY21" s="130">
        <f t="shared" si="22"/>
        <v>6177.3831134972161</v>
      </c>
      <c r="AZ21" s="538">
        <f t="shared" si="12"/>
        <v>31.672553670331041</v>
      </c>
      <c r="BA21" s="51">
        <f t="shared" si="47"/>
        <v>8.8999999999999999E-3</v>
      </c>
      <c r="BB21" s="538">
        <f t="shared" si="23"/>
        <v>-12186.268656716418</v>
      </c>
      <c r="BC21" s="542">
        <f t="shared" si="24"/>
        <v>-8998.1489788395829</v>
      </c>
      <c r="BD21" s="12"/>
      <c r="BE21" s="887"/>
      <c r="BF21" s="419">
        <v>6</v>
      </c>
      <c r="BG21" s="419">
        <v>7614</v>
      </c>
      <c r="BH21" s="419" t="s">
        <v>23</v>
      </c>
      <c r="BI21" s="425">
        <f>'Structural Information'!$AC$8</f>
        <v>3</v>
      </c>
      <c r="BJ21" s="139">
        <f>('Structural Information'!$AF$25)*(200)/$BI21</f>
        <v>53616.514621265807</v>
      </c>
      <c r="BK21" s="439">
        <f t="shared" si="38"/>
        <v>433495.56258141535</v>
      </c>
      <c r="BL21" s="12"/>
      <c r="BM21" s="84"/>
      <c r="BN21" s="12"/>
      <c r="BO21" s="12"/>
      <c r="BP21" s="12"/>
      <c r="BQ21" s="12"/>
      <c r="BR21" s="12"/>
      <c r="BS21" s="12"/>
      <c r="BT21" s="12"/>
      <c r="BU21" s="12"/>
      <c r="BV21" s="12"/>
      <c r="BW21" s="880"/>
      <c r="BX21" s="317" t="s">
        <v>411</v>
      </c>
      <c r="BY21" s="133">
        <f>1/($AY$7)</f>
        <v>3.8810725017046551E-4</v>
      </c>
      <c r="BZ21" s="133">
        <f>1/($AY$12)</f>
        <v>3.8810725017046551E-4</v>
      </c>
      <c r="CA21" s="133">
        <f>1/($AY$17)</f>
        <v>3.8810725017046551E-4</v>
      </c>
      <c r="CB21" s="133">
        <f>1/($AY$22)</f>
        <v>4.0744591258496272E-4</v>
      </c>
      <c r="CC21" s="133">
        <f>1/($AY$27)</f>
        <v>4.0744591258496272E-4</v>
      </c>
      <c r="CD21" s="134">
        <f>1/($AY$32)</f>
        <v>4.4146810106314075E-4</v>
      </c>
      <c r="CE21" s="330"/>
      <c r="CF21" s="869"/>
      <c r="CG21" s="395">
        <v>3</v>
      </c>
      <c r="CH21" s="872"/>
      <c r="CI21" s="872"/>
      <c r="CJ21" s="878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0" t="s">
        <v>456</v>
      </c>
      <c r="CY21" s="51">
        <f t="shared" ref="CY21:DA21" si="55">CY11/$CY11</f>
        <v>1</v>
      </c>
      <c r="CZ21" s="51">
        <f t="shared" si="55"/>
        <v>2.254223684905396</v>
      </c>
      <c r="DA21" s="51">
        <f t="shared" si="55"/>
        <v>6.0694757140000597</v>
      </c>
      <c r="DB21" s="73">
        <f>DB11/$CY11</f>
        <v>32.558167573852636</v>
      </c>
      <c r="DC21" s="579"/>
      <c r="DD21" s="12"/>
      <c r="DE21" s="12"/>
      <c r="DF21" s="12"/>
      <c r="DG21" s="12"/>
      <c r="DH21" s="12"/>
      <c r="DI21" s="12"/>
    </row>
    <row r="22" spans="1:115" x14ac:dyDescent="0.25">
      <c r="B22" s="886"/>
      <c r="C22" s="330">
        <v>4</v>
      </c>
      <c r="D22" s="330">
        <v>413</v>
      </c>
      <c r="E22" s="358">
        <f>'Structural Information'!$AC$9</f>
        <v>3</v>
      </c>
      <c r="F22" s="343">
        <f>'Structural Information'!$AM$7</f>
        <v>2</v>
      </c>
      <c r="G22" s="424">
        <f>'Structural Information'!$AB$19/1000</f>
        <v>0.5</v>
      </c>
      <c r="H22" s="424">
        <f>'Structural Information'!$AB$29/1000</f>
        <v>0.3</v>
      </c>
      <c r="I22" s="429">
        <f>'Structural Information'!$AB$30/1000</f>
        <v>0.3</v>
      </c>
      <c r="J22" s="135">
        <f t="shared" ref="J22:J28" si="56">I22*(H22^3)/12</f>
        <v>6.7499999999999993E-4</v>
      </c>
      <c r="K22" s="343">
        <f>F22-H22</f>
        <v>1.7</v>
      </c>
      <c r="L22" s="343">
        <f>E22-G22</f>
        <v>2.5</v>
      </c>
      <c r="M22" s="343">
        <f t="shared" ref="M22:M28" si="57">SQRT(K22^2+L22^2)</f>
        <v>3.0232432915661951</v>
      </c>
      <c r="N22" s="346">
        <f>ATAN(L22/K22)</f>
        <v>0.97361966870221905</v>
      </c>
      <c r="T22" s="12"/>
      <c r="U22" s="886"/>
      <c r="V22" s="597">
        <v>4</v>
      </c>
      <c r="W22" s="597">
        <v>413</v>
      </c>
      <c r="X22" s="605">
        <f>1/((((COS(N22))^4)/'Structural Information'!$AR$30)+(((SIN(N22))^4)/'Structural Information'!$AR$31)+(((SIN(N22))^2)*((COS(N22))^2)*((1/'Structural Information'!$AR$32)-(2*'Structural Information'!$AV$32/'Structural Information'!$AR$31))))</f>
        <v>2633.8326950752903</v>
      </c>
      <c r="Y22" s="605">
        <f>((X22*('Structural Information'!$AV$30/1000)*SIN(2*N22))/(4*'Structural Information'!$AR$33*J22*L22))^(1/4)</f>
        <v>1.5123876617767853</v>
      </c>
      <c r="Z22" s="605">
        <f t="shared" si="1"/>
        <v>4.5371629853303563</v>
      </c>
      <c r="AA22" s="112">
        <f t="shared" si="51"/>
        <v>0.70699999999999996</v>
      </c>
      <c r="AB22" s="112">
        <f t="shared" si="41"/>
        <v>0.01</v>
      </c>
      <c r="AC22" s="605">
        <f t="shared" si="20"/>
        <v>0.50132703852010907</v>
      </c>
      <c r="AD22" s="609">
        <f>((0.6*'Structural Information'!$AT$30)+(0.3*'Structural Information'!$AV$31))/(AC22/M22)</f>
        <v>1.3025839438183511</v>
      </c>
      <c r="AE22" s="605">
        <f>(((1.2*SIN(N22)+0.45*COS(N22))*'Structural Information'!$AT$31)+(0.3*'Structural Information'!$AV$31))/(AC22/M22)</f>
        <v>2.2530203105226962</v>
      </c>
      <c r="AF22" s="605">
        <f>(1.12*'Structural Information'!$AT$32*COS(N22)*SIN(N22))/((AA22*(Z22^(-0.12)))+(AB22*(Z22^(0.88))))</f>
        <v>2.9130610617271073</v>
      </c>
      <c r="AG22" s="605">
        <f>(1.16*'Structural Information'!$AT$32*TAN(N22))/((AA22)+(AB22*Z22))</f>
        <v>7.9583636878905075</v>
      </c>
      <c r="AH22" s="610">
        <f t="shared" si="52"/>
        <v>1.3025839438183511</v>
      </c>
      <c r="AI22" s="605">
        <f>AH22*AC22*'Structural Information'!$AV$30</f>
        <v>195.90616529348941</v>
      </c>
      <c r="AJ22" s="605">
        <f t="shared" si="53"/>
        <v>156.72493223479154</v>
      </c>
      <c r="AK22" s="602">
        <f t="shared" si="54"/>
        <v>19.590616529348942</v>
      </c>
      <c r="AL22" s="311"/>
      <c r="AM22" s="886"/>
      <c r="AN22" s="527">
        <v>4</v>
      </c>
      <c r="AO22" s="527">
        <v>403</v>
      </c>
      <c r="AP22" s="548">
        <f>'Structural Information'!$AC$9</f>
        <v>3</v>
      </c>
      <c r="AQ22" s="548">
        <f t="shared" si="4"/>
        <v>156.72493223479154</v>
      </c>
      <c r="AR22" s="51">
        <f t="shared" si="45"/>
        <v>8.0000000000000004E-4</v>
      </c>
      <c r="AS22" s="538">
        <f t="shared" si="6"/>
        <v>54334.594165015376</v>
      </c>
      <c r="AT22" s="130">
        <f t="shared" si="7"/>
        <v>17180.194435108802</v>
      </c>
      <c r="AU22" s="548">
        <f t="shared" si="8"/>
        <v>195.90616529348941</v>
      </c>
      <c r="AV22" s="51">
        <f t="shared" si="46"/>
        <v>2.2000000000000001E-3</v>
      </c>
      <c r="AW22" s="538">
        <f t="shared" si="10"/>
        <v>24697.542802279713</v>
      </c>
      <c r="AX22" s="92">
        <f t="shared" si="11"/>
        <v>7762.0848807164784</v>
      </c>
      <c r="AY22" s="130">
        <f t="shared" si="22"/>
        <v>2454.3134907298277</v>
      </c>
      <c r="AZ22" s="538">
        <f t="shared" si="12"/>
        <v>19.590616529348942</v>
      </c>
      <c r="BA22" s="51">
        <f t="shared" si="47"/>
        <v>8.8999999999999999E-3</v>
      </c>
      <c r="BB22" s="538">
        <f t="shared" si="23"/>
        <v>-4932.5373134328356</v>
      </c>
      <c r="BC22" s="542">
        <f t="shared" si="24"/>
        <v>-1559.6316012933148</v>
      </c>
      <c r="BD22" s="12"/>
      <c r="BE22" s="886">
        <v>3</v>
      </c>
      <c r="BF22" s="418">
        <v>1</v>
      </c>
      <c r="BG22" s="418">
        <v>7113</v>
      </c>
      <c r="BH22" s="418" t="s">
        <v>23</v>
      </c>
      <c r="BI22" s="424">
        <f>'Structural Information'!$AC$9</f>
        <v>3</v>
      </c>
      <c r="BJ22" s="125">
        <f>('Structural Information'!$AF$25)*(200)/$BI22</f>
        <v>53616.514621265807</v>
      </c>
      <c r="BK22" s="440">
        <f>Hcol1*Wcol1*(4700*SQRT(Fck))/(hstr3*1000)</f>
        <v>433495.56258141535</v>
      </c>
      <c r="BL22" s="12"/>
      <c r="BM22" s="84"/>
      <c r="BN22" s="12"/>
      <c r="BO22" s="12"/>
      <c r="BP22" s="12"/>
      <c r="BQ22" s="12"/>
      <c r="BR22" s="12"/>
      <c r="BS22" s="12"/>
      <c r="BT22" s="12"/>
      <c r="BU22" s="12"/>
      <c r="BV22" s="12"/>
      <c r="BW22" s="880"/>
      <c r="BX22" s="318" t="s">
        <v>411</v>
      </c>
      <c r="BY22" s="133">
        <f>1/($BC$7)</f>
        <v>-5.9886741292636996E-4</v>
      </c>
      <c r="BZ22" s="133">
        <f>1/($BC$12)</f>
        <v>-5.9886741292636996E-4</v>
      </c>
      <c r="CA22" s="133">
        <f>1/($BC$17)</f>
        <v>-5.9886741292636996E-4</v>
      </c>
      <c r="CB22" s="133">
        <f>1/($BC$22)</f>
        <v>-6.4117705692213231E-4</v>
      </c>
      <c r="CC22" s="133">
        <f>1/($BC$27)</f>
        <v>-6.4117705692213231E-4</v>
      </c>
      <c r="CD22" s="134">
        <f>1/($BC$32)</f>
        <v>-6.8451360310928168E-4</v>
      </c>
      <c r="CE22" s="330"/>
      <c r="CF22" s="869"/>
      <c r="CG22" s="395">
        <v>4</v>
      </c>
      <c r="CH22" s="872"/>
      <c r="CI22" s="872"/>
      <c r="CJ22" s="878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0" t="s">
        <v>455</v>
      </c>
      <c r="CY22" s="51">
        <f t="shared" ref="CY22:DB22" si="58">CY12/$CY12</f>
        <v>1</v>
      </c>
      <c r="CZ22" s="51">
        <f t="shared" si="58"/>
        <v>2.3106496896437148</v>
      </c>
      <c r="DA22" s="51">
        <f t="shared" si="58"/>
        <v>6.4915524100887625</v>
      </c>
      <c r="DB22" s="73">
        <f t="shared" si="58"/>
        <v>35.076696181290728</v>
      </c>
      <c r="DC22" s="51"/>
      <c r="DD22" s="12"/>
      <c r="DE22" s="12"/>
      <c r="DF22" s="12"/>
      <c r="DG22" s="12"/>
      <c r="DH22" s="12"/>
      <c r="DI22" s="12"/>
    </row>
    <row r="23" spans="1:115" x14ac:dyDescent="0.25">
      <c r="B23" s="887"/>
      <c r="C23" s="334">
        <v>5</v>
      </c>
      <c r="D23" s="334">
        <v>513</v>
      </c>
      <c r="E23" s="139">
        <f>'Structural Information'!$AC$9</f>
        <v>3</v>
      </c>
      <c r="F23" s="354">
        <f>'Structural Information'!$AM$6</f>
        <v>4.5</v>
      </c>
      <c r="G23" s="425">
        <f>'Structural Information'!$AB$19/1000</f>
        <v>0.5</v>
      </c>
      <c r="H23" s="425">
        <f>'Structural Information'!$AB$24/1000</f>
        <v>0.25</v>
      </c>
      <c r="I23" s="140">
        <f>'Structural Information'!$AB$25/1000</f>
        <v>0.25</v>
      </c>
      <c r="J23" s="141">
        <f t="shared" si="56"/>
        <v>3.2552083333333332E-4</v>
      </c>
      <c r="K23" s="354">
        <f>F23-H23</f>
        <v>4.25</v>
      </c>
      <c r="L23" s="354">
        <f>E23-G23</f>
        <v>2.5</v>
      </c>
      <c r="M23" s="354">
        <f t="shared" si="57"/>
        <v>4.9307707308290052</v>
      </c>
      <c r="N23" s="355">
        <f>ATAN(L23/K23)</f>
        <v>0.53172406725880561</v>
      </c>
      <c r="T23" s="12"/>
      <c r="U23" s="886"/>
      <c r="V23" s="597">
        <v>5</v>
      </c>
      <c r="W23" s="597">
        <v>513</v>
      </c>
      <c r="X23" s="605">
        <f>1/((((COS(N23))^4)/'Structural Information'!$AR$30)+(((SIN(N23))^4)/'Structural Information'!$AR$31)+(((SIN(N23))^2)*((COS(N23))^2)*((1/'Structural Information'!$AR$32)-(2*'Structural Information'!$AV$32/'Structural Information'!$AR$31))))</f>
        <v>1492.8812750676027</v>
      </c>
      <c r="Y23" s="605">
        <f>((X23*('Structural Information'!$AV$30/1000)*SIN(2*N23))/(4*'Structural Information'!$AR$33*J23*L23))^(1/4)</f>
        <v>1.5504857878772818</v>
      </c>
      <c r="Z23" s="605">
        <f t="shared" si="1"/>
        <v>4.6514573636318453</v>
      </c>
      <c r="AA23" s="112">
        <f t="shared" si="51"/>
        <v>0.70699999999999996</v>
      </c>
      <c r="AB23" s="112">
        <f t="shared" si="41"/>
        <v>0.01</v>
      </c>
      <c r="AC23" s="605">
        <f t="shared" si="20"/>
        <v>0.79876204692072605</v>
      </c>
      <c r="AD23" s="609">
        <f>((0.6*'Structural Information'!$AT$30)+(0.3*'Structural Information'!$AV$31))/(AC23/M23)</f>
        <v>1.3333714113794979</v>
      </c>
      <c r="AE23" s="605">
        <f>(((1.2*SIN(N23)+0.45*COS(N23))*'Structural Information'!$AT$31)+(0.3*'Structural Information'!$AV$31))/(AC23/M23)</f>
        <v>1.8450425952026535</v>
      </c>
      <c r="AF23" s="605">
        <f>(1.12*'Structural Information'!$AT$32*COS(N23)*SIN(N23))/((AA23*(Z23^(-0.12)))+(AB23*(Z23^(0.88))))</f>
        <v>2.7418487136841865</v>
      </c>
      <c r="AG23" s="605">
        <f>(1.16*'Structural Information'!$AT$32*TAN(N23))/((AA23)+(AB23*Z23))</f>
        <v>3.1785169223354388</v>
      </c>
      <c r="AH23" s="610">
        <f t="shared" si="52"/>
        <v>1.3333714113794979</v>
      </c>
      <c r="AI23" s="605">
        <f>AH23*AC23*'Structural Information'!$AV$30</f>
        <v>319.51394335771954</v>
      </c>
      <c r="AJ23" s="605">
        <f t="shared" si="53"/>
        <v>255.61115468617564</v>
      </c>
      <c r="AK23" s="602">
        <f t="shared" si="54"/>
        <v>31.951394335771955</v>
      </c>
      <c r="AL23" s="311"/>
      <c r="AM23" s="887"/>
      <c r="AN23" s="530">
        <v>5</v>
      </c>
      <c r="AO23" s="530">
        <v>503</v>
      </c>
      <c r="AP23" s="139">
        <f>'Structural Information'!$AC$9</f>
        <v>3</v>
      </c>
      <c r="AQ23" s="139">
        <f t="shared" si="4"/>
        <v>255.61115468617564</v>
      </c>
      <c r="AR23" s="68">
        <f t="shared" si="45"/>
        <v>8.0000000000000004E-4</v>
      </c>
      <c r="AS23" s="539">
        <f t="shared" si="6"/>
        <v>59078.149025741252</v>
      </c>
      <c r="AT23" s="148">
        <f t="shared" si="7"/>
        <v>43890.964186219077</v>
      </c>
      <c r="AU23" s="139">
        <f t="shared" si="8"/>
        <v>319.51394335771954</v>
      </c>
      <c r="AV23" s="68">
        <f t="shared" si="46"/>
        <v>2.2000000000000001E-3</v>
      </c>
      <c r="AW23" s="539">
        <f t="shared" si="10"/>
        <v>26853.704102609659</v>
      </c>
      <c r="AX23" s="149">
        <f t="shared" si="11"/>
        <v>8439.7355751058913</v>
      </c>
      <c r="AY23" s="148">
        <f t="shared" si="22"/>
        <v>6270.1377408884373</v>
      </c>
      <c r="AZ23" s="539">
        <f t="shared" si="12"/>
        <v>31.951394335771955</v>
      </c>
      <c r="BA23" s="68">
        <f t="shared" si="47"/>
        <v>8.8999999999999999E-3</v>
      </c>
      <c r="BB23" s="539">
        <f t="shared" si="23"/>
        <v>-12331.343283582089</v>
      </c>
      <c r="BC23" s="544">
        <f t="shared" si="24"/>
        <v>-9161.3321566972318</v>
      </c>
      <c r="BD23" s="12"/>
      <c r="BE23" s="886"/>
      <c r="BF23" s="418">
        <v>2</v>
      </c>
      <c r="BG23" s="418">
        <v>7213</v>
      </c>
      <c r="BH23" s="418" t="s">
        <v>24</v>
      </c>
      <c r="BI23" s="424">
        <f>'Structural Information'!$AC$9</f>
        <v>3</v>
      </c>
      <c r="BJ23" s="428">
        <f>('Structural Information'!$AF$30)*(200)/$BI23</f>
        <v>53616.514621265807</v>
      </c>
      <c r="BK23" s="438">
        <f>Hcol2*Wcol2*(4700*SQRT(Fck))/(hstr3*1000)</f>
        <v>624233.61011723801</v>
      </c>
      <c r="BL23" s="12"/>
      <c r="BM23" s="84"/>
      <c r="BN23" s="12"/>
      <c r="BO23" s="12"/>
      <c r="BP23" s="12"/>
      <c r="BQ23" s="12"/>
      <c r="BR23" s="12"/>
      <c r="BS23" s="12"/>
      <c r="BT23" s="12"/>
      <c r="BU23" s="12"/>
      <c r="BV23" s="12"/>
      <c r="BW23" s="880"/>
      <c r="BX23" s="322" t="s">
        <v>412</v>
      </c>
      <c r="BY23" s="133">
        <f>(BP12*BP12)/$BK$8</f>
        <v>5.190364548604635E-6</v>
      </c>
      <c r="BZ23" s="133">
        <f>(BQ12*BQ12)/$BK$14</f>
        <v>5.190364548604635E-6</v>
      </c>
      <c r="CA23" s="133">
        <f>(BR12*BR12)/$BK$20</f>
        <v>5.190364548604635E-6</v>
      </c>
      <c r="CB23" s="133">
        <f>(BS12*BS12)/$BK$26</f>
        <v>3.6044198254198856E-6</v>
      </c>
      <c r="CC23" s="133">
        <f>(BT12*BT12)/$BK$32</f>
        <v>3.6044198254198856E-6</v>
      </c>
      <c r="CD23" s="134">
        <f>(BU12*BU12)/$BK$38</f>
        <v>1.4278222582243652E-6</v>
      </c>
      <c r="CE23" s="12"/>
      <c r="CF23" s="870"/>
      <c r="CG23" s="396">
        <v>5</v>
      </c>
      <c r="CH23" s="873"/>
      <c r="CI23" s="873"/>
      <c r="CJ23" s="885"/>
      <c r="CK23" s="12"/>
      <c r="CL23" s="12"/>
      <c r="CM23" s="12"/>
      <c r="CN23" s="12"/>
      <c r="CO23" s="12"/>
      <c r="CP23" s="312"/>
      <c r="CQ23" s="312"/>
      <c r="CR23" s="12"/>
      <c r="CS23" s="12"/>
      <c r="CT23" s="12"/>
      <c r="CU23" s="12"/>
      <c r="CV23" s="12"/>
      <c r="CW23" s="12"/>
      <c r="CX23" s="70" t="s">
        <v>454</v>
      </c>
      <c r="CY23" s="51">
        <f t="shared" ref="CY23:DB23" si="59">CY13/$CY13</f>
        <v>1</v>
      </c>
      <c r="CZ23" s="51">
        <f t="shared" si="59"/>
        <v>2.3782245422156727</v>
      </c>
      <c r="DA23" s="51">
        <f t="shared" si="59"/>
        <v>6.9891675275310314</v>
      </c>
      <c r="DB23" s="73">
        <f t="shared" si="59"/>
        <v>38.047553997712143</v>
      </c>
      <c r="DC23" s="51"/>
      <c r="DD23" s="12"/>
      <c r="DE23" s="12"/>
      <c r="DF23" s="12"/>
      <c r="DG23" s="12"/>
      <c r="DH23" s="12"/>
      <c r="DI23" s="12"/>
    </row>
    <row r="24" spans="1:115" x14ac:dyDescent="0.25">
      <c r="B24" s="888">
        <v>2</v>
      </c>
      <c r="C24" s="328">
        <v>1</v>
      </c>
      <c r="D24" s="328">
        <v>112</v>
      </c>
      <c r="E24" s="125">
        <f>'Structural Information'!$AC$10</f>
        <v>3</v>
      </c>
      <c r="F24" s="342">
        <f>'Structural Information'!$AM$10</f>
        <v>4.5</v>
      </c>
      <c r="G24" s="423">
        <f>'Structural Information'!$AB$19/1000</f>
        <v>0.5</v>
      </c>
      <c r="H24" s="423">
        <f>'Structural Information'!$AB$24/1000</f>
        <v>0.25</v>
      </c>
      <c r="I24" s="126">
        <f>'Structural Information'!$AB$25/1000</f>
        <v>0.25</v>
      </c>
      <c r="J24" s="127">
        <f t="shared" si="56"/>
        <v>3.2552083333333332E-4</v>
      </c>
      <c r="K24" s="342">
        <f t="shared" ref="K24:K30" si="60">F24-H24</f>
        <v>4.25</v>
      </c>
      <c r="L24" s="342">
        <f t="shared" ref="L24:L30" si="61">E24-G24</f>
        <v>2.5</v>
      </c>
      <c r="M24" s="342">
        <f t="shared" si="57"/>
        <v>4.9307707308290052</v>
      </c>
      <c r="N24" s="345">
        <f t="shared" ref="N24:N30" si="62">ATAN(L24/K24)</f>
        <v>0.53172406725880561</v>
      </c>
      <c r="T24" s="12"/>
      <c r="U24" s="888">
        <v>2</v>
      </c>
      <c r="V24" s="598">
        <v>1</v>
      </c>
      <c r="W24" s="598">
        <v>112</v>
      </c>
      <c r="X24" s="604">
        <f>1/((((COS(N24))^4)/'Structural Information'!$AR$30)+(((SIN(N24))^4)/'Structural Information'!$AR$31)+(((SIN(N24))^2)*((COS(N24))^2)*((1/'Structural Information'!$AR$32)-(2*'Structural Information'!$AV$32/'Structural Information'!$AR$31))))</f>
        <v>1492.8812750676027</v>
      </c>
      <c r="Y24" s="604">
        <f>((X24*('Structural Information'!$AV$30/1000)*SIN(2*N24))/(4*'Structural Information'!$AR$33*J24*L24))^(1/4)</f>
        <v>1.5504857878772818</v>
      </c>
      <c r="Z24" s="604">
        <f t="shared" si="1"/>
        <v>4.6514573636318453</v>
      </c>
      <c r="AA24" s="115">
        <f t="shared" si="51"/>
        <v>0.70699999999999996</v>
      </c>
      <c r="AB24" s="115">
        <f t="shared" si="41"/>
        <v>0.01</v>
      </c>
      <c r="AC24" s="604">
        <f t="shared" si="20"/>
        <v>0.79876204692072605</v>
      </c>
      <c r="AD24" s="125">
        <f>((0.6*'Structural Information'!$AT$30)+(0.3*'Structural Information'!$AV$31))/(AC24/M24)</f>
        <v>1.3333714113794979</v>
      </c>
      <c r="AE24" s="604">
        <f>(((1.2*SIN(N24)+0.45*COS(N24))*'Structural Information'!$AT$31)+(0.3*'Structural Information'!$AV$31))/(AC24/M24)</f>
        <v>1.8450425952026535</v>
      </c>
      <c r="AF24" s="604">
        <f>(1.12*'Structural Information'!$AT$32*COS(N24)*SIN(N24))/((AA24*(Z24^(-0.12)))+(AB24*(Z24^(0.88))))</f>
        <v>2.7418487136841865</v>
      </c>
      <c r="AG24" s="604">
        <f>(1.16*'Structural Information'!$AT$32*TAN(N24))/((AA24)+(AB24*Z24))</f>
        <v>3.1785169223354388</v>
      </c>
      <c r="AH24" s="126">
        <f t="shared" si="52"/>
        <v>1.3333714113794979</v>
      </c>
      <c r="AI24" s="604">
        <f>AH24*AC24*'Structural Information'!$AV$30</f>
        <v>319.51394335771954</v>
      </c>
      <c r="AJ24" s="604">
        <f t="shared" si="53"/>
        <v>255.61115468617564</v>
      </c>
      <c r="AK24" s="601">
        <f t="shared" si="54"/>
        <v>31.951394335771955</v>
      </c>
      <c r="AL24" s="311"/>
      <c r="AM24" s="888">
        <v>2</v>
      </c>
      <c r="AN24" s="529">
        <v>1</v>
      </c>
      <c r="AO24" s="529">
        <v>102</v>
      </c>
      <c r="AP24" s="125">
        <f>'Structural Information'!$AC$10</f>
        <v>3</v>
      </c>
      <c r="AQ24" s="125">
        <f t="shared" si="4"/>
        <v>255.61115468617564</v>
      </c>
      <c r="AR24" s="45">
        <f t="shared" si="45"/>
        <v>8.0000000000000004E-4</v>
      </c>
      <c r="AS24" s="537">
        <f t="shared" si="6"/>
        <v>59078.149025741252</v>
      </c>
      <c r="AT24" s="144">
        <f t="shared" si="7"/>
        <v>43890.964186219077</v>
      </c>
      <c r="AU24" s="125">
        <f t="shared" si="8"/>
        <v>319.51394335771954</v>
      </c>
      <c r="AV24" s="45">
        <f t="shared" si="46"/>
        <v>2.2000000000000001E-3</v>
      </c>
      <c r="AW24" s="537">
        <f t="shared" si="10"/>
        <v>26853.704102609659</v>
      </c>
      <c r="AX24" s="87">
        <f t="shared" si="11"/>
        <v>8439.7355751058913</v>
      </c>
      <c r="AY24" s="144">
        <f t="shared" si="22"/>
        <v>6270.1377408884373</v>
      </c>
      <c r="AZ24" s="537">
        <f t="shared" si="12"/>
        <v>31.951394335771955</v>
      </c>
      <c r="BA24" s="45">
        <f t="shared" si="47"/>
        <v>8.8999999999999999E-3</v>
      </c>
      <c r="BB24" s="537">
        <f t="shared" si="23"/>
        <v>-12331.343283582089</v>
      </c>
      <c r="BC24" s="541">
        <f t="shared" si="24"/>
        <v>-9161.3321566972318</v>
      </c>
      <c r="BD24" s="12"/>
      <c r="BE24" s="886"/>
      <c r="BF24" s="418">
        <v>3</v>
      </c>
      <c r="BG24" s="418">
        <v>7313</v>
      </c>
      <c r="BH24" s="418" t="s">
        <v>24</v>
      </c>
      <c r="BI24" s="424">
        <f>'Structural Information'!$AC$9</f>
        <v>3</v>
      </c>
      <c r="BJ24" s="428">
        <f>('Structural Information'!$AF$30)*(200)/$BI24</f>
        <v>53616.514621265807</v>
      </c>
      <c r="BK24" s="438">
        <f>Hcol2*Wcol2*(4700*SQRT(Fck))/(hstr3*1000)</f>
        <v>624233.61011723801</v>
      </c>
      <c r="BL24" s="12"/>
      <c r="BM24" s="84"/>
      <c r="BN24" s="12"/>
      <c r="BO24" s="12"/>
      <c r="BP24" s="12"/>
      <c r="BQ24" s="12"/>
      <c r="BR24" s="12"/>
      <c r="BS24" s="12"/>
      <c r="BT24" s="12"/>
      <c r="BU24" s="12"/>
      <c r="BV24" s="12"/>
      <c r="BW24" s="881">
        <v>5</v>
      </c>
      <c r="BX24" s="320" t="s">
        <v>413</v>
      </c>
      <c r="BY24" s="150">
        <f>(BP13*BP13)/$BK$8</f>
        <v>1.0252571947861007E-6</v>
      </c>
      <c r="BZ24" s="150">
        <f>(BQ13*BQ13)/$BK$14</f>
        <v>1.0252571947861007E-6</v>
      </c>
      <c r="CA24" s="150">
        <f>(BR13*BR13)/$BK$20</f>
        <v>1.0252571947861007E-6</v>
      </c>
      <c r="CB24" s="150">
        <f>(BS13*BS13)/$BK$26</f>
        <v>7.1198416304590332E-7</v>
      </c>
      <c r="CC24" s="150">
        <f>(BT13*BT13)/$BK$32</f>
        <v>7.1198416304590332E-7</v>
      </c>
      <c r="CD24" s="151">
        <f>(BU13*BU13)/$BK$38</f>
        <v>2.82038964587529E-7</v>
      </c>
      <c r="CE24" s="12"/>
      <c r="CF24" s="868">
        <v>2</v>
      </c>
      <c r="CG24" s="394">
        <v>1</v>
      </c>
      <c r="CH24" s="871">
        <f>1/(CC5+CC4+CD8+CD4)+1/(CC10+CC9+CD13+CD9)+1/(CC15+CC14+CD18+CD14)+1/(CD19+CC19+CC20+CD23)+1/(CD24+CC24+CC25+CD28)</f>
        <v>153601.61761731451</v>
      </c>
      <c r="CI24" s="871">
        <f>1/(CC6+CC4+CD8+CD4)+1/(CC11+CC9+CD13+CD9)+1/(CC16+CC14+CD18+CD14)+1/(CD19+CC19+CC21+CD23)+1/(CD24+CC24+CC26+CD28)</f>
        <v>23369.183561331651</v>
      </c>
      <c r="CJ24" s="877">
        <f>1/(CC7+CC4+CD8+CD4)+1/(CC12+CC9+CD13+CD9)+1/(CC17+CC14+CD18+CD14)+1/(CD19+CC19+CC22+CD23)+1/(CD24+CC24+CC27+CD28)</f>
        <v>-30866.097440457404</v>
      </c>
      <c r="CK24" s="12"/>
      <c r="CL24" s="533"/>
      <c r="CM24" s="527"/>
      <c r="CN24" s="538"/>
      <c r="CO24" s="538"/>
      <c r="CP24" s="538"/>
      <c r="CQ24" s="538"/>
      <c r="CR24" s="12"/>
      <c r="CS24" s="12"/>
      <c r="CT24" s="12"/>
      <c r="CU24" s="12"/>
      <c r="CV24" s="12"/>
      <c r="CW24" s="12"/>
      <c r="CX24" s="70" t="s">
        <v>386</v>
      </c>
      <c r="CY24" s="51">
        <f t="shared" ref="CY24:DB26" si="63">CY14/$CY14</f>
        <v>1</v>
      </c>
      <c r="CZ24" s="51">
        <f t="shared" si="63"/>
        <v>2.545671440498146</v>
      </c>
      <c r="DA24" s="51">
        <f t="shared" si="63"/>
        <v>7.6746934598664991</v>
      </c>
      <c r="DB24" s="73">
        <f t="shared" si="63"/>
        <v>41.070573582523977</v>
      </c>
      <c r="DC24" s="51"/>
      <c r="DD24" s="12"/>
      <c r="DE24" s="12"/>
      <c r="DF24" s="12"/>
      <c r="DG24" s="12"/>
      <c r="DH24" s="12"/>
      <c r="DI24" s="12"/>
    </row>
    <row r="25" spans="1:115" x14ac:dyDescent="0.25">
      <c r="A25" s="12"/>
      <c r="B25" s="886"/>
      <c r="C25" s="330">
        <v>2</v>
      </c>
      <c r="D25" s="330">
        <v>212</v>
      </c>
      <c r="E25" s="358">
        <f>'Structural Information'!$AC$10</f>
        <v>3</v>
      </c>
      <c r="F25" s="343">
        <f>'Structural Information'!$AM$9</f>
        <v>2</v>
      </c>
      <c r="G25" s="424">
        <f>'Structural Information'!$AB$19/1000</f>
        <v>0.5</v>
      </c>
      <c r="H25" s="424">
        <f>'Structural Information'!$AB$29/1000</f>
        <v>0.3</v>
      </c>
      <c r="I25" s="429">
        <f>'Structural Information'!$AB$30/1000</f>
        <v>0.3</v>
      </c>
      <c r="J25" s="135">
        <f t="shared" si="56"/>
        <v>6.7499999999999993E-4</v>
      </c>
      <c r="K25" s="343">
        <f t="shared" si="60"/>
        <v>1.7</v>
      </c>
      <c r="L25" s="343">
        <f t="shared" si="61"/>
        <v>2.5</v>
      </c>
      <c r="M25" s="343">
        <f t="shared" si="57"/>
        <v>3.0232432915661951</v>
      </c>
      <c r="N25" s="346">
        <f t="shared" si="62"/>
        <v>0.97361966870221905</v>
      </c>
      <c r="O25" s="12"/>
      <c r="P25" s="12"/>
      <c r="Q25" s="12"/>
      <c r="R25" s="12"/>
      <c r="T25" s="12"/>
      <c r="U25" s="886"/>
      <c r="V25" s="597">
        <v>2</v>
      </c>
      <c r="W25" s="597">
        <v>212</v>
      </c>
      <c r="X25" s="605">
        <f>1/((((COS(N25))^4)/'Structural Information'!$AR$30)+(((SIN(N25))^4)/'Structural Information'!$AR$31)+(((SIN(N25))^2)*((COS(N25))^2)*((1/'Structural Information'!$AR$32)-(2*'Structural Information'!$AV$32/'Structural Information'!$AR$31))))</f>
        <v>2633.8326950752903</v>
      </c>
      <c r="Y25" s="605">
        <f>((X25*('Structural Information'!$AV$30/1000)*SIN(2*N25))/(4*'Structural Information'!$AR$33*J25*L25))^(1/4)</f>
        <v>1.5123876617767853</v>
      </c>
      <c r="Z25" s="605">
        <f t="shared" si="1"/>
        <v>4.5371629853303563</v>
      </c>
      <c r="AA25" s="112">
        <f t="shared" si="51"/>
        <v>0.70699999999999996</v>
      </c>
      <c r="AB25" s="112">
        <f t="shared" si="41"/>
        <v>0.01</v>
      </c>
      <c r="AC25" s="605">
        <f t="shared" si="20"/>
        <v>0.50132703852010907</v>
      </c>
      <c r="AD25" s="609">
        <f>((0.6*'Structural Information'!$AT$30)+(0.3*'Structural Information'!$AV$31))/(AC25/M25)</f>
        <v>1.3025839438183511</v>
      </c>
      <c r="AE25" s="605">
        <f>(((1.2*SIN(N25)+0.45*COS(N25))*'Structural Information'!$AT$31)+(0.3*'Structural Information'!$AV$31))/(AC25/M25)</f>
        <v>2.2530203105226962</v>
      </c>
      <c r="AF25" s="605">
        <f>(1.12*'Structural Information'!$AT$32*COS(N25)*SIN(N25))/((AA25*(Z25^(-0.12)))+(AB25*(Z25^(0.88))))</f>
        <v>2.9130610617271073</v>
      </c>
      <c r="AG25" s="605">
        <f>(1.16*'Structural Information'!$AT$32*TAN(N25))/((AA25)+(AB25*Z25))</f>
        <v>7.9583636878905075</v>
      </c>
      <c r="AH25" s="610">
        <f t="shared" si="52"/>
        <v>1.3025839438183511</v>
      </c>
      <c r="AI25" s="605">
        <f>AH25*AC25*'Structural Information'!$AV$30</f>
        <v>195.90616529348941</v>
      </c>
      <c r="AJ25" s="605">
        <f t="shared" si="53"/>
        <v>156.72493223479154</v>
      </c>
      <c r="AK25" s="602">
        <f t="shared" si="54"/>
        <v>19.590616529348942</v>
      </c>
      <c r="AL25" s="311"/>
      <c r="AM25" s="886"/>
      <c r="AN25" s="527">
        <v>2</v>
      </c>
      <c r="AO25" s="527">
        <v>202</v>
      </c>
      <c r="AP25" s="548">
        <f>'Structural Information'!$AC$10</f>
        <v>3</v>
      </c>
      <c r="AQ25" s="548">
        <f t="shared" si="4"/>
        <v>156.72493223479154</v>
      </c>
      <c r="AR25" s="51">
        <f t="shared" si="45"/>
        <v>8.0000000000000004E-4</v>
      </c>
      <c r="AS25" s="538">
        <f t="shared" si="6"/>
        <v>54334.594165015376</v>
      </c>
      <c r="AT25" s="130">
        <f t="shared" si="7"/>
        <v>17180.194435108802</v>
      </c>
      <c r="AU25" s="548">
        <f t="shared" si="8"/>
        <v>195.90616529348941</v>
      </c>
      <c r="AV25" s="51">
        <f t="shared" si="46"/>
        <v>2.2000000000000001E-3</v>
      </c>
      <c r="AW25" s="538">
        <f t="shared" si="10"/>
        <v>24697.542802279713</v>
      </c>
      <c r="AX25" s="92">
        <f t="shared" si="11"/>
        <v>7762.0848807164784</v>
      </c>
      <c r="AY25" s="130">
        <f t="shared" si="22"/>
        <v>2454.3134907298277</v>
      </c>
      <c r="AZ25" s="538">
        <f t="shared" si="12"/>
        <v>19.590616529348942</v>
      </c>
      <c r="BA25" s="51">
        <f t="shared" si="47"/>
        <v>8.8999999999999999E-3</v>
      </c>
      <c r="BB25" s="538">
        <f t="shared" si="23"/>
        <v>-4932.5373134328356</v>
      </c>
      <c r="BC25" s="542">
        <f t="shared" si="24"/>
        <v>-1559.6316012933148</v>
      </c>
      <c r="BD25" s="12"/>
      <c r="BE25" s="886"/>
      <c r="BF25" s="418">
        <v>4</v>
      </c>
      <c r="BG25" s="418">
        <v>7413</v>
      </c>
      <c r="BH25" s="418" t="s">
        <v>24</v>
      </c>
      <c r="BI25" s="424">
        <f>'Structural Information'!$AC$9</f>
        <v>3</v>
      </c>
      <c r="BJ25" s="428">
        <f>('Structural Information'!$AF$30)*(200)/$BI25</f>
        <v>53616.514621265807</v>
      </c>
      <c r="BK25" s="438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880"/>
      <c r="BX25" s="316" t="s">
        <v>414</v>
      </c>
      <c r="BY25" s="133">
        <f>1/($AT$8)</f>
        <v>2.278373279195313E-5</v>
      </c>
      <c r="BZ25" s="133">
        <f>1/($AT$13)</f>
        <v>2.278373279195313E-5</v>
      </c>
      <c r="CA25" s="133">
        <f>1/($AT$18)</f>
        <v>2.278373279195313E-5</v>
      </c>
      <c r="CB25" s="133">
        <f>1/($AT$23)</f>
        <v>2.278373279195313E-5</v>
      </c>
      <c r="CC25" s="133">
        <f>1/($AT$28)</f>
        <v>2.278373279195313E-5</v>
      </c>
      <c r="CD25" s="134">
        <f>1/($AT$33)</f>
        <v>2.1982813209515501E-5</v>
      </c>
      <c r="CE25" s="12"/>
      <c r="CF25" s="869"/>
      <c r="CG25" s="395">
        <v>2</v>
      </c>
      <c r="CH25" s="872"/>
      <c r="CI25" s="872"/>
      <c r="CJ25" s="878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0" t="s">
        <v>387</v>
      </c>
      <c r="CY25" s="51">
        <f t="shared" si="63"/>
        <v>1</v>
      </c>
      <c r="CZ25" s="51">
        <f t="shared" si="63"/>
        <v>2.6432069311941526</v>
      </c>
      <c r="DA25" s="51">
        <f t="shared" si="63"/>
        <v>8.2416412701261859</v>
      </c>
      <c r="DB25" s="73">
        <f t="shared" si="63"/>
        <v>44.168857147836007</v>
      </c>
      <c r="DC25" s="51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86"/>
      <c r="C26" s="330">
        <v>3</v>
      </c>
      <c r="D26" s="330">
        <v>312</v>
      </c>
      <c r="E26" s="358">
        <f>'Structural Information'!$AC$10</f>
        <v>3</v>
      </c>
      <c r="F26" s="343">
        <f>'Structural Information'!$AM$8</f>
        <v>4.5</v>
      </c>
      <c r="G26" s="424">
        <f>'Structural Information'!$AB$19/1000</f>
        <v>0.5</v>
      </c>
      <c r="H26" s="424">
        <f>'Structural Information'!$AB$29/1000</f>
        <v>0.3</v>
      </c>
      <c r="I26" s="429">
        <f>'Structural Information'!$AB$30/1000</f>
        <v>0.3</v>
      </c>
      <c r="J26" s="135">
        <f t="shared" si="56"/>
        <v>6.7499999999999993E-4</v>
      </c>
      <c r="K26" s="343">
        <f t="shared" si="60"/>
        <v>4.2</v>
      </c>
      <c r="L26" s="343">
        <f t="shared" si="61"/>
        <v>2.5</v>
      </c>
      <c r="M26" s="343">
        <f t="shared" si="57"/>
        <v>4.8877397639399751</v>
      </c>
      <c r="N26" s="346">
        <f t="shared" si="62"/>
        <v>0.53691074274004558</v>
      </c>
      <c r="O26" s="12"/>
      <c r="P26" s="12"/>
      <c r="Q26" s="12"/>
      <c r="R26" s="12"/>
      <c r="T26" s="12"/>
      <c r="U26" s="886"/>
      <c r="V26" s="597">
        <v>3</v>
      </c>
      <c r="W26" s="597">
        <v>312</v>
      </c>
      <c r="X26" s="605">
        <f>1/((((COS(N26))^4)/'Structural Information'!$AR$30)+(((SIN(N26))^4)/'Structural Information'!$AR$31)+(((SIN(N26))^2)*((COS(N26))^2)*((1/'Structural Information'!$AR$32)-(2*'Structural Information'!$AV$32/'Structural Information'!$AR$31))))</f>
        <v>1502.4537801186543</v>
      </c>
      <c r="Y26" s="605">
        <f>((X26*('Structural Information'!$AV$30/1000)*SIN(2*N26))/(4*'Structural Information'!$AR$33*J26*L26))^(1/4)</f>
        <v>1.2959819816988092</v>
      </c>
      <c r="Z26" s="605">
        <f t="shared" si="1"/>
        <v>3.8879459450964275</v>
      </c>
      <c r="AA26" s="112">
        <f t="shared" si="51"/>
        <v>0.70699999999999996</v>
      </c>
      <c r="AB26" s="112">
        <f t="shared" si="41"/>
        <v>0.01</v>
      </c>
      <c r="AC26" s="605">
        <f t="shared" si="20"/>
        <v>0.93768399678049374</v>
      </c>
      <c r="AD26" s="609">
        <f>((0.6*'Structural Information'!$AT$30)+(0.3*'Structural Information'!$AV$31))/(AC26/M26)</f>
        <v>1.1259142660383696</v>
      </c>
      <c r="AE26" s="605">
        <f>(((1.2*SIN(N26)+0.45*COS(N26))*'Structural Information'!$AT$31)+(0.3*'Structural Information'!$AV$31))/(AC26/M26)</f>
        <v>1.5644929475568472</v>
      </c>
      <c r="AF26" s="605">
        <f>(1.12*'Structural Information'!$AT$32*COS(N26)*SIN(N26))/((AA26*(Z26^(-0.12)))+(AB26*(Z26^(0.88))))</f>
        <v>2.7264407690263406</v>
      </c>
      <c r="AG26" s="605">
        <f>(1.16*'Structural Information'!$AT$32*TAN(N26))/((AA26)+(AB26*Z26))</f>
        <v>3.2492802930320659</v>
      </c>
      <c r="AH26" s="610">
        <f t="shared" ref="AH26:AH33" si="64">MIN(AD26:AG26)</f>
        <v>1.1259142660383696</v>
      </c>
      <c r="AI26" s="605">
        <f>AH26*AC26*'Structural Information'!$AV$30</f>
        <v>316.72553670331041</v>
      </c>
      <c r="AJ26" s="605">
        <f t="shared" ref="AJ26:AJ33" si="65">0.8*AI26</f>
        <v>253.38042936264833</v>
      </c>
      <c r="AK26" s="602">
        <f t="shared" ref="AK26:AK33" si="66">0.1*AI26</f>
        <v>31.672553670331041</v>
      </c>
      <c r="AL26" s="311"/>
      <c r="AM26" s="886"/>
      <c r="AN26" s="527">
        <v>3</v>
      </c>
      <c r="AO26" s="527">
        <v>302</v>
      </c>
      <c r="AP26" s="548">
        <f>'Structural Information'!$AC$10</f>
        <v>3</v>
      </c>
      <c r="AQ26" s="548">
        <f t="shared" si="4"/>
        <v>253.38042936264833</v>
      </c>
      <c r="AR26" s="51">
        <f t="shared" si="45"/>
        <v>8.0000000000000004E-4</v>
      </c>
      <c r="AS26" s="538">
        <f t="shared" si="6"/>
        <v>58562.572452955756</v>
      </c>
      <c r="AT26" s="130">
        <f t="shared" si="7"/>
        <v>43241.681794480515</v>
      </c>
      <c r="AU26" s="548">
        <f t="shared" si="8"/>
        <v>316.72553670331041</v>
      </c>
      <c r="AV26" s="51">
        <f t="shared" si="46"/>
        <v>2.2000000000000001E-3</v>
      </c>
      <c r="AW26" s="538">
        <f t="shared" si="10"/>
        <v>26619.351114979887</v>
      </c>
      <c r="AX26" s="92">
        <f t="shared" si="11"/>
        <v>8366.0817789936791</v>
      </c>
      <c r="AY26" s="130">
        <f t="shared" si="22"/>
        <v>6177.3831134972161</v>
      </c>
      <c r="AZ26" s="538">
        <f t="shared" si="12"/>
        <v>31.672553670331041</v>
      </c>
      <c r="BA26" s="51">
        <f t="shared" si="47"/>
        <v>8.8999999999999999E-3</v>
      </c>
      <c r="BB26" s="538">
        <f t="shared" si="23"/>
        <v>-12186.268656716418</v>
      </c>
      <c r="BC26" s="542">
        <f t="shared" si="24"/>
        <v>-8998.1489788395829</v>
      </c>
      <c r="BD26" s="12"/>
      <c r="BE26" s="886"/>
      <c r="BF26" s="418">
        <v>5</v>
      </c>
      <c r="BG26" s="418">
        <v>7513</v>
      </c>
      <c r="BH26" s="418" t="s">
        <v>24</v>
      </c>
      <c r="BI26" s="424">
        <f>'Structural Information'!$AC$9</f>
        <v>3</v>
      </c>
      <c r="BJ26" s="428">
        <f>('Structural Information'!$AF$30)*(200)/$BI26</f>
        <v>53616.514621265807</v>
      </c>
      <c r="BK26" s="438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0"/>
      <c r="BX26" s="317" t="s">
        <v>414</v>
      </c>
      <c r="BY26" s="133">
        <f>1/($AY$8)</f>
        <v>1.5948612954367196E-4</v>
      </c>
      <c r="BZ26" s="133">
        <f>1/($AY$13)</f>
        <v>1.5948612954367196E-4</v>
      </c>
      <c r="CA26" s="133">
        <f>1/($AY$18)</f>
        <v>1.5948612954367196E-4</v>
      </c>
      <c r="CB26" s="133">
        <f>1/($AY$23)</f>
        <v>1.5948612954367196E-4</v>
      </c>
      <c r="CC26" s="133">
        <f>1/($AY$28)</f>
        <v>1.5948612954367196E-4</v>
      </c>
      <c r="CD26" s="134">
        <f>1/($AY$33)</f>
        <v>1.538796924666086E-4</v>
      </c>
      <c r="CE26" s="12"/>
      <c r="CF26" s="869"/>
      <c r="CG26" s="395">
        <v>3</v>
      </c>
      <c r="CH26" s="872"/>
      <c r="CI26" s="872"/>
      <c r="CJ26" s="878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1" t="s">
        <v>388</v>
      </c>
      <c r="CY26" s="82">
        <f t="shared" si="63"/>
        <v>1</v>
      </c>
      <c r="CZ26" s="82">
        <f t="shared" si="63"/>
        <v>2.7237557155285912</v>
      </c>
      <c r="DA26" s="82">
        <f t="shared" si="63"/>
        <v>8.2147718957774831</v>
      </c>
      <c r="DB26" s="83">
        <f t="shared" si="63"/>
        <v>44.81721953399002</v>
      </c>
      <c r="DC26" s="51"/>
      <c r="DD26" s="12"/>
      <c r="DE26" s="12"/>
      <c r="DF26" s="12"/>
      <c r="DG26" s="12"/>
      <c r="DH26" s="12"/>
      <c r="DI26" s="12"/>
    </row>
    <row r="27" spans="1:115" x14ac:dyDescent="0.25">
      <c r="A27" s="12"/>
      <c r="B27" s="886"/>
      <c r="C27" s="330">
        <v>4</v>
      </c>
      <c r="D27" s="330">
        <v>412</v>
      </c>
      <c r="E27" s="358">
        <f>'Structural Information'!$AC$10</f>
        <v>3</v>
      </c>
      <c r="F27" s="343">
        <f>'Structural Information'!$AM$7</f>
        <v>2</v>
      </c>
      <c r="G27" s="424">
        <f>'Structural Information'!$AB$19/1000</f>
        <v>0.5</v>
      </c>
      <c r="H27" s="424">
        <f>'Structural Information'!$AB$29/1000</f>
        <v>0.3</v>
      </c>
      <c r="I27" s="429">
        <f>'Structural Information'!$AB$30/1000</f>
        <v>0.3</v>
      </c>
      <c r="J27" s="135">
        <f t="shared" si="56"/>
        <v>6.7499999999999993E-4</v>
      </c>
      <c r="K27" s="343">
        <f t="shared" si="60"/>
        <v>1.7</v>
      </c>
      <c r="L27" s="343">
        <f t="shared" si="61"/>
        <v>2.5</v>
      </c>
      <c r="M27" s="343">
        <f t="shared" si="57"/>
        <v>3.0232432915661951</v>
      </c>
      <c r="N27" s="346">
        <f t="shared" si="62"/>
        <v>0.97361966870221905</v>
      </c>
      <c r="O27" s="12"/>
      <c r="P27" s="12"/>
      <c r="Q27" s="12"/>
      <c r="R27" s="12"/>
      <c r="T27" s="12"/>
      <c r="U27" s="886"/>
      <c r="V27" s="597">
        <v>4</v>
      </c>
      <c r="W27" s="597">
        <v>412</v>
      </c>
      <c r="X27" s="605">
        <f>1/((((COS(N27))^4)/'Structural Information'!$AR$30)+(((SIN(N27))^4)/'Structural Information'!$AR$31)+(((SIN(N27))^2)*((COS(N27))^2)*((1/'Structural Information'!$AR$32)-(2*'Structural Information'!$AV$32/'Structural Information'!$AR$31))))</f>
        <v>2633.8326950752903</v>
      </c>
      <c r="Y27" s="605">
        <f>((X27*('Structural Information'!$AV$30/1000)*SIN(2*N27))/(4*'Structural Information'!$AR$33*J27*L27))^(1/4)</f>
        <v>1.5123876617767853</v>
      </c>
      <c r="Z27" s="605">
        <f t="shared" si="1"/>
        <v>4.5371629853303563</v>
      </c>
      <c r="AA27" s="112">
        <f t="shared" si="51"/>
        <v>0.70699999999999996</v>
      </c>
      <c r="AB27" s="112">
        <f t="shared" si="41"/>
        <v>0.01</v>
      </c>
      <c r="AC27" s="605">
        <f t="shared" si="20"/>
        <v>0.50132703852010907</v>
      </c>
      <c r="AD27" s="609">
        <f>((0.6*'Structural Information'!$AT$30)+(0.3*'Structural Information'!$AV$31))/(AC27/M27)</f>
        <v>1.3025839438183511</v>
      </c>
      <c r="AE27" s="605">
        <f>(((1.2*SIN(N27)+0.45*COS(N27))*'Structural Information'!$AT$31)+(0.3*'Structural Information'!$AV$31))/(AC27/M27)</f>
        <v>2.2530203105226962</v>
      </c>
      <c r="AF27" s="605">
        <f>(1.12*'Structural Information'!$AT$32*COS(N27)*SIN(N27))/((AA27*(Z27^(-0.12)))+(AB27*(Z27^(0.88))))</f>
        <v>2.9130610617271073</v>
      </c>
      <c r="AG27" s="605">
        <f>(1.16*'Structural Information'!$AT$32*TAN(N27))/((AA27)+(AB27*Z27))</f>
        <v>7.9583636878905075</v>
      </c>
      <c r="AH27" s="610">
        <f t="shared" si="64"/>
        <v>1.3025839438183511</v>
      </c>
      <c r="AI27" s="605">
        <f>AH27*AC27*'Structural Information'!$AV$30</f>
        <v>195.90616529348941</v>
      </c>
      <c r="AJ27" s="605">
        <f t="shared" si="65"/>
        <v>156.72493223479154</v>
      </c>
      <c r="AK27" s="602">
        <f t="shared" si="66"/>
        <v>19.590616529348942</v>
      </c>
      <c r="AL27" s="311"/>
      <c r="AM27" s="886"/>
      <c r="AN27" s="527">
        <v>4</v>
      </c>
      <c r="AO27" s="527">
        <v>402</v>
      </c>
      <c r="AP27" s="548">
        <f>'Structural Information'!$AC$10</f>
        <v>3</v>
      </c>
      <c r="AQ27" s="548">
        <f t="shared" si="4"/>
        <v>156.72493223479154</v>
      </c>
      <c r="AR27" s="51">
        <f t="shared" si="45"/>
        <v>8.0000000000000004E-4</v>
      </c>
      <c r="AS27" s="538">
        <f t="shared" si="6"/>
        <v>54334.594165015376</v>
      </c>
      <c r="AT27" s="130">
        <f t="shared" si="7"/>
        <v>17180.194435108802</v>
      </c>
      <c r="AU27" s="548">
        <f t="shared" si="8"/>
        <v>195.90616529348941</v>
      </c>
      <c r="AV27" s="51">
        <f t="shared" si="46"/>
        <v>2.2000000000000001E-3</v>
      </c>
      <c r="AW27" s="538">
        <f t="shared" si="10"/>
        <v>24697.542802279713</v>
      </c>
      <c r="AX27" s="92">
        <f t="shared" si="11"/>
        <v>7762.0848807164784</v>
      </c>
      <c r="AY27" s="130">
        <f t="shared" si="22"/>
        <v>2454.3134907298277</v>
      </c>
      <c r="AZ27" s="538">
        <f t="shared" si="12"/>
        <v>19.590616529348942</v>
      </c>
      <c r="BA27" s="51">
        <f t="shared" si="47"/>
        <v>8.8999999999999999E-3</v>
      </c>
      <c r="BB27" s="538">
        <f t="shared" si="23"/>
        <v>-4932.5373134328356</v>
      </c>
      <c r="BC27" s="542">
        <f t="shared" si="24"/>
        <v>-1559.6316012933148</v>
      </c>
      <c r="BD27" s="12"/>
      <c r="BE27" s="887"/>
      <c r="BF27" s="419">
        <v>6</v>
      </c>
      <c r="BG27" s="419">
        <v>7613</v>
      </c>
      <c r="BH27" s="419" t="s">
        <v>23</v>
      </c>
      <c r="BI27" s="425">
        <f>'Structural Information'!$AC$9</f>
        <v>3</v>
      </c>
      <c r="BJ27" s="139">
        <f>('Structural Information'!$AF$25)*(200)/$BI27</f>
        <v>53616.514621265807</v>
      </c>
      <c r="BK27" s="439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880"/>
      <c r="BX27" s="318" t="s">
        <v>414</v>
      </c>
      <c r="BY27" s="133">
        <f>1/($BC$8)</f>
        <v>-1.09154431134665E-4</v>
      </c>
      <c r="BZ27" s="133">
        <f>1/($BC$13)</f>
        <v>-1.09154431134665E-4</v>
      </c>
      <c r="CA27" s="133">
        <f>1/($BC$18)</f>
        <v>-1.09154431134665E-4</v>
      </c>
      <c r="CB27" s="133">
        <f>1/($BC$23)</f>
        <v>-1.09154431134665E-4</v>
      </c>
      <c r="CC27" s="133">
        <f>1/($BC$28)</f>
        <v>-1.09154431134665E-4</v>
      </c>
      <c r="CD27" s="134">
        <f>1/($BC$33)</f>
        <v>-9.6809013447138572E-5</v>
      </c>
      <c r="CE27" s="12"/>
      <c r="CF27" s="869"/>
      <c r="CG27" s="395">
        <v>4</v>
      </c>
      <c r="CH27" s="872"/>
      <c r="CI27" s="872"/>
      <c r="CJ27" s="878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887"/>
      <c r="C28" s="334">
        <v>5</v>
      </c>
      <c r="D28" s="334">
        <v>512</v>
      </c>
      <c r="E28" s="139">
        <f>'Structural Information'!$AC$10</f>
        <v>3</v>
      </c>
      <c r="F28" s="354">
        <f>'Structural Information'!$AM$6</f>
        <v>4.5</v>
      </c>
      <c r="G28" s="425">
        <f>'Structural Information'!$AB$19/1000</f>
        <v>0.5</v>
      </c>
      <c r="H28" s="425">
        <f>'Structural Information'!$AB$24/1000</f>
        <v>0.25</v>
      </c>
      <c r="I28" s="140">
        <f>'Structural Information'!$AB$25/1000</f>
        <v>0.25</v>
      </c>
      <c r="J28" s="141">
        <f t="shared" si="56"/>
        <v>3.2552083333333332E-4</v>
      </c>
      <c r="K28" s="354">
        <f t="shared" si="60"/>
        <v>4.25</v>
      </c>
      <c r="L28" s="354">
        <f t="shared" si="61"/>
        <v>2.5</v>
      </c>
      <c r="M28" s="354">
        <f t="shared" si="57"/>
        <v>4.9307707308290052</v>
      </c>
      <c r="N28" s="355">
        <f t="shared" si="62"/>
        <v>0.53172406725880561</v>
      </c>
      <c r="O28" s="12"/>
      <c r="P28" s="12"/>
      <c r="Q28" s="12"/>
      <c r="R28" s="12"/>
      <c r="T28" s="12"/>
      <c r="U28" s="887"/>
      <c r="V28" s="600">
        <v>5</v>
      </c>
      <c r="W28" s="600">
        <v>512</v>
      </c>
      <c r="X28" s="606">
        <f>1/((((COS(N28))^4)/'Structural Information'!$AR$30)+(((SIN(N28))^4)/'Structural Information'!$AR$31)+(((SIN(N28))^2)*((COS(N28))^2)*((1/'Structural Information'!$AR$32)-(2*'Structural Information'!$AV$32/'Structural Information'!$AR$31))))</f>
        <v>1492.8812750676027</v>
      </c>
      <c r="Y28" s="606">
        <f>((X28*('Structural Information'!$AV$30/1000)*SIN(2*N28))/(4*'Structural Information'!$AR$33*J28*L28))^(1/4)</f>
        <v>1.5504857878772818</v>
      </c>
      <c r="Z28" s="606">
        <f t="shared" si="1"/>
        <v>4.6514573636318453</v>
      </c>
      <c r="AA28" s="142">
        <f t="shared" si="51"/>
        <v>0.70699999999999996</v>
      </c>
      <c r="AB28" s="142">
        <f t="shared" si="41"/>
        <v>0.01</v>
      </c>
      <c r="AC28" s="606">
        <f t="shared" si="20"/>
        <v>0.79876204692072605</v>
      </c>
      <c r="AD28" s="139">
        <f>((0.6*'Structural Information'!$AT$30)+(0.3*'Structural Information'!$AV$31))/(AC28/M28)</f>
        <v>1.3333714113794979</v>
      </c>
      <c r="AE28" s="606">
        <f>(((1.2*SIN(N28)+0.45*COS(N28))*'Structural Information'!$AT$31)+(0.3*'Structural Information'!$AV$31))/(AC28/M28)</f>
        <v>1.8450425952026535</v>
      </c>
      <c r="AF28" s="606">
        <f>(1.12*'Structural Information'!$AT$32*COS(N28)*SIN(N28))/((AA28*(Z28^(-0.12)))+(AB28*(Z28^(0.88))))</f>
        <v>2.7418487136841865</v>
      </c>
      <c r="AG28" s="606">
        <f>(1.16*'Structural Information'!$AT$32*TAN(N28))/((AA28)+(AB28*Z28))</f>
        <v>3.1785169223354388</v>
      </c>
      <c r="AH28" s="140">
        <f t="shared" si="64"/>
        <v>1.3333714113794979</v>
      </c>
      <c r="AI28" s="606">
        <f>AH28*AC28*'Structural Information'!$AV$30</f>
        <v>319.51394335771954</v>
      </c>
      <c r="AJ28" s="606">
        <f t="shared" si="65"/>
        <v>255.61115468617564</v>
      </c>
      <c r="AK28" s="603">
        <f t="shared" si="66"/>
        <v>31.951394335771955</v>
      </c>
      <c r="AL28" s="311"/>
      <c r="AM28" s="887"/>
      <c r="AN28" s="530">
        <v>5</v>
      </c>
      <c r="AO28" s="530">
        <v>502</v>
      </c>
      <c r="AP28" s="139">
        <f>'Structural Information'!$AC$10</f>
        <v>3</v>
      </c>
      <c r="AQ28" s="139">
        <f t="shared" si="4"/>
        <v>255.61115468617564</v>
      </c>
      <c r="AR28" s="68">
        <f t="shared" si="45"/>
        <v>8.0000000000000004E-4</v>
      </c>
      <c r="AS28" s="539">
        <f t="shared" si="6"/>
        <v>59078.149025741252</v>
      </c>
      <c r="AT28" s="148">
        <f t="shared" si="7"/>
        <v>43890.964186219077</v>
      </c>
      <c r="AU28" s="139">
        <f t="shared" si="8"/>
        <v>319.51394335771954</v>
      </c>
      <c r="AV28" s="68">
        <f t="shared" si="46"/>
        <v>2.2000000000000001E-3</v>
      </c>
      <c r="AW28" s="539">
        <f t="shared" si="10"/>
        <v>26853.704102609659</v>
      </c>
      <c r="AX28" s="149">
        <f t="shared" si="11"/>
        <v>8439.7355751058913</v>
      </c>
      <c r="AY28" s="148">
        <f t="shared" si="22"/>
        <v>6270.1377408884373</v>
      </c>
      <c r="AZ28" s="539">
        <f t="shared" si="12"/>
        <v>31.951394335771955</v>
      </c>
      <c r="BA28" s="68">
        <f t="shared" si="47"/>
        <v>8.8999999999999999E-3</v>
      </c>
      <c r="BB28" s="539">
        <f t="shared" si="23"/>
        <v>-12331.343283582089</v>
      </c>
      <c r="BC28" s="544">
        <f t="shared" si="24"/>
        <v>-9161.3321566972318</v>
      </c>
      <c r="BD28" s="12"/>
      <c r="BE28" s="888">
        <v>2</v>
      </c>
      <c r="BF28" s="417">
        <v>1</v>
      </c>
      <c r="BG28" s="417">
        <v>7112</v>
      </c>
      <c r="BH28" s="417" t="s">
        <v>23</v>
      </c>
      <c r="BI28" s="423">
        <f>'Structural Information'!$AC$10</f>
        <v>3</v>
      </c>
      <c r="BJ28" s="125">
        <f>('Structural Information'!$AF$25)*(200)/$BI28</f>
        <v>53616.514621265807</v>
      </c>
      <c r="BK28" s="440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882"/>
      <c r="BX28" s="323" t="s">
        <v>404</v>
      </c>
      <c r="BY28" s="159">
        <f>(BP14*BP14)/$BK$9</f>
        <v>1.0252571947861007E-6</v>
      </c>
      <c r="BZ28" s="159">
        <f>(BQ14*BQ14)/$BK$15</f>
        <v>1.0252571947861007E-6</v>
      </c>
      <c r="CA28" s="159">
        <f>(BR14*BR14)/$BK$21</f>
        <v>1.0252571947861007E-6</v>
      </c>
      <c r="CB28" s="159">
        <f>(BS14*BS14)/$BK$27</f>
        <v>1.0252571947861007E-6</v>
      </c>
      <c r="CC28" s="159">
        <f>(BT14*BT14)/$BK$33</f>
        <v>1.0252571947861007E-6</v>
      </c>
      <c r="CD28" s="160">
        <f>(BU14*BU14)/$BK$39</f>
        <v>5.4840909780908416E-7</v>
      </c>
      <c r="CE28" s="12"/>
      <c r="CF28" s="870"/>
      <c r="CG28" s="396">
        <v>5</v>
      </c>
      <c r="CH28" s="873"/>
      <c r="CI28" s="873"/>
      <c r="CJ28" s="885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88">
        <v>1</v>
      </c>
      <c r="C29" s="328">
        <v>1</v>
      </c>
      <c r="D29" s="328">
        <v>111</v>
      </c>
      <c r="E29" s="125">
        <f>'Structural Information'!$AC$11</f>
        <v>2.75</v>
      </c>
      <c r="F29" s="342">
        <f>'Structural Information'!$AM$10</f>
        <v>4.5</v>
      </c>
      <c r="G29" s="423">
        <f>'Structural Information'!$AB$19/1000</f>
        <v>0.5</v>
      </c>
      <c r="H29" s="342">
        <f>'Structural Information'!$AB$29/1000</f>
        <v>0.3</v>
      </c>
      <c r="I29" s="126">
        <f>'Structural Information'!$AB$30/1000</f>
        <v>0.3</v>
      </c>
      <c r="J29" s="127">
        <f t="shared" ref="J29:J33" si="67">I29*(H29^3)/12</f>
        <v>6.7499999999999993E-4</v>
      </c>
      <c r="K29" s="342">
        <f t="shared" si="60"/>
        <v>4.2</v>
      </c>
      <c r="L29" s="342">
        <f t="shared" si="61"/>
        <v>2.25</v>
      </c>
      <c r="M29" s="342">
        <f t="shared" ref="M29:M33" si="68">SQRT(K29^2+L29^2)</f>
        <v>4.7647140522805778</v>
      </c>
      <c r="N29" s="345">
        <f t="shared" si="62"/>
        <v>0.49180917598869855</v>
      </c>
      <c r="O29" s="12"/>
      <c r="P29" s="12"/>
      <c r="Q29" s="12"/>
      <c r="R29" s="12"/>
      <c r="T29" s="12"/>
      <c r="U29" s="886">
        <v>1</v>
      </c>
      <c r="V29" s="597">
        <v>1</v>
      </c>
      <c r="W29" s="597">
        <v>111</v>
      </c>
      <c r="X29" s="605">
        <f>1/((((COS(N29))^4)/'Structural Information'!$AR$30)+(((SIN(N29))^4)/'Structural Information'!$AR$31)+(((SIN(N29))^2)*((COS(N29))^2)*((1/'Structural Information'!$AR$32)-(2*'Structural Information'!$AV$32/'Structural Information'!$AR$31))))</f>
        <v>1423.2027902620409</v>
      </c>
      <c r="Y29" s="605">
        <f>((X29*('Structural Information'!$AV$30/1000)*SIN(2*N29))/(4*'Structural Information'!$AR$33*J29*L29))^(1/4)</f>
        <v>1.2949440256103686</v>
      </c>
      <c r="Z29" s="605">
        <f t="shared" si="1"/>
        <v>3.5610960704285137</v>
      </c>
      <c r="AA29" s="112">
        <f t="shared" si="51"/>
        <v>0.70699999999999996</v>
      </c>
      <c r="AB29" s="112">
        <f t="shared" si="41"/>
        <v>0.01</v>
      </c>
      <c r="AC29" s="605">
        <f t="shared" si="20"/>
        <v>0.99360669015017977</v>
      </c>
      <c r="AD29" s="609">
        <f>((0.6*'Structural Information'!$AT$30)+(0.3*'Structural Information'!$AV$31))/(AC29/M29)</f>
        <v>1.0358004283737747</v>
      </c>
      <c r="AE29" s="605">
        <f>(((1.2*SIN(N29)+0.45*COS(N29))*'Structural Information'!$AT$31)+(0.3*'Structural Information'!$AV$31))/(AC29/M29)</f>
        <v>1.3858602338837633</v>
      </c>
      <c r="AF29" s="605">
        <f>(1.12*'Structural Information'!$AT$32*COS(N29)*SIN(N29))/((AA29*(Z29^(-0.12)))+(AB29*(Z29^(0.88))))</f>
        <v>2.5663267517666948</v>
      </c>
      <c r="AG29" s="605">
        <f>(1.16*'Structural Information'!$AT$32*TAN(N29))/((AA29)+(AB29*Z29))</f>
        <v>2.937223393047744</v>
      </c>
      <c r="AH29" s="610">
        <f t="shared" si="64"/>
        <v>1.0358004283737747</v>
      </c>
      <c r="AI29" s="605">
        <f>AH29*AC29*'Structural Information'!$AV$30</f>
        <v>308.75347058778141</v>
      </c>
      <c r="AJ29" s="605">
        <f t="shared" si="65"/>
        <v>247.00277647022514</v>
      </c>
      <c r="AK29" s="602">
        <f t="shared" si="66"/>
        <v>30.875347058778143</v>
      </c>
      <c r="AL29" s="12"/>
      <c r="AM29" s="888">
        <v>1</v>
      </c>
      <c r="AN29" s="529">
        <v>1</v>
      </c>
      <c r="AO29" s="529">
        <v>101</v>
      </c>
      <c r="AP29" s="125">
        <f>'Structural Information'!$AC$11</f>
        <v>2.75</v>
      </c>
      <c r="AQ29" s="125">
        <f t="shared" si="4"/>
        <v>247.00277647022514</v>
      </c>
      <c r="AR29" s="45">
        <f t="shared" si="45"/>
        <v>8.0000000000000004E-4</v>
      </c>
      <c r="AS29" s="537">
        <f t="shared" si="6"/>
        <v>58545.272784344066</v>
      </c>
      <c r="AT29" s="144">
        <f t="shared" si="7"/>
        <v>45490.083114891728</v>
      </c>
      <c r="AU29" s="125">
        <f t="shared" si="8"/>
        <v>308.75347058778141</v>
      </c>
      <c r="AV29" s="45">
        <f t="shared" si="46"/>
        <v>2.2000000000000001E-3</v>
      </c>
      <c r="AW29" s="537">
        <f t="shared" si="10"/>
        <v>26611.487629247302</v>
      </c>
      <c r="AX29" s="87">
        <f t="shared" si="11"/>
        <v>8363.6103977634339</v>
      </c>
      <c r="AY29" s="144">
        <f t="shared" si="22"/>
        <v>6498.5833021273866</v>
      </c>
      <c r="AZ29" s="537">
        <f t="shared" si="12"/>
        <v>30.875347058778143</v>
      </c>
      <c r="BA29" s="45">
        <f t="shared" si="47"/>
        <v>8.8999999999999999E-3</v>
      </c>
      <c r="BB29" s="537">
        <f t="shared" si="23"/>
        <v>-13294.111261872458</v>
      </c>
      <c r="BC29" s="541">
        <f t="shared" si="24"/>
        <v>-10329.616679195251</v>
      </c>
      <c r="BD29" s="12"/>
      <c r="BE29" s="886"/>
      <c r="BF29" s="418">
        <v>2</v>
      </c>
      <c r="BG29" s="418">
        <v>7212</v>
      </c>
      <c r="BH29" s="418" t="s">
        <v>24</v>
      </c>
      <c r="BI29" s="424">
        <f>'Structural Information'!$AC$10</f>
        <v>3</v>
      </c>
      <c r="BJ29" s="428">
        <f>('Structural Information'!$AF$30)*(200)/$BI29</f>
        <v>53616.514621265807</v>
      </c>
      <c r="BK29" s="438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868">
        <v>1</v>
      </c>
      <c r="CG29" s="394">
        <v>1</v>
      </c>
      <c r="CH29" s="871">
        <f>1/(CD5+CD4)+1/(CD10+CD9)+1/(CD15+CD14)+1/(CD19+CD20)+1/(CD24+CD25)</f>
        <v>162632.72624494298</v>
      </c>
      <c r="CI29" s="871">
        <f>1/(CD6+CD4)+1/(CD11+CD9)+1/(CD16+CD14)+1/(CD19+CD21)+1/(CD24+CD26)</f>
        <v>23586.974183733419</v>
      </c>
      <c r="CJ29" s="877">
        <f>1/(CD7+CD4)+1/(CD12+CD9)+1/(CD17+CD14)+1/(CD19+CD22)+1/(CD24+CD27)</f>
        <v>-33320.210871654686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86"/>
      <c r="C30" s="330">
        <v>2</v>
      </c>
      <c r="D30" s="330">
        <v>211</v>
      </c>
      <c r="E30" s="358">
        <f>'Structural Information'!$AC$11</f>
        <v>2.75</v>
      </c>
      <c r="F30" s="343">
        <f>'Structural Information'!$AM$9</f>
        <v>2</v>
      </c>
      <c r="G30" s="424">
        <f>'Structural Information'!$AB$19/1000</f>
        <v>0.5</v>
      </c>
      <c r="H30" s="343">
        <f>'Structural Information'!$AB$34/1000</f>
        <v>0.5</v>
      </c>
      <c r="I30" s="429">
        <f>'Structural Information'!$AB$35/1000</f>
        <v>0.35</v>
      </c>
      <c r="J30" s="135">
        <f t="shared" si="67"/>
        <v>3.645833333333333E-3</v>
      </c>
      <c r="K30" s="343">
        <f t="shared" si="60"/>
        <v>1.5</v>
      </c>
      <c r="L30" s="343">
        <f t="shared" si="61"/>
        <v>2.25</v>
      </c>
      <c r="M30" s="343">
        <f t="shared" si="68"/>
        <v>2.7041634565979922</v>
      </c>
      <c r="N30" s="346">
        <f t="shared" si="62"/>
        <v>0.98279372324732905</v>
      </c>
      <c r="O30" s="12"/>
      <c r="P30" s="12"/>
      <c r="Q30" s="12"/>
      <c r="R30" s="12"/>
      <c r="T30" s="12"/>
      <c r="U30" s="886"/>
      <c r="V30" s="597">
        <v>2</v>
      </c>
      <c r="W30" s="597">
        <v>211</v>
      </c>
      <c r="X30" s="605">
        <f>1/((((COS(N30))^4)/'Structural Information'!$AR$30)+(((SIN(N30))^4)/'Structural Information'!$AR$31)+(((SIN(N30))^2)*((COS(N30))^2)*((1/'Structural Information'!$AR$32)-(2*'Structural Information'!$AV$32/'Structural Information'!$AR$31))))</f>
        <v>2658.4269662921347</v>
      </c>
      <c r="Y30" s="605">
        <f>((X30*('Structural Information'!$AV$30/1000)*SIN(2*N30))/(4*'Structural Information'!$AR$33*J30*L30))^(1/4)</f>
        <v>1.0190128648661212</v>
      </c>
      <c r="Z30" s="605">
        <f t="shared" si="1"/>
        <v>2.8022853783818333</v>
      </c>
      <c r="AA30" s="112">
        <f t="shared" si="51"/>
        <v>1.3</v>
      </c>
      <c r="AB30" s="112">
        <f t="shared" si="41"/>
        <v>-0.17799999999999999</v>
      </c>
      <c r="AC30" s="605">
        <f t="shared" si="20"/>
        <v>0.77313945145964802</v>
      </c>
      <c r="AD30" s="609">
        <f>((0.6*'Structural Information'!$AT$30)+(0.3*'Structural Information'!$AV$31))/(AC30/M30)</f>
        <v>0.75549023597543308</v>
      </c>
      <c r="AE30" s="605">
        <f>(((1.2*SIN(N30)+0.45*COS(N30))*'Structural Information'!$AT$31)+(0.3*'Structural Information'!$AV$31))/(AC30/M30)</f>
        <v>1.3095955691931791</v>
      </c>
      <c r="AF30" s="605">
        <f>(1.12*'Structural Information'!$AT$32*COS(N30)*SIN(N30))/((AA30*(Z30^(-0.12)))+(AB30*(Z30^(0.88))))</f>
        <v>2.5626970232772552</v>
      </c>
      <c r="AG30" s="605">
        <f>(1.16*'Structural Information'!$AT$32*TAN(N30))/((AA30)+(AB30*Z30))</f>
        <v>7.6228804485788872</v>
      </c>
      <c r="AH30" s="610">
        <f t="shared" si="64"/>
        <v>0.75549023597543308</v>
      </c>
      <c r="AI30" s="605">
        <f>AH30*AC30*'Structural Information'!$AV$30</f>
        <v>175.22979198754993</v>
      </c>
      <c r="AJ30" s="605">
        <f t="shared" si="65"/>
        <v>140.18383359003994</v>
      </c>
      <c r="AK30" s="602">
        <f t="shared" si="66"/>
        <v>17.522979198754992</v>
      </c>
      <c r="AL30" s="12"/>
      <c r="AM30" s="886"/>
      <c r="AN30" s="527">
        <v>2</v>
      </c>
      <c r="AO30" s="527">
        <v>201</v>
      </c>
      <c r="AP30" s="548">
        <f>'Structural Information'!$AC$11</f>
        <v>2.75</v>
      </c>
      <c r="AQ30" s="548">
        <f t="shared" si="4"/>
        <v>140.18383359003994</v>
      </c>
      <c r="AR30" s="51">
        <f t="shared" si="45"/>
        <v>8.0000000000000004E-4</v>
      </c>
      <c r="AS30" s="538">
        <f t="shared" si="6"/>
        <v>51532.602118281218</v>
      </c>
      <c r="AT30" s="130">
        <f t="shared" si="7"/>
        <v>15856.185267163453</v>
      </c>
      <c r="AU30" s="548">
        <f t="shared" si="8"/>
        <v>175.22979198754993</v>
      </c>
      <c r="AV30" s="51">
        <f t="shared" si="46"/>
        <v>2.2000000000000001E-3</v>
      </c>
      <c r="AW30" s="538">
        <f t="shared" si="10"/>
        <v>23423.91005376419</v>
      </c>
      <c r="AX30" s="92">
        <f t="shared" si="11"/>
        <v>7361.8003026116039</v>
      </c>
      <c r="AY30" s="130">
        <f t="shared" si="22"/>
        <v>2265.1693238804937</v>
      </c>
      <c r="AZ30" s="538">
        <f t="shared" si="12"/>
        <v>17.522979198754992</v>
      </c>
      <c r="BA30" s="51">
        <f t="shared" si="47"/>
        <v>8.8999999999999999E-3</v>
      </c>
      <c r="BB30" s="538">
        <f t="shared" si="23"/>
        <v>-4747.8968792401656</v>
      </c>
      <c r="BC30" s="542">
        <f t="shared" si="24"/>
        <v>-1460.8913474585127</v>
      </c>
      <c r="BD30" s="109"/>
      <c r="BE30" s="886"/>
      <c r="BF30" s="418">
        <v>3</v>
      </c>
      <c r="BG30" s="418">
        <v>7312</v>
      </c>
      <c r="BH30" s="418" t="s">
        <v>24</v>
      </c>
      <c r="BI30" s="424">
        <f>'Structural Information'!$AC$10</f>
        <v>3</v>
      </c>
      <c r="BJ30" s="428">
        <f>('Structural Information'!$AF$30)*(200)/$BI30</f>
        <v>53616.514621265807</v>
      </c>
      <c r="BK30" s="438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69"/>
      <c r="CG30" s="395">
        <v>2</v>
      </c>
      <c r="CH30" s="872"/>
      <c r="CI30" s="872"/>
      <c r="CJ30" s="878"/>
      <c r="CK30" s="164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86"/>
      <c r="C31" s="330">
        <v>3</v>
      </c>
      <c r="D31" s="330">
        <v>311</v>
      </c>
      <c r="E31" s="358">
        <f>'Structural Information'!$AC$11</f>
        <v>2.75</v>
      </c>
      <c r="F31" s="343">
        <f>'Structural Information'!$AM$8</f>
        <v>4.5</v>
      </c>
      <c r="G31" s="424">
        <f>'Structural Information'!$AB$19/1000</f>
        <v>0.5</v>
      </c>
      <c r="H31" s="424">
        <f>'Structural Information'!$AB$34/1000</f>
        <v>0.5</v>
      </c>
      <c r="I31" s="429">
        <f>'Structural Information'!$AB$35/1000</f>
        <v>0.35</v>
      </c>
      <c r="J31" s="135">
        <f t="shared" si="67"/>
        <v>3.645833333333333E-3</v>
      </c>
      <c r="K31" s="343">
        <f t="shared" ref="K31:K33" si="69">F31-H31</f>
        <v>4</v>
      </c>
      <c r="L31" s="343">
        <f t="shared" ref="L31:L33" si="70">E31-G31</f>
        <v>2.25</v>
      </c>
      <c r="M31" s="343">
        <f t="shared" si="68"/>
        <v>4.5893899376714549</v>
      </c>
      <c r="N31" s="346">
        <f t="shared" ref="N31:N33" si="71">ATAN(L31/K31)</f>
        <v>0.51238946031073773</v>
      </c>
      <c r="O31" s="12"/>
      <c r="P31" s="12"/>
      <c r="Q31" s="12"/>
      <c r="R31" s="12"/>
      <c r="T31" s="12"/>
      <c r="U31" s="886"/>
      <c r="V31" s="597">
        <v>3</v>
      </c>
      <c r="W31" s="597">
        <v>311</v>
      </c>
      <c r="X31" s="605">
        <f>1/((((COS(N31))^4)/'Structural Information'!$AR$30)+(((SIN(N31))^4)/'Structural Information'!$AR$31)+(((SIN(N31))^2)*((COS(N31))^2)*((1/'Structural Information'!$AR$32)-(2*'Structural Information'!$AV$32/'Structural Information'!$AR$31))))</f>
        <v>1458.2518335539608</v>
      </c>
      <c r="Y31" s="605">
        <f>((X31*('Structural Information'!$AV$30/1000)*SIN(2*N31))/(4*'Structural Information'!$AR$33*J31*L31))^(1/4)</f>
        <v>0.86022644527714764</v>
      </c>
      <c r="Z31" s="605">
        <f t="shared" si="1"/>
        <v>2.3656227245121562</v>
      </c>
      <c r="AA31" s="112">
        <f t="shared" si="51"/>
        <v>1.3</v>
      </c>
      <c r="AB31" s="112">
        <f t="shared" si="41"/>
        <v>-0.17799999999999999</v>
      </c>
      <c r="AC31" s="605">
        <f t="shared" si="20"/>
        <v>1.7051335719581375</v>
      </c>
      <c r="AD31" s="609">
        <f>((0.6*'Structural Information'!$AT$30)+(0.3*'Structural Information'!$AV$31))/(AC31/M31)</f>
        <v>0.5813669045285631</v>
      </c>
      <c r="AE31" s="605">
        <f>(((1.2*SIN(N31)+0.45*COS(N31))*'Structural Information'!$AT$31)+(0.3*'Structural Information'!$AV$31))/(AC31/M31)</f>
        <v>0.79172683137643585</v>
      </c>
      <c r="AF31" s="605">
        <f>(1.12*'Structural Information'!$AT$32*COS(N31)*SIN(N31))/((AA31*(Z31^(-0.12)))+(AB31*(Z31^(0.88))))</f>
        <v>2.1192503270222889</v>
      </c>
      <c r="AG31" s="605">
        <f>(1.16*'Structural Information'!$AT$32*TAN(N31))/((AA31)+(AB31*Z31))</f>
        <v>2.6057857390808739</v>
      </c>
      <c r="AH31" s="610">
        <f t="shared" si="64"/>
        <v>0.5813669045285631</v>
      </c>
      <c r="AI31" s="605">
        <f>AH31*AC31*'Structural Information'!$AV$30</f>
        <v>297.3924679611103</v>
      </c>
      <c r="AJ31" s="605">
        <f t="shared" si="65"/>
        <v>237.91397436888826</v>
      </c>
      <c r="AK31" s="602">
        <f t="shared" si="66"/>
        <v>29.739246796111033</v>
      </c>
      <c r="AL31" s="12"/>
      <c r="AM31" s="886"/>
      <c r="AN31" s="527">
        <v>3</v>
      </c>
      <c r="AO31" s="527">
        <v>301</v>
      </c>
      <c r="AP31" s="548">
        <f>'Structural Information'!$AC$11</f>
        <v>2.75</v>
      </c>
      <c r="AQ31" s="548">
        <f t="shared" si="4"/>
        <v>237.91397436888826</v>
      </c>
      <c r="AR31" s="51">
        <f t="shared" si="45"/>
        <v>8.0000000000000004E-4</v>
      </c>
      <c r="AS31" s="538">
        <f t="shared" si="6"/>
        <v>56391.020083586147</v>
      </c>
      <c r="AT31" s="130">
        <f t="shared" si="7"/>
        <v>42837.095375068413</v>
      </c>
      <c r="AU31" s="548">
        <f t="shared" si="8"/>
        <v>297.3924679611103</v>
      </c>
      <c r="AV31" s="51">
        <f t="shared" si="46"/>
        <v>2.2000000000000001E-3</v>
      </c>
      <c r="AW31" s="538">
        <f t="shared" si="10"/>
        <v>25632.281856175519</v>
      </c>
      <c r="AX31" s="92">
        <f t="shared" si="11"/>
        <v>8055.8600119408729</v>
      </c>
      <c r="AY31" s="130">
        <f t="shared" si="22"/>
        <v>6119.5850535811978</v>
      </c>
      <c r="AZ31" s="538">
        <f t="shared" si="12"/>
        <v>29.739246796111033</v>
      </c>
      <c r="BA31" s="51">
        <f t="shared" si="47"/>
        <v>8.8999999999999999E-3</v>
      </c>
      <c r="BB31" s="538">
        <f t="shared" si="23"/>
        <v>-12661.058344640438</v>
      </c>
      <c r="BC31" s="542">
        <f t="shared" si="24"/>
        <v>-9617.8959531986711</v>
      </c>
      <c r="BD31" s="109"/>
      <c r="BE31" s="886"/>
      <c r="BF31" s="418">
        <v>4</v>
      </c>
      <c r="BG31" s="418">
        <v>7412</v>
      </c>
      <c r="BH31" s="418" t="s">
        <v>24</v>
      </c>
      <c r="BI31" s="424">
        <f>'Structural Information'!$AC$10</f>
        <v>3</v>
      </c>
      <c r="BJ31" s="428">
        <f>('Structural Information'!$AF$30)*(200)/$BI31</f>
        <v>53616.514621265807</v>
      </c>
      <c r="BK31" s="438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69"/>
      <c r="CG31" s="395">
        <v>3</v>
      </c>
      <c r="CH31" s="872"/>
      <c r="CI31" s="872"/>
      <c r="CJ31" s="878"/>
      <c r="CK31" s="164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86"/>
      <c r="C32" s="330">
        <v>4</v>
      </c>
      <c r="D32" s="330">
        <v>411</v>
      </c>
      <c r="E32" s="358">
        <f>'Structural Information'!$AC$11</f>
        <v>2.75</v>
      </c>
      <c r="F32" s="343">
        <f>'Structural Information'!$AM$7</f>
        <v>2</v>
      </c>
      <c r="G32" s="424">
        <f>'Structural Information'!$AB$19/1000</f>
        <v>0.5</v>
      </c>
      <c r="H32" s="424">
        <f>'Structural Information'!$AB$34/1000</f>
        <v>0.5</v>
      </c>
      <c r="I32" s="359">
        <f>'Structural Information'!$AB$35/1000</f>
        <v>0.35</v>
      </c>
      <c r="J32" s="135">
        <f t="shared" si="67"/>
        <v>3.645833333333333E-3</v>
      </c>
      <c r="K32" s="343">
        <f t="shared" si="69"/>
        <v>1.5</v>
      </c>
      <c r="L32" s="343">
        <f t="shared" si="70"/>
        <v>2.25</v>
      </c>
      <c r="M32" s="343">
        <f t="shared" si="68"/>
        <v>2.7041634565979922</v>
      </c>
      <c r="N32" s="346">
        <f t="shared" si="71"/>
        <v>0.98279372324732905</v>
      </c>
      <c r="O32" s="12"/>
      <c r="P32" s="12"/>
      <c r="Q32" s="12"/>
      <c r="R32" s="12"/>
      <c r="T32" s="12"/>
      <c r="U32" s="886"/>
      <c r="V32" s="597">
        <v>4</v>
      </c>
      <c r="W32" s="597">
        <v>411</v>
      </c>
      <c r="X32" s="605">
        <f>1/((((COS(N32))^4)/'Structural Information'!$AR$30)+(((SIN(N32))^4)/'Structural Information'!$AR$31)+(((SIN(N32))^2)*((COS(N32))^2)*((1/'Structural Information'!$AR$32)-(2*'Structural Information'!$AV$32/'Structural Information'!$AR$31))))</f>
        <v>2658.4269662921347</v>
      </c>
      <c r="Y32" s="605">
        <f>((X32*('Structural Information'!$AV$30/1000)*SIN(2*N32))/(4*'Structural Information'!$AR$33*J32*L32))^(1/4)</f>
        <v>1.0190128648661212</v>
      </c>
      <c r="Z32" s="605">
        <f t="shared" si="1"/>
        <v>2.8022853783818333</v>
      </c>
      <c r="AA32" s="112">
        <f t="shared" si="51"/>
        <v>1.3</v>
      </c>
      <c r="AB32" s="112">
        <f t="shared" si="41"/>
        <v>-0.17799999999999999</v>
      </c>
      <c r="AC32" s="605">
        <f t="shared" si="20"/>
        <v>0.77313945145964802</v>
      </c>
      <c r="AD32" s="609">
        <f>((0.6*'Structural Information'!$AT$30)+(0.3*'Structural Information'!$AV$31))/(AC32/M32)</f>
        <v>0.75549023597543308</v>
      </c>
      <c r="AE32" s="605">
        <f>(((1.2*SIN(N32)+0.45*COS(N32))*'Structural Information'!$AT$31)+(0.3*'Structural Information'!$AV$31))/(AC32/M32)</f>
        <v>1.3095955691931791</v>
      </c>
      <c r="AF32" s="605">
        <f>(1.12*'Structural Information'!$AT$32*COS(N32)*SIN(N32))/((AA32*(Z32^(-0.12)))+(AB32*(Z32^(0.88))))</f>
        <v>2.5626970232772552</v>
      </c>
      <c r="AG32" s="605">
        <f>(1.16*'Structural Information'!$AT$32*TAN(N32))/((AA32)+(AB32*Z32))</f>
        <v>7.6228804485788872</v>
      </c>
      <c r="AH32" s="610">
        <f t="shared" si="64"/>
        <v>0.75549023597543308</v>
      </c>
      <c r="AI32" s="605">
        <f>AH32*AC32*'Structural Information'!$AV$30</f>
        <v>175.22979198754993</v>
      </c>
      <c r="AJ32" s="605">
        <f t="shared" si="65"/>
        <v>140.18383359003994</v>
      </c>
      <c r="AK32" s="602">
        <f t="shared" si="66"/>
        <v>17.522979198754992</v>
      </c>
      <c r="AL32" s="12"/>
      <c r="AM32" s="886"/>
      <c r="AN32" s="527">
        <v>4</v>
      </c>
      <c r="AO32" s="527">
        <v>401</v>
      </c>
      <c r="AP32" s="548">
        <f>'Structural Information'!$AC$11</f>
        <v>2.75</v>
      </c>
      <c r="AQ32" s="548">
        <f t="shared" si="4"/>
        <v>140.18383359003994</v>
      </c>
      <c r="AR32" s="51">
        <f t="shared" si="45"/>
        <v>8.0000000000000004E-4</v>
      </c>
      <c r="AS32" s="538">
        <f t="shared" si="6"/>
        <v>51532.602118281218</v>
      </c>
      <c r="AT32" s="130">
        <f t="shared" si="7"/>
        <v>15856.185267163453</v>
      </c>
      <c r="AU32" s="548">
        <f t="shared" si="8"/>
        <v>175.22979198754993</v>
      </c>
      <c r="AV32" s="51">
        <f t="shared" si="46"/>
        <v>2.2000000000000001E-3</v>
      </c>
      <c r="AW32" s="538">
        <f t="shared" si="10"/>
        <v>23423.91005376419</v>
      </c>
      <c r="AX32" s="92">
        <f t="shared" si="11"/>
        <v>7361.8003026116039</v>
      </c>
      <c r="AY32" s="130">
        <f t="shared" si="22"/>
        <v>2265.1693238804937</v>
      </c>
      <c r="AZ32" s="538">
        <f t="shared" si="12"/>
        <v>17.522979198754992</v>
      </c>
      <c r="BA32" s="51">
        <f t="shared" si="47"/>
        <v>8.8999999999999999E-3</v>
      </c>
      <c r="BB32" s="538">
        <f t="shared" si="23"/>
        <v>-4747.8968792401656</v>
      </c>
      <c r="BC32" s="542">
        <f t="shared" si="24"/>
        <v>-1460.8913474585127</v>
      </c>
      <c r="BD32" s="109"/>
      <c r="BE32" s="886"/>
      <c r="BF32" s="418">
        <v>5</v>
      </c>
      <c r="BG32" s="418">
        <v>7512</v>
      </c>
      <c r="BH32" s="418" t="s">
        <v>24</v>
      </c>
      <c r="BI32" s="424">
        <f>'Structural Information'!$AC$10</f>
        <v>3</v>
      </c>
      <c r="BJ32" s="428">
        <f>('Structural Information'!$AF$30)*(200)/$BI32</f>
        <v>53616.514621265807</v>
      </c>
      <c r="BK32" s="438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69"/>
      <c r="CG32" s="395">
        <v>4</v>
      </c>
      <c r="CH32" s="872"/>
      <c r="CI32" s="872"/>
      <c r="CJ32" s="878"/>
      <c r="CK32" s="164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89"/>
      <c r="C33" s="332">
        <v>5</v>
      </c>
      <c r="D33" s="332">
        <v>511</v>
      </c>
      <c r="E33" s="47">
        <f>'Structural Information'!$AC$11</f>
        <v>2.75</v>
      </c>
      <c r="F33" s="344">
        <f>'Structural Information'!$AM$6</f>
        <v>4.5</v>
      </c>
      <c r="G33" s="344">
        <f>'Structural Information'!$AB$19/1000</f>
        <v>0.5</v>
      </c>
      <c r="H33" s="427">
        <f>'Structural Information'!$AB$29/1000</f>
        <v>0.3</v>
      </c>
      <c r="I33" s="153">
        <f>'Structural Information'!$AB$30/1000</f>
        <v>0.3</v>
      </c>
      <c r="J33" s="154">
        <f t="shared" si="67"/>
        <v>6.7499999999999993E-4</v>
      </c>
      <c r="K33" s="344">
        <f t="shared" si="69"/>
        <v>4.2</v>
      </c>
      <c r="L33" s="344">
        <f t="shared" si="70"/>
        <v>2.25</v>
      </c>
      <c r="M33" s="344">
        <f t="shared" si="68"/>
        <v>4.7647140522805778</v>
      </c>
      <c r="N33" s="347">
        <f t="shared" si="71"/>
        <v>0.49180917598869855</v>
      </c>
      <c r="O33" s="12"/>
      <c r="P33" s="12"/>
      <c r="Q33" s="12"/>
      <c r="R33" s="12"/>
      <c r="T33" s="12"/>
      <c r="U33" s="889"/>
      <c r="V33" s="599">
        <v>5</v>
      </c>
      <c r="W33" s="599">
        <v>511</v>
      </c>
      <c r="X33" s="607">
        <f>1/((((COS(N33))^4)/'Structural Information'!$AR$30)+(((SIN(N33))^4)/'Structural Information'!$AR$31)+(((SIN(N33))^2)*((COS(N33))^2)*((1/'Structural Information'!$AR$32)-(2*'Structural Information'!$AV$32/'Structural Information'!$AR$31))))</f>
        <v>1423.2027902620409</v>
      </c>
      <c r="Y33" s="607">
        <f>((X33*('Structural Information'!$AV$30/1000)*SIN(2*N33))/(4*'Structural Information'!$AR$33*J33*L33))^(1/4)</f>
        <v>1.2949440256103686</v>
      </c>
      <c r="Z33" s="607">
        <f t="shared" si="1"/>
        <v>3.5610960704285137</v>
      </c>
      <c r="AA33" s="116">
        <f t="shared" si="51"/>
        <v>0.70699999999999996</v>
      </c>
      <c r="AB33" s="116">
        <f t="shared" si="41"/>
        <v>0.01</v>
      </c>
      <c r="AC33" s="607">
        <f t="shared" si="20"/>
        <v>0.99360669015017977</v>
      </c>
      <c r="AD33" s="47">
        <f>((0.6*'Structural Information'!$AT$30)+(0.3*'Structural Information'!$AV$31))/(AC33/M33)</f>
        <v>1.0358004283737747</v>
      </c>
      <c r="AE33" s="607">
        <f>(((1.2*SIN(N33)+0.45*COS(N33))*'Structural Information'!$AT$31)+(0.3*'Structural Information'!$AV$31))/(AC33/M33)</f>
        <v>1.3858602338837633</v>
      </c>
      <c r="AF33" s="607">
        <f>(1.12*'Structural Information'!$AT$32*COS(N33)*SIN(N33))/((AA33*(Z33^(-0.12)))+(AB33*(Z33^(0.88))))</f>
        <v>2.5663267517666948</v>
      </c>
      <c r="AG33" s="607">
        <f>(1.16*'Structural Information'!$AT$32*TAN(N33))/((AA33)+(AB33*Z33))</f>
        <v>2.937223393047744</v>
      </c>
      <c r="AH33" s="153">
        <f t="shared" si="64"/>
        <v>1.0358004283737747</v>
      </c>
      <c r="AI33" s="607">
        <f>AH33*AC33*'Structural Information'!$AV$30</f>
        <v>308.75347058778141</v>
      </c>
      <c r="AJ33" s="607">
        <f t="shared" si="65"/>
        <v>247.00277647022514</v>
      </c>
      <c r="AK33" s="608">
        <f t="shared" si="66"/>
        <v>30.875347058778143</v>
      </c>
      <c r="AL33" s="12"/>
      <c r="AM33" s="889"/>
      <c r="AN33" s="535">
        <v>5</v>
      </c>
      <c r="AO33" s="535">
        <v>501</v>
      </c>
      <c r="AP33" s="47">
        <f>'Structural Information'!$AC$11</f>
        <v>2.75</v>
      </c>
      <c r="AQ33" s="47">
        <f t="shared" si="4"/>
        <v>247.00277647022514</v>
      </c>
      <c r="AR33" s="82">
        <f t="shared" si="45"/>
        <v>8.0000000000000004E-4</v>
      </c>
      <c r="AS33" s="540">
        <f t="shared" si="6"/>
        <v>58545.272784344066</v>
      </c>
      <c r="AT33" s="155">
        <f t="shared" si="7"/>
        <v>45490.083114891728</v>
      </c>
      <c r="AU33" s="47">
        <f t="shared" si="8"/>
        <v>308.75347058778141</v>
      </c>
      <c r="AV33" s="82">
        <f t="shared" si="46"/>
        <v>2.2000000000000001E-3</v>
      </c>
      <c r="AW33" s="540">
        <f t="shared" si="10"/>
        <v>26611.487629247302</v>
      </c>
      <c r="AX33" s="98">
        <f t="shared" si="11"/>
        <v>8363.6103977634339</v>
      </c>
      <c r="AY33" s="155">
        <f t="shared" si="22"/>
        <v>6498.5833021273866</v>
      </c>
      <c r="AZ33" s="540">
        <f t="shared" si="12"/>
        <v>30.875347058778143</v>
      </c>
      <c r="BA33" s="82">
        <f t="shared" si="47"/>
        <v>8.8999999999999999E-3</v>
      </c>
      <c r="BB33" s="540">
        <f t="shared" si="23"/>
        <v>-13294.111261872458</v>
      </c>
      <c r="BC33" s="543">
        <f t="shared" si="24"/>
        <v>-10329.616679195251</v>
      </c>
      <c r="BD33" s="109"/>
      <c r="BE33" s="887"/>
      <c r="BF33" s="419">
        <v>6</v>
      </c>
      <c r="BG33" s="419">
        <v>7612</v>
      </c>
      <c r="BH33" s="419" t="s">
        <v>23</v>
      </c>
      <c r="BI33" s="425">
        <f>'Structural Information'!$AC$10</f>
        <v>3</v>
      </c>
      <c r="BJ33" s="139">
        <f>('Structural Information'!$AF$25)*(200)/$BI33</f>
        <v>53616.514621265807</v>
      </c>
      <c r="BK33" s="439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883"/>
      <c r="CG33" s="397">
        <v>5</v>
      </c>
      <c r="CH33" s="890"/>
      <c r="CI33" s="890"/>
      <c r="CJ33" s="879"/>
      <c r="CK33" s="164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63"/>
      <c r="AC34" s="12"/>
      <c r="AD34" s="12"/>
      <c r="AE34" s="12"/>
      <c r="AL34" s="12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888">
        <v>1</v>
      </c>
      <c r="BF34" s="417">
        <v>1</v>
      </c>
      <c r="BG34" s="417">
        <v>7111</v>
      </c>
      <c r="BH34" s="417" t="s">
        <v>24</v>
      </c>
      <c r="BI34" s="423">
        <f>'Structural Information'!$AC$11</f>
        <v>2.75</v>
      </c>
      <c r="BJ34" s="125">
        <f>('Structural Information'!$AF$30)*(200)/$BI34</f>
        <v>58490.743223199061</v>
      </c>
      <c r="BK34" s="440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64"/>
      <c r="CI34" s="164"/>
      <c r="CJ34" s="164"/>
      <c r="CK34" s="164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63"/>
      <c r="AC35" s="12"/>
      <c r="AD35" s="12"/>
      <c r="AE35" s="12"/>
      <c r="AL35" s="12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886"/>
      <c r="BF35" s="418">
        <v>2</v>
      </c>
      <c r="BG35" s="418">
        <v>7211</v>
      </c>
      <c r="BH35" s="418" t="s">
        <v>25</v>
      </c>
      <c r="BI35" s="424">
        <f>'Structural Information'!$AC$11</f>
        <v>2.75</v>
      </c>
      <c r="BJ35" s="428">
        <f>('Structural Information'!$AF$35)*(200)/$BI35</f>
        <v>74027.346891861307</v>
      </c>
      <c r="BK35" s="438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64"/>
      <c r="CI35" s="164"/>
      <c r="CJ35" s="164"/>
      <c r="CK35" s="164"/>
      <c r="CL35" s="164"/>
      <c r="CM35" s="164"/>
      <c r="CN35" s="164"/>
      <c r="CO35" s="164"/>
      <c r="CP35" s="164"/>
      <c r="CQ35" s="164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895" t="s">
        <v>227</v>
      </c>
      <c r="V36" s="896"/>
      <c r="W36" s="896"/>
      <c r="X36" s="896"/>
      <c r="Y36" s="896"/>
      <c r="Z36" s="897"/>
      <c r="AA36" s="12"/>
      <c r="AB36" s="163"/>
      <c r="AC36" s="12"/>
      <c r="AD36" s="12"/>
      <c r="AE36" s="12"/>
      <c r="AL36" s="12"/>
      <c r="BD36" s="109"/>
      <c r="BE36" s="886"/>
      <c r="BF36" s="418">
        <v>3</v>
      </c>
      <c r="BG36" s="418">
        <v>7311</v>
      </c>
      <c r="BH36" s="418" t="s">
        <v>25</v>
      </c>
      <c r="BI36" s="424">
        <f>'Structural Information'!$AC$11</f>
        <v>2.75</v>
      </c>
      <c r="BJ36" s="428">
        <f>('Structural Information'!$AF$35)*(200)/$BI36</f>
        <v>74027.346891861307</v>
      </c>
      <c r="BK36" s="438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64"/>
      <c r="CI36" s="164"/>
      <c r="CJ36" s="164"/>
      <c r="CK36" s="164"/>
      <c r="CL36" s="164"/>
      <c r="CM36" s="164"/>
      <c r="CN36" s="164"/>
      <c r="CO36" s="164"/>
      <c r="CP36" s="164"/>
      <c r="CQ36" s="164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39" t="s">
        <v>5</v>
      </c>
      <c r="V37" s="353" t="s">
        <v>55</v>
      </c>
      <c r="W37" s="336" t="s">
        <v>28</v>
      </c>
      <c r="X37" s="336" t="s">
        <v>26</v>
      </c>
      <c r="Y37" s="337" t="s">
        <v>226</v>
      </c>
      <c r="Z37" s="158" t="s">
        <v>221</v>
      </c>
      <c r="AA37" s="163"/>
      <c r="AL37" s="12"/>
      <c r="BD37" s="109"/>
      <c r="BE37" s="886"/>
      <c r="BF37" s="418">
        <v>4</v>
      </c>
      <c r="BG37" s="418">
        <v>7411</v>
      </c>
      <c r="BH37" s="418" t="s">
        <v>25</v>
      </c>
      <c r="BI37" s="424">
        <f>'Structural Information'!$AC$11</f>
        <v>2.75</v>
      </c>
      <c r="BJ37" s="428">
        <f>('Structural Information'!$AF$35)*(200)/$BI37</f>
        <v>74027.346891861307</v>
      </c>
      <c r="BK37" s="438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88">
        <v>6</v>
      </c>
      <c r="V38" s="328">
        <v>1</v>
      </c>
      <c r="W38" s="418">
        <v>7116</v>
      </c>
      <c r="X38" s="328" t="s">
        <v>8</v>
      </c>
      <c r="Y38" s="342">
        <f>'Structural Information'!$AM$10</f>
        <v>4.5</v>
      </c>
      <c r="Z38" s="131">
        <f>2*(SUM('Structural Information'!$AF$20:$AF$21))*(200)/$Y38</f>
        <v>107233.0292425316</v>
      </c>
      <c r="AA38" s="163"/>
      <c r="AL38" s="12"/>
      <c r="BD38" s="109"/>
      <c r="BE38" s="886"/>
      <c r="BF38" s="418">
        <v>5</v>
      </c>
      <c r="BG38" s="418">
        <v>7511</v>
      </c>
      <c r="BH38" s="418" t="s">
        <v>25</v>
      </c>
      <c r="BI38" s="424">
        <f>'Structural Information'!$AC$11</f>
        <v>2.75</v>
      </c>
      <c r="BJ38" s="428">
        <f>('Structural Information'!$AF$35)*(200)/$BI38</f>
        <v>74027.346891861307</v>
      </c>
      <c r="BK38" s="438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64"/>
      <c r="CI38" s="164"/>
      <c r="CJ38" s="164"/>
      <c r="CK38" s="164"/>
      <c r="CL38" s="164"/>
      <c r="CM38" s="164"/>
      <c r="CN38" s="164"/>
      <c r="CO38" s="164"/>
      <c r="CP38" s="164"/>
      <c r="CQ38" s="164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86"/>
      <c r="V39" s="330">
        <v>2</v>
      </c>
      <c r="W39" s="418">
        <v>7216</v>
      </c>
      <c r="X39" s="330" t="s">
        <v>8</v>
      </c>
      <c r="Y39" s="343">
        <f>'Structural Information'!$AM$9</f>
        <v>2</v>
      </c>
      <c r="Z39" s="136">
        <f>2*(SUM('Structural Information'!$AF$20:$AF$21))*(200)/$Y39</f>
        <v>241274.31579569611</v>
      </c>
      <c r="AA39" s="163"/>
      <c r="AL39" s="12"/>
      <c r="BD39" s="109"/>
      <c r="BE39" s="889"/>
      <c r="BF39" s="420">
        <v>6</v>
      </c>
      <c r="BG39" s="420">
        <v>7611</v>
      </c>
      <c r="BH39" s="420" t="s">
        <v>24</v>
      </c>
      <c r="BI39" s="427">
        <f>'Structural Information'!$AC$11</f>
        <v>2.75</v>
      </c>
      <c r="BJ39" s="47">
        <f>('Structural Information'!$AF$30)*(200)/$BI39</f>
        <v>58490.743223199061</v>
      </c>
      <c r="BK39" s="441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86"/>
      <c r="V40" s="330">
        <v>3</v>
      </c>
      <c r="W40" s="418">
        <v>7316</v>
      </c>
      <c r="X40" s="330" t="s">
        <v>8</v>
      </c>
      <c r="Y40" s="343">
        <f>'Structural Information'!$AM$8</f>
        <v>4.5</v>
      </c>
      <c r="Z40" s="136">
        <f>2*(SUM('Structural Information'!$AF$20:$AF$21))*(200)/$Y40</f>
        <v>107233.0292425316</v>
      </c>
      <c r="AA40" s="163"/>
      <c r="AL40" s="12"/>
      <c r="BD40" s="109"/>
      <c r="BE40" s="109"/>
      <c r="BF40" s="109"/>
      <c r="BG40" s="109"/>
      <c r="BH40" s="109"/>
      <c r="BI40" s="109"/>
      <c r="BJ40" s="109"/>
      <c r="BK40" s="109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86"/>
      <c r="V41" s="330">
        <v>4</v>
      </c>
      <c r="W41" s="418">
        <v>7416</v>
      </c>
      <c r="X41" s="330" t="s">
        <v>8</v>
      </c>
      <c r="Y41" s="343">
        <f>'Structural Information'!$AM$7</f>
        <v>2</v>
      </c>
      <c r="Z41" s="136">
        <f>2*(SUM('Structural Information'!$AF$20:$AF$21))*(200)/$Y41</f>
        <v>241274.31579569611</v>
      </c>
      <c r="AA41" s="163"/>
      <c r="AL41" s="12"/>
      <c r="BD41" s="109"/>
      <c r="BE41" s="109"/>
      <c r="BF41" s="109"/>
      <c r="BG41" s="109"/>
      <c r="BH41" s="109"/>
      <c r="BI41" s="109"/>
      <c r="BJ41" s="109"/>
      <c r="BK41" s="109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4"/>
      <c r="CK41" s="164"/>
      <c r="CL41" s="164"/>
      <c r="CM41" s="164"/>
      <c r="CN41" s="164"/>
      <c r="CO41" s="164"/>
      <c r="CP41" s="164"/>
      <c r="CQ41" s="164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87"/>
      <c r="V42" s="334">
        <v>5</v>
      </c>
      <c r="W42" s="419">
        <v>7516</v>
      </c>
      <c r="X42" s="334" t="s">
        <v>8</v>
      </c>
      <c r="Y42" s="354">
        <f>'Structural Information'!$AM$6</f>
        <v>4.5</v>
      </c>
      <c r="Z42" s="35">
        <f>2*(SUM('Structural Information'!$AF$20:$AF$21))*(200)/$Y42</f>
        <v>107233.0292425316</v>
      </c>
      <c r="AA42" s="163"/>
      <c r="AL42" s="12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64"/>
      <c r="CA42" s="164"/>
      <c r="CB42" s="164"/>
      <c r="CC42" s="164"/>
      <c r="CD42" s="164"/>
      <c r="CE42" s="164"/>
      <c r="CF42" s="164"/>
      <c r="CG42" s="164"/>
      <c r="CH42" s="164"/>
      <c r="CI42" s="164"/>
      <c r="CJ42" s="164"/>
      <c r="CK42" s="164"/>
      <c r="CL42" s="164"/>
      <c r="CM42" s="164"/>
      <c r="CN42" s="164"/>
      <c r="CO42" s="164"/>
      <c r="CP42" s="164"/>
      <c r="CQ42" s="164"/>
      <c r="CR42" s="12"/>
      <c r="CS42" s="165"/>
      <c r="CT42" s="165"/>
      <c r="DE42" s="165"/>
      <c r="DF42" s="165"/>
      <c r="DG42" s="165"/>
      <c r="DH42" s="165"/>
      <c r="DI42" s="165"/>
      <c r="DJ42" s="165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88">
        <v>5</v>
      </c>
      <c r="V43" s="328">
        <v>1</v>
      </c>
      <c r="W43" s="418">
        <v>7115</v>
      </c>
      <c r="X43" s="328" t="s">
        <v>8</v>
      </c>
      <c r="Y43" s="342">
        <f>'Structural Information'!$AM$10</f>
        <v>4.5</v>
      </c>
      <c r="Z43" s="131">
        <f>2*(SUM('Structural Information'!$AF$20:$AF$21))*(200)/$Y43</f>
        <v>107233.0292425316</v>
      </c>
      <c r="AA43" s="163"/>
      <c r="AL43" s="12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64"/>
      <c r="CA43" s="164"/>
      <c r="CB43" s="164"/>
      <c r="CC43" s="164"/>
      <c r="CD43" s="164"/>
      <c r="CE43" s="164"/>
      <c r="CF43" s="164"/>
      <c r="CG43" s="164"/>
      <c r="CH43" s="164"/>
      <c r="CI43" s="164"/>
      <c r="CJ43" s="164"/>
      <c r="CK43" s="164"/>
      <c r="CL43" s="164"/>
      <c r="CM43" s="164"/>
      <c r="CN43" s="164"/>
      <c r="CO43" s="164"/>
      <c r="CP43" s="164"/>
      <c r="CQ43" s="164"/>
      <c r="CR43" s="12"/>
      <c r="CS43" s="165"/>
      <c r="CT43" s="165"/>
      <c r="DE43" s="165"/>
      <c r="DF43" s="165"/>
      <c r="DG43" s="165"/>
      <c r="DH43" s="165"/>
      <c r="DI43" s="165"/>
      <c r="DJ43" s="165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86"/>
      <c r="V44" s="330">
        <v>2</v>
      </c>
      <c r="W44" s="418">
        <v>7215</v>
      </c>
      <c r="X44" s="330" t="s">
        <v>8</v>
      </c>
      <c r="Y44" s="343">
        <f>'Structural Information'!$AM$9</f>
        <v>2</v>
      </c>
      <c r="Z44" s="136">
        <f>2*(SUM('Structural Information'!$AF$20:$AF$21))*(200)/$Y44</f>
        <v>241274.31579569611</v>
      </c>
      <c r="AA44" s="163"/>
      <c r="AL44" s="12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64"/>
      <c r="CA44" s="164"/>
      <c r="CB44" s="164"/>
      <c r="CC44" s="164"/>
      <c r="CD44" s="164"/>
      <c r="CE44" s="164"/>
      <c r="CF44" s="164"/>
      <c r="CG44" s="164"/>
      <c r="CH44" s="164"/>
      <c r="CI44" s="164"/>
      <c r="CJ44" s="164"/>
      <c r="CK44" s="164"/>
      <c r="CL44" s="164"/>
      <c r="CM44" s="164"/>
      <c r="CN44" s="164"/>
      <c r="CO44" s="164"/>
      <c r="CP44" s="164"/>
      <c r="CQ44" s="164"/>
      <c r="CR44" s="12"/>
      <c r="CS44" s="165"/>
      <c r="CT44" s="165"/>
      <c r="DE44" s="165"/>
      <c r="DF44" s="165"/>
      <c r="DG44" s="165"/>
      <c r="DH44" s="165"/>
      <c r="DI44" s="165"/>
      <c r="DJ44" s="165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86"/>
      <c r="V45" s="330">
        <v>3</v>
      </c>
      <c r="W45" s="418">
        <v>7315</v>
      </c>
      <c r="X45" s="330" t="s">
        <v>8</v>
      </c>
      <c r="Y45" s="343">
        <f>'Structural Information'!$AM$8</f>
        <v>4.5</v>
      </c>
      <c r="Z45" s="136">
        <f>2*(SUM('Structural Information'!$AF$20:$AF$21))*(200)/$Y45</f>
        <v>107233.0292425316</v>
      </c>
      <c r="AA45" s="163"/>
      <c r="AL45" s="12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64"/>
      <c r="CA45" s="164"/>
      <c r="CB45" s="164"/>
      <c r="CC45" s="164"/>
      <c r="CD45" s="164"/>
      <c r="CE45" s="164"/>
      <c r="CF45" s="164"/>
      <c r="CG45" s="164"/>
      <c r="CH45" s="164"/>
      <c r="CI45" s="164"/>
      <c r="CJ45" s="164"/>
      <c r="CK45" s="164"/>
      <c r="CL45" s="164"/>
      <c r="CM45" s="164"/>
      <c r="CN45" s="164"/>
      <c r="CO45" s="164"/>
      <c r="CP45" s="164"/>
      <c r="CQ45" s="164"/>
      <c r="CR45" s="12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86"/>
      <c r="V46" s="330">
        <v>4</v>
      </c>
      <c r="W46" s="418">
        <v>7415</v>
      </c>
      <c r="X46" s="330" t="s">
        <v>8</v>
      </c>
      <c r="Y46" s="343">
        <f>'Structural Information'!$AM$7</f>
        <v>2</v>
      </c>
      <c r="Z46" s="136">
        <f>2*(SUM('Structural Information'!$AF$20:$AF$21))*(200)/$Y46</f>
        <v>241274.31579569611</v>
      </c>
      <c r="AA46" s="163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Z46" s="164"/>
      <c r="CA46" s="164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87"/>
      <c r="V47" s="334">
        <v>5</v>
      </c>
      <c r="W47" s="419">
        <v>7515</v>
      </c>
      <c r="X47" s="334" t="s">
        <v>8</v>
      </c>
      <c r="Y47" s="354">
        <f>'Structural Information'!$AM$6</f>
        <v>4.5</v>
      </c>
      <c r="Z47" s="35">
        <f>2*(SUM('Structural Information'!$AF$20:$AF$21))*(200)/$Y47</f>
        <v>107233.0292425316</v>
      </c>
      <c r="AA47" s="163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Z47" s="164"/>
      <c r="CA47" s="164"/>
      <c r="CB47" s="164"/>
      <c r="CC47" s="164"/>
      <c r="CD47" s="164"/>
      <c r="CE47" s="164"/>
      <c r="CF47" s="164"/>
      <c r="CG47" s="164"/>
      <c r="CH47" s="164"/>
      <c r="CI47" s="164"/>
      <c r="CJ47" s="164"/>
      <c r="CK47" s="164"/>
      <c r="CL47" s="164"/>
      <c r="CM47" s="164"/>
      <c r="CN47" s="164"/>
      <c r="CO47" s="164"/>
      <c r="CP47" s="164"/>
      <c r="CQ47" s="164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88">
        <v>4</v>
      </c>
      <c r="V48" s="328">
        <v>1</v>
      </c>
      <c r="W48" s="418">
        <v>7114</v>
      </c>
      <c r="X48" s="328" t="s">
        <v>8</v>
      </c>
      <c r="Y48" s="342">
        <f>'Structural Information'!$AM$10</f>
        <v>4.5</v>
      </c>
      <c r="Z48" s="131">
        <f>2*(SUM('Structural Information'!$AF$20:$AF$21))*(200)/$Y48</f>
        <v>107233.0292425316</v>
      </c>
      <c r="AA48" s="163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86"/>
      <c r="V49" s="330">
        <v>2</v>
      </c>
      <c r="W49" s="418">
        <v>7214</v>
      </c>
      <c r="X49" s="330" t="s">
        <v>8</v>
      </c>
      <c r="Y49" s="343">
        <f>'Structural Information'!$AM$9</f>
        <v>2</v>
      </c>
      <c r="Z49" s="136">
        <f>2*(SUM('Structural Information'!$AF$20:$AF$21))*(200)/$Y49</f>
        <v>241274.31579569611</v>
      </c>
      <c r="AA49" s="163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Z49" s="164"/>
      <c r="CA49" s="164"/>
      <c r="CB49" s="164"/>
      <c r="CC49" s="164"/>
      <c r="CD49" s="164"/>
      <c r="CE49" s="164"/>
      <c r="CF49" s="164"/>
      <c r="CG49" s="164"/>
      <c r="CH49" s="164"/>
      <c r="CI49" s="164"/>
      <c r="CJ49" s="164"/>
      <c r="CK49" s="164"/>
      <c r="CL49" s="164"/>
      <c r="CM49" s="164"/>
      <c r="CN49" s="164"/>
      <c r="CO49" s="164"/>
      <c r="CP49" s="164"/>
      <c r="CQ49" s="164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86"/>
      <c r="V50" s="330">
        <v>3</v>
      </c>
      <c r="W50" s="418">
        <v>7314</v>
      </c>
      <c r="X50" s="330" t="s">
        <v>8</v>
      </c>
      <c r="Y50" s="343">
        <f>'Structural Information'!$AM$8</f>
        <v>4.5</v>
      </c>
      <c r="Z50" s="136">
        <f>2*(SUM('Structural Information'!$AF$20:$AF$21))*(200)/$Y50</f>
        <v>107233.0292425316</v>
      </c>
      <c r="AA50" s="163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Z50" s="164"/>
      <c r="CA50" s="164"/>
      <c r="CB50" s="164"/>
      <c r="CC50" s="164"/>
      <c r="CD50" s="164"/>
      <c r="CE50" s="164"/>
      <c r="CF50" s="164"/>
      <c r="CG50" s="164"/>
      <c r="CH50" s="164"/>
      <c r="CI50" s="164"/>
      <c r="CJ50" s="164"/>
      <c r="CK50" s="164"/>
      <c r="CL50" s="164"/>
      <c r="CM50" s="164"/>
      <c r="CN50" s="164"/>
      <c r="CO50" s="164"/>
      <c r="CP50" s="164"/>
      <c r="CQ50" s="164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86"/>
      <c r="V51" s="330">
        <v>4</v>
      </c>
      <c r="W51" s="418">
        <v>7414</v>
      </c>
      <c r="X51" s="330" t="s">
        <v>8</v>
      </c>
      <c r="Y51" s="343">
        <f>'Structural Information'!$AM$7</f>
        <v>2</v>
      </c>
      <c r="Z51" s="136">
        <f>2*(SUM('Structural Information'!$AF$20:$AF$21))*(200)/$Y51</f>
        <v>241274.31579569611</v>
      </c>
      <c r="AA51" s="163"/>
      <c r="AH51" s="163"/>
      <c r="AI51" s="163"/>
      <c r="AJ51" s="163"/>
      <c r="AK51" s="163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Z51" s="164"/>
      <c r="CA51" s="164"/>
      <c r="CB51" s="164"/>
      <c r="CC51" s="164"/>
      <c r="CD51" s="164"/>
      <c r="CE51" s="164"/>
      <c r="CF51" s="164"/>
      <c r="CG51" s="164"/>
      <c r="CH51" s="164"/>
      <c r="CI51" s="164"/>
      <c r="CJ51" s="164"/>
      <c r="CK51" s="164"/>
      <c r="CL51" s="164"/>
      <c r="CM51" s="164"/>
      <c r="CN51" s="164"/>
      <c r="CO51" s="164"/>
      <c r="CP51" s="164"/>
      <c r="CQ51" s="164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87"/>
      <c r="V52" s="334">
        <v>5</v>
      </c>
      <c r="W52" s="419">
        <v>7514</v>
      </c>
      <c r="X52" s="334" t="s">
        <v>8</v>
      </c>
      <c r="Y52" s="354">
        <f>'Structural Information'!$AM$6</f>
        <v>4.5</v>
      </c>
      <c r="Z52" s="35">
        <f>2*(SUM('Structural Information'!$AF$20:$AF$21))*(200)/$Y52</f>
        <v>107233.0292425316</v>
      </c>
      <c r="AA52" s="163"/>
      <c r="AH52" s="163"/>
      <c r="AI52" s="163"/>
      <c r="AJ52" s="163"/>
      <c r="AK52" s="163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86">
        <v>3</v>
      </c>
      <c r="V53" s="330">
        <v>1</v>
      </c>
      <c r="W53" s="330">
        <v>7113</v>
      </c>
      <c r="X53" s="330" t="s">
        <v>8</v>
      </c>
      <c r="Y53" s="343">
        <f>'Structural Information'!$AM$10</f>
        <v>4.5</v>
      </c>
      <c r="Z53" s="136">
        <f>2*(SUM('Structural Information'!$AF$20:$AF$21))*(200)/$Y53</f>
        <v>107233.0292425316</v>
      </c>
      <c r="AA53" s="163"/>
      <c r="AH53" s="163"/>
      <c r="AI53" s="163"/>
      <c r="AJ53" s="163"/>
      <c r="AK53" s="163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Z53" s="164"/>
      <c r="CA53" s="164"/>
      <c r="CB53" s="164"/>
      <c r="CC53" s="164"/>
      <c r="CD53" s="164"/>
      <c r="CE53" s="164"/>
      <c r="CF53" s="164"/>
      <c r="CG53" s="164"/>
      <c r="CH53" s="164"/>
      <c r="CI53" s="164"/>
      <c r="CJ53" s="164"/>
      <c r="CK53" s="164"/>
      <c r="CL53" s="164"/>
      <c r="CM53" s="164"/>
      <c r="CN53" s="164"/>
      <c r="CO53" s="164"/>
      <c r="CP53" s="164"/>
      <c r="CQ53" s="164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86"/>
      <c r="V54" s="330">
        <v>2</v>
      </c>
      <c r="W54" s="330">
        <v>7213</v>
      </c>
      <c r="X54" s="330" t="s">
        <v>8</v>
      </c>
      <c r="Y54" s="343">
        <f>'Structural Information'!$AM$9</f>
        <v>2</v>
      </c>
      <c r="Z54" s="136">
        <f>2*(SUM('Structural Information'!$AF$20:$AF$21))*(200)/$Y54</f>
        <v>241274.31579569611</v>
      </c>
      <c r="AA54" s="163"/>
      <c r="AH54" s="163"/>
      <c r="AI54" s="163"/>
      <c r="AJ54" s="163"/>
      <c r="AK54" s="163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Z54" s="164"/>
      <c r="CA54" s="164"/>
      <c r="CB54" s="164"/>
      <c r="CC54" s="164"/>
      <c r="CD54" s="164"/>
      <c r="CE54" s="164"/>
      <c r="CF54" s="164"/>
      <c r="CG54" s="164"/>
      <c r="CH54" s="164"/>
      <c r="CI54" s="164"/>
      <c r="CJ54" s="164"/>
      <c r="CK54" s="164"/>
      <c r="CL54" s="164"/>
      <c r="CM54" s="164"/>
      <c r="CN54" s="164"/>
      <c r="CO54" s="164"/>
      <c r="CP54" s="164"/>
      <c r="CQ54" s="164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86"/>
      <c r="V55" s="330">
        <v>3</v>
      </c>
      <c r="W55" s="330">
        <v>7313</v>
      </c>
      <c r="X55" s="330" t="s">
        <v>8</v>
      </c>
      <c r="Y55" s="343">
        <f>'Structural Information'!$AM$8</f>
        <v>4.5</v>
      </c>
      <c r="Z55" s="136">
        <f>2*(SUM('Structural Information'!$AF$20:$AF$21))*(200)/$Y55</f>
        <v>107233.0292425316</v>
      </c>
      <c r="AA55" s="163"/>
      <c r="AH55" s="163"/>
      <c r="AI55" s="163"/>
      <c r="AJ55" s="163"/>
      <c r="AK55" s="163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Z55" s="164"/>
      <c r="CA55" s="164"/>
      <c r="CB55" s="164"/>
      <c r="CC55" s="164"/>
      <c r="CD55" s="164"/>
      <c r="CE55" s="164"/>
      <c r="CF55" s="164"/>
      <c r="CG55" s="164"/>
      <c r="CH55" s="164"/>
      <c r="CI55" s="164"/>
      <c r="CJ55" s="164"/>
      <c r="CK55" s="164"/>
      <c r="CL55" s="164"/>
      <c r="CM55" s="164"/>
      <c r="CN55" s="164"/>
      <c r="CO55" s="164"/>
      <c r="CP55" s="164"/>
      <c r="CQ55" s="164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86"/>
      <c r="V56" s="330">
        <v>4</v>
      </c>
      <c r="W56" s="330">
        <v>7413</v>
      </c>
      <c r="X56" s="330" t="s">
        <v>8</v>
      </c>
      <c r="Y56" s="343">
        <f>'Structural Information'!$AM$7</f>
        <v>2</v>
      </c>
      <c r="Z56" s="136">
        <f>2*(SUM('Structural Information'!$AF$20:$AF$21))*(200)/$Y56</f>
        <v>241274.31579569611</v>
      </c>
      <c r="AA56" s="163"/>
      <c r="AH56" s="163"/>
      <c r="AI56" s="163"/>
      <c r="AJ56" s="163"/>
      <c r="AK56" s="163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Z56" s="164"/>
      <c r="CA56" s="164"/>
      <c r="CB56" s="164"/>
      <c r="CC56" s="164"/>
      <c r="CD56" s="164"/>
      <c r="CE56" s="164"/>
      <c r="CF56" s="164"/>
      <c r="CG56" s="164"/>
      <c r="CH56" s="164"/>
      <c r="CI56" s="164"/>
      <c r="CJ56" s="164"/>
      <c r="CK56" s="164"/>
      <c r="CL56" s="164"/>
      <c r="CM56" s="164"/>
      <c r="CN56" s="164"/>
      <c r="CO56" s="164"/>
      <c r="CP56" s="164"/>
      <c r="CQ56" s="164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66"/>
      <c r="O57" s="12"/>
      <c r="P57" s="12"/>
      <c r="Q57" s="12"/>
      <c r="R57" s="12"/>
      <c r="U57" s="887"/>
      <c r="V57" s="334">
        <v>5</v>
      </c>
      <c r="W57" s="334">
        <v>7513</v>
      </c>
      <c r="X57" s="334" t="s">
        <v>8</v>
      </c>
      <c r="Y57" s="354">
        <f>'Structural Information'!$AM$6</f>
        <v>4.5</v>
      </c>
      <c r="Z57" s="35">
        <f>2*(SUM('Structural Information'!$AF$20:$AF$21))*(200)/$Y57</f>
        <v>107233.0292425316</v>
      </c>
      <c r="AA57" s="163"/>
      <c r="AH57" s="163"/>
      <c r="AI57" s="163"/>
      <c r="AJ57" s="163"/>
      <c r="AK57" s="163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88">
        <v>2</v>
      </c>
      <c r="V58" s="328">
        <v>1</v>
      </c>
      <c r="W58" s="328">
        <v>7112</v>
      </c>
      <c r="X58" s="328" t="s">
        <v>8</v>
      </c>
      <c r="Y58" s="342">
        <f>'Structural Information'!$AM$10</f>
        <v>4.5</v>
      </c>
      <c r="Z58" s="131">
        <f>2*(SUM('Structural Information'!$AF$20:$AF$21))*(200)/$Y58</f>
        <v>107233.0292425316</v>
      </c>
      <c r="AA58" s="163"/>
      <c r="AH58" s="163"/>
      <c r="AI58" s="163"/>
      <c r="AJ58" s="163"/>
      <c r="AK58" s="163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Z58" s="164"/>
      <c r="CA58" s="164"/>
      <c r="CB58" s="164"/>
      <c r="CC58" s="164"/>
      <c r="CD58" s="164"/>
      <c r="CE58" s="164"/>
      <c r="CF58" s="164"/>
      <c r="CG58" s="164"/>
      <c r="CH58" s="164"/>
      <c r="CI58" s="164"/>
      <c r="CJ58" s="164"/>
      <c r="CK58" s="164"/>
      <c r="CL58" s="164"/>
      <c r="CM58" s="164"/>
      <c r="CN58" s="164"/>
      <c r="CO58" s="164"/>
      <c r="CP58" s="164"/>
      <c r="CQ58" s="164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86"/>
      <c r="V59" s="330">
        <v>2</v>
      </c>
      <c r="W59" s="330">
        <v>7212</v>
      </c>
      <c r="X59" s="330" t="s">
        <v>8</v>
      </c>
      <c r="Y59" s="343">
        <f>'Structural Information'!$AM$9</f>
        <v>2</v>
      </c>
      <c r="Z59" s="136">
        <f>2*(SUM('Structural Information'!$AF$20:$AF$21))*(200)/$Y59</f>
        <v>241274.31579569611</v>
      </c>
      <c r="AA59" s="163"/>
      <c r="AH59" s="163"/>
      <c r="AI59" s="163"/>
      <c r="AJ59" s="163"/>
      <c r="AK59" s="163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86"/>
      <c r="V60" s="330">
        <v>3</v>
      </c>
      <c r="W60" s="330">
        <v>7312</v>
      </c>
      <c r="X60" s="330" t="s">
        <v>8</v>
      </c>
      <c r="Y60" s="343">
        <f>'Structural Information'!$AM$8</f>
        <v>4.5</v>
      </c>
      <c r="Z60" s="136">
        <f>2*(SUM('Structural Information'!$AF$20:$AF$21))*(200)/$Y60</f>
        <v>107233.0292425316</v>
      </c>
      <c r="AA60" s="163"/>
      <c r="AH60" s="163"/>
      <c r="AI60" s="163"/>
      <c r="AJ60" s="163"/>
      <c r="AK60" s="163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Z60" s="164"/>
      <c r="CA60" s="164"/>
      <c r="CB60" s="164"/>
      <c r="CC60" s="164"/>
      <c r="CD60" s="164"/>
      <c r="CE60" s="164"/>
      <c r="CF60" s="164"/>
      <c r="CG60" s="164"/>
      <c r="CH60" s="164"/>
      <c r="CI60" s="164"/>
      <c r="CJ60" s="164"/>
      <c r="CK60" s="164"/>
      <c r="CL60" s="164"/>
      <c r="CM60" s="164"/>
      <c r="CN60" s="164"/>
      <c r="CO60" s="164"/>
      <c r="CP60" s="164"/>
      <c r="CQ60" s="164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86"/>
      <c r="V61" s="330">
        <v>4</v>
      </c>
      <c r="W61" s="330">
        <v>7412</v>
      </c>
      <c r="X61" s="330" t="s">
        <v>8</v>
      </c>
      <c r="Y61" s="343">
        <f>'Structural Information'!$AM$7</f>
        <v>2</v>
      </c>
      <c r="Z61" s="136">
        <f>2*(SUM('Structural Information'!$AF$20:$AF$21))*(200)/$Y61</f>
        <v>241274.31579569611</v>
      </c>
      <c r="AA61" s="163"/>
      <c r="AH61" s="163"/>
      <c r="AI61" s="163"/>
      <c r="AJ61" s="163"/>
      <c r="AK61" s="163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Z61" s="164"/>
      <c r="CA61" s="164"/>
      <c r="CB61" s="164"/>
      <c r="CC61" s="164"/>
      <c r="CD61" s="164"/>
      <c r="CE61" s="164"/>
      <c r="CF61" s="164"/>
      <c r="CG61" s="164"/>
      <c r="CH61" s="164"/>
      <c r="CI61" s="164"/>
      <c r="CJ61" s="164"/>
      <c r="CK61" s="164"/>
      <c r="CL61" s="164"/>
      <c r="CM61" s="164"/>
      <c r="CN61" s="164"/>
      <c r="CO61" s="164"/>
      <c r="CP61" s="164"/>
      <c r="CQ61" s="164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87"/>
      <c r="V62" s="334">
        <v>5</v>
      </c>
      <c r="W62" s="334">
        <v>7512</v>
      </c>
      <c r="X62" s="334" t="s">
        <v>8</v>
      </c>
      <c r="Y62" s="354">
        <f>'Structural Information'!$AM$6</f>
        <v>4.5</v>
      </c>
      <c r="Z62" s="35">
        <f>2*(SUM('Structural Information'!$AF$20:$AF$21))*(200)/$Y62</f>
        <v>107233.0292425316</v>
      </c>
      <c r="AA62" s="163"/>
      <c r="AH62" s="163"/>
      <c r="AI62" s="163"/>
      <c r="AJ62" s="163"/>
      <c r="AK62" s="163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88">
        <v>1</v>
      </c>
      <c r="V63" s="328">
        <v>1</v>
      </c>
      <c r="W63" s="328">
        <v>7111</v>
      </c>
      <c r="X63" s="328" t="s">
        <v>8</v>
      </c>
      <c r="Y63" s="342">
        <f>'Structural Information'!$AM$10</f>
        <v>4.5</v>
      </c>
      <c r="Z63" s="131">
        <f>2*(SUM('Structural Information'!$AF$20:$AF$21))*(200)/$Y63</f>
        <v>107233.0292425316</v>
      </c>
      <c r="AA63" s="163"/>
      <c r="AH63" s="163"/>
      <c r="AI63" s="163"/>
      <c r="AJ63" s="163"/>
      <c r="AK63" s="163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86"/>
      <c r="V64" s="330">
        <v>2</v>
      </c>
      <c r="W64" s="330">
        <v>7211</v>
      </c>
      <c r="X64" s="330" t="s">
        <v>8</v>
      </c>
      <c r="Y64" s="343">
        <f>'Structural Information'!$AM$9</f>
        <v>2</v>
      </c>
      <c r="Z64" s="136">
        <f>2*(SUM('Structural Information'!$AF$20:$AF$21))*(200)/$Y64</f>
        <v>241274.31579569611</v>
      </c>
      <c r="AA64" s="163"/>
      <c r="AH64" s="163"/>
      <c r="AI64" s="163"/>
      <c r="AJ64" s="163"/>
      <c r="AK64" s="163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86"/>
      <c r="V65" s="330">
        <v>3</v>
      </c>
      <c r="W65" s="330">
        <v>7311</v>
      </c>
      <c r="X65" s="330" t="s">
        <v>8</v>
      </c>
      <c r="Y65" s="343">
        <f>'Structural Information'!$AM$8</f>
        <v>4.5</v>
      </c>
      <c r="Z65" s="136">
        <f>2*(SUM('Structural Information'!$AF$20:$AF$21))*(200)/$Y65</f>
        <v>107233.0292425316</v>
      </c>
      <c r="AA65" s="163"/>
      <c r="AH65" s="163"/>
      <c r="AI65" s="163"/>
      <c r="AJ65" s="163"/>
      <c r="AK65" s="163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86"/>
      <c r="V66" s="330">
        <v>4</v>
      </c>
      <c r="W66" s="330">
        <v>7411</v>
      </c>
      <c r="X66" s="330" t="s">
        <v>8</v>
      </c>
      <c r="Y66" s="343">
        <f>'Structural Information'!$AM$7</f>
        <v>2</v>
      </c>
      <c r="Z66" s="136">
        <f>2*(SUM('Structural Information'!$AF$20:$AF$21))*(200)/$Y66</f>
        <v>241274.31579569611</v>
      </c>
      <c r="AA66" s="163"/>
      <c r="AH66" s="163"/>
      <c r="AI66" s="163"/>
      <c r="AJ66" s="163"/>
      <c r="AK66" s="163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Z66" s="164"/>
      <c r="CA66" s="164"/>
      <c r="CB66" s="164"/>
      <c r="CC66" s="164"/>
      <c r="CD66" s="164"/>
      <c r="CE66" s="164"/>
      <c r="CF66" s="164"/>
      <c r="CG66" s="164"/>
      <c r="CH66" s="164"/>
      <c r="CI66" s="164"/>
      <c r="CJ66" s="164"/>
      <c r="CK66" s="164"/>
      <c r="CL66" s="164"/>
      <c r="CM66" s="164"/>
      <c r="CN66" s="164"/>
      <c r="CO66" s="164"/>
      <c r="CP66" s="164"/>
      <c r="CQ66" s="164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89"/>
      <c r="V67" s="332">
        <v>5</v>
      </c>
      <c r="W67" s="332">
        <v>7511</v>
      </c>
      <c r="X67" s="332" t="s">
        <v>8</v>
      </c>
      <c r="Y67" s="344">
        <f>'Structural Information'!$AM$6</f>
        <v>4.5</v>
      </c>
      <c r="Z67" s="53">
        <f>2*(SUM('Structural Information'!$AF$20:$AF$21))*(200)/$Y67</f>
        <v>107233.0292425316</v>
      </c>
      <c r="AA67" s="163"/>
      <c r="AH67" s="163"/>
      <c r="AI67" s="163"/>
      <c r="AJ67" s="163"/>
      <c r="AK67" s="163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Z67" s="164"/>
      <c r="CA67" s="164"/>
      <c r="CB67" s="164"/>
      <c r="CC67" s="164"/>
      <c r="CD67" s="164"/>
      <c r="CE67" s="164"/>
      <c r="CF67" s="164"/>
      <c r="CG67" s="164"/>
      <c r="CH67" s="164"/>
      <c r="CI67" s="164"/>
      <c r="CJ67" s="164"/>
      <c r="CK67" s="164"/>
      <c r="CL67" s="164"/>
      <c r="CM67" s="164"/>
      <c r="CN67" s="164"/>
      <c r="CO67" s="164"/>
      <c r="CP67" s="164"/>
      <c r="CQ67" s="164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63"/>
      <c r="AH68" s="163"/>
      <c r="AI68" s="163"/>
      <c r="AJ68" s="163"/>
      <c r="AK68" s="163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Z68" s="164"/>
      <c r="CA68" s="164"/>
      <c r="CB68" s="164"/>
      <c r="CC68" s="164"/>
      <c r="CD68" s="164"/>
      <c r="CE68" s="164"/>
      <c r="CF68" s="164"/>
      <c r="CG68" s="164"/>
      <c r="CH68" s="164"/>
      <c r="CI68" s="164"/>
      <c r="CJ68" s="164"/>
      <c r="CK68" s="164"/>
      <c r="CL68" s="164"/>
      <c r="CM68" s="164"/>
      <c r="CN68" s="164"/>
      <c r="CO68" s="164"/>
      <c r="CP68" s="164"/>
      <c r="CQ68" s="164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</row>
    <row r="70" spans="1:114" ht="15" customHeight="1" x14ac:dyDescent="0.25"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</row>
    <row r="71" spans="1:114" ht="15.75" customHeight="1" x14ac:dyDescent="0.25"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Z71" s="164"/>
      <c r="CA71" s="164"/>
      <c r="CB71" s="164"/>
      <c r="CC71" s="164"/>
      <c r="CD71" s="164"/>
      <c r="CE71" s="164"/>
      <c r="CF71" s="164"/>
      <c r="CG71" s="164"/>
      <c r="CH71" s="164"/>
      <c r="CI71" s="164"/>
      <c r="CJ71" s="164"/>
      <c r="CK71" s="164"/>
      <c r="CL71" s="164"/>
      <c r="CM71" s="164"/>
      <c r="CN71" s="164"/>
      <c r="CO71" s="164"/>
      <c r="CP71" s="164"/>
      <c r="CQ71" s="164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</row>
    <row r="72" spans="1:114" ht="15" customHeight="1" x14ac:dyDescent="0.25"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</row>
    <row r="73" spans="1:114" ht="15" customHeight="1" x14ac:dyDescent="0.25"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</row>
    <row r="74" spans="1:114" ht="15.75" customHeight="1" x14ac:dyDescent="0.25"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</row>
    <row r="75" spans="1:114" ht="15.75" customHeight="1" x14ac:dyDescent="0.25"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</row>
    <row r="76" spans="1:114" ht="15.75" customHeight="1" x14ac:dyDescent="0.25"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Z76" s="164"/>
      <c r="CA76" s="164"/>
      <c r="CB76" s="164"/>
      <c r="CC76" s="164"/>
      <c r="CD76" s="164"/>
      <c r="CE76" s="164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</row>
    <row r="77" spans="1:114" ht="15.75" x14ac:dyDescent="0.25"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Z77" s="164"/>
      <c r="CA77" s="164"/>
      <c r="CB77" s="164"/>
      <c r="CC77" s="164"/>
      <c r="CD77" s="164"/>
      <c r="CE77" s="164"/>
      <c r="CF77" s="164"/>
      <c r="CG77" s="164"/>
      <c r="CH77" s="164"/>
      <c r="CI77" s="164"/>
      <c r="CJ77" s="164"/>
      <c r="CK77" s="164"/>
      <c r="CL77" s="164"/>
      <c r="CM77" s="164"/>
      <c r="CN77" s="164"/>
      <c r="CO77" s="164"/>
      <c r="CP77" s="164"/>
      <c r="CQ77" s="164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</row>
    <row r="78" spans="1:114" ht="15" customHeight="1" x14ac:dyDescent="0.25"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</row>
    <row r="79" spans="1:114" ht="15" customHeight="1" x14ac:dyDescent="0.25"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</row>
    <row r="80" spans="1:114" ht="15" customHeight="1" x14ac:dyDescent="0.25"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</row>
    <row r="81" spans="39:114" ht="15" customHeight="1" x14ac:dyDescent="0.25"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</row>
    <row r="82" spans="39:114" ht="15" customHeight="1" x14ac:dyDescent="0.25"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</row>
    <row r="83" spans="39:114" ht="15" customHeight="1" x14ac:dyDescent="0.25"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</row>
    <row r="84" spans="39:114" ht="15" customHeight="1" x14ac:dyDescent="0.25"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</row>
    <row r="85" spans="39:114" ht="15" customHeight="1" x14ac:dyDescent="0.25"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</row>
  </sheetData>
  <mergeCells count="107"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zoomScale="80" zoomScaleNormal="80" workbookViewId="0">
      <selection activeCell="N37" sqref="N37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4.45" thickBot="1" x14ac:dyDescent="0.3"/>
    <row r="2" spans="2:22" ht="15" customHeight="1" x14ac:dyDescent="0.25">
      <c r="B2" s="920" t="s">
        <v>283</v>
      </c>
      <c r="C2" s="921"/>
      <c r="D2" s="921"/>
      <c r="E2" s="921"/>
      <c r="F2" s="921"/>
      <c r="G2" s="921"/>
      <c r="H2" s="921"/>
      <c r="I2" s="921"/>
      <c r="J2" s="921"/>
      <c r="K2" s="921"/>
      <c r="L2" s="921"/>
      <c r="M2" s="921"/>
      <c r="N2" s="921"/>
      <c r="O2" s="921"/>
      <c r="P2" s="921"/>
      <c r="Q2" s="921"/>
      <c r="R2" s="921"/>
      <c r="S2" s="922"/>
    </row>
    <row r="3" spans="2:22" ht="15.75" customHeight="1" thickBot="1" x14ac:dyDescent="0.3">
      <c r="B3" s="923"/>
      <c r="C3" s="924"/>
      <c r="D3" s="924"/>
      <c r="E3" s="924"/>
      <c r="F3" s="924"/>
      <c r="G3" s="924"/>
      <c r="H3" s="924"/>
      <c r="I3" s="924"/>
      <c r="J3" s="924"/>
      <c r="K3" s="924"/>
      <c r="L3" s="924"/>
      <c r="M3" s="924"/>
      <c r="N3" s="924"/>
      <c r="O3" s="924"/>
      <c r="P3" s="924"/>
      <c r="Q3" s="924"/>
      <c r="R3" s="924"/>
      <c r="S3" s="925"/>
    </row>
    <row r="4" spans="2:22" ht="16.899999999999999" thickBot="1" x14ac:dyDescent="0.35">
      <c r="B4" s="5"/>
      <c r="C4" s="940" t="s">
        <v>229</v>
      </c>
      <c r="D4" s="941"/>
      <c r="E4" s="941"/>
      <c r="F4" s="941"/>
      <c r="G4" s="941"/>
      <c r="H4" s="941"/>
      <c r="I4" s="941"/>
      <c r="J4" s="942"/>
      <c r="K4" s="167"/>
      <c r="L4" s="167"/>
      <c r="M4" s="940" t="s">
        <v>233</v>
      </c>
      <c r="N4" s="941"/>
      <c r="O4" s="941"/>
      <c r="P4" s="941"/>
      <c r="Q4" s="941"/>
      <c r="R4" s="942"/>
      <c r="S4" s="7"/>
      <c r="U4" s="939" t="s">
        <v>296</v>
      </c>
      <c r="V4" s="939"/>
    </row>
    <row r="5" spans="2:22" x14ac:dyDescent="0.25">
      <c r="B5" s="5"/>
      <c r="C5" s="449" t="s">
        <v>5</v>
      </c>
      <c r="D5" s="157" t="s">
        <v>69</v>
      </c>
      <c r="E5" s="448" t="s">
        <v>210</v>
      </c>
      <c r="F5" s="448" t="s">
        <v>209</v>
      </c>
      <c r="G5" s="448" t="s">
        <v>208</v>
      </c>
      <c r="H5" s="448" t="s">
        <v>211</v>
      </c>
      <c r="I5" s="448" t="s">
        <v>212</v>
      </c>
      <c r="J5" s="451" t="s">
        <v>213</v>
      </c>
      <c r="K5" s="168"/>
      <c r="L5" s="168"/>
      <c r="M5" s="449" t="s">
        <v>5</v>
      </c>
      <c r="N5" s="450" t="s">
        <v>187</v>
      </c>
      <c r="O5" s="398" t="s">
        <v>188</v>
      </c>
      <c r="P5" s="157" t="s">
        <v>214</v>
      </c>
      <c r="Q5" s="157" t="s">
        <v>70</v>
      </c>
      <c r="R5" s="399" t="s">
        <v>177</v>
      </c>
      <c r="S5" s="7"/>
      <c r="U5" s="169" t="s">
        <v>320</v>
      </c>
      <c r="V5" s="170" t="s">
        <v>237</v>
      </c>
    </row>
    <row r="6" spans="2:22" ht="13.9" x14ac:dyDescent="0.25">
      <c r="B6" s="5"/>
      <c r="C6" s="171">
        <v>6</v>
      </c>
      <c r="D6" s="452">
        <f>hstr6</f>
        <v>3</v>
      </c>
      <c r="E6" s="454">
        <f>G32*H32</f>
        <v>39.646788331828887</v>
      </c>
      <c r="F6" s="452">
        <f>G32*H32*I32</f>
        <v>3.2087903497265577E-2</v>
      </c>
      <c r="G6" s="172">
        <f t="shared" ref="G6:G11" si="0">F6/E6</f>
        <v>8.0934433398997536E-4</v>
      </c>
      <c r="H6" s="454">
        <f>G19*H19</f>
        <v>832.42077536689317</v>
      </c>
      <c r="I6" s="452">
        <f>'System Capacities'!G19*'System Capacities'!H19*'System Capacities'!I19</f>
        <v>0.673715038038737</v>
      </c>
      <c r="J6" s="52">
        <f t="shared" ref="J6:J11" si="1">I6/H6</f>
        <v>8.0934433398997536E-4</v>
      </c>
      <c r="K6" s="173"/>
      <c r="L6" s="174"/>
      <c r="M6" s="171">
        <v>6</v>
      </c>
      <c r="N6" s="454">
        <f>G32</f>
        <v>13.215596110609628</v>
      </c>
      <c r="O6" s="175">
        <f>G19</f>
        <v>277.47359178896437</v>
      </c>
      <c r="P6" s="92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48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177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71">
        <f>'Post-yield Mechanism'!O226</f>
        <v>58022.029624960582</v>
      </c>
      <c r="V6" s="178" t="e">
        <f>((U6-R9)/U6)</f>
        <v>#N/A</v>
      </c>
    </row>
    <row r="7" spans="2:22" ht="13.9" x14ac:dyDescent="0.25">
      <c r="B7" s="5"/>
      <c r="C7" s="179">
        <v>5</v>
      </c>
      <c r="D7" s="452">
        <f>hstr5</f>
        <v>3</v>
      </c>
      <c r="E7" s="454">
        <f t="shared" ref="E7:E11" si="2">G33*H33</f>
        <v>76.637262884421617</v>
      </c>
      <c r="F7" s="452">
        <f t="shared" ref="F7:F11" si="3">G33*H33*I33</f>
        <v>0.11627330187921472</v>
      </c>
      <c r="G7" s="172">
        <f t="shared" si="0"/>
        <v>1.517190169677238E-3</v>
      </c>
      <c r="H7" s="454">
        <f t="shared" ref="H7:H11" si="4">G20*H20</f>
        <v>1681.1572085535872</v>
      </c>
      <c r="I7" s="452">
        <f>'System Capacities'!G20*'System Capacities'!H20*'System Capacities'!I20</f>
        <v>2.5506351904995288</v>
      </c>
      <c r="J7" s="52">
        <f t="shared" si="1"/>
        <v>1.517190169677238E-3</v>
      </c>
      <c r="K7" s="173"/>
      <c r="L7" s="174"/>
      <c r="M7" s="179">
        <v>5</v>
      </c>
      <c r="N7" s="454">
        <f t="shared" ref="N7:N11" si="5">G33</f>
        <v>25.545754294807207</v>
      </c>
      <c r="O7" s="175">
        <f t="shared" ref="O7:O11" si="6">G20</f>
        <v>560.38573618452904</v>
      </c>
      <c r="P7" s="92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48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177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71">
        <f>'Post-yield Mechanism'!O227</f>
        <v>59786.297180039051</v>
      </c>
      <c r="V7" s="178">
        <f>((U7-R10)/U7)</f>
        <v>1.0236162925285079</v>
      </c>
    </row>
    <row r="8" spans="2:22" ht="13.9" x14ac:dyDescent="0.25">
      <c r="B8" s="5"/>
      <c r="C8" s="179">
        <v>4</v>
      </c>
      <c r="D8" s="452">
        <f>hstr4</f>
        <v>3</v>
      </c>
      <c r="E8" s="454">
        <f t="shared" si="2"/>
        <v>121.89324249033626</v>
      </c>
      <c r="F8" s="452">
        <f t="shared" si="3"/>
        <v>0.24727872929128178</v>
      </c>
      <c r="G8" s="172">
        <f t="shared" si="0"/>
        <v>2.0286500239001036E-3</v>
      </c>
      <c r="H8" s="454">
        <f t="shared" si="4"/>
        <v>2438.2795622135868</v>
      </c>
      <c r="I8" s="452">
        <f>'System Capacities'!G21*'System Capacities'!H21*'System Capacities'!I21</f>
        <v>4.9464158921597265</v>
      </c>
      <c r="J8" s="52">
        <f t="shared" si="1"/>
        <v>2.0286500239001036E-3</v>
      </c>
      <c r="K8" s="173"/>
      <c r="L8" s="174"/>
      <c r="M8" s="179">
        <v>4</v>
      </c>
      <c r="N8" s="454">
        <f t="shared" si="5"/>
        <v>40.63108083011209</v>
      </c>
      <c r="O8" s="175">
        <f t="shared" si="6"/>
        <v>812.7598540711956</v>
      </c>
      <c r="P8" s="92" t="e">
        <f>_xlfn.IFS((($N$21+$N$34)=2),(K$47),(($N$21+$N$34)=3),(K$48),(($N$21+$N$34)=4),(K$49),(($N$21+$N$34)=5),(K$50),(($N$21+$N$34)=6),(K$51),(($N$21+$N$34)=7),(K$52),(($N$21+$N$34)=8),(K$53),(($N$21+$N$34)=9),(K$54),(($N$21+$N$34)=10),(K$55))</f>
        <v>#N/A</v>
      </c>
      <c r="Q8" s="48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R8" s="177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S8" s="7"/>
      <c r="U8" s="71">
        <f>'Post-yield Mechanism'!O228</f>
        <v>74754.364977729987</v>
      </c>
      <c r="V8" s="178" t="e">
        <f>((U8-R11)/U8)</f>
        <v>#N/A</v>
      </c>
    </row>
    <row r="9" spans="2:22" ht="13.9" x14ac:dyDescent="0.25">
      <c r="B9" s="5"/>
      <c r="C9" s="171">
        <v>3</v>
      </c>
      <c r="D9" s="452">
        <f>hstr3</f>
        <v>3</v>
      </c>
      <c r="E9" s="454">
        <f t="shared" si="2"/>
        <v>351.9432231367278</v>
      </c>
      <c r="F9" s="452">
        <f t="shared" si="3"/>
        <v>1.3546715281609469</v>
      </c>
      <c r="G9" s="172">
        <f t="shared" si="0"/>
        <v>3.8491195144697114E-3</v>
      </c>
      <c r="H9" s="454">
        <f t="shared" si="4"/>
        <v>2899.1618068473267</v>
      </c>
      <c r="I9" s="452">
        <f>'System Capacities'!G22*'System Capacities'!H22*'System Capacities'!I22</f>
        <v>11.159220286341313</v>
      </c>
      <c r="J9" s="52">
        <f t="shared" si="1"/>
        <v>3.849119514469711E-3</v>
      </c>
      <c r="K9" s="184"/>
      <c r="L9" s="184"/>
      <c r="M9" s="171">
        <v>3</v>
      </c>
      <c r="N9" s="454">
        <f t="shared" si="5"/>
        <v>117.3144077122426</v>
      </c>
      <c r="O9" s="175">
        <f t="shared" si="6"/>
        <v>966.38726894910894</v>
      </c>
      <c r="P9" s="92" t="e">
        <f>_xlfn.IFS((($N$22+$N$35)=2),(C$60),(($N$22+$N$35)=3),(C$61),(($N$22+$N$35)=4),(C$62),(($N$22+$N$35)=5),(C$63),(($N$22+$N$35)=6),(C$64),(($N$22+$N$35)=7),(C$65),(($N$22+$N$35)=8),(C$66),(($N$22+$N$35)=9),(C$67),(($N$22+$N$35)=10),(C$68))</f>
        <v>#N/A</v>
      </c>
      <c r="Q9" s="48" t="e">
        <f>_xlfn.IFS((($N$22+$N$35)=2),(D$60),(($N$22+$N$35)=3),(D$61),(($N$22+$N$35)=4),(D$62),(($N$22+$N$35)=5),(D$63),(($N$22+$N$35)=6),(D$64),(($N$22+$N$35)=7),(D$65),(($N$22+$N$35)=8),(D$66),(($N$22+$N$35)=9),(D$67),(($N$22+$N$35)=10),(D$68))</f>
        <v>#N/A</v>
      </c>
      <c r="R9" s="177" t="e">
        <f>_xlfn.IFS((($N$22+$N$35)=2),(E$60),(($N$22+$N$35)=3),(E$61),(($N$22+$N$35)=4),(E$62),(($N$22+$N$35)=5),(E$63),(($N$22+$N$35)=6),(E$64),(($N$22+$N$35)=7),(E$65),(($N$22+$N$35)=8),(E$66),(($N$22+$N$35)=9),(E$67),(($N$22+$N$35)=10),(E$68))</f>
        <v>#N/A</v>
      </c>
      <c r="S9" s="7"/>
      <c r="U9" s="71"/>
      <c r="V9" s="178"/>
    </row>
    <row r="10" spans="2:22" ht="13.9" x14ac:dyDescent="0.25">
      <c r="B10" s="5"/>
      <c r="C10" s="179">
        <v>2</v>
      </c>
      <c r="D10" s="452">
        <f>hstr2</f>
        <v>3</v>
      </c>
      <c r="E10" s="454">
        <f t="shared" si="2"/>
        <v>87.2</v>
      </c>
      <c r="F10" s="452">
        <f t="shared" si="3"/>
        <v>7.0213765330473521</v>
      </c>
      <c r="G10" s="172">
        <f t="shared" si="0"/>
        <v>8.0520373085405411E-2</v>
      </c>
      <c r="H10" s="454">
        <f t="shared" si="4"/>
        <v>312.98400000000004</v>
      </c>
      <c r="I10" s="452">
        <f>'System Capacities'!G23*'System Capacities'!H23*'System Capacities'!I23</f>
        <v>25.038720000000005</v>
      </c>
      <c r="J10" s="52">
        <f t="shared" si="1"/>
        <v>0.08</v>
      </c>
      <c r="K10" s="184"/>
      <c r="L10" s="184"/>
      <c r="M10" s="179">
        <v>2</v>
      </c>
      <c r="N10" s="454">
        <f t="shared" si="5"/>
        <v>29.066666666666666</v>
      </c>
      <c r="O10" s="175">
        <f t="shared" si="6"/>
        <v>104.328</v>
      </c>
      <c r="P10" s="92">
        <f>_xlfn.IFS((($N$23+$N$36)=2),(G$60),(($N$23+$N$36)=3),(G$61),(($N$23+$N$36)=4),(G$62),(($N$23+$N$36)=5),(G$63),(($N$23+$N$36)=6),(G$64),(($N$23+$N$36)=7),(G$65),(($N$23+$N$36)=8),(G$66),(($N$23+$N$36)=9),(G$67),(($N$23+$N$36)=10),(G$68))</f>
        <v>135.59885884496498</v>
      </c>
      <c r="Q10" s="48">
        <f>_xlfn.IFS((($N$23+$N$36)=2),(H$60),(($N$23+$N$36)=3),(H$61),(($N$23+$N$36)=4),(H$62),(($N$23+$N$36)=5),(H$63),(($N$23+$N$36)=6),(H$64),(($N$23+$N$36)=7),(H$65),(($N$23+$N$36)=8),(H$66),(($N$23+$N$36)=9),(H$67),(($N$23+$N$36)=10),(H$68))</f>
        <v>0.08</v>
      </c>
      <c r="R10" s="177">
        <f>_xlfn.IFS((($N$23+$N$36)=2),(I$60),(($N$23+$N$36)=3),(I$61),(($N$23+$N$36)=4),(I$62),(($N$23+$N$36)=5),(I$63),(($N$23+$N$36)=6),(I$64),(($N$23+$N$36)=7),(I$65),(($N$23+$N$36)=8),(I$66),(($N$23+$N$36)=9),(I$67),(($N$23+$N$36)=10),(I$68))</f>
        <v>-1411.9306834001077</v>
      </c>
      <c r="S10" s="7"/>
      <c r="U10" s="71"/>
      <c r="V10" s="178"/>
    </row>
    <row r="11" spans="2:22" ht="14.45" thickBot="1" x14ac:dyDescent="0.3">
      <c r="B11" s="5"/>
      <c r="C11" s="180">
        <v>1</v>
      </c>
      <c r="D11" s="453">
        <f>hstr1</f>
        <v>2.75</v>
      </c>
      <c r="E11" s="47">
        <f t="shared" si="2"/>
        <v>977.69374709979058</v>
      </c>
      <c r="F11" s="453">
        <f t="shared" si="3"/>
        <v>4.1779435087057539</v>
      </c>
      <c r="G11" s="181">
        <f t="shared" si="0"/>
        <v>4.2732640165687001E-3</v>
      </c>
      <c r="H11" s="47">
        <f t="shared" si="4"/>
        <v>2639.2667797272188</v>
      </c>
      <c r="I11" s="453">
        <f>'System Capacities'!G24*'System Capacities'!H24*'System Capacities'!I24</f>
        <v>11.278283759933474</v>
      </c>
      <c r="J11" s="100">
        <f t="shared" si="1"/>
        <v>4.2732640165687001E-3</v>
      </c>
      <c r="K11" s="184"/>
      <c r="L11" s="184"/>
      <c r="M11" s="180">
        <v>1</v>
      </c>
      <c r="N11" s="47">
        <f t="shared" si="5"/>
        <v>355.5249989453784</v>
      </c>
      <c r="O11" s="182">
        <f t="shared" si="6"/>
        <v>959.73337444626134</v>
      </c>
      <c r="P11" s="98" t="e">
        <f>_xlfn.IFS((($N$24+$N$37)=2),(K$60),(($N$24+$N$37)=3),(K$61),(($N$24+$N$37)=4),(K$62),(($N$24+$N$37)=5),(K$63),(($N$24+$N$37)=6),(K$64),(($N$24+$N$37)=7),(K$65),(($N$24+$N$37)=8),(K$66),(($N$24+$N$37)=9),(K$67),(($N$24+$N$37)=10),(K$68))</f>
        <v>#N/A</v>
      </c>
      <c r="Q11" s="99" t="e">
        <f>_xlfn.IFS((($N$24+$N$37)=2),(L$60),(($N$24+$N$37)=3),(L$61),(($N$24+$N$37)=4),(L$62),(($N$24+$N$37)=5),(L$63),(($N$24+$N$37)=6),(L$64),(($N$24+$N$37)=7),(L$65),(($N$24+$N$37)=8),(L$66),(($N$24+$N$37)=9),(L$67),(($N$24+$N$37)=10),(L$68))</f>
        <v>#N/A</v>
      </c>
      <c r="R11" s="183" t="e">
        <f>_xlfn.IFS((($N$24+$N$37)=2),(M$60),(($N$24+$N$37)=3),(M$61),(($N$24+$N$37)=4),(M$62),(($N$24+$N$37)=5),(M$63),(($N$24+$N$37)=6),(M$64),(($N$24+$N$37)=7),(M$65),(($N$24+$N$37)=8),(M$66),(($N$24+$N$37)=9),(M$67),(($N$24+$N$37)=10),(M$68))</f>
        <v>#N/A</v>
      </c>
      <c r="S11" s="7"/>
      <c r="U11" s="71"/>
      <c r="V11" s="178"/>
    </row>
    <row r="12" spans="2:22" ht="13.9" x14ac:dyDescent="0.25">
      <c r="B12" s="5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7"/>
    </row>
    <row r="13" spans="2:22" ht="14.4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4.45" thickBot="1" x14ac:dyDescent="0.3"/>
    <row r="15" spans="2:22" x14ac:dyDescent="0.25">
      <c r="B15" s="920" t="s">
        <v>280</v>
      </c>
      <c r="C15" s="921"/>
      <c r="D15" s="921"/>
      <c r="E15" s="921"/>
      <c r="F15" s="921"/>
      <c r="G15" s="921"/>
      <c r="H15" s="921"/>
      <c r="I15" s="921"/>
      <c r="J15" s="921"/>
      <c r="K15" s="921"/>
      <c r="L15" s="921"/>
      <c r="M15" s="921"/>
      <c r="N15" s="921"/>
      <c r="O15" s="921"/>
      <c r="P15" s="921"/>
      <c r="Q15" s="921"/>
      <c r="R15" s="921"/>
      <c r="S15" s="922"/>
    </row>
    <row r="16" spans="2:22" ht="15.75" thickBot="1" x14ac:dyDescent="0.3">
      <c r="B16" s="923"/>
      <c r="C16" s="924"/>
      <c r="D16" s="924"/>
      <c r="E16" s="924"/>
      <c r="F16" s="924"/>
      <c r="G16" s="924"/>
      <c r="H16" s="924"/>
      <c r="I16" s="924"/>
      <c r="J16" s="924"/>
      <c r="K16" s="924"/>
      <c r="L16" s="924"/>
      <c r="M16" s="924"/>
      <c r="N16" s="924"/>
      <c r="O16" s="924"/>
      <c r="P16" s="924"/>
      <c r="Q16" s="924"/>
      <c r="R16" s="924"/>
      <c r="S16" s="925"/>
    </row>
    <row r="17" spans="2:42" ht="16.5" thickBot="1" x14ac:dyDescent="0.3">
      <c r="B17" s="5"/>
      <c r="C17" s="907" t="s">
        <v>500</v>
      </c>
      <c r="D17" s="908"/>
      <c r="E17" s="908"/>
      <c r="F17" s="908"/>
      <c r="G17" s="908"/>
      <c r="H17" s="908"/>
      <c r="I17" s="908"/>
      <c r="J17" s="908"/>
      <c r="K17" s="908"/>
      <c r="L17" s="908"/>
      <c r="M17" s="908"/>
      <c r="N17" s="909"/>
      <c r="O17" s="184"/>
      <c r="P17" s="929" t="s">
        <v>281</v>
      </c>
      <c r="Q17" s="930"/>
      <c r="R17" s="930"/>
      <c r="S17" s="7"/>
      <c r="U17" s="939" t="s">
        <v>296</v>
      </c>
      <c r="V17" s="939"/>
    </row>
    <row r="18" spans="2:42" ht="16.5" customHeight="1" x14ac:dyDescent="0.25">
      <c r="B18" s="5"/>
      <c r="C18" s="534" t="s">
        <v>5</v>
      </c>
      <c r="D18" s="707" t="s">
        <v>168</v>
      </c>
      <c r="E18" s="707"/>
      <c r="F18" s="707"/>
      <c r="G18" s="185" t="s">
        <v>68</v>
      </c>
      <c r="H18" s="526" t="s">
        <v>69</v>
      </c>
      <c r="I18" s="185" t="s">
        <v>70</v>
      </c>
      <c r="J18" s="185" t="s">
        <v>71</v>
      </c>
      <c r="K18" s="934" t="s">
        <v>195</v>
      </c>
      <c r="L18" s="934"/>
      <c r="M18" s="934"/>
      <c r="N18" s="401" t="s">
        <v>194</v>
      </c>
      <c r="O18" s="184"/>
      <c r="P18" s="930"/>
      <c r="Q18" s="930"/>
      <c r="R18" s="930"/>
      <c r="S18" s="7"/>
      <c r="U18" s="169" t="s">
        <v>320</v>
      </c>
      <c r="V18" s="170" t="s">
        <v>237</v>
      </c>
      <c r="AK18" s="186"/>
      <c r="AL18" s="186"/>
      <c r="AM18" s="186"/>
      <c r="AN18" s="186"/>
      <c r="AO18" s="186"/>
      <c r="AP18" s="186"/>
    </row>
    <row r="19" spans="2:42" ht="15" customHeight="1" x14ac:dyDescent="0.25">
      <c r="B19" s="5"/>
      <c r="C19" s="70">
        <v>6</v>
      </c>
      <c r="D19" s="926" t="s">
        <v>178</v>
      </c>
      <c r="E19" s="927"/>
      <c r="F19" s="928"/>
      <c r="G19" s="548">
        <f>_xlfn.IFS(N19=1,'Infill Capacities'!CM11,N19=2,'Infill Capacities'!CN11,N19=3,'Infill Capacities'!CO11,N19=4,'Infill Capacities'!CP11,(N19=-1),'Infill Capacities'!CQ11)</f>
        <v>277.47359178896437</v>
      </c>
      <c r="H19" s="538">
        <f>hstr6</f>
        <v>3</v>
      </c>
      <c r="I19" s="48">
        <f>_xlfn.IFS(N19=1,'Infill Capacities'!CY11,N19=2,'Infill Capacities'!CZ11,N19=3,'Infill Capacities'!DA11,N19=4,'Infill Capacities'!DB11,(N19=-1),'Infill Capacities'!DC11)</f>
        <v>8.0934433398997536E-4</v>
      </c>
      <c r="J19" s="549">
        <f>_xlfn.IFS((N19=1),('Infill Capacities'!CS11),(N19=2),('Infill Capacities'!CT11),(N19=3),('Infill Capacities'!CU11),(N19=4),'Infill Capacities'!CV11,(N19=-1),'Infill Capacities'!CW11)</f>
        <v>342837.50455266819</v>
      </c>
      <c r="K19" s="934"/>
      <c r="L19" s="934"/>
      <c r="M19" s="934"/>
      <c r="N19" s="400">
        <v>-1</v>
      </c>
      <c r="O19">
        <v>1</v>
      </c>
      <c r="P19" s="930"/>
      <c r="Q19" s="930"/>
      <c r="R19" s="930"/>
      <c r="S19" s="7"/>
      <c r="U19" s="71">
        <f>'Post-yield Mechanism'!Q226</f>
        <v>51966.669789053078</v>
      </c>
      <c r="V19" s="178">
        <f>((U19-J22)/U19)</f>
        <v>-7.2453057279036344</v>
      </c>
    </row>
    <row r="20" spans="2:42" x14ac:dyDescent="0.25">
      <c r="B20" s="5"/>
      <c r="C20" s="70">
        <v>5</v>
      </c>
      <c r="D20" s="926" t="s">
        <v>179</v>
      </c>
      <c r="E20" s="927"/>
      <c r="F20" s="928"/>
      <c r="G20" s="548">
        <f>_xlfn.IFS(N20=1,'Infill Capacities'!CM12,N20=2,'Infill Capacities'!CN12,N20=3,'Infill Capacities'!CO12,N20=4,'Infill Capacities'!CP12,(N20=-1),'Infill Capacities'!CQ12)</f>
        <v>560.38573618452904</v>
      </c>
      <c r="H20" s="538">
        <f>hstr5</f>
        <v>3</v>
      </c>
      <c r="I20" s="48">
        <f>_xlfn.IFS(N20=1,'Infill Capacities'!CY12,N20=2,'Infill Capacities'!CZ12,N20=3,'Infill Capacities'!DA12,N20=4,'Infill Capacities'!DB12,(N20=-1),'Infill Capacities'!DC12)</f>
        <v>1.517190169677238E-3</v>
      </c>
      <c r="J20" s="549">
        <f>_xlfn.IFS((N20=1),('Infill Capacities'!CS12),(N20=2),('Infill Capacities'!CT12),(N20=3),('Infill Capacities'!CU12),(N20=4),'Infill Capacities'!CV12,(N20=-1),'Infill Capacities'!CW12)</f>
        <v>369357.61078899133</v>
      </c>
      <c r="K20" s="934"/>
      <c r="L20" s="934"/>
      <c r="M20" s="934"/>
      <c r="N20" s="400">
        <v>-1</v>
      </c>
      <c r="O20">
        <v>1</v>
      </c>
      <c r="P20" s="930"/>
      <c r="Q20" s="930"/>
      <c r="R20" s="930"/>
      <c r="S20" s="7"/>
      <c r="U20" s="71">
        <f>'Post-yield Mechanism'!Q227</f>
        <v>53122.768965228119</v>
      </c>
      <c r="V20" s="178">
        <f>((U20-J23)/U20)</f>
        <v>1</v>
      </c>
    </row>
    <row r="21" spans="2:42" x14ac:dyDescent="0.25">
      <c r="B21" s="5"/>
      <c r="C21" s="70">
        <v>4</v>
      </c>
      <c r="D21" s="926" t="s">
        <v>179</v>
      </c>
      <c r="E21" s="927"/>
      <c r="F21" s="928"/>
      <c r="G21" s="548">
        <f>_xlfn.IFS(N21=1,'Infill Capacities'!CM13,N21=2,'Infill Capacities'!CN13,N21=3,'Infill Capacities'!CO13,N21=4,'Infill Capacities'!CP13,(N21=-1),'Infill Capacities'!CQ13)</f>
        <v>812.7598540711956</v>
      </c>
      <c r="H21" s="538">
        <f>hstr4</f>
        <v>3</v>
      </c>
      <c r="I21" s="48">
        <f>_xlfn.IFS(N21=1,'Infill Capacities'!CY13,N21=2,'Infill Capacities'!CZ13,N21=3,'Infill Capacities'!DA13,N21=4,'Infill Capacities'!DB13,(N21=-1),'Infill Capacities'!DC13)</f>
        <v>2.0286500239001036E-3</v>
      </c>
      <c r="J21" s="549">
        <f>_xlfn.IFS((N21=1),('Infill Capacities'!CS13),(N21=2),('Infill Capacities'!CT13),(N21=3),('Infill Capacities'!CU13),(N21=4),'Infill Capacities'!CV13,(N21=-1),'Infill Capacities'!CW13)</f>
        <v>400640.74359590875</v>
      </c>
      <c r="K21" s="934"/>
      <c r="L21" s="934"/>
      <c r="M21" s="934"/>
      <c r="N21" s="400">
        <v>-1</v>
      </c>
      <c r="O21">
        <v>1</v>
      </c>
      <c r="P21" s="930"/>
      <c r="Q21" s="930"/>
      <c r="R21" s="930"/>
      <c r="S21" s="7"/>
      <c r="U21" s="71">
        <f>'Post-yield Mechanism'!Q228</f>
        <v>63449.396202520613</v>
      </c>
      <c r="V21" s="178">
        <f>((U21-J24)/U21)</f>
        <v>-6.6895637773688783</v>
      </c>
    </row>
    <row r="22" spans="2:42" x14ac:dyDescent="0.25">
      <c r="B22" s="5"/>
      <c r="C22" s="70">
        <v>3</v>
      </c>
      <c r="D22" s="926" t="s">
        <v>178</v>
      </c>
      <c r="E22" s="927"/>
      <c r="F22" s="928"/>
      <c r="G22" s="548">
        <f>_xlfn.IFS(N22=1,'Infill Capacities'!CM14,N22=2,'Infill Capacities'!CN14,N22=3,'Infill Capacities'!CO14,N22=4,'Infill Capacities'!CP14,(N22=-1),'Infill Capacities'!CQ14)</f>
        <v>966.38726894910894</v>
      </c>
      <c r="H22" s="538">
        <f>hstr3</f>
        <v>3</v>
      </c>
      <c r="I22" s="48">
        <f>_xlfn.IFS(N22=1,'Infill Capacities'!CY14,N22=2,'Infill Capacities'!CZ14,N22=3,'Infill Capacities'!DA14,N22=4,'Infill Capacities'!DB14,(N22=-1),'Infill Capacities'!DC14)</f>
        <v>3.8491195144697114E-3</v>
      </c>
      <c r="J22" s="549">
        <f>_xlfn.IFS((N22=1),('Infill Capacities'!CS14),(N22=2),('Infill Capacities'!CT14),(N22=3),('Infill Capacities'!CU14),(N22=4),'Infill Capacities'!CV14,(N22=-1),'Infill Capacities'!CW14)</f>
        <v>428481.08007175609</v>
      </c>
      <c r="K22" s="934"/>
      <c r="L22" s="934"/>
      <c r="M22" s="934"/>
      <c r="N22" s="400">
        <v>-1</v>
      </c>
      <c r="O22">
        <v>2</v>
      </c>
      <c r="P22" s="930"/>
      <c r="Q22" s="930"/>
      <c r="R22" s="930"/>
      <c r="S22" s="7"/>
      <c r="U22" s="71"/>
      <c r="V22" s="178"/>
    </row>
    <row r="23" spans="2:42" x14ac:dyDescent="0.25">
      <c r="B23" s="5"/>
      <c r="C23" s="70">
        <v>2</v>
      </c>
      <c r="D23" s="926" t="s">
        <v>179</v>
      </c>
      <c r="E23" s="927"/>
      <c r="F23" s="928"/>
      <c r="G23" s="548">
        <f>_xlfn.IFS(N23=1,'Infill Capacities'!CM15,N23=2,'Infill Capacities'!CN15,N23=3,'Infill Capacities'!CO15,N23=4,'Infill Capacities'!CP15,(N23=-1),'Infill Capacities'!CQ15)</f>
        <v>104.328</v>
      </c>
      <c r="H23" s="538">
        <f>hstr2</f>
        <v>3</v>
      </c>
      <c r="I23" s="48">
        <f>_xlfn.IFS(N23=1,'Infill Capacities'!CY15,N23=2,'Infill Capacities'!CZ15,N23=3,'Infill Capacities'!DA15,N23=4,'Infill Capacities'!DB15,(N23=-1),'Infill Capacities'!DC15)</f>
        <v>0.08</v>
      </c>
      <c r="J23" s="549">
        <f>_xlfn.IFS((N23=1),('Infill Capacities'!CS15),(N23=2),('Infill Capacities'!CT15),(N23=3),('Infill Capacities'!CU15),(N23=4),'Infill Capacities'!CV15,(N23=-1),'Infill Capacities'!CW15)</f>
        <v>0</v>
      </c>
      <c r="K23" s="934"/>
      <c r="L23" s="934"/>
      <c r="M23" s="934"/>
      <c r="N23" s="400">
        <v>4</v>
      </c>
      <c r="O23"/>
      <c r="P23" s="930"/>
      <c r="Q23" s="930"/>
      <c r="R23" s="930"/>
      <c r="S23" s="7"/>
      <c r="U23" s="71"/>
      <c r="V23" s="178"/>
      <c r="Y23" s="187"/>
      <c r="Z23" s="188"/>
      <c r="AA23" s="189"/>
      <c r="AB23" s="188"/>
      <c r="AC23" s="187"/>
      <c r="AD23" s="188"/>
      <c r="AE23" s="189"/>
      <c r="AF23" s="188"/>
      <c r="AG23" s="187"/>
      <c r="AH23" s="188"/>
      <c r="AI23" s="189"/>
      <c r="AJ23" s="188"/>
    </row>
    <row r="24" spans="2:42" ht="15.75" thickBot="1" x14ac:dyDescent="0.3">
      <c r="B24" s="5"/>
      <c r="C24" s="81">
        <v>1</v>
      </c>
      <c r="D24" s="931" t="s">
        <v>179</v>
      </c>
      <c r="E24" s="932"/>
      <c r="F24" s="933"/>
      <c r="G24" s="47">
        <f>_xlfn.IFS(N24=1,'Infill Capacities'!CM16,N24=2,'Infill Capacities'!CN16,N24=3,'Infill Capacities'!CO16,N24=4,'Infill Capacities'!CP16,(N24=-1),'Infill Capacities'!CQ16)</f>
        <v>959.73337444626134</v>
      </c>
      <c r="H24" s="540">
        <f>hstr1</f>
        <v>2.75</v>
      </c>
      <c r="I24" s="99">
        <f>_xlfn.IFS(N24=1,'Infill Capacities'!CY16,N24=2,'Infill Capacities'!CZ16,N24=3,'Infill Capacities'!DA16,N24=4,'Infill Capacities'!DB16,(N24=-1),'Infill Capacities'!DC16)</f>
        <v>4.2732640165687001E-3</v>
      </c>
      <c r="J24" s="153">
        <f>_xlfn.IFS((N24=1),('Infill Capacities'!CS16),(N24=2),('Infill Capacities'!CT16),(N24=3),('Infill Capacities'!CU16),(N24=4),'Infill Capacities'!CV16,(N24=-1),'Infill Capacities'!CW16)</f>
        <v>487898.17873482895</v>
      </c>
      <c r="K24" s="935"/>
      <c r="L24" s="935"/>
      <c r="M24" s="935"/>
      <c r="N24" s="402">
        <v>-1</v>
      </c>
      <c r="O24">
        <v>2</v>
      </c>
      <c r="P24" s="930"/>
      <c r="Q24" s="930"/>
      <c r="R24" s="930"/>
      <c r="S24" s="7"/>
      <c r="U24" s="71"/>
      <c r="V24" s="178"/>
    </row>
    <row r="25" spans="2:42" x14ac:dyDescent="0.25">
      <c r="B25" s="5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7"/>
    </row>
    <row r="26" spans="2:42" ht="14.4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4.45" thickBot="1" x14ac:dyDescent="0.3">
      <c r="U27" s="161"/>
    </row>
    <row r="28" spans="2:42" x14ac:dyDescent="0.25">
      <c r="B28" s="920" t="s">
        <v>282</v>
      </c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921"/>
      <c r="R28" s="921"/>
      <c r="S28" s="922"/>
      <c r="AD28" s="71"/>
      <c r="AE28" s="72"/>
    </row>
    <row r="29" spans="2:42" ht="15.75" thickBot="1" x14ac:dyDescent="0.3">
      <c r="B29" s="923"/>
      <c r="C29" s="924"/>
      <c r="D29" s="924"/>
      <c r="E29" s="924"/>
      <c r="F29" s="924"/>
      <c r="G29" s="924"/>
      <c r="H29" s="924"/>
      <c r="I29" s="924"/>
      <c r="J29" s="924"/>
      <c r="K29" s="924"/>
      <c r="L29" s="924"/>
      <c r="M29" s="924"/>
      <c r="N29" s="924"/>
      <c r="O29" s="924"/>
      <c r="P29" s="924"/>
      <c r="Q29" s="924"/>
      <c r="R29" s="924"/>
      <c r="S29" s="925"/>
      <c r="X29" s="161"/>
      <c r="AD29" s="71"/>
      <c r="AE29" s="72"/>
    </row>
    <row r="30" spans="2:42" ht="16.5" thickBot="1" x14ac:dyDescent="0.3">
      <c r="B30" s="5"/>
      <c r="C30" s="936" t="s">
        <v>176</v>
      </c>
      <c r="D30" s="937"/>
      <c r="E30" s="937"/>
      <c r="F30" s="937"/>
      <c r="G30" s="937"/>
      <c r="H30" s="937"/>
      <c r="I30" s="937"/>
      <c r="J30" s="937"/>
      <c r="K30" s="937"/>
      <c r="L30" s="937"/>
      <c r="M30" s="937"/>
      <c r="N30" s="938"/>
      <c r="O30" s="184"/>
      <c r="P30" s="929" t="s">
        <v>281</v>
      </c>
      <c r="Q30" s="930"/>
      <c r="R30" s="930"/>
      <c r="S30" s="7"/>
      <c r="U30" s="939" t="s">
        <v>296</v>
      </c>
      <c r="V30" s="939"/>
      <c r="AD30" s="188"/>
      <c r="AE30" s="189"/>
    </row>
    <row r="31" spans="2:42" ht="15.75" customHeight="1" x14ac:dyDescent="0.25">
      <c r="B31" s="5"/>
      <c r="C31" s="534" t="s">
        <v>5</v>
      </c>
      <c r="D31" s="707" t="s">
        <v>67</v>
      </c>
      <c r="E31" s="707"/>
      <c r="F31" s="707"/>
      <c r="G31" s="526" t="s">
        <v>68</v>
      </c>
      <c r="H31" s="526" t="s">
        <v>69</v>
      </c>
      <c r="I31" s="526" t="s">
        <v>70</v>
      </c>
      <c r="J31" s="526" t="s">
        <v>71</v>
      </c>
      <c r="K31" s="934" t="s">
        <v>195</v>
      </c>
      <c r="L31" s="934"/>
      <c r="M31" s="934"/>
      <c r="N31" s="401" t="s">
        <v>194</v>
      </c>
      <c r="O31" s="184"/>
      <c r="P31" s="930"/>
      <c r="Q31" s="930"/>
      <c r="R31" s="930"/>
      <c r="S31" s="7"/>
      <c r="U31" s="169" t="s">
        <v>320</v>
      </c>
      <c r="V31" s="170" t="s">
        <v>237</v>
      </c>
      <c r="AD31" s="188"/>
      <c r="AE31" s="189"/>
    </row>
    <row r="32" spans="2:42" x14ac:dyDescent="0.25">
      <c r="B32" s="5"/>
      <c r="C32" s="70">
        <v>6</v>
      </c>
      <c r="D32" s="927" t="s">
        <v>38</v>
      </c>
      <c r="E32" s="927"/>
      <c r="F32" s="928"/>
      <c r="G32" s="548">
        <f>_xlfn.IFS(N32=1,'Frame Capacities'!BL11,N32=2,'Frame Capacities'!BM11,N32=3,'Frame Capacities'!BN11,N32=4,'Frame Capacities'!BO11,N32=5,'Frame Capacities'!BP11,(N32=-1),'Frame Capacities'!BQ11)</f>
        <v>13.215596110609628</v>
      </c>
      <c r="H32" s="538">
        <f>hstr6</f>
        <v>3</v>
      </c>
      <c r="I32" s="48">
        <f>_xlfn.IFS(N32=1,'Frame Capacities'!BZ11,N32=2,'Frame Capacities'!CA11,N32=3,'Frame Capacities'!CB11,N32=4,'Frame Capacities'!CC11,N32=5,'Frame Capacities'!CD11,(N32=-1),'Frame Capacities'!CE11)</f>
        <v>8.0934433398997536E-4</v>
      </c>
      <c r="J32" s="549">
        <f>_xlfn.IFS((N32=1),('Frame Capacities'!BS11),(N32=2),('Frame Capacities'!BT11),(N32=3),('Frame Capacities'!BU11),(N32=4),'Frame Capacities'!BV11,(N32=5),'Frame Capacities'!BW11,(N32=-1),'Frame Capacities'!BX11)</f>
        <v>16328.768307375731</v>
      </c>
      <c r="K32" s="934"/>
      <c r="L32" s="934"/>
      <c r="M32" s="934"/>
      <c r="N32" s="400">
        <v>-1</v>
      </c>
      <c r="O32">
        <v>1</v>
      </c>
      <c r="P32" s="930"/>
      <c r="Q32" s="930"/>
      <c r="R32" s="930"/>
      <c r="S32" s="7"/>
      <c r="U32" s="71">
        <f>'Post-yield Mechanism'!P226</f>
        <v>6055.3598359075004</v>
      </c>
      <c r="V32" s="178">
        <f>((U32-J35)/U32)</f>
        <v>-4.0332673624765754</v>
      </c>
      <c r="AD32" s="71"/>
      <c r="AE32" s="72"/>
    </row>
    <row r="33" spans="2:46" x14ac:dyDescent="0.25">
      <c r="B33" s="5"/>
      <c r="C33" s="70">
        <v>5</v>
      </c>
      <c r="D33" s="927" t="s">
        <v>38</v>
      </c>
      <c r="E33" s="927"/>
      <c r="F33" s="928"/>
      <c r="G33" s="548">
        <f>_xlfn.IFS(N33=1,'Frame Capacities'!BL12,N33=2,'Frame Capacities'!BM12,N33=3,'Frame Capacities'!BN12,N33=4,'Frame Capacities'!BO12,N33=5,'Frame Capacities'!BP12,(N33=-1),'Frame Capacities'!BQ12)</f>
        <v>25.545754294807207</v>
      </c>
      <c r="H33" s="538">
        <f>hstr5</f>
        <v>3</v>
      </c>
      <c r="I33" s="48">
        <f>_xlfn.IFS(N33=1,'Frame Capacities'!BZ12,N33=2,'Frame Capacities'!CA12,N33=3,'Frame Capacities'!CB12,N33=4,'Frame Capacities'!CC12,N33=5,'Frame Capacities'!CD12,(N33=-1),'Frame Capacities'!CE12)</f>
        <v>1.517190169677238E-3</v>
      </c>
      <c r="J33" s="549">
        <f>_xlfn.IFS((N33=1),('Frame Capacities'!BS12),(N33=2),('Frame Capacities'!BT12),(N33=3),('Frame Capacities'!BU12),(N33=4),'Frame Capacities'!BV12,(N33=5),'Frame Capacities'!BW12,(N33=-1),'Frame Capacities'!BX12)</f>
        <v>16837.542719013087</v>
      </c>
      <c r="K33" s="934"/>
      <c r="L33" s="934"/>
      <c r="M33" s="934"/>
      <c r="N33" s="400">
        <v>-1</v>
      </c>
      <c r="O33">
        <v>1</v>
      </c>
      <c r="P33" s="930"/>
      <c r="Q33" s="930"/>
      <c r="R33" s="930"/>
      <c r="S33" s="7"/>
      <c r="U33" s="71">
        <f>'Post-yield Mechanism'!P227</f>
        <v>6663.5282148109345</v>
      </c>
      <c r="V33" s="178">
        <f>((U33-J36)/U33)</f>
        <v>1.2118893531900754</v>
      </c>
      <c r="AD33" s="188"/>
      <c r="AE33" s="189"/>
    </row>
    <row r="34" spans="2:46" x14ac:dyDescent="0.25">
      <c r="B34" s="5"/>
      <c r="C34" s="70">
        <v>4</v>
      </c>
      <c r="D34" s="927" t="s">
        <v>38</v>
      </c>
      <c r="E34" s="927"/>
      <c r="F34" s="928"/>
      <c r="G34" s="548">
        <f>_xlfn.IFS(N34=1,'Frame Capacities'!BL13,N34=2,'Frame Capacities'!BM13,N34=3,'Frame Capacities'!BN13,N34=4,'Frame Capacities'!BO13,N34=5,'Frame Capacities'!BP13,(N34=-1),'Frame Capacities'!BQ13)</f>
        <v>40.63108083011209</v>
      </c>
      <c r="H34" s="538">
        <f>hstr4</f>
        <v>3</v>
      </c>
      <c r="I34" s="48">
        <f>_xlfn.IFS(N34=1,'Frame Capacities'!BZ13,N34=2,'Frame Capacities'!CA13,N34=3,'Frame Capacities'!CB13,N34=4,'Frame Capacities'!CC13,N34=5,'Frame Capacities'!CD13,(N34=-1),'Frame Capacities'!CE13)</f>
        <v>2.0286500239001036E-3</v>
      </c>
      <c r="J34" s="549">
        <f>_xlfn.IFS((N34=1),('Frame Capacities'!BS13),(N34=2),('Frame Capacities'!BT13),(N34=3),('Frame Capacities'!BU13),(N34=4),'Frame Capacities'!BV13,(N34=5),'Frame Capacities'!BW13,(N34=-1),'Frame Capacities'!BX13)</f>
        <v>20028.630050243148</v>
      </c>
      <c r="K34" s="934"/>
      <c r="L34" s="934"/>
      <c r="M34" s="934"/>
      <c r="N34" s="400">
        <v>-1</v>
      </c>
      <c r="O34">
        <v>1</v>
      </c>
      <c r="P34" s="930"/>
      <c r="Q34" s="930"/>
      <c r="R34" s="930"/>
      <c r="S34" s="7"/>
      <c r="U34" s="71">
        <f>'Post-yield Mechanism'!P228</f>
        <v>11304.968775209372</v>
      </c>
      <c r="V34" s="178">
        <f>((U34-J37)/U34)</f>
        <v>-7.0284112667855574</v>
      </c>
      <c r="AD34" s="71"/>
      <c r="AE34" s="72"/>
    </row>
    <row r="35" spans="2:46" x14ac:dyDescent="0.25">
      <c r="B35" s="5"/>
      <c r="C35" s="70">
        <v>3</v>
      </c>
      <c r="D35" s="927" t="s">
        <v>38</v>
      </c>
      <c r="E35" s="927"/>
      <c r="F35" s="928"/>
      <c r="G35" s="548">
        <f>_xlfn.IFS(N35=1,'Frame Capacities'!BL14,N35=2,'Frame Capacities'!BM14,N35=3,'Frame Capacities'!BN14,N35=4,'Frame Capacities'!BO14,N35=5,'Frame Capacities'!BP14,(N35=-1),'Frame Capacities'!BQ14)</f>
        <v>117.3144077122426</v>
      </c>
      <c r="H35" s="538">
        <f>hstr3</f>
        <v>3</v>
      </c>
      <c r="I35" s="48">
        <f>_xlfn.IFS(N35=1,'Frame Capacities'!BZ14,N35=2,'Frame Capacities'!CA14,N35=3,'Frame Capacities'!CB14,N35=4,'Frame Capacities'!CC14,N35=5,'Frame Capacities'!CD14,(N35=-1),'Frame Capacities'!CE14)</f>
        <v>3.8491195144697114E-3</v>
      </c>
      <c r="J35" s="549">
        <f>_xlfn.IFS((N35=1),('Frame Capacities'!BS14),(N35=2),('Frame Capacities'!BT14),(N35=3),('Frame Capacities'!BU14),(N35=4),'Frame Capacities'!BV14,(N35=5),'Frame Capacities'!BW14,(N35=-1),'Frame Capacities'!BX14)</f>
        <v>30478.24503012473</v>
      </c>
      <c r="K35" s="934"/>
      <c r="L35" s="934"/>
      <c r="M35" s="934"/>
      <c r="N35" s="400">
        <v>-1</v>
      </c>
      <c r="O35">
        <v>1</v>
      </c>
      <c r="P35" s="930"/>
      <c r="Q35" s="930"/>
      <c r="R35" s="930"/>
      <c r="S35" s="7"/>
      <c r="U35" s="71"/>
      <c r="V35" s="178"/>
    </row>
    <row r="36" spans="2:46" x14ac:dyDescent="0.25">
      <c r="B36" s="5"/>
      <c r="C36" s="70">
        <v>2</v>
      </c>
      <c r="D36" s="927" t="s">
        <v>38</v>
      </c>
      <c r="E36" s="927"/>
      <c r="F36" s="928"/>
      <c r="G36" s="548">
        <f>_xlfn.IFS(N36=1,'Frame Capacities'!BL15,N36=2,'Frame Capacities'!BM15,N36=3,'Frame Capacities'!BN15,N36=4,'Frame Capacities'!BO15,N36=5,'Frame Capacities'!BP15,(N36=-1),'Frame Capacities'!BQ15)</f>
        <v>29.066666666666666</v>
      </c>
      <c r="H36" s="538">
        <f>hstr2</f>
        <v>3</v>
      </c>
      <c r="I36" s="48">
        <f>_xlfn.IFS(N36=1,'Frame Capacities'!BZ15,N36=2,'Frame Capacities'!CA15,N36=3,'Frame Capacities'!CB15,N36=4,'Frame Capacities'!CC15,N36=5,'Frame Capacities'!CD15,(N36=-1),'Frame Capacities'!CE15)</f>
        <v>8.0520373085405411E-2</v>
      </c>
      <c r="J36" s="549">
        <f>_xlfn.IFS((N36=1),('Frame Capacities'!BS15),(N36=2),('Frame Capacities'!BT15),(N36=3),('Frame Capacities'!BU15),(N36=4),'Frame Capacities'!BV15,(N36=5),'Frame Capacities'!BW15,(N36=-1),'Frame Capacities'!BX15)</f>
        <v>-1411.9306834001077</v>
      </c>
      <c r="K36" s="934"/>
      <c r="L36" s="934"/>
      <c r="M36" s="934"/>
      <c r="N36" s="400">
        <v>4</v>
      </c>
      <c r="O36"/>
      <c r="P36" s="930"/>
      <c r="Q36" s="930"/>
      <c r="R36" s="930"/>
      <c r="S36" s="7"/>
      <c r="U36" s="71"/>
      <c r="V36" s="178"/>
    </row>
    <row r="37" spans="2:46" ht="15.75" thickBot="1" x14ac:dyDescent="0.3">
      <c r="B37" s="5"/>
      <c r="C37" s="81">
        <v>1</v>
      </c>
      <c r="D37" s="932" t="s">
        <v>38</v>
      </c>
      <c r="E37" s="932"/>
      <c r="F37" s="933"/>
      <c r="G37" s="47">
        <f>_xlfn.IFS(N37=1,'Frame Capacities'!BL16,N37=2,'Frame Capacities'!BM16,N37=3,'Frame Capacities'!BN16,N37=4,'Frame Capacities'!BO16,N37=5,'Frame Capacities'!BP16,(N37=-1),'Frame Capacities'!BQ16)</f>
        <v>355.5249989453784</v>
      </c>
      <c r="H37" s="540">
        <f>hstr1</f>
        <v>2.75</v>
      </c>
      <c r="I37" s="99">
        <f>_xlfn.IFS(N37=1,'Frame Capacities'!BZ16,N37=2,'Frame Capacities'!CA16,N37=3,'Frame Capacities'!CB16,N37=4,'Frame Capacities'!CC16,N37=5,'Frame Capacities'!CD16,(N37=-1),'Frame Capacities'!CE16)</f>
        <v>4.2732640165687001E-3</v>
      </c>
      <c r="J37" s="153">
        <f>_xlfn.IFS((N37=1),('Frame Capacities'!BS16),(N37=2),('Frame Capacities'!BT16),(N37=3),('Frame Capacities'!BU16),(N37=4),'Frame Capacities'!BV16,(N37=5),'Frame Capacities'!BW16,(N37=-1),'Frame Capacities'!BX16)</f>
        <v>90760.938685549845</v>
      </c>
      <c r="K37" s="935"/>
      <c r="L37" s="935"/>
      <c r="M37" s="935"/>
      <c r="N37" s="402">
        <v>-1</v>
      </c>
      <c r="O37">
        <v>1</v>
      </c>
      <c r="P37" s="930"/>
      <c r="Q37" s="930"/>
      <c r="R37" s="930"/>
      <c r="S37" s="7"/>
      <c r="U37" s="71"/>
      <c r="V37" s="178"/>
    </row>
    <row r="38" spans="2:46" x14ac:dyDescent="0.25">
      <c r="B38" s="5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43" t="s">
        <v>474</v>
      </c>
      <c r="AP42" s="944"/>
      <c r="AQ42" s="944"/>
      <c r="AR42" s="943" t="s">
        <v>475</v>
      </c>
      <c r="AS42" s="944"/>
      <c r="AT42" s="945"/>
    </row>
    <row r="43" spans="2:46" ht="16.5" thickBot="1" x14ac:dyDescent="0.3">
      <c r="B43" s="917" t="s">
        <v>333</v>
      </c>
      <c r="C43" s="918"/>
      <c r="D43" s="918"/>
      <c r="E43" s="918"/>
      <c r="F43" s="918"/>
      <c r="G43" s="918"/>
      <c r="H43" s="918"/>
      <c r="I43" s="918"/>
      <c r="J43" s="918"/>
      <c r="K43" s="918"/>
      <c r="L43" s="918"/>
      <c r="M43" s="919"/>
      <c r="AO43" s="523" t="s">
        <v>476</v>
      </c>
      <c r="AP43" s="523" t="s">
        <v>477</v>
      </c>
      <c r="AQ43" s="524" t="s">
        <v>478</v>
      </c>
      <c r="AR43" s="523" t="s">
        <v>479</v>
      </c>
      <c r="AS43" s="523" t="s">
        <v>480</v>
      </c>
      <c r="AT43" s="523" t="s">
        <v>481</v>
      </c>
    </row>
    <row r="44" spans="2:46" x14ac:dyDescent="0.25">
      <c r="B44" s="870" t="s">
        <v>457</v>
      </c>
      <c r="C44" s="707"/>
      <c r="D44" s="707"/>
      <c r="E44" s="707"/>
      <c r="F44" s="707" t="s">
        <v>458</v>
      </c>
      <c r="G44" s="707"/>
      <c r="H44" s="707"/>
      <c r="I44" s="707"/>
      <c r="J44" s="707" t="s">
        <v>459</v>
      </c>
      <c r="K44" s="707"/>
      <c r="L44" s="707"/>
      <c r="M44" s="915"/>
      <c r="AO44" s="460">
        <v>0</v>
      </c>
      <c r="AP44" s="552">
        <v>0</v>
      </c>
      <c r="AQ44" s="527" t="s">
        <v>66</v>
      </c>
      <c r="AR44" s="460">
        <v>0</v>
      </c>
      <c r="AS44" s="552">
        <v>0</v>
      </c>
      <c r="AT44" s="528" t="s">
        <v>66</v>
      </c>
    </row>
    <row r="45" spans="2:46" x14ac:dyDescent="0.25">
      <c r="B45" s="532" t="s">
        <v>329</v>
      </c>
      <c r="C45" s="525" t="s">
        <v>75</v>
      </c>
      <c r="D45" s="523" t="s">
        <v>101</v>
      </c>
      <c r="E45" s="523" t="s">
        <v>321</v>
      </c>
      <c r="F45" s="523" t="s">
        <v>329</v>
      </c>
      <c r="G45" s="525" t="s">
        <v>75</v>
      </c>
      <c r="H45" s="523" t="s">
        <v>101</v>
      </c>
      <c r="I45" s="523" t="s">
        <v>321</v>
      </c>
      <c r="J45" s="523" t="s">
        <v>329</v>
      </c>
      <c r="K45" s="525" t="s">
        <v>75</v>
      </c>
      <c r="L45" s="523" t="s">
        <v>101</v>
      </c>
      <c r="M45" s="546" t="s">
        <v>321</v>
      </c>
      <c r="AO45" s="460">
        <f>'Frame Capacities'!$BL$11</f>
        <v>135.73333333333332</v>
      </c>
      <c r="AP45" s="467">
        <f>'Frame Capacities'!$BZ$11</f>
        <v>8.3125273614190701E-3</v>
      </c>
      <c r="AQ45" s="455">
        <f>(AO45-AO44)/((AP45-AP44)*$D$6)</f>
        <v>5442.9227691252436</v>
      </c>
      <c r="AR45" s="460">
        <f>'Infill Capacities'!$CM$16</f>
        <v>798.33600000000001</v>
      </c>
      <c r="AS45" s="467">
        <f>'Infill Capacities'!$CY$11</f>
        <v>2.4571407410608624E-3</v>
      </c>
      <c r="AT45" s="457">
        <f>(AR45-AR44)/((AS45-AS44)*$D$6)</f>
        <v>108301.48861766339</v>
      </c>
    </row>
    <row r="46" spans="2:46" x14ac:dyDescent="0.25">
      <c r="B46" s="469" t="s">
        <v>460</v>
      </c>
      <c r="C46" s="143">
        <v>0</v>
      </c>
      <c r="D46" s="143">
        <v>0</v>
      </c>
      <c r="E46" s="462" t="s">
        <v>66</v>
      </c>
      <c r="F46" s="465" t="s">
        <v>460</v>
      </c>
      <c r="G46" s="143">
        <v>0</v>
      </c>
      <c r="H46" s="143">
        <v>0</v>
      </c>
      <c r="I46" s="462" t="s">
        <v>66</v>
      </c>
      <c r="J46" s="465" t="s">
        <v>460</v>
      </c>
      <c r="K46" s="143">
        <v>0</v>
      </c>
      <c r="L46" s="143">
        <v>0</v>
      </c>
      <c r="M46" s="464" t="s">
        <v>66</v>
      </c>
      <c r="AO46" s="460">
        <f>'Frame Capacities'!$BM$11</f>
        <v>145.99999999999997</v>
      </c>
      <c r="AP46" s="467">
        <f>'Frame Capacities'!$CA$11</f>
        <v>2.223123989456343E-2</v>
      </c>
      <c r="AQ46" s="455">
        <f t="shared" ref="AQ46:AQ49" si="7">(AO46-AO45)/((AP46-AP45)*$D$6)</f>
        <v>245.87203838522751</v>
      </c>
      <c r="AR46" s="460">
        <f>'Infill Capacities'!$CN$11</f>
        <v>1049.76</v>
      </c>
      <c r="AS46" s="467">
        <f>'Infill Capacities'!$CZ$11</f>
        <v>5.5389448556453927E-3</v>
      </c>
      <c r="AT46" s="457">
        <f t="shared" ref="AT46:AT48" si="8">(AR46-AR45)/((AS46-AS45)*$D$6)</f>
        <v>27194.460414723166</v>
      </c>
    </row>
    <row r="47" spans="2:46" x14ac:dyDescent="0.25">
      <c r="B47" s="545" t="s">
        <v>322</v>
      </c>
      <c r="C47" s="538">
        <f>E47*D47*hstr6</f>
        <v>882.52208185939617</v>
      </c>
      <c r="D47" s="51">
        <f>'Infill Capacities'!$CY$11</f>
        <v>2.4571407410608624E-3</v>
      </c>
      <c r="E47" s="457">
        <f>'Infill Capacities'!$CS$11+'Frame Capacities'!$BS$11</f>
        <v>119722.09095334797</v>
      </c>
      <c r="F47" s="395" t="s">
        <v>322</v>
      </c>
      <c r="G47" s="538">
        <f>I47*H47*hstr5</f>
        <v>880.80166162055798</v>
      </c>
      <c r="H47" s="51">
        <f>'Infill Capacities'!$CY$12</f>
        <v>2.2807165072368058E-3</v>
      </c>
      <c r="I47" s="457">
        <f>'Infill Capacities'!$CS$12+'Frame Capacities'!$BS$12</f>
        <v>128731.71783600148</v>
      </c>
      <c r="J47" s="395" t="s">
        <v>322</v>
      </c>
      <c r="K47" s="538">
        <f>M47*L47*hstr4</f>
        <v>884.512836060783</v>
      </c>
      <c r="L47" s="51">
        <f>'Infill Capacities'!$CY$13</f>
        <v>2.1026318802204874E-3</v>
      </c>
      <c r="M47" s="459">
        <f>'Infill Capacities'!$CS$13+'Frame Capacities'!$BS$13</f>
        <v>140223.12454871729</v>
      </c>
      <c r="AO47" s="460">
        <f>'Frame Capacities'!$BN$11</f>
        <v>116.8</v>
      </c>
      <c r="AP47" s="467">
        <f>'Frame Capacities'!$CB$11</f>
        <v>5.8945354123995881E-2</v>
      </c>
      <c r="AQ47" s="455">
        <f t="shared" si="7"/>
        <v>-265.11148471424769</v>
      </c>
      <c r="AR47" s="460">
        <f>'Infill Capacities'!$CO$11</f>
        <v>104.97599999999998</v>
      </c>
      <c r="AS47" s="467">
        <f>'Infill Capacities'!$DA$11</f>
        <v>1.4913556053749014E-2</v>
      </c>
      <c r="AT47" s="457">
        <f t="shared" si="8"/>
        <v>-33593.7132052694</v>
      </c>
    </row>
    <row r="48" spans="2:46" x14ac:dyDescent="0.25">
      <c r="B48" s="545" t="s">
        <v>323</v>
      </c>
      <c r="C48" s="538">
        <f t="shared" ref="C48:C55" si="9">C47+E48*(D48-D47)*hstr6</f>
        <v>1140.2041472151643</v>
      </c>
      <c r="D48" s="51">
        <f>'Infill Capacities'!$CZ$11</f>
        <v>5.5389448556453927E-3</v>
      </c>
      <c r="E48" s="457">
        <f>'Infill Capacities'!$CT$11+'Frame Capacities'!$BS$11</f>
        <v>27871.343729721688</v>
      </c>
      <c r="F48" s="395" t="s">
        <v>323</v>
      </c>
      <c r="G48" s="538">
        <f t="shared" ref="G48:G55" si="10">G47+I48*(H48-H47)*hstr5</f>
        <v>1135.2527875053454</v>
      </c>
      <c r="H48" s="51">
        <f>'Infill Capacities'!$CZ$12</f>
        <v>5.2699368896120223E-3</v>
      </c>
      <c r="I48" s="457">
        <f>'Infill Capacities'!$CT$12+'Frame Capacities'!$BS$12</f>
        <v>28374.302029280527</v>
      </c>
      <c r="J48" s="395" t="s">
        <v>323</v>
      </c>
      <c r="K48" s="538">
        <f t="shared" ref="K48:K55" si="11">K47+M48*(L48-L47)*hstr4</f>
        <v>1143.4337802620598</v>
      </c>
      <c r="L48" s="51">
        <f>'Infill Capacities'!$CZ$13</f>
        <v>5.0005307407854482E-3</v>
      </c>
      <c r="M48" s="459">
        <f>'Infill Capacities'!$CT$13+'Frame Capacities'!$BS$13</f>
        <v>29782.606485997108</v>
      </c>
      <c r="AO48" s="460">
        <f>'Frame Capacities'!$BO$11</f>
        <v>14.533333333333333</v>
      </c>
      <c r="AP48" s="467">
        <f>'Frame Capacities'!$CC$11</f>
        <v>0.18753831407603308</v>
      </c>
      <c r="AQ48" s="455">
        <f t="shared" si="7"/>
        <v>-265.09140859346746</v>
      </c>
      <c r="AR48" s="460">
        <f>'Infill Capacities'!$CP$11</f>
        <v>104.97599999999998</v>
      </c>
      <c r="AS48" s="467">
        <f>'Infill Capacities'!$DB$11</f>
        <v>0.08</v>
      </c>
      <c r="AT48" s="457">
        <f t="shared" si="8"/>
        <v>0</v>
      </c>
    </row>
    <row r="49" spans="2:46" x14ac:dyDescent="0.25">
      <c r="B49" s="470" t="s">
        <v>324</v>
      </c>
      <c r="C49" s="191">
        <f t="shared" si="9"/>
        <v>905.96852758299315</v>
      </c>
      <c r="D49" s="192">
        <f>'Frame Capacities'!$BZ$11</f>
        <v>8.3125273614190701E-3</v>
      </c>
      <c r="E49" s="555">
        <f>'Infill Capacities'!$CU$11+'Frame Capacities'!$BS$11</f>
        <v>-28150.790436144162</v>
      </c>
      <c r="F49" s="466" t="s">
        <v>324</v>
      </c>
      <c r="G49" s="191">
        <f t="shared" si="10"/>
        <v>780.65346692083835</v>
      </c>
      <c r="H49" s="192">
        <f>'Frame Capacities'!$BZ$12</f>
        <v>9.5976000000000013E-3</v>
      </c>
      <c r="I49" s="555">
        <f>'Infill Capacities'!$CU$12+'Frame Capacities'!$BS$12</f>
        <v>-27312.609718729305</v>
      </c>
      <c r="J49" s="466" t="s">
        <v>324</v>
      </c>
      <c r="K49" s="191">
        <f t="shared" si="11"/>
        <v>846.39073438386436</v>
      </c>
      <c r="L49" s="192">
        <f>'Frame Capacities'!$BZ$13</f>
        <v>8.8673064285714302E-3</v>
      </c>
      <c r="M49" s="554">
        <f>'Infill Capacities'!$CU$13+'Frame Capacities'!$BS$13</f>
        <v>-25606.437150937578</v>
      </c>
      <c r="AO49" s="460">
        <f>'Frame Capacities'!$BP$11</f>
        <v>14.533333333333333</v>
      </c>
      <c r="AP49" s="553">
        <f>'Frame Capacities'!$CD$11</f>
        <v>0.2</v>
      </c>
      <c r="AQ49" s="455">
        <f t="shared" si="7"/>
        <v>0</v>
      </c>
      <c r="AR49" s="461"/>
      <c r="AS49" s="553"/>
      <c r="AT49" s="458"/>
    </row>
    <row r="50" spans="2:46" x14ac:dyDescent="0.25">
      <c r="B50" s="545" t="s">
        <v>326</v>
      </c>
      <c r="C50" s="538">
        <f t="shared" si="9"/>
        <v>245.57835847340084</v>
      </c>
      <c r="D50" s="51">
        <f>'Infill Capacities'!$DA$11</f>
        <v>1.4913556053749014E-2</v>
      </c>
      <c r="E50" s="457">
        <f>'Infill Capacities'!$CU$11+'Frame Capacities'!$BT$11</f>
        <v>-33347.84116688418</v>
      </c>
      <c r="F50" s="395" t="s">
        <v>326</v>
      </c>
      <c r="G50" s="538">
        <f t="shared" si="10"/>
        <v>271.00908936888072</v>
      </c>
      <c r="H50" s="51">
        <f>'Infill Capacities'!$DA$12</f>
        <v>1.4805390739282312E-2</v>
      </c>
      <c r="I50" s="457">
        <f>'Infill Capacities'!$CU$12+'Frame Capacities'!$BT$12</f>
        <v>-32620.638518090174</v>
      </c>
      <c r="J50" s="395" t="s">
        <v>326</v>
      </c>
      <c r="K50" s="538">
        <f t="shared" si="11"/>
        <v>288.40695647588416</v>
      </c>
      <c r="L50" s="51">
        <f>'Infill Capacities'!$DA$13</f>
        <v>1.4695646459588547E-2</v>
      </c>
      <c r="M50" s="459">
        <f>'Infill Capacities'!$CU$13+'Frame Capacities'!$BT$13</f>
        <v>-31912.103900282404</v>
      </c>
      <c r="AO50" s="943" t="s">
        <v>472</v>
      </c>
      <c r="AP50" s="944"/>
      <c r="AQ50" s="944"/>
      <c r="AR50" s="943" t="s">
        <v>473</v>
      </c>
      <c r="AS50" s="944"/>
      <c r="AT50" s="945"/>
    </row>
    <row r="51" spans="2:46" x14ac:dyDescent="0.25">
      <c r="B51" s="470" t="s">
        <v>325</v>
      </c>
      <c r="C51" s="191">
        <f t="shared" si="9"/>
        <v>250.97599999999989</v>
      </c>
      <c r="D51" s="192">
        <f>'Frame Capacities'!$CA$11</f>
        <v>2.223123989456343E-2</v>
      </c>
      <c r="E51" s="555">
        <f>'Infill Capacities'!$CV$11+'Frame Capacities'!$BT$11</f>
        <v>245.87203838522751</v>
      </c>
      <c r="F51" s="466" t="s">
        <v>325</v>
      </c>
      <c r="G51" s="191">
        <f t="shared" si="10"/>
        <v>278.76866666666672</v>
      </c>
      <c r="H51" s="192">
        <f>'Frame Capacities'!$CA$12</f>
        <v>2.3300134406808511E-2</v>
      </c>
      <c r="I51" s="555">
        <f>'Infill Capacities'!$CV$12+'Frame Capacities'!$BT$12</f>
        <v>304.48544031016007</v>
      </c>
      <c r="J51" s="466" t="s">
        <v>325</v>
      </c>
      <c r="K51" s="191">
        <f t="shared" si="11"/>
        <v>295.42799999999971</v>
      </c>
      <c r="L51" s="192">
        <f>'Frame Capacities'!$CA$13</f>
        <v>2.1011637187945815E-2</v>
      </c>
      <c r="M51" s="554">
        <f>'Infill Capacities'!$CV$13+'Frame Capacities'!$BT$13</f>
        <v>370.54326740288963</v>
      </c>
      <c r="AO51" s="523" t="s">
        <v>476</v>
      </c>
      <c r="AP51" s="523" t="s">
        <v>477</v>
      </c>
      <c r="AQ51" s="524" t="s">
        <v>478</v>
      </c>
      <c r="AR51" s="523" t="s">
        <v>479</v>
      </c>
      <c r="AS51" s="523" t="s">
        <v>480</v>
      </c>
      <c r="AT51" s="523" t="s">
        <v>481</v>
      </c>
    </row>
    <row r="52" spans="2:46" x14ac:dyDescent="0.25">
      <c r="B52" s="470" t="s">
        <v>327</v>
      </c>
      <c r="C52" s="191">
        <f t="shared" si="9"/>
        <v>221.7759999999999</v>
      </c>
      <c r="D52" s="192">
        <f>'Frame Capacities'!$CB$11</f>
        <v>5.8945354123995881E-2</v>
      </c>
      <c r="E52" s="555">
        <f>'Infill Capacities'!$CV$11+'Frame Capacities'!$BU$11</f>
        <v>-265.11148471424769</v>
      </c>
      <c r="F52" s="466" t="s">
        <v>327</v>
      </c>
      <c r="G52" s="191">
        <f t="shared" si="10"/>
        <v>243.86866666666674</v>
      </c>
      <c r="H52" s="192">
        <f>'Frame Capacities'!$CB$12</f>
        <v>4.8831826640886922E-2</v>
      </c>
      <c r="I52" s="555">
        <f>'Infill Capacities'!$CV$12+'Frame Capacities'!$BU$12</f>
        <v>-455.64286247371189</v>
      </c>
      <c r="J52" s="466" t="s">
        <v>327</v>
      </c>
      <c r="K52" s="191">
        <f t="shared" si="11"/>
        <v>257.16133333333306</v>
      </c>
      <c r="L52" s="192">
        <f>'Frame Capacities'!$CB$13</f>
        <v>3.9783194181818193E-2</v>
      </c>
      <c r="M52" s="554">
        <f>'Infill Capacities'!$CV$13+'Frame Capacities'!$BU$13</f>
        <v>-679.51505353122081</v>
      </c>
      <c r="AO52" s="460">
        <v>0</v>
      </c>
      <c r="AP52" s="552">
        <v>0</v>
      </c>
      <c r="AQ52" s="527" t="s">
        <v>66</v>
      </c>
      <c r="AR52" s="460">
        <v>0</v>
      </c>
      <c r="AS52" s="552">
        <v>0</v>
      </c>
      <c r="AT52" s="528" t="s">
        <v>66</v>
      </c>
    </row>
    <row r="53" spans="2:46" x14ac:dyDescent="0.25">
      <c r="B53" s="471" t="s">
        <v>328</v>
      </c>
      <c r="C53" s="538">
        <f t="shared" si="9"/>
        <v>205.03178280188018</v>
      </c>
      <c r="D53" s="51">
        <f>'Infill Capacities'!$DB$11</f>
        <v>0.08</v>
      </c>
      <c r="E53" s="457">
        <f>'Infill Capacities'!$CV$11+'Frame Capacities'!$BV$11</f>
        <v>-265.09140859346746</v>
      </c>
      <c r="F53" s="467" t="s">
        <v>328</v>
      </c>
      <c r="G53" s="538">
        <f t="shared" si="10"/>
        <v>201.43963682136996</v>
      </c>
      <c r="H53" s="51">
        <f>'Infill Capacities'!$DB$12</f>
        <v>0.08</v>
      </c>
      <c r="I53" s="457">
        <f>'Infill Capacities'!$CV$12+'Frame Capacities'!$BV$12</f>
        <v>-453.7644790883154</v>
      </c>
      <c r="J53" s="467" t="s">
        <v>328</v>
      </c>
      <c r="K53" s="538">
        <f t="shared" si="11"/>
        <v>175.23430326110108</v>
      </c>
      <c r="L53" s="51">
        <f>'Infill Capacities'!$DB$13</f>
        <v>0.08</v>
      </c>
      <c r="M53" s="459">
        <f>'Infill Capacities'!$CV$13+'Frame Capacities'!$BV$13</f>
        <v>-679.04472939845141</v>
      </c>
      <c r="AO53" s="460">
        <f>'Frame Capacities'!$BL$12</f>
        <v>161.60000000000002</v>
      </c>
      <c r="AP53" s="467">
        <f>'Frame Capacities'!$BZ$12</f>
        <v>9.5976000000000013E-3</v>
      </c>
      <c r="AQ53" s="455">
        <f>(AO53-AO52)/((AP53-AP52)*$D$7)</f>
        <v>5612.5142396710289</v>
      </c>
      <c r="AR53" s="460">
        <f>'Infill Capacities'!$CM$12</f>
        <v>842.39999999999986</v>
      </c>
      <c r="AS53" s="467">
        <f>'Infill Capacities'!$CY$12</f>
        <v>2.2807165072368058E-3</v>
      </c>
      <c r="AT53" s="457">
        <f>(AR53-AR52)/((AS53-AS52)*$D$7)</f>
        <v>123119.20359633044</v>
      </c>
    </row>
    <row r="54" spans="2:46" x14ac:dyDescent="0.25">
      <c r="B54" s="470" t="s">
        <v>464</v>
      </c>
      <c r="C54" s="191">
        <f t="shared" si="9"/>
        <v>119.50933333333323</v>
      </c>
      <c r="D54" s="192">
        <f>'Frame Capacities'!$CC$11</f>
        <v>0.18753831407603308</v>
      </c>
      <c r="E54" s="555">
        <f>'Infill Capacities'!$CV$11+'Frame Capacities'!$BV$11</f>
        <v>-265.09140859346746</v>
      </c>
      <c r="F54" s="466" t="s">
        <v>464</v>
      </c>
      <c r="G54" s="191">
        <f t="shared" si="10"/>
        <v>121.98533333333339</v>
      </c>
      <c r="H54" s="192">
        <f>'Frame Capacities'!$CC$12</f>
        <v>0.13836677186049823</v>
      </c>
      <c r="I54" s="555">
        <f>'Infill Capacities'!$CV$12+'Frame Capacities'!$BV$12</f>
        <v>-453.7644790883154</v>
      </c>
      <c r="J54" s="466" t="s">
        <v>464</v>
      </c>
      <c r="K54" s="191">
        <f t="shared" si="11"/>
        <v>123.32799999999973</v>
      </c>
      <c r="L54" s="192">
        <f>'Frame Capacities'!$CC$13</f>
        <v>0.10548006094143647</v>
      </c>
      <c r="M54" s="554">
        <f>'Infill Capacities'!$CV$13+'Frame Capacities'!$BV$13</f>
        <v>-679.04472939845141</v>
      </c>
      <c r="AO54" s="460">
        <f>'Frame Capacities'!$BM$12</f>
        <v>174.11666666666665</v>
      </c>
      <c r="AP54" s="467">
        <f>'Frame Capacities'!$CA$12</f>
        <v>2.3300134406808511E-2</v>
      </c>
      <c r="AQ54" s="455">
        <f t="shared" ref="AQ54:AQ57" si="12">(AO54-AO53)/((AP54-AP53)*$D$7)</f>
        <v>304.48544031016007</v>
      </c>
      <c r="AR54" s="460">
        <f>'Infill Capacities'!$CN$12</f>
        <v>1046.52</v>
      </c>
      <c r="AS54" s="467">
        <f>'Infill Capacities'!$CZ$12</f>
        <v>5.2699368896120223E-3</v>
      </c>
      <c r="AT54" s="457">
        <f t="shared" ref="AT54:AT55" si="13">(AR54-AR53)/((AS54-AS53)*$D$7)</f>
        <v>22761.787789609498</v>
      </c>
    </row>
    <row r="55" spans="2:46" x14ac:dyDescent="0.25">
      <c r="B55" s="472" t="s">
        <v>465</v>
      </c>
      <c r="C55" s="191">
        <f t="shared" si="9"/>
        <v>119.50933333333323</v>
      </c>
      <c r="D55" s="463">
        <f>'Frame Capacities'!$CD$11</f>
        <v>0.2</v>
      </c>
      <c r="E55" s="556">
        <f>'Infill Capacities'!$CV$11+'Frame Capacities'!$BW$11</f>
        <v>0</v>
      </c>
      <c r="F55" s="468" t="s">
        <v>465</v>
      </c>
      <c r="G55" s="191">
        <f t="shared" si="10"/>
        <v>121.98533333333339</v>
      </c>
      <c r="H55" s="463">
        <f>'Frame Capacities'!$CD$12</f>
        <v>0.15</v>
      </c>
      <c r="I55" s="556">
        <f>'Infill Capacities'!$CV$12+'Frame Capacities'!$BW$12</f>
        <v>0</v>
      </c>
      <c r="J55" s="468" t="s">
        <v>465</v>
      </c>
      <c r="K55" s="191">
        <f t="shared" si="11"/>
        <v>123.32799999999973</v>
      </c>
      <c r="L55" s="463">
        <f>'Frame Capacities'!$CD$13</f>
        <v>0.15</v>
      </c>
      <c r="M55" s="557">
        <f>'Infill Capacities'!$CV$13+'Frame Capacities'!$BW$13</f>
        <v>0</v>
      </c>
      <c r="AO55" s="460">
        <f>'Frame Capacities'!$BN$12</f>
        <v>139.21666666666667</v>
      </c>
      <c r="AP55" s="467">
        <f>'Frame Capacities'!$CB$12</f>
        <v>4.8831826640886922E-2</v>
      </c>
      <c r="AQ55" s="455">
        <f t="shared" si="12"/>
        <v>-455.64286247371189</v>
      </c>
      <c r="AR55" s="460">
        <f>'Infill Capacities'!$CO$12</f>
        <v>104.652</v>
      </c>
      <c r="AS55" s="467">
        <f>'Infill Capacities'!$DA$12</f>
        <v>1.4805390739282312E-2</v>
      </c>
      <c r="AT55" s="457">
        <f t="shared" si="13"/>
        <v>-32925.123958400334</v>
      </c>
    </row>
    <row r="56" spans="2:46" ht="16.5" thickBot="1" x14ac:dyDescent="0.3">
      <c r="B56" s="590" t="s">
        <v>497</v>
      </c>
      <c r="C56" s="587">
        <f>'Frame Capacities'!$BQ$11+'Infill Capacities'!$CQ$11</f>
        <v>290.68918789957399</v>
      </c>
      <c r="D56" s="588">
        <f>'Frame Capacities'!$CE$11</f>
        <v>8.0934433398997536E-4</v>
      </c>
      <c r="E56" s="594">
        <f>'Infill Capacities'!$CW$11+'Frame Capacities'!$BX$11</f>
        <v>359166.27286004391</v>
      </c>
      <c r="F56" s="591" t="s">
        <v>497</v>
      </c>
      <c r="G56" s="587">
        <f>'Frame Capacities'!$BQ$12+'Infill Capacities'!$CQ$12</f>
        <v>585.93149047933628</v>
      </c>
      <c r="H56" s="588">
        <f>'Frame Capacities'!$CE$12</f>
        <v>1.517190169677238E-3</v>
      </c>
      <c r="I56" s="594">
        <f>'Infill Capacities'!$CW$12+'Frame Capacities'!$BX$12</f>
        <v>386195.15350800438</v>
      </c>
      <c r="J56" s="591" t="s">
        <v>497</v>
      </c>
      <c r="K56" s="587">
        <f>'Frame Capacities'!$BQ$13+'Infill Capacities'!$CQ$13</f>
        <v>853.39093490130767</v>
      </c>
      <c r="L56" s="588">
        <f>'Frame Capacities'!$CE$13</f>
        <v>2.0286500239001036E-3</v>
      </c>
      <c r="M56" s="595">
        <f>'Infill Capacities'!$CW$13+'Frame Capacities'!$BX$13</f>
        <v>420669.37364615191</v>
      </c>
      <c r="AO56" s="460">
        <f>'Frame Capacities'!$BO$12</f>
        <v>17.333333333333332</v>
      </c>
      <c r="AP56" s="467">
        <f>'Frame Capacities'!$CC$12</f>
        <v>0.13836677186049823</v>
      </c>
      <c r="AQ56" s="455">
        <f>(AO56-AO55)/((AP56-AP55)*$D$7)</f>
        <v>-453.7644790883154</v>
      </c>
      <c r="AR56" s="460">
        <f>'Infill Capacities'!$CP$12</f>
        <v>104.652</v>
      </c>
      <c r="AS56" s="467">
        <f>'Infill Capacities'!$DB$12</f>
        <v>0.08</v>
      </c>
      <c r="AT56" s="457">
        <f>(AR56-AR55)/((AS56-AS55)*$D$7)</f>
        <v>0</v>
      </c>
    </row>
    <row r="57" spans="2:46" x14ac:dyDescent="0.25">
      <c r="B57" s="916" t="s">
        <v>332</v>
      </c>
      <c r="C57" s="712"/>
      <c r="D57" s="712"/>
      <c r="E57" s="712"/>
      <c r="F57" s="712" t="s">
        <v>331</v>
      </c>
      <c r="G57" s="712"/>
      <c r="H57" s="712"/>
      <c r="I57" s="712"/>
      <c r="J57" s="712" t="s">
        <v>330</v>
      </c>
      <c r="K57" s="712"/>
      <c r="L57" s="712"/>
      <c r="M57" s="773"/>
      <c r="AO57" s="460">
        <f>'Frame Capacities'!$BP$12</f>
        <v>17.333333333333332</v>
      </c>
      <c r="AP57" s="553">
        <f>'Frame Capacities'!$CD$12</f>
        <v>0.15</v>
      </c>
      <c r="AQ57" s="455">
        <f t="shared" si="12"/>
        <v>0</v>
      </c>
      <c r="AR57" s="461"/>
      <c r="AS57" s="553"/>
      <c r="AT57" s="458"/>
    </row>
    <row r="58" spans="2:46" x14ac:dyDescent="0.25">
      <c r="B58" s="532" t="s">
        <v>329</v>
      </c>
      <c r="C58" s="525" t="s">
        <v>75</v>
      </c>
      <c r="D58" s="523" t="s">
        <v>101</v>
      </c>
      <c r="E58" s="523" t="s">
        <v>321</v>
      </c>
      <c r="F58" s="523" t="s">
        <v>329</v>
      </c>
      <c r="G58" s="525" t="s">
        <v>75</v>
      </c>
      <c r="H58" s="523" t="s">
        <v>101</v>
      </c>
      <c r="I58" s="523" t="s">
        <v>321</v>
      </c>
      <c r="J58" s="523" t="s">
        <v>329</v>
      </c>
      <c r="K58" s="525" t="s">
        <v>75</v>
      </c>
      <c r="L58" s="523" t="s">
        <v>101</v>
      </c>
      <c r="M58" s="546" t="s">
        <v>321</v>
      </c>
      <c r="AO58" s="943" t="s">
        <v>470</v>
      </c>
      <c r="AP58" s="944"/>
      <c r="AQ58" s="944"/>
      <c r="AR58" s="943" t="s">
        <v>471</v>
      </c>
      <c r="AS58" s="944"/>
      <c r="AT58" s="945"/>
    </row>
    <row r="59" spans="2:46" x14ac:dyDescent="0.25">
      <c r="B59" s="469" t="s">
        <v>460</v>
      </c>
      <c r="C59" s="143">
        <v>0</v>
      </c>
      <c r="D59" s="143">
        <v>0</v>
      </c>
      <c r="E59" s="462" t="s">
        <v>66</v>
      </c>
      <c r="F59" s="465" t="s">
        <v>460</v>
      </c>
      <c r="G59" s="143">
        <v>0</v>
      </c>
      <c r="H59" s="143">
        <v>0</v>
      </c>
      <c r="I59" s="462" t="s">
        <v>66</v>
      </c>
      <c r="J59" s="465" t="s">
        <v>460</v>
      </c>
      <c r="K59" s="143">
        <v>0</v>
      </c>
      <c r="L59" s="551">
        <v>0</v>
      </c>
      <c r="M59" s="464" t="s">
        <v>66</v>
      </c>
      <c r="AO59" s="523" t="s">
        <v>476</v>
      </c>
      <c r="AP59" s="523" t="s">
        <v>477</v>
      </c>
      <c r="AQ59" s="524" t="s">
        <v>478</v>
      </c>
      <c r="AR59" s="523" t="s">
        <v>479</v>
      </c>
      <c r="AS59" s="523" t="s">
        <v>480</v>
      </c>
      <c r="AT59" s="523" t="s">
        <v>481</v>
      </c>
    </row>
    <row r="60" spans="2:46" x14ac:dyDescent="0.25">
      <c r="B60" s="545" t="s">
        <v>322</v>
      </c>
      <c r="C60" s="538">
        <f>E60*D60*hstr3</f>
        <v>893.99155661594864</v>
      </c>
      <c r="D60" s="51">
        <f>'Infill Capacities'!$CY$14</f>
        <v>1.9478666359322766E-3</v>
      </c>
      <c r="E60" s="457">
        <f>'Infill Capacities'!$CS$14+'Frame Capacities'!$BS$14</f>
        <v>152986.44170062695</v>
      </c>
      <c r="F60" s="395" t="s">
        <v>322</v>
      </c>
      <c r="G60" s="538">
        <f>I60*H60*hstr2</f>
        <v>910.82834288663798</v>
      </c>
      <c r="H60" s="51">
        <f>'Infill Capacities'!$CY$15</f>
        <v>1.8112309252701479E-3</v>
      </c>
      <c r="I60" s="457">
        <f>'Infill Capacities'!$CS$15+'Frame Capacities'!$BS$15</f>
        <v>167626.02901316711</v>
      </c>
      <c r="J60" s="395" t="s">
        <v>322</v>
      </c>
      <c r="K60" s="538">
        <f>M60*L60*hstr1</f>
        <v>946.84593076948477</v>
      </c>
      <c r="L60" s="51">
        <f>'Infill Capacities'!$CY$16</f>
        <v>1.7850281840739108E-3</v>
      </c>
      <c r="M60" s="459">
        <f>'Infill Capacities'!$CS$16+'Frame Capacities'!$BS$16</f>
        <v>192886.3724734596</v>
      </c>
      <c r="AO60" s="460">
        <v>0</v>
      </c>
      <c r="AP60" s="552">
        <v>0</v>
      </c>
      <c r="AQ60" s="527" t="s">
        <v>66</v>
      </c>
      <c r="AR60" s="460">
        <v>0</v>
      </c>
      <c r="AS60" s="552">
        <v>0</v>
      </c>
      <c r="AT60" s="528" t="s">
        <v>66</v>
      </c>
    </row>
    <row r="61" spans="2:46" x14ac:dyDescent="0.25">
      <c r="B61" s="545" t="s">
        <v>323</v>
      </c>
      <c r="C61" s="538">
        <f t="shared" ref="C61:C68" si="14">C60+E61*(D61-D60)*hstr3</f>
        <v>1194.4102933693771</v>
      </c>
      <c r="D61" s="51">
        <f>'Infill Capacities'!$CZ$14</f>
        <v>4.9586284649919959E-3</v>
      </c>
      <c r="E61" s="457">
        <f>'Infill Capacities'!$CT$14+'Frame Capacities'!$BS$14</f>
        <v>33260.544873150524</v>
      </c>
      <c r="F61" s="395" t="s">
        <v>323</v>
      </c>
      <c r="G61" s="538">
        <f t="shared" ref="G61:G68" si="15">G60+I61*(H61-H60)*hstr2</f>
        <v>1244.7038473050573</v>
      </c>
      <c r="H61" s="51">
        <f>'Infill Capacities'!$CZ$15</f>
        <v>4.7874581356672531E-3</v>
      </c>
      <c r="I61" s="457">
        <f>'Infill Capacities'!$CT$15+'Frame Capacities'!$BS$15</f>
        <v>37393.59495718425</v>
      </c>
      <c r="J61" s="466" t="s">
        <v>324</v>
      </c>
      <c r="K61" s="191">
        <f t="shared" ref="K61:K68" si="16">K60+M61*(L61-L60)*hstr1</f>
        <v>1400.2321744667929</v>
      </c>
      <c r="L61" s="192">
        <f>'Frame Capacities'!$BZ$16</f>
        <v>4.8471720397440425E-3</v>
      </c>
      <c r="M61" s="554">
        <f>'Infill Capacities'!$CT$16+'Frame Capacities'!$BS$16</f>
        <v>53840.620412250035</v>
      </c>
      <c r="AO61" s="460">
        <f>'Frame Capacities'!$BL$13</f>
        <v>177.6</v>
      </c>
      <c r="AP61" s="467">
        <f>'Frame Capacities'!$BZ$13</f>
        <v>8.8673064285714302E-3</v>
      </c>
      <c r="AQ61" s="455">
        <f>(AO61-AO60)/((AP61-AP60)*$D$8)</f>
        <v>6676.2100167477156</v>
      </c>
      <c r="AR61" s="460">
        <f>'Infill Capacities'!$CM$13</f>
        <v>842.39999999999986</v>
      </c>
      <c r="AS61" s="467">
        <f>'Infill Capacities'!$CY$13</f>
        <v>2.1026318802204874E-3</v>
      </c>
      <c r="AT61" s="457">
        <f>(AR61-AR60)/((AS61-AS60)*$D$8)</f>
        <v>133546.91453196958</v>
      </c>
    </row>
    <row r="62" spans="2:46" x14ac:dyDescent="0.25">
      <c r="B62" s="470" t="s">
        <v>324</v>
      </c>
      <c r="C62" s="191">
        <f t="shared" si="14"/>
        <v>978.68071819149395</v>
      </c>
      <c r="D62" s="192">
        <f>'Frame Capacities'!$BZ$14</f>
        <v>8.3556867009551838E-3</v>
      </c>
      <c r="E62" s="555">
        <f>'Infill Capacities'!$CU$14+'Frame Capacities'!$BS$14</f>
        <v>-21168.27366435733</v>
      </c>
      <c r="F62" s="466" t="s">
        <v>324</v>
      </c>
      <c r="G62" s="191">
        <f t="shared" si="15"/>
        <v>1162.4319271368654</v>
      </c>
      <c r="H62" s="192">
        <f>'Frame Capacities'!$BZ$15</f>
        <v>6.4157970868129726E-3</v>
      </c>
      <c r="I62" s="555">
        <f>'Infill Capacities'!$CU$15+'Frame Capacities'!$BS$15</f>
        <v>-16841.686044604801</v>
      </c>
      <c r="J62" s="558" t="s">
        <v>323</v>
      </c>
      <c r="K62" s="504">
        <f t="shared" si="16"/>
        <v>1401.2257792655103</v>
      </c>
      <c r="L62" s="560">
        <f>'Infill Capacities'!$CZ$16</f>
        <v>4.8619807187509365E-3</v>
      </c>
      <c r="M62" s="559">
        <f>'Infill Capacities'!$CT$16+'Frame Capacities'!$BT$16</f>
        <v>24398.58651328857</v>
      </c>
      <c r="AO62" s="460">
        <f>'Frame Capacities'!$BM$13</f>
        <v>191.1</v>
      </c>
      <c r="AP62" s="467">
        <f>'Frame Capacities'!$CA$13</f>
        <v>2.1011637187945815E-2</v>
      </c>
      <c r="AQ62" s="455">
        <f t="shared" ref="AQ62:AQ65" si="17">(AO62-AO61)/((AP62-AP61)*$D$8)</f>
        <v>370.54326740288963</v>
      </c>
      <c r="AR62" s="460">
        <f>'Infill Capacities'!$CN$13</f>
        <v>1043.28</v>
      </c>
      <c r="AS62" s="467">
        <f>'Infill Capacities'!$CZ$13</f>
        <v>5.0005307407854482E-3</v>
      </c>
      <c r="AT62" s="457">
        <f t="shared" ref="AT62:AT64" si="18">(AR62-AR61)/((AS62-AS61)*$D$8)</f>
        <v>23106.39646924939</v>
      </c>
    </row>
    <row r="63" spans="2:46" x14ac:dyDescent="0.25">
      <c r="B63" s="545" t="s">
        <v>326</v>
      </c>
      <c r="C63" s="538">
        <f t="shared" si="14"/>
        <v>370.10680175661082</v>
      </c>
      <c r="D63" s="51">
        <f>'Infill Capacities'!$DA$14</f>
        <v>1.4949279331481602E-2</v>
      </c>
      <c r="E63" s="457">
        <f>'Infill Capacities'!$CU$14+'Frame Capacities'!$BT$14</f>
        <v>-30765.924362052272</v>
      </c>
      <c r="F63" s="558" t="s">
        <v>326</v>
      </c>
      <c r="G63" s="504">
        <f t="shared" si="15"/>
        <v>388.26955809384071</v>
      </c>
      <c r="H63" s="560">
        <f>'Infill Capacities'!$DA$15</f>
        <v>1.4927515543435287E-2</v>
      </c>
      <c r="I63" s="567">
        <f>'Infill Capacities'!$CU$15+'Frame Capacities'!$BT$15</f>
        <v>-30317.511596447304</v>
      </c>
      <c r="J63" s="558" t="s">
        <v>326</v>
      </c>
      <c r="K63" s="504">
        <f t="shared" si="16"/>
        <v>524.97434424663982</v>
      </c>
      <c r="L63" s="560">
        <f>'Infill Capacities'!$DA$16</f>
        <v>1.4663599359701077E-2</v>
      </c>
      <c r="M63" s="559">
        <f>'Infill Capacities'!$CU$16+'Frame Capacities'!$BT$16</f>
        <v>-32508.598542099535</v>
      </c>
      <c r="AO63" s="460">
        <f>'Frame Capacities'!$BN$13</f>
        <v>152.83333333333334</v>
      </c>
      <c r="AP63" s="467">
        <f>'Frame Capacities'!$CB$13</f>
        <v>3.9783194181818193E-2</v>
      </c>
      <c r="AQ63" s="455">
        <f t="shared" si="17"/>
        <v>-679.51505353122081</v>
      </c>
      <c r="AR63" s="460">
        <f>'Infill Capacities'!$CO$13</f>
        <v>104.32800000000002</v>
      </c>
      <c r="AS63" s="467">
        <f>'Infill Capacities'!$DA$13</f>
        <v>1.4695646459588547E-2</v>
      </c>
      <c r="AT63" s="457">
        <f t="shared" si="18"/>
        <v>-32282.647167685289</v>
      </c>
    </row>
    <row r="64" spans="2:46" x14ac:dyDescent="0.25">
      <c r="B64" s="470" t="s">
        <v>325</v>
      </c>
      <c r="C64" s="191">
        <f t="shared" si="14"/>
        <v>378.56133333333298</v>
      </c>
      <c r="D64" s="192">
        <f>'Frame Capacities'!$CA$14</f>
        <v>1.996593334509893E-2</v>
      </c>
      <c r="E64" s="555">
        <f>'Infill Capacities'!$CV$14+'Frame Capacities'!$BT$14</f>
        <v>561.76431234663346</v>
      </c>
      <c r="F64" s="466" t="s">
        <v>325</v>
      </c>
      <c r="G64" s="561">
        <f t="shared" si="15"/>
        <v>395.02799999999991</v>
      </c>
      <c r="H64" s="562">
        <f>'Frame Capacities'!$CA$15</f>
        <v>1.903409976050496E-2</v>
      </c>
      <c r="I64" s="563">
        <f>'Infill Capacities'!$CV$15+'Frame Capacities'!$BT$15</f>
        <v>548.58584401009978</v>
      </c>
      <c r="J64" s="466" t="s">
        <v>325</v>
      </c>
      <c r="K64" s="191">
        <f t="shared" si="16"/>
        <v>533.95563636363624</v>
      </c>
      <c r="L64" s="192">
        <f>'Frame Capacities'!$CA$16</f>
        <v>1.8687594914291256E-2</v>
      </c>
      <c r="M64" s="554">
        <f>'Infill Capacities'!$CV$16+'Frame Capacities'!$BT$16</f>
        <v>811.61232955515254</v>
      </c>
      <c r="AO64" s="460">
        <f>'Frame Capacities'!$BO$13</f>
        <v>19</v>
      </c>
      <c r="AP64" s="467">
        <f>'Frame Capacities'!$CC$13</f>
        <v>0.10548006094143647</v>
      </c>
      <c r="AQ64" s="455">
        <f t="shared" si="17"/>
        <v>-679.04472939845141</v>
      </c>
      <c r="AR64" s="460">
        <f>'Infill Capacities'!$CP$13</f>
        <v>104.32800000000002</v>
      </c>
      <c r="AS64" s="467">
        <f>'Infill Capacities'!$DB$13</f>
        <v>0.08</v>
      </c>
      <c r="AT64" s="457">
        <f t="shared" si="18"/>
        <v>0</v>
      </c>
    </row>
    <row r="65" spans="2:46" x14ac:dyDescent="0.25">
      <c r="B65" s="470" t="s">
        <v>327</v>
      </c>
      <c r="C65" s="191">
        <f t="shared" si="14"/>
        <v>323.76133333333303</v>
      </c>
      <c r="D65" s="192">
        <f>'Frame Capacities'!$CB$14</f>
        <v>3.5389700870039807E-2</v>
      </c>
      <c r="E65" s="555">
        <f>'Infill Capacities'!$CV$14+'Frame Capacities'!$BU$14</f>
        <v>-1184.3193718479415</v>
      </c>
      <c r="F65" s="466" t="s">
        <v>327</v>
      </c>
      <c r="G65" s="191">
        <f t="shared" si="15"/>
        <v>336.96133333333324</v>
      </c>
      <c r="H65" s="192">
        <f>'Frame Capacities'!$CB$15</f>
        <v>3.2461671370565701E-2</v>
      </c>
      <c r="I65" s="555">
        <f>'Infill Capacities'!$CV$15+'Frame Capacities'!$BU$15</f>
        <v>-1441.4784830529752</v>
      </c>
      <c r="J65" s="466" t="s">
        <v>327</v>
      </c>
      <c r="K65" s="191">
        <f t="shared" si="16"/>
        <v>447.30109090909082</v>
      </c>
      <c r="L65" s="192">
        <f>'Frame Capacities'!$CB$16</f>
        <v>3.2882326066583492E-2</v>
      </c>
      <c r="M65" s="554">
        <f>'Infill Capacities'!$CV$16+'Frame Capacities'!$BU$16</f>
        <v>-2219.8901454054221</v>
      </c>
      <c r="AO65" s="460">
        <f>'Frame Capacities'!$BP$13</f>
        <v>19</v>
      </c>
      <c r="AP65" s="553">
        <f>'Frame Capacities'!$CD$13</f>
        <v>0.15</v>
      </c>
      <c r="AQ65" s="455">
        <f t="shared" si="17"/>
        <v>0</v>
      </c>
      <c r="AR65" s="461"/>
      <c r="AS65" s="553"/>
      <c r="AT65" s="458"/>
    </row>
    <row r="66" spans="2:46" x14ac:dyDescent="0.25">
      <c r="B66" s="566" t="s">
        <v>328</v>
      </c>
      <c r="C66" s="504">
        <f t="shared" si="14"/>
        <v>165.38822486060388</v>
      </c>
      <c r="D66" s="560">
        <f>'Infill Capacities'!$DB$14</f>
        <v>0.08</v>
      </c>
      <c r="E66" s="567">
        <f>'Infill Capacities'!$CV$14+'Frame Capacities'!$BV$14</f>
        <v>-1183.3822499997993</v>
      </c>
      <c r="F66" s="656" t="s">
        <v>328</v>
      </c>
      <c r="G66" s="504">
        <f t="shared" si="15"/>
        <v>135.59885884496498</v>
      </c>
      <c r="H66" s="560">
        <f>'Infill Capacities'!$DB$15</f>
        <v>0.08</v>
      </c>
      <c r="I66" s="567">
        <f>'Infill Capacities'!$CV$15+'Frame Capacities'!$BV$15</f>
        <v>-1411.9306834001077</v>
      </c>
      <c r="J66" s="558" t="s">
        <v>328</v>
      </c>
      <c r="K66" s="504">
        <f t="shared" si="16"/>
        <v>163.83264589935033</v>
      </c>
      <c r="L66" s="560">
        <f>'Infill Capacities'!$DB$16</f>
        <v>0.08</v>
      </c>
      <c r="M66" s="559">
        <f>'Infill Capacities'!$CV$16+'Frame Capacities'!$BV$16</f>
        <v>-2187.7021071681379</v>
      </c>
      <c r="AO66" s="943" t="s">
        <v>468</v>
      </c>
      <c r="AP66" s="944"/>
      <c r="AQ66" s="944"/>
      <c r="AR66" s="943" t="s">
        <v>469</v>
      </c>
      <c r="AS66" s="944"/>
      <c r="AT66" s="945"/>
    </row>
    <row r="67" spans="2:46" x14ac:dyDescent="0.25">
      <c r="B67" s="565" t="s">
        <v>327</v>
      </c>
      <c r="C67" s="191">
        <f t="shared" si="14"/>
        <v>131.86133333333308</v>
      </c>
      <c r="D67" s="192">
        <f>'Frame Capacities'!$CC$14</f>
        <v>8.9443804408163269E-2</v>
      </c>
      <c r="E67" s="555">
        <f>'Frame Capacities'!$BV$14</f>
        <v>-1183.3822499997993</v>
      </c>
      <c r="F67" s="466" t="s">
        <v>464</v>
      </c>
      <c r="G67" s="191">
        <f>G66+I67*(H67-H66)*hstr2</f>
        <v>133.39466666666652</v>
      </c>
      <c r="H67" s="192">
        <f>'Frame Capacities'!$CC$15</f>
        <v>8.0520373085405411E-2</v>
      </c>
      <c r="I67" s="555">
        <f>'Frame Capacities'!$BV$15</f>
        <v>-1411.9306834001077</v>
      </c>
      <c r="J67" s="654" t="s">
        <v>464</v>
      </c>
      <c r="K67" s="191">
        <f t="shared" si="16"/>
        <v>143.17381818181809</v>
      </c>
      <c r="L67" s="192">
        <f>'Frame Capacities'!$CC$16</f>
        <v>8.3433877475173168E-2</v>
      </c>
      <c r="M67" s="554">
        <f>'Frame Capacities'!$BV$16</f>
        <v>-2187.7021071681379</v>
      </c>
      <c r="AO67" s="523" t="s">
        <v>476</v>
      </c>
      <c r="AP67" s="523" t="s">
        <v>477</v>
      </c>
      <c r="AQ67" s="524" t="s">
        <v>478</v>
      </c>
      <c r="AR67" s="523" t="s">
        <v>479</v>
      </c>
      <c r="AS67" s="523" t="s">
        <v>480</v>
      </c>
      <c r="AT67" s="523" t="s">
        <v>481</v>
      </c>
    </row>
    <row r="68" spans="2:46" x14ac:dyDescent="0.25">
      <c r="B68" s="472" t="s">
        <v>465</v>
      </c>
      <c r="C68" s="589">
        <f t="shared" si="14"/>
        <v>131.86133333333308</v>
      </c>
      <c r="D68" s="463">
        <f>'Frame Capacities'!$CD$14</f>
        <v>0.1</v>
      </c>
      <c r="E68" s="556">
        <f>'Frame Capacities'!$BW$14</f>
        <v>0</v>
      </c>
      <c r="F68" s="468" t="s">
        <v>465</v>
      </c>
      <c r="G68" s="589">
        <f t="shared" si="15"/>
        <v>133.39466666666652</v>
      </c>
      <c r="H68" s="463">
        <f>'Frame Capacities'!$CD$15</f>
        <v>0.1</v>
      </c>
      <c r="I68" s="556">
        <f>'Frame Capacities'!$BW$15</f>
        <v>0</v>
      </c>
      <c r="J68" s="468" t="s">
        <v>465</v>
      </c>
      <c r="K68" s="589">
        <f t="shared" si="16"/>
        <v>143.17381818181809</v>
      </c>
      <c r="L68" s="463">
        <f>'Frame Capacities'!$CD$16</f>
        <v>0.1</v>
      </c>
      <c r="M68" s="557">
        <f>'Frame Capacities'!$BW$16</f>
        <v>0</v>
      </c>
      <c r="AO68" s="460">
        <v>0</v>
      </c>
      <c r="AP68" s="552">
        <v>0</v>
      </c>
      <c r="AQ68" s="527" t="s">
        <v>66</v>
      </c>
      <c r="AR68" s="460">
        <v>0</v>
      </c>
      <c r="AS68" s="552">
        <v>0</v>
      </c>
      <c r="AT68" s="528" t="s">
        <v>66</v>
      </c>
    </row>
    <row r="69" spans="2:46" ht="16.5" thickBot="1" x14ac:dyDescent="0.3">
      <c r="B69" s="592" t="s">
        <v>497</v>
      </c>
      <c r="C69" s="587">
        <f>'Frame Capacities'!$BQ$14+'Infill Capacities'!$CQ$14</f>
        <v>1083.7016766613515</v>
      </c>
      <c r="D69" s="588">
        <f>'Frame Capacities'!$CE$14</f>
        <v>3.8491195144697114E-3</v>
      </c>
      <c r="E69" s="594">
        <f>'Infill Capacities'!$CW$14+'Frame Capacities'!$BX$14</f>
        <v>458959.32510188082</v>
      </c>
      <c r="F69" s="593" t="s">
        <v>497</v>
      </c>
      <c r="G69" s="587">
        <f>'Frame Capacities'!$BQ$15+'Infill Capacities'!$CQ$15</f>
        <v>0</v>
      </c>
      <c r="H69" s="588">
        <f>'Frame Capacities'!$CE$15</f>
        <v>0</v>
      </c>
      <c r="I69" s="594">
        <f>'Infill Capacities'!$CW$15+'Frame Capacities'!$BX$15</f>
        <v>502878.08703950135</v>
      </c>
      <c r="J69" s="593" t="s">
        <v>497</v>
      </c>
      <c r="K69" s="587">
        <f>'Frame Capacities'!$BQ$16+'Infill Capacities'!$CQ$16</f>
        <v>1315.2583733916397</v>
      </c>
      <c r="L69" s="588">
        <f>'Frame Capacities'!$CE$16</f>
        <v>4.2732640165687001E-3</v>
      </c>
      <c r="M69" s="595">
        <f>'Infill Capacities'!$CW$16+'Frame Capacities'!$BX$16</f>
        <v>578659.11742037884</v>
      </c>
      <c r="AO69" s="460">
        <f>'Frame Capacities'!$BL$14</f>
        <v>254.66666666666663</v>
      </c>
      <c r="AP69" s="467">
        <f>'Frame Capacities'!$BZ$14</f>
        <v>8.3556867009551838E-3</v>
      </c>
      <c r="AQ69" s="455">
        <f>(AO69-AO68)/((AP69-AP68)*$D$9)</f>
        <v>10159.415010041577</v>
      </c>
      <c r="AR69" s="460">
        <f>'Infill Capacities'!$CM$14</f>
        <v>834.62400000000002</v>
      </c>
      <c r="AS69" s="467">
        <f>'Infill Capacities'!$CY$14</f>
        <v>1.9478666359322766E-3</v>
      </c>
      <c r="AT69" s="457">
        <f>(AR69-AR68)/((AS69-AS68)*$D$9)</f>
        <v>142827.02669058536</v>
      </c>
    </row>
    <row r="70" spans="2:46" x14ac:dyDescent="0.25">
      <c r="AO70" s="460">
        <f>'Frame Capacities'!$BM$14</f>
        <v>274.23333333333329</v>
      </c>
      <c r="AP70" s="467">
        <f>'Frame Capacities'!$CA$14</f>
        <v>1.996593334509893E-2</v>
      </c>
      <c r="AQ70" s="455">
        <f t="shared" ref="AQ70:AQ73" si="19">(AO70-AO69)/((AP70-AP69)*$D$9)</f>
        <v>561.76431234663346</v>
      </c>
      <c r="AR70" s="460">
        <f>'Infill Capacities'!$CN$14</f>
        <v>1043.28</v>
      </c>
      <c r="AS70" s="467">
        <f>'Infill Capacities'!$CZ$14</f>
        <v>4.9586284649919959E-3</v>
      </c>
      <c r="AT70" s="457">
        <f t="shared" ref="AT70:AT72" si="20">(AR70-AR69)/((AS70-AS69)*$D$9)</f>
        <v>23101.129863108945</v>
      </c>
    </row>
    <row r="71" spans="2:46" x14ac:dyDescent="0.25">
      <c r="AO71" s="460">
        <f>'Frame Capacities'!$BN$14</f>
        <v>219.43333333333331</v>
      </c>
      <c r="AP71" s="467">
        <f>'Frame Capacities'!$CB$14</f>
        <v>3.5389700870039807E-2</v>
      </c>
      <c r="AQ71" s="455">
        <f t="shared" si="19"/>
        <v>-1184.3193718479415</v>
      </c>
      <c r="AR71" s="460">
        <f>'Infill Capacities'!$CO$14</f>
        <v>104.328</v>
      </c>
      <c r="AS71" s="467">
        <f>'Infill Capacities'!$DA$14</f>
        <v>1.4949279331481602E-2</v>
      </c>
      <c r="AT71" s="457">
        <f t="shared" si="20"/>
        <v>-31327.688674398902</v>
      </c>
    </row>
    <row r="72" spans="2:46" x14ac:dyDescent="0.25">
      <c r="AO72" s="460">
        <f>'Frame Capacities'!$BO$14</f>
        <v>27.533333333333331</v>
      </c>
      <c r="AP72" s="467">
        <f>'Frame Capacities'!$CC$14</f>
        <v>8.9443804408163269E-2</v>
      </c>
      <c r="AQ72" s="455">
        <f t="shared" si="19"/>
        <v>-1183.3822499997993</v>
      </c>
      <c r="AR72" s="460">
        <f>'Infill Capacities'!$CP$14</f>
        <v>104.328</v>
      </c>
      <c r="AS72" s="467">
        <f>'Infill Capacities'!$DB$14</f>
        <v>0.08</v>
      </c>
      <c r="AT72" s="457">
        <f t="shared" si="20"/>
        <v>0</v>
      </c>
    </row>
    <row r="73" spans="2:46" x14ac:dyDescent="0.25">
      <c r="AO73" s="460">
        <f>'Frame Capacities'!$BP$14</f>
        <v>27.533333333333331</v>
      </c>
      <c r="AP73" s="553">
        <f>'Frame Capacities'!$CD$14</f>
        <v>0.1</v>
      </c>
      <c r="AQ73" s="455">
        <f t="shared" si="19"/>
        <v>0</v>
      </c>
      <c r="AR73" s="461"/>
      <c r="AS73" s="553"/>
      <c r="AT73" s="458"/>
    </row>
    <row r="74" spans="2:46" x14ac:dyDescent="0.25">
      <c r="AO74" s="674" t="s">
        <v>466</v>
      </c>
      <c r="AP74" s="946"/>
      <c r="AQ74" s="675"/>
      <c r="AR74" s="674" t="s">
        <v>467</v>
      </c>
      <c r="AS74" s="946"/>
      <c r="AT74" s="675"/>
    </row>
    <row r="75" spans="2:46" x14ac:dyDescent="0.25">
      <c r="H75" s="192"/>
      <c r="AO75" s="523" t="s">
        <v>476</v>
      </c>
      <c r="AP75" s="523" t="s">
        <v>477</v>
      </c>
      <c r="AQ75" s="524" t="s">
        <v>478</v>
      </c>
      <c r="AR75" s="523" t="s">
        <v>479</v>
      </c>
      <c r="AS75" s="523" t="s">
        <v>480</v>
      </c>
      <c r="AT75" s="523" t="s">
        <v>481</v>
      </c>
    </row>
    <row r="76" spans="2:46" x14ac:dyDescent="0.25">
      <c r="AO76" s="460">
        <v>0</v>
      </c>
      <c r="AP76" s="552">
        <v>0</v>
      </c>
      <c r="AQ76" s="527" t="s">
        <v>66</v>
      </c>
      <c r="AR76" s="460">
        <v>0</v>
      </c>
      <c r="AS76" s="552">
        <v>0</v>
      </c>
      <c r="AT76" s="528" t="s">
        <v>66</v>
      </c>
    </row>
    <row r="77" spans="2:46" x14ac:dyDescent="0.25">
      <c r="AO77" s="460">
        <f>'Frame Capacities'!$BL$15</f>
        <v>269.93333333333334</v>
      </c>
      <c r="AP77" s="467">
        <f>'Frame Capacities'!$BZ$15</f>
        <v>6.4157970868129726E-3</v>
      </c>
      <c r="AQ77" s="455">
        <f>(AO77-AO76)/((AP77-AP76)*$D$10)</f>
        <v>14024.411395852603</v>
      </c>
      <c r="AR77" s="460">
        <f>'Infill Capacities'!$CM$15</f>
        <v>834.62400000000002</v>
      </c>
      <c r="AS77" s="467">
        <f>'Infill Capacities'!$CY$15</f>
        <v>1.8112309252701479E-3</v>
      </c>
      <c r="AT77" s="457">
        <f>(AR77-AR76)/((AS77-AS76)*$D$10)</f>
        <v>153601.61761731451</v>
      </c>
    </row>
    <row r="78" spans="2:46" x14ac:dyDescent="0.25">
      <c r="AO78" s="460">
        <f>'Frame Capacities'!$BM$15</f>
        <v>290.7</v>
      </c>
      <c r="AP78" s="467">
        <f>'Frame Capacities'!$CA$15</f>
        <v>1.903409976050496E-2</v>
      </c>
      <c r="AQ78" s="455">
        <f t="shared" ref="AQ78:AQ81" si="21">(AO78-AO77)/((AP78-AP77)*$D$10)</f>
        <v>548.58584401009978</v>
      </c>
      <c r="AR78" s="460">
        <f>'Infill Capacities'!$CN$15</f>
        <v>1043.28</v>
      </c>
      <c r="AS78" s="467">
        <f>'Infill Capacities'!$CZ$15</f>
        <v>4.7874581356672531E-3</v>
      </c>
      <c r="AT78" s="457">
        <f t="shared" ref="AT78:AT80" si="22">(AR78-AR77)/((AS78-AS77)*$D$10)</f>
        <v>23369.183561331651</v>
      </c>
    </row>
    <row r="79" spans="2:46" x14ac:dyDescent="0.25">
      <c r="AO79" s="460">
        <f>'Frame Capacities'!$BN$15</f>
        <v>232.63333333333333</v>
      </c>
      <c r="AP79" s="467">
        <f>'Frame Capacities'!$CB$15</f>
        <v>3.2461671370565701E-2</v>
      </c>
      <c r="AQ79" s="455">
        <f t="shared" si="21"/>
        <v>-1441.4784830529752</v>
      </c>
      <c r="AR79" s="460">
        <f>'Infill Capacities'!$CO$15</f>
        <v>104.328</v>
      </c>
      <c r="AS79" s="467">
        <f>'Infill Capacities'!$DA$15</f>
        <v>1.4927515543435287E-2</v>
      </c>
      <c r="AT79" s="457">
        <f t="shared" si="22"/>
        <v>-30866.097440457401</v>
      </c>
    </row>
    <row r="80" spans="2:46" x14ac:dyDescent="0.25">
      <c r="AO80" s="460">
        <f>'Frame Capacities'!$BO$15</f>
        <v>29.066666666666666</v>
      </c>
      <c r="AP80" s="467">
        <f>'Frame Capacities'!$CC$15</f>
        <v>8.0520373085405411E-2</v>
      </c>
      <c r="AQ80" s="455">
        <f t="shared" si="21"/>
        <v>-1411.9306834001077</v>
      </c>
      <c r="AR80" s="460">
        <f>'Infill Capacities'!$CP$15</f>
        <v>104.328</v>
      </c>
      <c r="AS80" s="467">
        <f>'Infill Capacities'!$DB$15</f>
        <v>0.08</v>
      </c>
      <c r="AT80" s="457">
        <f t="shared" si="22"/>
        <v>0</v>
      </c>
    </row>
    <row r="81" spans="41:46" x14ac:dyDescent="0.25">
      <c r="AO81" s="460">
        <f>'Frame Capacities'!$BP$15</f>
        <v>29.066666666666666</v>
      </c>
      <c r="AP81" s="553">
        <f>'Frame Capacities'!$CD$15</f>
        <v>0.1</v>
      </c>
      <c r="AQ81" s="455">
        <f t="shared" si="21"/>
        <v>0</v>
      </c>
      <c r="AR81" s="461"/>
      <c r="AS81" s="553"/>
      <c r="AT81" s="458"/>
    </row>
    <row r="82" spans="41:46" x14ac:dyDescent="0.25">
      <c r="AO82" s="674" t="s">
        <v>461</v>
      </c>
      <c r="AP82" s="946"/>
      <c r="AQ82" s="675"/>
      <c r="AR82" s="674" t="s">
        <v>462</v>
      </c>
      <c r="AS82" s="946"/>
      <c r="AT82" s="675"/>
    </row>
    <row r="83" spans="41:46" x14ac:dyDescent="0.25">
      <c r="AO83" s="523" t="s">
        <v>476</v>
      </c>
      <c r="AP83" s="523" t="s">
        <v>477</v>
      </c>
      <c r="AQ83" s="524" t="s">
        <v>478</v>
      </c>
      <c r="AR83" s="523" t="s">
        <v>479</v>
      </c>
      <c r="AS83" s="523" t="s">
        <v>480</v>
      </c>
      <c r="AT83" s="523" t="s">
        <v>481</v>
      </c>
    </row>
    <row r="84" spans="41:46" x14ac:dyDescent="0.25">
      <c r="AO84" s="460">
        <v>0</v>
      </c>
      <c r="AP84" s="552">
        <v>0</v>
      </c>
      <c r="AQ84" s="527" t="s">
        <v>66</v>
      </c>
      <c r="AR84" s="460">
        <v>0</v>
      </c>
      <c r="AS84" s="552">
        <v>0</v>
      </c>
      <c r="AT84" s="528" t="s">
        <v>66</v>
      </c>
    </row>
    <row r="85" spans="41:46" x14ac:dyDescent="0.25">
      <c r="AO85" s="460">
        <f>'Frame Capacities'!$BL$16</f>
        <v>403.27272727272725</v>
      </c>
      <c r="AP85" s="467">
        <f>'Frame Capacities'!$BZ$16</f>
        <v>4.8471720397440425E-3</v>
      </c>
      <c r="AQ85" s="455">
        <f>(AO85-AO84)/((AP85-AP84)*$D$11)</f>
        <v>30253.646228516616</v>
      </c>
      <c r="AR85" s="460">
        <f>'Infill Capacities'!$CM$16</f>
        <v>798.33600000000001</v>
      </c>
      <c r="AS85" s="467">
        <f>'Infill Capacities'!$CY$16</f>
        <v>1.7850281840739108E-3</v>
      </c>
      <c r="AT85" s="457">
        <f>(AR85-AR84)/((AS85-AS84)*$D$11)</f>
        <v>162632.72624494295</v>
      </c>
    </row>
    <row r="86" spans="41:46" x14ac:dyDescent="0.25">
      <c r="AO86" s="460">
        <f>'Frame Capacities'!$BM$16</f>
        <v>434.16363636363639</v>
      </c>
      <c r="AP86" s="467">
        <f>'Frame Capacities'!$CA$16</f>
        <v>1.8687594914291256E-2</v>
      </c>
      <c r="AQ86" s="455">
        <f t="shared" ref="AQ86:AQ89" si="23">(AO86-AO85)/((AP86-AP85)*$D$11)</f>
        <v>811.61232955515254</v>
      </c>
      <c r="AR86" s="460">
        <f>'Infill Capacities'!$CN$16</f>
        <v>997.9200000000003</v>
      </c>
      <c r="AS86" s="467">
        <f>'Infill Capacities'!$CZ$16</f>
        <v>4.8619807187509365E-3</v>
      </c>
      <c r="AT86" s="457">
        <f t="shared" ref="AT86:AT87" si="24">(AR86-AR85)/((AS86-AS85)*$D$11)</f>
        <v>23586.974183733415</v>
      </c>
    </row>
    <row r="87" spans="41:46" x14ac:dyDescent="0.25">
      <c r="AO87" s="460">
        <f>'Frame Capacities'!$BN$16</f>
        <v>347.50909090909096</v>
      </c>
      <c r="AP87" s="467">
        <f>'Frame Capacities'!$CB$16</f>
        <v>3.2882326066583492E-2</v>
      </c>
      <c r="AQ87" s="455">
        <f t="shared" si="23"/>
        <v>-2219.8901454054221</v>
      </c>
      <c r="AR87" s="460">
        <f>'Infill Capacities'!$CO$16</f>
        <v>99.792000000000002</v>
      </c>
      <c r="AS87" s="467">
        <f>'Infill Capacities'!$DA$16</f>
        <v>1.4663599359701077E-2</v>
      </c>
      <c r="AT87" s="457">
        <f t="shared" si="24"/>
        <v>-33320.210871654679</v>
      </c>
    </row>
    <row r="88" spans="41:46" x14ac:dyDescent="0.25">
      <c r="AO88" s="460">
        <f>'Frame Capacities'!$BO$16</f>
        <v>43.381818181818176</v>
      </c>
      <c r="AP88" s="467">
        <f>'Frame Capacities'!$CC$16</f>
        <v>8.3433877475173168E-2</v>
      </c>
      <c r="AQ88" s="455">
        <f t="shared" si="23"/>
        <v>-2187.7021071681379</v>
      </c>
      <c r="AR88" s="460">
        <f>'Infill Capacities'!$CP$16</f>
        <v>99.792000000000002</v>
      </c>
      <c r="AS88" s="467">
        <f>'Infill Capacities'!$DB$16</f>
        <v>0.08</v>
      </c>
      <c r="AT88" s="457">
        <f>(AR88-AR87)/((AS88-AS87)*$D$11)</f>
        <v>0</v>
      </c>
    </row>
    <row r="89" spans="41:46" x14ac:dyDescent="0.25">
      <c r="AO89" s="461">
        <f>'Frame Capacities'!$BP$16</f>
        <v>43.381818181818176</v>
      </c>
      <c r="AP89" s="553">
        <f>'Frame Capacities'!$CD$16</f>
        <v>0.1</v>
      </c>
      <c r="AQ89" s="564">
        <f t="shared" si="23"/>
        <v>0</v>
      </c>
      <c r="AR89" s="461"/>
      <c r="AS89" s="553"/>
      <c r="AT89" s="458"/>
    </row>
  </sheetData>
  <mergeCells count="47">
    <mergeCell ref="AR58:AT58"/>
    <mergeCell ref="AR66:AT66"/>
    <mergeCell ref="AR74:AT74"/>
    <mergeCell ref="AR82:AT82"/>
    <mergeCell ref="AO58:AQ58"/>
    <mergeCell ref="AO66:AQ66"/>
    <mergeCell ref="AO74:AQ74"/>
    <mergeCell ref="AO82:AQ82"/>
    <mergeCell ref="AO42:AQ42"/>
    <mergeCell ref="AR42:AT42"/>
    <mergeCell ref="AO50:AQ50"/>
    <mergeCell ref="AR50:AT50"/>
    <mergeCell ref="U30:V30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B44:E44"/>
    <mergeCell ref="F44:I44"/>
    <mergeCell ref="J44:M44"/>
    <mergeCell ref="B57:E57"/>
    <mergeCell ref="F57:I57"/>
    <mergeCell ref="J57:M57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opLeftCell="J31" zoomScale="80" zoomScaleNormal="80" workbookViewId="0">
      <selection activeCell="S71" sqref="S71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951" t="s">
        <v>82</v>
      </c>
      <c r="B1" s="952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3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</row>
    <row r="2" spans="1:38" ht="15.75" thickBot="1" x14ac:dyDescent="0.3">
      <c r="A2" s="954"/>
      <c r="B2" s="955"/>
      <c r="C2" s="955"/>
      <c r="D2" s="955"/>
      <c r="E2" s="955"/>
      <c r="F2" s="955"/>
      <c r="G2" s="955"/>
      <c r="H2" s="955"/>
      <c r="I2" s="955"/>
      <c r="J2" s="955"/>
      <c r="K2" s="955"/>
      <c r="L2" s="955"/>
      <c r="M2" s="955"/>
      <c r="N2" s="955"/>
      <c r="O2" s="955"/>
      <c r="P2" s="956"/>
      <c r="Q2" s="184"/>
      <c r="R2" s="998" t="s">
        <v>241</v>
      </c>
      <c r="S2" s="999"/>
      <c r="T2" s="194"/>
      <c r="U2" s="961" t="s">
        <v>241</v>
      </c>
      <c r="V2" s="962"/>
      <c r="W2" s="962"/>
      <c r="X2" s="962"/>
      <c r="Y2" s="962"/>
      <c r="Z2" s="962"/>
      <c r="AA2" s="962"/>
      <c r="AB2" s="962"/>
      <c r="AC2" s="962"/>
      <c r="AD2" s="962"/>
      <c r="AE2" s="962"/>
      <c r="AF2" s="962"/>
      <c r="AG2" s="962"/>
      <c r="AH2" s="962"/>
      <c r="AI2" s="962"/>
      <c r="AJ2" s="963"/>
      <c r="AK2" s="184"/>
      <c r="AL2" s="184"/>
    </row>
    <row r="3" spans="1:38" x14ac:dyDescent="0.25">
      <c r="A3" s="709" t="s">
        <v>0</v>
      </c>
      <c r="B3" s="704" t="s">
        <v>72</v>
      </c>
      <c r="C3" s="704" t="s">
        <v>73</v>
      </c>
      <c r="D3" s="671" t="s">
        <v>74</v>
      </c>
      <c r="E3" s="704" t="s">
        <v>76</v>
      </c>
      <c r="F3" s="704" t="s">
        <v>77</v>
      </c>
      <c r="G3" s="948" t="s">
        <v>491</v>
      </c>
      <c r="H3" s="948" t="s">
        <v>492</v>
      </c>
      <c r="I3" s="948" t="s">
        <v>493</v>
      </c>
      <c r="J3" s="948" t="s">
        <v>494</v>
      </c>
      <c r="K3" s="671" t="s">
        <v>184</v>
      </c>
      <c r="L3" s="671" t="s">
        <v>183</v>
      </c>
      <c r="M3" s="671" t="s">
        <v>185</v>
      </c>
      <c r="N3" s="674" t="s">
        <v>186</v>
      </c>
      <c r="O3" s="950" t="s">
        <v>347</v>
      </c>
      <c r="P3" s="957" t="s">
        <v>389</v>
      </c>
      <c r="Q3" s="184"/>
      <c r="R3" s="707" t="s">
        <v>81</v>
      </c>
      <c r="S3" s="703" t="s">
        <v>80</v>
      </c>
      <c r="T3" s="184"/>
      <c r="U3" s="704" t="s">
        <v>0</v>
      </c>
      <c r="V3" s="978" t="s">
        <v>72</v>
      </c>
      <c r="W3" s="704" t="s">
        <v>101</v>
      </c>
      <c r="X3" s="674" t="s">
        <v>74</v>
      </c>
      <c r="Y3" s="704" t="s">
        <v>76</v>
      </c>
      <c r="Z3" s="704" t="s">
        <v>77</v>
      </c>
      <c r="AA3" s="979" t="s">
        <v>491</v>
      </c>
      <c r="AB3" s="948" t="s">
        <v>492</v>
      </c>
      <c r="AC3" s="948" t="s">
        <v>493</v>
      </c>
      <c r="AD3" s="948" t="s">
        <v>494</v>
      </c>
      <c r="AE3" s="671" t="s">
        <v>184</v>
      </c>
      <c r="AF3" s="671" t="s">
        <v>183</v>
      </c>
      <c r="AG3" s="671" t="s">
        <v>185</v>
      </c>
      <c r="AH3" s="671" t="s">
        <v>186</v>
      </c>
      <c r="AI3" s="950" t="s">
        <v>347</v>
      </c>
      <c r="AJ3" s="950" t="s">
        <v>389</v>
      </c>
      <c r="AK3" s="980" t="s">
        <v>237</v>
      </c>
      <c r="AL3" s="184"/>
    </row>
    <row r="4" spans="1:38" x14ac:dyDescent="0.25">
      <c r="A4" s="709"/>
      <c r="B4" s="704"/>
      <c r="C4" s="704"/>
      <c r="D4" s="671"/>
      <c r="E4" s="704"/>
      <c r="F4" s="704"/>
      <c r="G4" s="948"/>
      <c r="H4" s="948"/>
      <c r="I4" s="948"/>
      <c r="J4" s="948"/>
      <c r="K4" s="671"/>
      <c r="L4" s="671"/>
      <c r="M4" s="671"/>
      <c r="N4" s="674"/>
      <c r="O4" s="950"/>
      <c r="P4" s="957"/>
      <c r="Q4" s="184"/>
      <c r="R4" s="973"/>
      <c r="S4" s="974"/>
      <c r="T4" s="184"/>
      <c r="U4" s="704"/>
      <c r="V4" s="978"/>
      <c r="W4" s="704"/>
      <c r="X4" s="674"/>
      <c r="Y4" s="704"/>
      <c r="Z4" s="704"/>
      <c r="AA4" s="979"/>
      <c r="AB4" s="948"/>
      <c r="AC4" s="948"/>
      <c r="AD4" s="948"/>
      <c r="AE4" s="973"/>
      <c r="AF4" s="973"/>
      <c r="AG4" s="671"/>
      <c r="AH4" s="671"/>
      <c r="AI4" s="950"/>
      <c r="AJ4" s="950"/>
      <c r="AK4" s="980"/>
      <c r="AL4" s="184"/>
    </row>
    <row r="5" spans="1:38" ht="15.75" x14ac:dyDescent="0.25">
      <c r="A5" s="335">
        <v>6</v>
      </c>
      <c r="B5" s="17">
        <f>B6+hstr6</f>
        <v>17.75</v>
      </c>
      <c r="C5" s="21">
        <f t="shared" ref="C5:C10" si="0">(D5-D6)/(B5-B6)</f>
        <v>5.8212474220049415E-4</v>
      </c>
      <c r="D5" s="195">
        <f>_xlfn.IFS(($C$24=1),(theta_c*B5),($C$24=2),(theta_c*(B5-B6)*((4*$B$5-B5)/(4*$B$5-$B$10))),($C$24=3),(C35))</f>
        <v>0.19997802214130148</v>
      </c>
      <c r="E5" s="17">
        <f>mstr6</f>
        <v>63.074599999999997</v>
      </c>
      <c r="F5" s="21">
        <f t="shared" ref="F5:F10" si="1">E5*D5</f>
        <v>12.613533755353734</v>
      </c>
      <c r="G5" s="498">
        <f>((E5*D5)/(F12)*$L$15)</f>
        <v>45.860346187848613</v>
      </c>
      <c r="H5" s="498">
        <f>J5+$O$15</f>
        <v>45.860346187848613</v>
      </c>
      <c r="I5" s="498">
        <f>G5</f>
        <v>45.860346187848613</v>
      </c>
      <c r="J5" s="499">
        <f>I5-$O$15</f>
        <v>45.860346187848613</v>
      </c>
      <c r="K5" s="196">
        <f>IF(($H$16=0),(_xlfn.IFS((C5&lt;='Frame Capacities'!$BZ$11),(C5*hstr6*'Frame Capacities'!$BS$11),(AND((C5&gt;'Frame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Capacities'!$BM$11),(AND((C5&gt;'Frame Capacities'!$CB$11),(C5&lt;='Frame Capacities'!$CC$11))),((C5-'Frame Capacities'!$CB$11)*hstr6*('Frame Capacities'!$BV$11)+'Frame Capacities'!$BN$11),(AND((C5&gt;'Frame Capacities'!$CC$11),(C5&lt;='Frame Capacities'!$CD$11))),((C5-'Frame Capacities'!$CC$11)*hstr6*('Frame Capacities'!$BW$11)+'Frame Capacities'!$BO$11))),((C5-'Frame Capacities'!$CE$11)*hstr6*'Frame Capacities'!$BX$11+'Frame Capacities'!$BQ$11))</f>
        <v>2.0849479029288336</v>
      </c>
      <c r="L5" s="197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43.775398285219353</v>
      </c>
      <c r="M5" s="21">
        <f>K5/$C$16</f>
        <v>0.15776419659609711</v>
      </c>
      <c r="N5" s="198">
        <f>L5/$D$16</f>
        <v>0.15776419659609706</v>
      </c>
      <c r="O5" s="199">
        <f>K5+L5</f>
        <v>45.860346188148185</v>
      </c>
      <c r="P5" s="500">
        <f>J5-O5</f>
        <v>-2.9957192282381584E-10</v>
      </c>
      <c r="Q5" s="184"/>
      <c r="R5" s="44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1.7463742266006482E-3</v>
      </c>
      <c r="S5" s="519">
        <f>S6+R5</f>
        <v>0.19997802214079061</v>
      </c>
      <c r="T5" s="184"/>
      <c r="U5" s="487">
        <v>6</v>
      </c>
      <c r="V5" s="485">
        <f>V6+hstr6</f>
        <v>17.75</v>
      </c>
      <c r="W5" s="51">
        <f t="shared" ref="W5:W10" si="2">R5/(V5-V6)</f>
        <v>5.8212474220021605E-4</v>
      </c>
      <c r="X5" s="501">
        <f t="shared" ref="X5:X11" si="3">S5</f>
        <v>0.19997802214079061</v>
      </c>
      <c r="Y5" s="488">
        <f>mstr6</f>
        <v>63.074599999999997</v>
      </c>
      <c r="Z5" s="253">
        <f>Y5*X5</f>
        <v>12.613533755321511</v>
      </c>
      <c r="AA5" s="502">
        <f>((Y5*X5)/(Z12)*$L$15)</f>
        <v>45.860346187851206</v>
      </c>
      <c r="AB5" s="502">
        <f>AD5+$O$15</f>
        <v>45.860346187851206</v>
      </c>
      <c r="AC5" s="502">
        <f>AA5</f>
        <v>45.860346187851206</v>
      </c>
      <c r="AD5" s="503">
        <f>AC5-$O$15</f>
        <v>45.860346187851206</v>
      </c>
      <c r="AE5" s="87">
        <f>IF(($H$16=0),(_xlfn.IFS((W5&lt;='Frame Capacities'!$BZ$11),(W5*hstr6*'Frame Capacities'!$BS$11),(AND((W5&gt;'Frame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Capacities'!$BM$11),(AND((W5&gt;'Frame Capacities'!$CB$11),(W5&lt;='Frame Capacities'!$CC$11))),((W5-'Frame Capacities'!$CB$11)*hstr6*('Frame Capacities'!$BV$11)+'Frame Capacities'!$BN$11),(AND((W5&gt;'Frame Capacities'!$CC$11),(W5&lt;='Frame Capacities'!$CD$11))),((W5-'Frame Capacities'!$CC$11)*hstr6*('Frame Capacities'!$BW$11)+'Frame Capacities'!$BO$11))),((W5-'Frame Capacities'!$CE$11)*hstr6*'Frame Capacities'!$BX$11+'Frame Capacities'!$BQ$11))</f>
        <v>2.0849479029152107</v>
      </c>
      <c r="AF5" s="596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43.775398284933317</v>
      </c>
      <c r="AG5" s="51">
        <f>AE5/$C$16</f>
        <v>0.1577641965950663</v>
      </c>
      <c r="AH5" s="48">
        <f>AF5/$D$16</f>
        <v>0.15776419659506619</v>
      </c>
      <c r="AI5" s="505">
        <f t="shared" ref="AI5:AI10" si="4">AE5+AF5</f>
        <v>45.860346187848528</v>
      </c>
      <c r="AJ5" s="506">
        <f>AD5-AI5</f>
        <v>2.6787461138155777E-12</v>
      </c>
      <c r="AK5" s="201">
        <f>(AD5-(AI5))/AD5</f>
        <v>5.8410944017801594E-14</v>
      </c>
      <c r="AL5" s="184"/>
    </row>
    <row r="6" spans="1:38" ht="15.75" x14ac:dyDescent="0.25">
      <c r="A6" s="335">
        <v>5</v>
      </c>
      <c r="B6" s="17">
        <f>B7+hstr5</f>
        <v>14.75</v>
      </c>
      <c r="C6" s="21">
        <f t="shared" si="0"/>
        <v>1.09289563628522E-3</v>
      </c>
      <c r="D6" s="195">
        <f t="shared" ref="D6:D11" si="5">_xlfn.IFS(($C$24=1),(theta_c*B6),($C$24=2),(theta_c*(B6-B7)*((4*$B$5-B6)/(4*$B$5-$B$10))),($C$24=3),(C36))</f>
        <v>0.19823164791469999</v>
      </c>
      <c r="E6" s="17">
        <f>mstr5</f>
        <v>67.278400000000005</v>
      </c>
      <c r="F6" s="21">
        <f t="shared" si="1"/>
        <v>13.336708101064353</v>
      </c>
      <c r="G6" s="498">
        <f>((E6*D6)/(F12)*$L$15)</f>
        <v>48.48966692315669</v>
      </c>
      <c r="H6" s="498">
        <f>J6-J5+$O$16</f>
        <v>48.489666923156683</v>
      </c>
      <c r="I6" s="498">
        <f>I5+G6</f>
        <v>94.350013111005296</v>
      </c>
      <c r="J6" s="499">
        <f>I6-$O$16</f>
        <v>94.350013111005296</v>
      </c>
      <c r="K6" s="196">
        <f>IF(($H$17=0),(_xlfn.IFS((C6&lt;='Frame Capacities'!$BZ$12),(C6*hstr5*'Frame Capacities'!$BS$12),(AND((C6&gt;'Frame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Capacities'!$BM$12),(AND((C6&gt;'Frame Capacities'!$CB$12),(C6&lt;='Frame Capacities'!$CC$12))),((C6-'Frame Capacities'!$CB$12)*hstr5*('Frame Capacities'!$BV$12)+'Frame Capacities'!$BN$12),(AND((C6&gt;'Frame Capacities'!$CC$12),(C6&lt;='Frame Capacities'!$CD$12))),((C6-'Frame Capacities'!$CC$12)*hstr5*('Frame Capacities'!$BW$12)+'Frame Capacities'!$BO$12))),((C6-'Frame Capacities'!$CE$12)*hstr5*'Frame Capacities'!$BX$12+'Frame Capacities'!$BQ$12))</f>
        <v>4.1135223005117219</v>
      </c>
      <c r="L6" s="197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90.236490811012004</v>
      </c>
      <c r="M6" s="21">
        <f>K6/$C$17</f>
        <v>0.16102567389634273</v>
      </c>
      <c r="N6" s="198">
        <f>L6/$D$17</f>
        <v>0.16102567389634287</v>
      </c>
      <c r="O6" s="199">
        <f t="shared" ref="O6:O10" si="6">K6+L6</f>
        <v>94.350013111523722</v>
      </c>
      <c r="P6" s="500">
        <f>J6-O6</f>
        <v>-5.184261908652843E-10</v>
      </c>
      <c r="Q6" s="184"/>
      <c r="R6" s="49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3.2786869088543172E-3</v>
      </c>
      <c r="S6" s="520">
        <f>S7+R6</f>
        <v>0.19823164791418996</v>
      </c>
      <c r="T6" s="184"/>
      <c r="U6" s="487">
        <v>5</v>
      </c>
      <c r="V6" s="485">
        <f>V7+hstr5</f>
        <v>14.75</v>
      </c>
      <c r="W6" s="51">
        <f t="shared" si="2"/>
        <v>1.0928956362847725E-3</v>
      </c>
      <c r="X6" s="501">
        <f t="shared" si="3"/>
        <v>0.19823164791418996</v>
      </c>
      <c r="Y6" s="488">
        <f>mstr5</f>
        <v>67.278400000000005</v>
      </c>
      <c r="Z6" s="253">
        <f t="shared" ref="Z6:Z10" si="7">Y6*X6</f>
        <v>13.336708101030039</v>
      </c>
      <c r="AA6" s="502">
        <f>((Y6*X6)/(Z12)*$L$15)</f>
        <v>48.489666923158545</v>
      </c>
      <c r="AB6" s="502">
        <f>AD6-AD5+$O$16</f>
        <v>48.489666923158552</v>
      </c>
      <c r="AC6" s="502">
        <f>AC5+AA6</f>
        <v>94.350013111009758</v>
      </c>
      <c r="AD6" s="503">
        <f>AC6-$O$16</f>
        <v>94.350013111009758</v>
      </c>
      <c r="AE6" s="92">
        <f>IF(($H$17=0),(_xlfn.IFS((W6&lt;='Frame Capacities'!$BZ$12),(W6*hstr5*'Frame Capacities'!$BS$12),(AND((W6&gt;'Frame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Capacities'!$BM$12),(AND((W6&gt;'Frame Capacities'!$CB$12),(W6&lt;='Frame Capacities'!$CC$12))),((W6-'Frame Capacities'!$CB$12)*hstr5*('Frame Capacities'!$BV$12)+'Frame Capacities'!$BN$12),(AND((W6&gt;'Frame Capacities'!$CC$12),(W6&lt;='Frame Capacities'!$CD$12))),((W6-'Frame Capacities'!$CC$12)*hstr5*('Frame Capacities'!$BW$12)+'Frame Capacities'!$BO$12))),((W6-'Frame Capacities'!$CE$12)*hstr5*'Frame Capacities'!$BX$12+'Frame Capacities'!$BQ$12))</f>
        <v>4.1135223004891159</v>
      </c>
      <c r="AF6" s="50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90.236490810516102</v>
      </c>
      <c r="AG6" s="51">
        <f>AE6/$C$17</f>
        <v>0.1610256738954578</v>
      </c>
      <c r="AH6" s="48">
        <f>AF6/$D$17</f>
        <v>0.16102567389545794</v>
      </c>
      <c r="AI6" s="505">
        <f t="shared" si="4"/>
        <v>94.350013111005211</v>
      </c>
      <c r="AJ6" s="506">
        <f>AD6-AI6</f>
        <v>4.5474735088646412E-12</v>
      </c>
      <c r="AK6" s="201">
        <f t="shared" ref="AK6:AK10" si="8">(AD6-(AI6))/AD6</f>
        <v>4.8197910725398658E-14</v>
      </c>
      <c r="AL6" s="184"/>
    </row>
    <row r="7" spans="1:38" ht="15.75" x14ac:dyDescent="0.25">
      <c r="A7" s="335">
        <v>4</v>
      </c>
      <c r="B7" s="17">
        <f>B8+hstr4</f>
        <v>11.75</v>
      </c>
      <c r="C7" s="21">
        <f t="shared" si="0"/>
        <v>1.4649822896231808E-3</v>
      </c>
      <c r="D7" s="195">
        <f t="shared" si="5"/>
        <v>0.19495296100584433</v>
      </c>
      <c r="E7" s="17">
        <f>mstr4</f>
        <v>67.278400000000005</v>
      </c>
      <c r="F7" s="21">
        <f t="shared" si="1"/>
        <v>13.116123291735597</v>
      </c>
      <c r="G7" s="498">
        <f>((E7*D7)/(F12)*$L$15)</f>
        <v>47.687663621321974</v>
      </c>
      <c r="H7" s="498">
        <f>J7-J6+$O$17</f>
        <v>47.687663621321974</v>
      </c>
      <c r="I7" s="498">
        <f t="shared" ref="I7:I10" si="9">I6+G7</f>
        <v>142.03767673232727</v>
      </c>
      <c r="J7" s="499">
        <f>I7-$O$17</f>
        <v>142.03767673232727</v>
      </c>
      <c r="K7" s="196">
        <f>IF(($H$18=0),(_xlfn.IFS((C7&lt;='Frame Capacities'!$BZ$13),(C7*hstr4*'Frame Capacities'!$BS$13),(AND((C7&gt;'Frame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Capacities'!$BM$13),(AND((C7&gt;'Frame Capacities'!$CB$13),(C7&lt;='Frame Capacities'!$CC$13))),((C7-'Frame Capacities'!$CB$13)*hstr4*('Frame Capacities'!$BV$13)+'Frame Capacities'!$BN$13),(AND((C7&gt;'Frame Capacities'!$CC$13),(C7&lt;='Frame Capacities'!$CD$13))),((C7-'Frame Capacities'!$CC$13)*hstr4*('Frame Capacities'!$BW$13)+'Frame Capacities'!$BO$13))),((C7-'Frame Capacities'!$CE$13)*hstr4*'Frame Capacities'!$BX$13+'Frame Capacities'!$BQ$13))</f>
        <v>6.7626032668383544</v>
      </c>
      <c r="L7" s="197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135.27507346601328</v>
      </c>
      <c r="M7" s="21">
        <f>K7/$C$18</f>
        <v>0.16643916747167906</v>
      </c>
      <c r="N7" s="198">
        <f>L7/$D$18</f>
        <v>0.16643916747167922</v>
      </c>
      <c r="O7" s="199">
        <f t="shared" si="6"/>
        <v>142.03767673285165</v>
      </c>
      <c r="P7" s="500">
        <f t="shared" ref="P7:P10" si="10">J7-O7</f>
        <v>-5.2438053899095394E-10</v>
      </c>
      <c r="Q7" s="184"/>
      <c r="R7" s="49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4.3949468688682953E-3</v>
      </c>
      <c r="S7" s="520">
        <f t="shared" ref="S7:S9" si="11">S8+R7</f>
        <v>0.19495296100533563</v>
      </c>
      <c r="T7" s="184"/>
      <c r="U7" s="487">
        <v>4</v>
      </c>
      <c r="V7" s="485">
        <f>V8+hstr4</f>
        <v>11.75</v>
      </c>
      <c r="W7" s="51">
        <f t="shared" si="2"/>
        <v>1.4649822896227651E-3</v>
      </c>
      <c r="X7" s="501">
        <f t="shared" si="3"/>
        <v>0.19495296100533563</v>
      </c>
      <c r="Y7" s="488">
        <f>mstr4</f>
        <v>67.278400000000005</v>
      </c>
      <c r="Z7" s="253">
        <f t="shared" si="7"/>
        <v>13.116123291701374</v>
      </c>
      <c r="AA7" s="502">
        <f>((Y7*X7)/(Z12)*$L$15)</f>
        <v>47.687663621322066</v>
      </c>
      <c r="AB7" s="502">
        <f>AD7-AD6+$O$17</f>
        <v>47.687663621322059</v>
      </c>
      <c r="AC7" s="502">
        <f t="shared" ref="AC7:AC10" si="12">AC6+AA7</f>
        <v>142.03767673233182</v>
      </c>
      <c r="AD7" s="503">
        <f>AC7-$O$17</f>
        <v>142.03767673233182</v>
      </c>
      <c r="AE7" s="92">
        <f>IF(($H$18=0),(_xlfn.IFS((W7&lt;='Frame Capacities'!$BZ$13),(W7*hstr4*'Frame Capacities'!$BS$13),(AND((W7&gt;'Frame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Capacities'!$BM$13),(AND((W7&gt;'Frame Capacities'!$CB$13),(W7&lt;='Frame Capacities'!$CC$13))),((W7-'Frame Capacities'!$CB$13)*hstr4*('Frame Capacities'!$BV$13)+'Frame Capacities'!$BN$13),(AND((W7&gt;'Frame Capacities'!$CC$13),(W7&lt;='Frame Capacities'!$CD$13))),((W7-'Frame Capacities'!$CC$13)*hstr4*('Frame Capacities'!$BW$13)+'Frame Capacities'!$BO$13))),((W7-'Frame Capacities'!$CE$13)*hstr4*'Frame Capacities'!$BX$13+'Frame Capacities'!$BQ$13))</f>
        <v>6.7626032668133789</v>
      </c>
      <c r="AF7" s="50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135.27507346551363</v>
      </c>
      <c r="AG7" s="51">
        <f>AE7/$C$18</f>
        <v>0.16643916747106435</v>
      </c>
      <c r="AH7" s="48">
        <f>AF7/$D$18</f>
        <v>0.16643916747106444</v>
      </c>
      <c r="AI7" s="505">
        <f t="shared" si="4"/>
        <v>142.03767673232701</v>
      </c>
      <c r="AJ7" s="506">
        <f t="shared" ref="AJ7:AJ10" si="13">AD7-AI7</f>
        <v>4.8032688937382773E-12</v>
      </c>
      <c r="AK7" s="201">
        <f t="shared" si="8"/>
        <v>3.3816864681544853E-14</v>
      </c>
      <c r="AL7" s="184"/>
    </row>
    <row r="8" spans="1:38" ht="15.75" x14ac:dyDescent="0.25">
      <c r="A8" s="16">
        <v>3</v>
      </c>
      <c r="B8" s="17">
        <f>B9+hstr3</f>
        <v>8.75</v>
      </c>
      <c r="C8" s="21">
        <f t="shared" si="0"/>
        <v>3.1990608997851944E-3</v>
      </c>
      <c r="D8" s="195">
        <f t="shared" si="5"/>
        <v>0.19055801413697479</v>
      </c>
      <c r="E8" s="17">
        <f>mstr3</f>
        <v>67.278400000000005</v>
      </c>
      <c r="F8" s="21">
        <f t="shared" si="1"/>
        <v>12.820438298313046</v>
      </c>
      <c r="G8" s="498">
        <f>((E8*D8)/(F12)*$L$15)</f>
        <v>46.612610711969403</v>
      </c>
      <c r="H8" s="498">
        <f>J8-J7+$O$18</f>
        <v>46.61261071196941</v>
      </c>
      <c r="I8" s="498">
        <f t="shared" si="9"/>
        <v>188.65028744429668</v>
      </c>
      <c r="J8" s="499">
        <f>I8-$O$18</f>
        <v>188.65028744429668</v>
      </c>
      <c r="K8" s="196">
        <f>IF(($H$19=0),(_xlfn.IFS((C8&lt;='Frame Capacities'!$BZ$14),(C8*hstr3*'Frame Capacities'!$BS$14),(AND((C8&gt;'Frame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Capacities'!$BM$14),(AND((C8&gt;'Frame Capacities'!$CB$14),(C8&lt;='Frame Capacities'!$CC$14))),((C8-'Frame Capacities'!$CB$14)*hstr3*('Frame Capacities'!$BV$14)+'Frame Capacities'!$BN$14),(AND((C8&gt;'Frame Capacities'!$CC$14),(C8&lt;='Frame Capacities'!$CD$14))),((C8-'Frame Capacities'!$CC$14)*hstr3*('Frame Capacities'!$BW$14)+'Frame Capacities'!$BO$14))),((C8-'Frame Capacities'!$CE$14)*hstr3*'Frame Capacities'!$BX$14+'Frame Capacities'!$BQ$14))</f>
        <v>57.87647048534815</v>
      </c>
      <c r="L8" s="197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130.77381695919473</v>
      </c>
      <c r="M8" s="21">
        <f>K8/$C$19</f>
        <v>0.4933449489623799</v>
      </c>
      <c r="N8" s="198">
        <f>L8/$D$19</f>
        <v>0.13532237143542236</v>
      </c>
      <c r="O8" s="199">
        <f t="shared" si="6"/>
        <v>188.65028744454287</v>
      </c>
      <c r="P8" s="500">
        <f t="shared" si="10"/>
        <v>-2.4618884708615951E-10</v>
      </c>
      <c r="Q8" s="184"/>
      <c r="R8" s="49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9.5971826993550471E-3</v>
      </c>
      <c r="S8" s="520">
        <f t="shared" si="11"/>
        <v>0.19055801413646734</v>
      </c>
      <c r="T8" s="184"/>
      <c r="U8" s="487">
        <v>3</v>
      </c>
      <c r="V8" s="485">
        <f>V9+hstr3</f>
        <v>8.75</v>
      </c>
      <c r="W8" s="51">
        <f t="shared" si="2"/>
        <v>3.1990608997850157E-3</v>
      </c>
      <c r="X8" s="501">
        <f t="shared" si="3"/>
        <v>0.19055801413646734</v>
      </c>
      <c r="Y8" s="488">
        <f>mstr3</f>
        <v>67.278400000000005</v>
      </c>
      <c r="Z8" s="253">
        <f t="shared" si="7"/>
        <v>12.820438298278905</v>
      </c>
      <c r="AA8" s="502">
        <f>((Y8*X8)/(Z12)*$L$15)</f>
        <v>46.61261071196698</v>
      </c>
      <c r="AB8" s="502">
        <f>AD8-AD7+$O$18</f>
        <v>46.612610711966965</v>
      </c>
      <c r="AC8" s="502">
        <f t="shared" si="12"/>
        <v>188.65028744429878</v>
      </c>
      <c r="AD8" s="503">
        <f>AC8-$O$18</f>
        <v>188.65028744429878</v>
      </c>
      <c r="AE8" s="92">
        <f>IF(($H$19=0),(_xlfn.IFS((W8&lt;='Frame Capacities'!$BZ$14),(W8*hstr3*'Frame Capacities'!$BS$14),(AND((W8&gt;'Frame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Capacities'!$BM$14),(AND((W8&gt;'Frame Capacities'!$CB$14),(W8&lt;='Frame Capacities'!$CC$14))),((W8-'Frame Capacities'!$CB$14)*hstr3*('Frame Capacities'!$BV$14)+'Frame Capacities'!$BN$14),(AND((W8&gt;'Frame Capacities'!$CC$14),(W8&lt;='Frame Capacities'!$CD$14))),((W8-'Frame Capacities'!$CC$14)*hstr3*('Frame Capacities'!$BW$14)+'Frame Capacities'!$BO$14))),((W8-'Frame Capacities'!$CE$14)*hstr3*'Frame Capacities'!$BX$14+'Frame Capacities'!$BQ$14))</f>
        <v>57.876470485331815</v>
      </c>
      <c r="AF8" s="50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130.77381695896509</v>
      </c>
      <c r="AG8" s="51">
        <f>AE8/$C$19</f>
        <v>0.49334494896224063</v>
      </c>
      <c r="AH8" s="48">
        <f>AF8/$D$19</f>
        <v>0.13532237143518472</v>
      </c>
      <c r="AI8" s="505">
        <f t="shared" si="4"/>
        <v>188.65028744429691</v>
      </c>
      <c r="AJ8" s="506">
        <f t="shared" si="13"/>
        <v>1.8758328224066645E-12</v>
      </c>
      <c r="AK8" s="201">
        <f t="shared" si="8"/>
        <v>9.9434400435807774E-15</v>
      </c>
      <c r="AL8" s="184"/>
    </row>
    <row r="9" spans="1:38" ht="15.75" x14ac:dyDescent="0.25">
      <c r="A9" s="16">
        <v>2</v>
      </c>
      <c r="B9" s="17">
        <f>B10+hstr2</f>
        <v>5.75</v>
      </c>
      <c r="C9" s="21">
        <f t="shared" si="0"/>
        <v>5.7025203202769416E-2</v>
      </c>
      <c r="D9" s="195">
        <f t="shared" si="5"/>
        <v>0.18096083143761921</v>
      </c>
      <c r="E9" s="17">
        <f>mstr2</f>
        <v>67.278400000000005</v>
      </c>
      <c r="F9" s="21">
        <f t="shared" si="1"/>
        <v>12.174755201792721</v>
      </c>
      <c r="G9" s="498">
        <f>((E9*D9)/(F12)*$L$15)</f>
        <v>44.265033030061197</v>
      </c>
      <c r="H9" s="498">
        <f>J9-J8+$O$19</f>
        <v>44.265033030061204</v>
      </c>
      <c r="I9" s="498">
        <f t="shared" si="9"/>
        <v>232.91532047435788</v>
      </c>
      <c r="J9" s="499">
        <f>I9-$O$19</f>
        <v>232.91532047435788</v>
      </c>
      <c r="K9" s="196">
        <f>IF(($H$20=0),(_xlfn.IFS((C9&lt;='Frame Capacities'!$BZ$15),(C9*hstr2*'Frame Capacities'!$BS$15),(AND((C9&gt;'Frame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Capacities'!$BM$15),(AND((C9&gt;'Frame Capacities'!$CB$15),(C9&lt;='Frame Capacities'!$CC$15))),((C9-'Frame Capacities'!$CB$15)*hstr2*('Frame Capacities'!$BV$15)+'Frame Capacities'!$BN$15),(AND((C9&gt;'Frame Capacities'!$CC$15),(C9&lt;='Frame Capacities'!$CD$15))),((C9-'Frame Capacities'!$CC$15)*hstr2*('Frame Capacities'!$BW$15)+'Frame Capacities'!$BO$15))),((C9-'Frame Capacities'!$CE$15)*hstr2*'Frame Capacities'!$BX$15+'Frame Capacities'!$BQ$15))</f>
        <v>128.58732047364225</v>
      </c>
      <c r="L9" s="197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104.328</v>
      </c>
      <c r="M9" s="21">
        <f>K9/$C$20</f>
        <v>4.4238757043684265</v>
      </c>
      <c r="N9" s="198">
        <f>L9/$D$20</f>
        <v>1</v>
      </c>
      <c r="O9" s="199">
        <f t="shared" si="6"/>
        <v>232.91532047364225</v>
      </c>
      <c r="P9" s="500">
        <f t="shared" si="10"/>
        <v>7.156302217481425E-10</v>
      </c>
      <c r="Q9" s="184"/>
      <c r="R9" s="49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0.17107560960780133</v>
      </c>
      <c r="S9" s="520">
        <f t="shared" si="11"/>
        <v>0.18096083143711228</v>
      </c>
      <c r="T9" s="184"/>
      <c r="U9" s="487">
        <v>2</v>
      </c>
      <c r="V9" s="485">
        <f>V10+hstr2</f>
        <v>5.75</v>
      </c>
      <c r="W9" s="51">
        <f t="shared" si="2"/>
        <v>5.702520320260044E-2</v>
      </c>
      <c r="X9" s="501">
        <f t="shared" si="3"/>
        <v>0.18096083143711228</v>
      </c>
      <c r="Y9" s="488">
        <f>mstr2</f>
        <v>67.278400000000005</v>
      </c>
      <c r="Z9" s="253">
        <f t="shared" si="7"/>
        <v>12.174755201758616</v>
      </c>
      <c r="AA9" s="502">
        <f>((Y9*X9)/(Z12)*$L$15)</f>
        <v>44.265033030052784</v>
      </c>
      <c r="AB9" s="502">
        <f>AD9-AD8+$O$19</f>
        <v>44.265033030052791</v>
      </c>
      <c r="AC9" s="502">
        <f t="shared" si="12"/>
        <v>232.91532047435157</v>
      </c>
      <c r="AD9" s="503">
        <f>AC9-$O$19</f>
        <v>232.91532047435157</v>
      </c>
      <c r="AE9" s="92">
        <f>IF(($H$20=0),(_xlfn.IFS((W9&lt;='Frame Capacities'!$BZ$15),(W9*hstr2*'Frame Capacities'!$BS$15),(AND((W9&gt;'Frame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Capacities'!$BM$15),(AND((W9&gt;'Frame Capacities'!$CB$15),(W9&lt;='Frame Capacities'!$CC$15))),((W9-'Frame Capacities'!$CB$15)*hstr2*('Frame Capacities'!$BV$15)+'Frame Capacities'!$BN$15),(AND((W9&gt;'Frame Capacities'!$CC$15),(W9&lt;='Frame Capacities'!$CD$15))),((W9-'Frame Capacities'!$CC$15)*hstr2*('Frame Capacities'!$BW$15)+'Frame Capacities'!$BO$15))),((W9-'Frame Capacities'!$CE$15)*hstr2*'Frame Capacities'!$BX$15+'Frame Capacities'!$BQ$15))</f>
        <v>128.58732047435802</v>
      </c>
      <c r="AF9" s="50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104.328</v>
      </c>
      <c r="AG9" s="51">
        <f>AE9/$C$20</f>
        <v>4.4238757043930512</v>
      </c>
      <c r="AH9" s="48">
        <f>AF9/$D$20</f>
        <v>1</v>
      </c>
      <c r="AI9" s="505">
        <f t="shared" si="4"/>
        <v>232.91532047435803</v>
      </c>
      <c r="AJ9" s="506">
        <f t="shared" si="13"/>
        <v>-6.4517280407017097E-12</v>
      </c>
      <c r="AK9" s="201">
        <f t="shared" si="8"/>
        <v>-2.7699886926983697E-14</v>
      </c>
      <c r="AL9" s="184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3.59462611974944E-3</v>
      </c>
      <c r="D10" s="195">
        <f t="shared" si="5"/>
        <v>9.8852218293109598E-3</v>
      </c>
      <c r="E10" s="17">
        <f>mstr1</f>
        <v>67.278400000000005</v>
      </c>
      <c r="F10" s="21">
        <f t="shared" si="1"/>
        <v>0.66506190832111456</v>
      </c>
      <c r="G10" s="498">
        <f>((E10*D10)/(F12)*$L$15)</f>
        <v>2.4180352582805775</v>
      </c>
      <c r="H10" s="498">
        <f>J10-J9+$O$20</f>
        <v>2.4180352582805824</v>
      </c>
      <c r="I10" s="498">
        <f t="shared" si="9"/>
        <v>235.33335573263847</v>
      </c>
      <c r="J10" s="499">
        <f>I10-$O$20</f>
        <v>235.33335573263847</v>
      </c>
      <c r="K10" s="196">
        <f>IF(($H$21=0),(_xlfn.IFS((C10&lt;='Frame Capacities'!$BZ$16),(C10*hstr1*'Frame Capacities'!$BS$16),(AND((C10&gt;'Frame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Capacities'!$BM$16),(AND((C10&gt;'Frame Capacities'!$CB$16),(C10&lt;='Frame Capacities'!$CC$16))),((C10-'Frame Capacities'!$CB$16)*hstr1*('Frame Capacities'!$BV$16)+'Frame Capacities'!$BN$16),(AND((C10&gt;'Frame Capacities'!$CC$16),(C10&lt;='Frame Capacities'!$CD$16))),((C10-'Frame Capacities'!$CC$16)*hstr1*('Frame Capacities'!$BW$16)+'Frame Capacities'!$BO$16))),((C10-'Frame Capacities'!$CE$16)*hstr1*'Frame Capacities'!$BX$16+'Frame Capacities'!$BQ$16))</f>
        <v>186.14201445239416</v>
      </c>
      <c r="L10" s="197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49.191341280244046</v>
      </c>
      <c r="M10" s="21">
        <f>K10/$C$21</f>
        <v>0.52356941144662617</v>
      </c>
      <c r="N10" s="198">
        <f>L10/$D$21</f>
        <v>5.1255215865162594E-2</v>
      </c>
      <c r="O10" s="199">
        <f t="shared" si="6"/>
        <v>235.33335573263821</v>
      </c>
      <c r="P10" s="500">
        <f t="shared" si="10"/>
        <v>2.5579538487363607E-13</v>
      </c>
      <c r="Q10" s="184"/>
      <c r="R10" s="49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9.8852218293109598E-3</v>
      </c>
      <c r="S10" s="520">
        <f>S11+R10</f>
        <v>9.8852218293109598E-3</v>
      </c>
      <c r="T10" s="184"/>
      <c r="U10" s="487">
        <v>1</v>
      </c>
      <c r="V10" s="485">
        <f>V11+hstr1</f>
        <v>2.75</v>
      </c>
      <c r="W10" s="51">
        <f t="shared" si="2"/>
        <v>3.59462611974944E-3</v>
      </c>
      <c r="X10" s="501">
        <f t="shared" si="3"/>
        <v>9.8852218293109598E-3</v>
      </c>
      <c r="Y10" s="488">
        <f>mstr1</f>
        <v>67.278400000000005</v>
      </c>
      <c r="Z10" s="253">
        <f t="shared" si="7"/>
        <v>0.66506190832111456</v>
      </c>
      <c r="AA10" s="502">
        <f>((Y10*X10)/(Z12)*$L$15)</f>
        <v>2.4180352582868916</v>
      </c>
      <c r="AB10" s="502">
        <f>AD10-AD9+$O$20</f>
        <v>2.418035258286892</v>
      </c>
      <c r="AC10" s="502">
        <f t="shared" si="12"/>
        <v>235.33335573263847</v>
      </c>
      <c r="AD10" s="503">
        <f>AC10-$O$20</f>
        <v>235.33335573263847</v>
      </c>
      <c r="AE10" s="92">
        <f>IF(($H$21=0),(_xlfn.IFS((W10&lt;='Frame Capacities'!$BZ$16),(W10*hstr1*'Frame Capacities'!$BS$16),(AND((W10&gt;'Frame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Capacities'!$BM$16),(AND((W10&gt;'Frame Capacities'!$CB$16),(W10&lt;='Frame Capacities'!$CC$16))),((W10-'Frame Capacities'!$CB$16)*hstr1*('Frame Capacities'!$BV$16)+'Frame Capacities'!$BN$16),(AND((W10&gt;'Frame Capacities'!$CC$16),(W10&lt;='Frame Capacities'!$CD$16))),((W10-'Frame Capacities'!$CC$16)*hstr1*('Frame Capacities'!$BW$16)+'Frame Capacities'!$BO$16))),((W10-'Frame Capacities'!$CE$16)*hstr1*'Frame Capacities'!$BX$16+'Frame Capacities'!$BQ$16))</f>
        <v>186.14201445239416</v>
      </c>
      <c r="AF10" s="50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49.191341280244046</v>
      </c>
      <c r="AG10" s="51">
        <f>AE10/$C$21</f>
        <v>0.52356941144662617</v>
      </c>
      <c r="AH10" s="48">
        <f>AF10/$D$21</f>
        <v>5.1255215865162594E-2</v>
      </c>
      <c r="AI10" s="505">
        <f t="shared" si="4"/>
        <v>235.33335573263821</v>
      </c>
      <c r="AJ10" s="506">
        <f t="shared" si="13"/>
        <v>2.5579538487363607E-13</v>
      </c>
      <c r="AK10" s="201">
        <f t="shared" si="8"/>
        <v>1.0869491240512648E-15</v>
      </c>
      <c r="AL10" s="184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195">
        <f t="shared" si="5"/>
        <v>0</v>
      </c>
      <c r="E11" s="17" t="s">
        <v>66</v>
      </c>
      <c r="F11" s="21">
        <v>0</v>
      </c>
      <c r="G11" s="498" t="s">
        <v>66</v>
      </c>
      <c r="H11" s="498" t="s">
        <v>66</v>
      </c>
      <c r="I11" s="498" t="s">
        <v>66</v>
      </c>
      <c r="J11" s="498" t="s">
        <v>66</v>
      </c>
      <c r="K11" s="196" t="s">
        <v>66</v>
      </c>
      <c r="L11" s="196" t="s">
        <v>66</v>
      </c>
      <c r="M11" s="202" t="s">
        <v>66</v>
      </c>
      <c r="N11" s="203" t="s">
        <v>66</v>
      </c>
      <c r="O11" s="204" t="s">
        <v>66</v>
      </c>
      <c r="P11" s="205" t="s">
        <v>66</v>
      </c>
      <c r="Q11" s="184"/>
      <c r="R11" s="522">
        <v>0</v>
      </c>
      <c r="S11" s="521">
        <f>R11</f>
        <v>0</v>
      </c>
      <c r="T11" s="184"/>
      <c r="U11" s="484">
        <v>0</v>
      </c>
      <c r="V11" s="486">
        <f>hstr0</f>
        <v>0</v>
      </c>
      <c r="W11" s="68" t="s">
        <v>66</v>
      </c>
      <c r="X11" s="507">
        <f t="shared" si="3"/>
        <v>0</v>
      </c>
      <c r="Y11" s="139" t="s">
        <v>66</v>
      </c>
      <c r="Z11" s="255">
        <v>0</v>
      </c>
      <c r="AA11" s="508" t="s">
        <v>66</v>
      </c>
      <c r="AB11" s="508" t="s">
        <v>66</v>
      </c>
      <c r="AC11" s="508" t="s">
        <v>66</v>
      </c>
      <c r="AD11" s="508" t="s">
        <v>66</v>
      </c>
      <c r="AE11" s="149" t="s">
        <v>66</v>
      </c>
      <c r="AF11" s="149" t="s">
        <v>66</v>
      </c>
      <c r="AG11" s="142" t="s">
        <v>66</v>
      </c>
      <c r="AH11" s="149" t="s">
        <v>66</v>
      </c>
      <c r="AI11" s="509" t="s">
        <v>66</v>
      </c>
      <c r="AJ11" s="510" t="s">
        <v>66</v>
      </c>
      <c r="AK11" s="184"/>
      <c r="AL11" s="184"/>
    </row>
    <row r="12" spans="1:38" x14ac:dyDescent="0.25">
      <c r="A12" s="5"/>
      <c r="B12" s="6"/>
      <c r="C12" s="6"/>
      <c r="D12" s="6"/>
      <c r="E12" s="285" t="s">
        <v>78</v>
      </c>
      <c r="F12" s="473">
        <f>SUM(F5:F11)</f>
        <v>64.726620556580571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84"/>
      <c r="R12" s="184"/>
      <c r="S12" s="184"/>
      <c r="T12" s="184"/>
      <c r="U12" s="6"/>
      <c r="V12" s="6"/>
      <c r="W12" s="6"/>
      <c r="X12" s="6"/>
      <c r="Y12" s="511" t="s">
        <v>78</v>
      </c>
      <c r="Z12" s="512">
        <f>SUM(Z5:Z11)</f>
        <v>64.726620556411561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84"/>
      <c r="AL12" s="184"/>
    </row>
    <row r="13" spans="1:38" x14ac:dyDescent="0.25">
      <c r="A13" s="5"/>
      <c r="B13" s="184"/>
      <c r="C13" s="184"/>
      <c r="D13" s="184"/>
      <c r="E13" s="184"/>
      <c r="F13" s="184"/>
      <c r="H13" s="184"/>
      <c r="I13" s="6"/>
      <c r="J13" s="6"/>
      <c r="M13" s="6"/>
      <c r="N13" s="6"/>
      <c r="O13" s="6"/>
      <c r="P13" s="7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</row>
    <row r="14" spans="1:38" ht="15" customHeight="1" thickBot="1" x14ac:dyDescent="0.3">
      <c r="A14" s="5"/>
      <c r="B14" s="975" t="s">
        <v>83</v>
      </c>
      <c r="C14" s="976"/>
      <c r="D14" s="976"/>
      <c r="E14" s="976"/>
      <c r="F14" s="976"/>
      <c r="G14" s="976"/>
      <c r="H14" s="977"/>
      <c r="I14" s="208"/>
      <c r="J14" s="208"/>
      <c r="K14" s="981" t="s">
        <v>267</v>
      </c>
      <c r="L14" s="981"/>
      <c r="M14" s="6"/>
      <c r="N14" s="489" t="s">
        <v>489</v>
      </c>
      <c r="O14" s="490" t="s">
        <v>490</v>
      </c>
      <c r="P14" s="7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</row>
    <row r="15" spans="1:38" ht="16.5" thickBot="1" x14ac:dyDescent="0.3">
      <c r="A15" s="5"/>
      <c r="B15" s="8" t="s">
        <v>5</v>
      </c>
      <c r="C15" s="8" t="s">
        <v>187</v>
      </c>
      <c r="D15" s="8" t="s">
        <v>188</v>
      </c>
      <c r="E15" s="8" t="s">
        <v>68</v>
      </c>
      <c r="F15" s="8" t="s">
        <v>70</v>
      </c>
      <c r="G15" s="524" t="s">
        <v>177</v>
      </c>
      <c r="H15" s="568" t="s">
        <v>495</v>
      </c>
      <c r="I15" s="572" t="s">
        <v>496</v>
      </c>
      <c r="J15" s="6"/>
      <c r="K15" s="207" t="s">
        <v>268</v>
      </c>
      <c r="L15" s="196">
        <f>S68</f>
        <v>235.33335573263847</v>
      </c>
      <c r="M15" s="6"/>
      <c r="N15" s="491">
        <v>6</v>
      </c>
      <c r="O15" s="492">
        <f t="shared" ref="O15:O20" si="14">P68</f>
        <v>0</v>
      </c>
      <c r="P15" s="7"/>
      <c r="Q15" s="184"/>
      <c r="R15" s="958" t="s">
        <v>242</v>
      </c>
      <c r="S15" s="960"/>
      <c r="T15" s="194"/>
      <c r="U15" s="958" t="s">
        <v>242</v>
      </c>
      <c r="V15" s="959"/>
      <c r="W15" s="959"/>
      <c r="X15" s="959"/>
      <c r="Y15" s="959"/>
      <c r="Z15" s="959"/>
      <c r="AA15" s="959"/>
      <c r="AB15" s="959"/>
      <c r="AC15" s="959"/>
      <c r="AD15" s="959"/>
      <c r="AE15" s="959"/>
      <c r="AF15" s="959"/>
      <c r="AG15" s="959"/>
      <c r="AH15" s="959"/>
      <c r="AI15" s="959"/>
      <c r="AJ15" s="960"/>
      <c r="AK15" s="184"/>
      <c r="AL15" s="184"/>
    </row>
    <row r="16" spans="1:38" ht="15.75" customHeight="1" x14ac:dyDescent="0.25">
      <c r="A16" s="5"/>
      <c r="B16" s="352">
        <v>6</v>
      </c>
      <c r="C16" s="17">
        <f>'System Capacities'!N6</f>
        <v>13.215596110609628</v>
      </c>
      <c r="D16" s="17">
        <f>'System Capacities'!O6</f>
        <v>277.47359178896437</v>
      </c>
      <c r="E16" s="571">
        <f>IF(($H16=0),('System Capacities'!P6),('System Capacities'!C56))</f>
        <v>290.68918789957399</v>
      </c>
      <c r="F16" s="571">
        <f>IF(($H16=0),('System Capacities'!Q6),('System Capacities'!D56))</f>
        <v>8.0934433398997536E-4</v>
      </c>
      <c r="G16" s="571">
        <f>IF(($H16=0),('System Capacities'!R6),('System Capacities'!E56))</f>
        <v>359166.27286004391</v>
      </c>
      <c r="H16" s="569">
        <v>1</v>
      </c>
      <c r="I16" s="586"/>
      <c r="J16" s="6"/>
      <c r="K16" s="416" t="s">
        <v>258</v>
      </c>
      <c r="L16" s="200">
        <v>1</v>
      </c>
      <c r="M16" s="6"/>
      <c r="N16" s="491">
        <v>5</v>
      </c>
      <c r="O16" s="492">
        <f t="shared" si="14"/>
        <v>0</v>
      </c>
      <c r="P16" s="7"/>
      <c r="Q16" s="184"/>
      <c r="R16" s="707" t="s">
        <v>81</v>
      </c>
      <c r="S16" s="703" t="s">
        <v>80</v>
      </c>
      <c r="T16" s="184"/>
      <c r="U16" s="704" t="s">
        <v>0</v>
      </c>
      <c r="V16" s="978" t="s">
        <v>72</v>
      </c>
      <c r="W16" s="704" t="s">
        <v>101</v>
      </c>
      <c r="X16" s="674" t="s">
        <v>74</v>
      </c>
      <c r="Y16" s="704" t="s">
        <v>76</v>
      </c>
      <c r="Z16" s="704" t="s">
        <v>77</v>
      </c>
      <c r="AA16" s="979" t="s">
        <v>491</v>
      </c>
      <c r="AB16" s="948" t="s">
        <v>492</v>
      </c>
      <c r="AC16" s="948" t="s">
        <v>493</v>
      </c>
      <c r="AD16" s="948" t="s">
        <v>494</v>
      </c>
      <c r="AE16" s="671" t="s">
        <v>184</v>
      </c>
      <c r="AF16" s="671" t="s">
        <v>183</v>
      </c>
      <c r="AG16" s="671" t="s">
        <v>185</v>
      </c>
      <c r="AH16" s="671" t="s">
        <v>186</v>
      </c>
      <c r="AI16" s="950" t="s">
        <v>347</v>
      </c>
      <c r="AJ16" s="950" t="s">
        <v>389</v>
      </c>
      <c r="AK16" s="980" t="s">
        <v>237</v>
      </c>
      <c r="AL16" s="184"/>
    </row>
    <row r="17" spans="1:38" ht="15.75" x14ac:dyDescent="0.25">
      <c r="A17" s="5"/>
      <c r="B17" s="352">
        <v>5</v>
      </c>
      <c r="C17" s="17">
        <f>'System Capacities'!N7</f>
        <v>25.545754294807207</v>
      </c>
      <c r="D17" s="17">
        <f>'System Capacities'!O7</f>
        <v>560.38573618452904</v>
      </c>
      <c r="E17" s="571">
        <f>IF(($H17=0),('System Capacities'!P7),('System Capacities'!G56))</f>
        <v>585.93149047933628</v>
      </c>
      <c r="F17" s="571">
        <f>IF(($H17=0),('System Capacities'!Q7),('System Capacities'!H56))</f>
        <v>1.517190169677238E-3</v>
      </c>
      <c r="G17" s="571">
        <f>IF(($H17=0),('System Capacities'!R7),('System Capacities'!I56))</f>
        <v>386195.15350800438</v>
      </c>
      <c r="H17" s="569">
        <v>1</v>
      </c>
      <c r="I17" s="586"/>
      <c r="J17" s="6"/>
      <c r="K17" s="6"/>
      <c r="L17" s="6"/>
      <c r="M17" s="6"/>
      <c r="N17" s="491">
        <v>4</v>
      </c>
      <c r="O17" s="492">
        <f t="shared" si="14"/>
        <v>0</v>
      </c>
      <c r="P17" s="7"/>
      <c r="Q17" s="184"/>
      <c r="R17" s="973"/>
      <c r="S17" s="974"/>
      <c r="T17" s="184"/>
      <c r="U17" s="704"/>
      <c r="V17" s="978"/>
      <c r="W17" s="704"/>
      <c r="X17" s="674"/>
      <c r="Y17" s="704"/>
      <c r="Z17" s="704"/>
      <c r="AA17" s="979"/>
      <c r="AB17" s="948"/>
      <c r="AC17" s="948"/>
      <c r="AD17" s="948"/>
      <c r="AE17" s="671"/>
      <c r="AF17" s="671"/>
      <c r="AG17" s="671"/>
      <c r="AH17" s="671"/>
      <c r="AI17" s="950"/>
      <c r="AJ17" s="950"/>
      <c r="AK17" s="980"/>
      <c r="AL17" s="184"/>
    </row>
    <row r="18" spans="1:38" ht="15.75" x14ac:dyDescent="0.25">
      <c r="A18" s="5"/>
      <c r="B18" s="352">
        <v>4</v>
      </c>
      <c r="C18" s="17">
        <f>'System Capacities'!N8</f>
        <v>40.63108083011209</v>
      </c>
      <c r="D18" s="17">
        <f>'System Capacities'!O8</f>
        <v>812.7598540711956</v>
      </c>
      <c r="E18" s="571">
        <f>IF(($H18=0),('System Capacities'!P8),('System Capacities'!K56))</f>
        <v>853.39093490130767</v>
      </c>
      <c r="F18" s="571">
        <f>IF(($H18=0),('System Capacities'!Q8),('System Capacities'!L56))</f>
        <v>2.0286500239001036E-3</v>
      </c>
      <c r="G18" s="571">
        <f>IF(($H18=0),('System Capacities'!R8),('System Capacities'!M56))</f>
        <v>420669.37364615191</v>
      </c>
      <c r="H18" s="569">
        <v>1</v>
      </c>
      <c r="I18" s="586"/>
      <c r="J18" s="6"/>
      <c r="K18" s="6"/>
      <c r="L18" s="209"/>
      <c r="M18" s="6"/>
      <c r="N18" s="493">
        <v>3</v>
      </c>
      <c r="O18" s="492">
        <f t="shared" si="14"/>
        <v>0</v>
      </c>
      <c r="P18" s="7"/>
      <c r="Q18" s="184"/>
      <c r="R18" s="44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1.7463742266006555E-3</v>
      </c>
      <c r="S18" s="519">
        <f>S19+R18</f>
        <v>0.1999780221407951</v>
      </c>
      <c r="T18" s="184"/>
      <c r="U18" s="487">
        <v>6</v>
      </c>
      <c r="V18" s="485">
        <f>V19+hstr6</f>
        <v>17.75</v>
      </c>
      <c r="W18" s="51">
        <f t="shared" ref="W18:W23" si="15">R18/(V18-V19)</f>
        <v>5.8212474220021855E-4</v>
      </c>
      <c r="X18" s="501">
        <f t="shared" ref="X18:X24" si="16">S18</f>
        <v>0.1999780221407951</v>
      </c>
      <c r="Y18" s="488">
        <f>mstr6</f>
        <v>63.074599999999997</v>
      </c>
      <c r="Z18" s="253">
        <f t="shared" ref="Z18:Z23" si="17">Y18*X18</f>
        <v>12.613533755321795</v>
      </c>
      <c r="AA18" s="502">
        <f>((Y18*X18)/(Z25)*$L$15)</f>
        <v>45.860346187851178</v>
      </c>
      <c r="AB18" s="502">
        <f>AD18+$O$15</f>
        <v>45.860346187851178</v>
      </c>
      <c r="AC18" s="502">
        <f>AA18</f>
        <v>45.860346187851178</v>
      </c>
      <c r="AD18" s="503">
        <f>AC18-$O$15</f>
        <v>45.860346187851178</v>
      </c>
      <c r="AE18" s="87">
        <f>IF(($H$16=0),(_xlfn.IFS((W18&lt;='Frame Capacities'!$BZ$11),(W18*hstr6*'Frame Capacities'!$BS$11),(AND((W18&gt;'Frame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Capacities'!$BM$11),(AND((W18&gt;'Frame Capacities'!$CB$11),(W18&lt;='Frame Capacities'!$CC$11))),((W18-'Frame Capacities'!$CB$11)*hstr6*('Frame Capacities'!$BV$11)+'Frame Capacities'!$BN$11),(AND((W18&gt;'Frame Capacities'!$CC$11),(W18&lt;='Frame Capacities'!$CD$11))),((W18-'Frame Capacities'!$CC$11)*hstr6*('Frame Capacities'!$BW$11)+'Frame Capacities'!$BO$11))),((W18-'Frame Capacities'!$CE$11)*hstr6*'Frame Capacities'!$BX$11+'Frame Capacities'!$BQ$11))</f>
        <v>2.0849479029153315</v>
      </c>
      <c r="AF18" s="596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43.775398284935903</v>
      </c>
      <c r="AG18" s="51">
        <f>AE18/$C$16</f>
        <v>0.15776419659507543</v>
      </c>
      <c r="AH18" s="48">
        <f>AF18/$D$16</f>
        <v>0.15776419659507551</v>
      </c>
      <c r="AI18" s="505">
        <f t="shared" ref="AI18:AI23" si="18">AE18+AF18</f>
        <v>45.860346187851235</v>
      </c>
      <c r="AJ18" s="506">
        <f>AD18-AI18</f>
        <v>-5.6843418860808015E-14</v>
      </c>
      <c r="AK18" s="201">
        <f>(AD18-(AI18))/AD18</f>
        <v>-1.2394895282292124E-15</v>
      </c>
      <c r="AL18" s="184"/>
    </row>
    <row r="19" spans="1:38" ht="15.75" x14ac:dyDescent="0.25">
      <c r="A19" s="5"/>
      <c r="B19" s="120">
        <v>3</v>
      </c>
      <c r="C19" s="17">
        <f>'System Capacities'!N9</f>
        <v>117.3144077122426</v>
      </c>
      <c r="D19" s="17">
        <f>'System Capacities'!O9</f>
        <v>966.38726894910894</v>
      </c>
      <c r="E19" s="571">
        <f>IF(($H19=0),('System Capacities'!P9),('System Capacities'!C69))</f>
        <v>1083.7016766613515</v>
      </c>
      <c r="F19" s="571">
        <f>IF(($H19=0),('System Capacities'!Q9),('System Capacities'!D69))</f>
        <v>3.8491195144697114E-3</v>
      </c>
      <c r="G19" s="571">
        <f>IF(($H19=0),('System Capacities'!R9),('System Capacities'!E69))</f>
        <v>458959.32510188082</v>
      </c>
      <c r="H19" s="569">
        <v>1</v>
      </c>
      <c r="I19" s="586"/>
      <c r="J19" s="6"/>
      <c r="K19" s="184"/>
      <c r="L19" s="184"/>
      <c r="M19" s="6"/>
      <c r="N19" s="493">
        <v>2</v>
      </c>
      <c r="O19" s="492">
        <f t="shared" si="14"/>
        <v>0</v>
      </c>
      <c r="P19" s="7"/>
      <c r="Q19" s="184"/>
      <c r="R19" s="49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3.2786869088543289E-3</v>
      </c>
      <c r="S19" s="520">
        <f>S20+R19</f>
        <v>0.19823164791419445</v>
      </c>
      <c r="T19" s="184"/>
      <c r="U19" s="487">
        <v>5</v>
      </c>
      <c r="V19" s="485">
        <f>V20+hstr5</f>
        <v>14.75</v>
      </c>
      <c r="W19" s="51">
        <f t="shared" si="15"/>
        <v>1.0928956362847764E-3</v>
      </c>
      <c r="X19" s="501">
        <f t="shared" si="16"/>
        <v>0.19823164791419445</v>
      </c>
      <c r="Y19" s="488">
        <f>mstr5</f>
        <v>67.278400000000005</v>
      </c>
      <c r="Z19" s="253">
        <f t="shared" si="17"/>
        <v>13.336708101030341</v>
      </c>
      <c r="AA19" s="502">
        <f>((Y19*X19)/(Z25)*$L$15)</f>
        <v>48.489666923158524</v>
      </c>
      <c r="AB19" s="502">
        <f>AD19-AD18+$O$16</f>
        <v>48.489666923158524</v>
      </c>
      <c r="AC19" s="502">
        <f>AC18+AA19</f>
        <v>94.350013111009702</v>
      </c>
      <c r="AD19" s="503">
        <f>AC19-$O$16</f>
        <v>94.350013111009702</v>
      </c>
      <c r="AE19" s="92">
        <f>IF(($H$17=0),(_xlfn.IFS((W19&lt;='Frame Capacities'!$BZ$12),(W19*hstr5*'Frame Capacities'!$BS$12),(AND((W19&gt;'Frame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Capacities'!$BM$12),(AND((W19&gt;'Frame Capacities'!$CB$12),(W19&lt;='Frame Capacities'!$CC$12))),((W19-'Frame Capacities'!$CB$12)*hstr5*('Frame Capacities'!$BV$12)+'Frame Capacities'!$BN$12),(AND((W19&gt;'Frame Capacities'!$CC$12),(W19&lt;='Frame Capacities'!$CD$12))),((W19-'Frame Capacities'!$CC$12)*hstr5*('Frame Capacities'!$BW$12)+'Frame Capacities'!$BO$12))),((W19-'Frame Capacities'!$CE$12)*hstr5*'Frame Capacities'!$BX$12+'Frame Capacities'!$BQ$12))</f>
        <v>4.1135223004893113</v>
      </c>
      <c r="AF19" s="50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90.236490810520422</v>
      </c>
      <c r="AG19" s="51">
        <f>AE19/$C$17</f>
        <v>0.16102567389546546</v>
      </c>
      <c r="AH19" s="48">
        <f>AF19/$D$17</f>
        <v>0.16102567389546565</v>
      </c>
      <c r="AI19" s="505">
        <f t="shared" si="18"/>
        <v>94.35001311100973</v>
      </c>
      <c r="AJ19" s="506">
        <f>AD19-AI19</f>
        <v>0</v>
      </c>
      <c r="AK19" s="201">
        <f t="shared" ref="AK19:AK23" si="19">(AD19-(AI19))/AD19</f>
        <v>-3.0123694203374179E-16</v>
      </c>
      <c r="AL19" s="184"/>
    </row>
    <row r="20" spans="1:38" ht="15.75" x14ac:dyDescent="0.25">
      <c r="A20" s="5"/>
      <c r="B20" s="120">
        <v>2</v>
      </c>
      <c r="C20" s="17">
        <f>'System Capacities'!N10</f>
        <v>29.066666666666666</v>
      </c>
      <c r="D20" s="17">
        <f>'System Capacities'!O10</f>
        <v>104.328</v>
      </c>
      <c r="E20" s="571">
        <f>IF(($H20=0),('System Capacities'!P10),('System Capacities'!G69))</f>
        <v>135.59885884496498</v>
      </c>
      <c r="F20" s="571">
        <f>IF(($H20=0),('System Capacities'!Q10),('System Capacities'!H69))</f>
        <v>0.08</v>
      </c>
      <c r="G20" s="571">
        <f>IF(($H20=0),('System Capacities'!R10),('System Capacities'!I69))</f>
        <v>-1411.9306834001077</v>
      </c>
      <c r="H20" s="569">
        <v>0</v>
      </c>
      <c r="I20" s="586"/>
      <c r="J20" s="6"/>
      <c r="K20" s="184"/>
      <c r="L20" s="184"/>
      <c r="M20" s="6"/>
      <c r="N20" s="494">
        <v>1</v>
      </c>
      <c r="O20" s="495">
        <f t="shared" si="14"/>
        <v>0</v>
      </c>
      <c r="P20" s="7"/>
      <c r="Q20" s="184"/>
      <c r="R20" s="49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4.3949468688683066E-3</v>
      </c>
      <c r="S20" s="520">
        <f t="shared" ref="S20:S22" si="20">S21+R20</f>
        <v>0.19495296100534013</v>
      </c>
      <c r="T20" s="184"/>
      <c r="U20" s="487">
        <v>4</v>
      </c>
      <c r="V20" s="485">
        <f>V21+hstr4</f>
        <v>11.75</v>
      </c>
      <c r="W20" s="51">
        <f t="shared" si="15"/>
        <v>1.4649822896227688E-3</v>
      </c>
      <c r="X20" s="501">
        <f t="shared" si="16"/>
        <v>0.19495296100534013</v>
      </c>
      <c r="Y20" s="488">
        <f>mstr4</f>
        <v>67.278400000000005</v>
      </c>
      <c r="Z20" s="253">
        <f t="shared" si="17"/>
        <v>13.116123291701676</v>
      </c>
      <c r="AA20" s="502">
        <f>((Y20*X20)/(Z25)*$L$15)</f>
        <v>47.687663621322059</v>
      </c>
      <c r="AB20" s="502">
        <f>AD20-AD19+$O$17</f>
        <v>47.687663621322059</v>
      </c>
      <c r="AC20" s="502">
        <f t="shared" ref="AC20:AC23" si="21">AC19+AA20</f>
        <v>142.03767673233176</v>
      </c>
      <c r="AD20" s="503">
        <f>AC20-$O$17</f>
        <v>142.03767673233176</v>
      </c>
      <c r="AE20" s="92">
        <f>IF(($H$18=0),(_xlfn.IFS((W20&lt;='Frame Capacities'!$BZ$13),(W20*hstr4*'Frame Capacities'!$BS$13),(AND((W20&gt;'Frame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Capacities'!$BM$13),(AND((W20&gt;'Frame Capacities'!$CB$13),(W20&lt;='Frame Capacities'!$CC$13))),((W20-'Frame Capacities'!$CB$13)*hstr4*('Frame Capacities'!$BV$13)+'Frame Capacities'!$BN$13),(AND((W20&gt;'Frame Capacities'!$CC$13),(W20&lt;='Frame Capacities'!$CD$13))),((W20-'Frame Capacities'!$CC$13)*hstr4*('Frame Capacities'!$BW$13)+'Frame Capacities'!$BO$13))),((W20-'Frame Capacities'!$CE$13)*hstr4*'Frame Capacities'!$BX$13+'Frame Capacities'!$BQ$13))</f>
        <v>6.7626032668135991</v>
      </c>
      <c r="AF20" s="50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135.27507346551806</v>
      </c>
      <c r="AG20" s="51">
        <f>AE20/$C$18</f>
        <v>0.16643916747106979</v>
      </c>
      <c r="AH20" s="48">
        <f>AF20/$D$18</f>
        <v>0.1664391674710699</v>
      </c>
      <c r="AI20" s="505">
        <f t="shared" si="18"/>
        <v>142.03767673233165</v>
      </c>
      <c r="AJ20" s="506">
        <f t="shared" ref="AJ20:AJ23" si="22">AD20-AI20</f>
        <v>0</v>
      </c>
      <c r="AK20" s="201">
        <f t="shared" si="19"/>
        <v>8.0039916406023356E-16</v>
      </c>
      <c r="AL20" s="184"/>
    </row>
    <row r="21" spans="1:38" ht="15.75" x14ac:dyDescent="0.25">
      <c r="A21" s="5"/>
      <c r="B21" s="120">
        <v>1</v>
      </c>
      <c r="C21" s="17">
        <f>'System Capacities'!N11</f>
        <v>355.5249989453784</v>
      </c>
      <c r="D21" s="17">
        <f>'System Capacities'!O11</f>
        <v>959.73337444626134</v>
      </c>
      <c r="E21" s="571">
        <f>IF(($H21=0),('System Capacities'!P11),('System Capacities'!K69))</f>
        <v>1315.2583733916397</v>
      </c>
      <c r="F21" s="571">
        <f>IF(($H21=0),('System Capacities'!Q11),('System Capacities'!L69))</f>
        <v>4.2732640165687001E-3</v>
      </c>
      <c r="G21" s="571">
        <f>IF(($H21=0),('System Capacities'!R11),('System Capacities'!M69))</f>
        <v>578659.11742037884</v>
      </c>
      <c r="H21" s="570">
        <v>1</v>
      </c>
      <c r="I21" s="586"/>
      <c r="J21" s="6"/>
      <c r="K21" s="184"/>
      <c r="L21" s="184"/>
      <c r="M21" s="6"/>
      <c r="N21" s="6"/>
      <c r="O21" s="6"/>
      <c r="P21" s="7"/>
      <c r="Q21" s="184"/>
      <c r="R21" s="49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9.5971826993550523E-3</v>
      </c>
      <c r="S21" s="520">
        <f t="shared" si="20"/>
        <v>0.19055801413647183</v>
      </c>
      <c r="T21" s="184"/>
      <c r="U21" s="487">
        <v>3</v>
      </c>
      <c r="V21" s="485">
        <f>V22+hstr3</f>
        <v>8.75</v>
      </c>
      <c r="W21" s="51">
        <f t="shared" si="15"/>
        <v>3.1990608997850174E-3</v>
      </c>
      <c r="X21" s="501">
        <f t="shared" si="16"/>
        <v>0.19055801413647183</v>
      </c>
      <c r="Y21" s="488">
        <f>mstr3</f>
        <v>67.278400000000005</v>
      </c>
      <c r="Z21" s="253">
        <f t="shared" si="17"/>
        <v>12.820438298279207</v>
      </c>
      <c r="AA21" s="502">
        <f>((Y21*X21)/(Z25)*$L$15)</f>
        <v>46.612610711967008</v>
      </c>
      <c r="AB21" s="502">
        <f>AD21-AD20+$O$18</f>
        <v>46.612610711967022</v>
      </c>
      <c r="AC21" s="502">
        <f t="shared" si="21"/>
        <v>188.65028744429878</v>
      </c>
      <c r="AD21" s="503">
        <f>AC21-$O$18</f>
        <v>188.65028744429878</v>
      </c>
      <c r="AE21" s="92">
        <f>IF(($H$19=0),(_xlfn.IFS((W21&lt;='Frame Capacities'!$BZ$14),(W21*hstr3*'Frame Capacities'!$BS$14),(AND((W21&gt;'Frame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Capacities'!$BM$14),(AND((W21&gt;'Frame Capacities'!$CB$14),(W21&lt;='Frame Capacities'!$CC$14))),((W21-'Frame Capacities'!$CB$14)*hstr3*('Frame Capacities'!$BV$14)+'Frame Capacities'!$BN$14),(AND((W21&gt;'Frame Capacities'!$CC$14),(W21&lt;='Frame Capacities'!$CD$14))),((W21-'Frame Capacities'!$CC$14)*hstr3*('Frame Capacities'!$BW$14)+'Frame Capacities'!$BO$14))),((W21-'Frame Capacities'!$CE$14)*hstr3*'Frame Capacities'!$BX$14+'Frame Capacities'!$BQ$14))</f>
        <v>57.876470485331971</v>
      </c>
      <c r="AF21" s="50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130.77381695896736</v>
      </c>
      <c r="AG21" s="51">
        <f>AE21/$C$19</f>
        <v>0.49334494896224196</v>
      </c>
      <c r="AH21" s="48">
        <f>AF21/$D$19</f>
        <v>0.13532237143518708</v>
      </c>
      <c r="AI21" s="505">
        <f t="shared" si="18"/>
        <v>188.65028744429932</v>
      </c>
      <c r="AJ21" s="506">
        <f t="shared" si="22"/>
        <v>-5.4001247917767614E-13</v>
      </c>
      <c r="AK21" s="201">
        <f t="shared" si="19"/>
        <v>-2.862505467091436E-15</v>
      </c>
      <c r="AL21" s="184"/>
    </row>
    <row r="22" spans="1:38" ht="16.5" thickBot="1" x14ac:dyDescent="0.3">
      <c r="A22" s="5"/>
      <c r="B22" s="184"/>
      <c r="C22" s="184"/>
      <c r="D22" s="184"/>
      <c r="E22" s="184"/>
      <c r="F22" s="184"/>
      <c r="G22" s="184"/>
      <c r="H22" s="184"/>
      <c r="I22" s="6"/>
      <c r="J22" s="6"/>
      <c r="K22" s="184"/>
      <c r="L22" s="184"/>
      <c r="M22" s="6"/>
      <c r="N22" s="6"/>
      <c r="O22" s="6"/>
      <c r="P22" s="7"/>
      <c r="Q22" s="184"/>
      <c r="R22" s="49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0.17107560960780582</v>
      </c>
      <c r="S22" s="520">
        <f t="shared" si="20"/>
        <v>0.18096083143711678</v>
      </c>
      <c r="T22" s="184"/>
      <c r="U22" s="487">
        <v>2</v>
      </c>
      <c r="V22" s="485">
        <f>V23+hstr2</f>
        <v>5.75</v>
      </c>
      <c r="W22" s="51">
        <f t="shared" si="15"/>
        <v>5.7025203202601939E-2</v>
      </c>
      <c r="X22" s="501">
        <f t="shared" si="16"/>
        <v>0.18096083143711678</v>
      </c>
      <c r="Y22" s="488">
        <f>mstr2</f>
        <v>67.278400000000005</v>
      </c>
      <c r="Z22" s="253">
        <f t="shared" si="17"/>
        <v>12.174755201758918</v>
      </c>
      <c r="AA22" s="502">
        <f>((Y22*X22)/(Z25)*$L$15)</f>
        <v>44.265033030052862</v>
      </c>
      <c r="AB22" s="502">
        <f>AD22-AD21+$O$19</f>
        <v>44.265033030052848</v>
      </c>
      <c r="AC22" s="502">
        <f t="shared" si="21"/>
        <v>232.91532047435163</v>
      </c>
      <c r="AD22" s="503">
        <f>AC22-$O$19</f>
        <v>232.91532047435163</v>
      </c>
      <c r="AE22" s="92">
        <f>IF(($H$20=0),(_xlfn.IFS((W22&lt;='Frame Capacities'!$BZ$15),(W22*hstr2*'Frame Capacities'!$BS$15),(AND((W22&gt;'Frame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Capacities'!$BM$15),(AND((W22&gt;'Frame Capacities'!$CB$15),(W22&lt;='Frame Capacities'!$CC$15))),((W22-'Frame Capacities'!$CB$15)*hstr2*('Frame Capacities'!$BV$15)+'Frame Capacities'!$BN$15),(AND((W22&gt;'Frame Capacities'!$CC$15),(W22&lt;='Frame Capacities'!$CD$15))),((W22-'Frame Capacities'!$CC$15)*hstr2*('Frame Capacities'!$BW$15)+'Frame Capacities'!$BO$15))),((W22-'Frame Capacities'!$CE$15)*hstr2*'Frame Capacities'!$BX$15+'Frame Capacities'!$BQ$15))</f>
        <v>128.58732047435166</v>
      </c>
      <c r="AF22" s="50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104.328</v>
      </c>
      <c r="AG22" s="51">
        <f>AE22/$C$20</f>
        <v>4.4238757043928318</v>
      </c>
      <c r="AH22" s="48">
        <f>AF22/$D$20</f>
        <v>1</v>
      </c>
      <c r="AI22" s="505">
        <f t="shared" si="18"/>
        <v>232.91532047435166</v>
      </c>
      <c r="AJ22" s="506">
        <f t="shared" si="22"/>
        <v>0</v>
      </c>
      <c r="AK22" s="201">
        <f t="shared" si="19"/>
        <v>-1.220259335990471E-16</v>
      </c>
      <c r="AL22" s="184"/>
    </row>
    <row r="23" spans="1:38" ht="16.5" thickBot="1" x14ac:dyDescent="0.3">
      <c r="A23" s="5"/>
      <c r="B23" s="995" t="s">
        <v>307</v>
      </c>
      <c r="C23" s="996"/>
      <c r="D23" s="997"/>
      <c r="E23" s="184"/>
      <c r="F23" s="184"/>
      <c r="G23" s="184"/>
      <c r="H23" s="184"/>
      <c r="I23" s="6"/>
      <c r="J23" s="6"/>
      <c r="K23" s="6"/>
      <c r="L23" s="6"/>
      <c r="M23" s="6"/>
      <c r="N23" s="6"/>
      <c r="O23" s="6"/>
      <c r="P23" s="7"/>
      <c r="Q23" s="184"/>
      <c r="R23" s="49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9.8852218293109598E-3</v>
      </c>
      <c r="S23" s="520">
        <f>S24+R23</f>
        <v>9.8852218293109598E-3</v>
      </c>
      <c r="T23" s="184"/>
      <c r="U23" s="487">
        <v>1</v>
      </c>
      <c r="V23" s="485">
        <f>V24+hstr1</f>
        <v>2.75</v>
      </c>
      <c r="W23" s="51">
        <f t="shared" si="15"/>
        <v>3.59462611974944E-3</v>
      </c>
      <c r="X23" s="501">
        <f t="shared" si="16"/>
        <v>9.8852218293109598E-3</v>
      </c>
      <c r="Y23" s="488">
        <f>mstr1</f>
        <v>67.278400000000005</v>
      </c>
      <c r="Z23" s="253">
        <f t="shared" si="17"/>
        <v>0.66506190832111456</v>
      </c>
      <c r="AA23" s="502">
        <f>((Y23*X23)/(Z25)*$L$15)</f>
        <v>2.4180352582868356</v>
      </c>
      <c r="AB23" s="502">
        <f>AD23-AD22+$O$20</f>
        <v>2.4180352582868352</v>
      </c>
      <c r="AC23" s="502">
        <f t="shared" si="21"/>
        <v>235.33335573263847</v>
      </c>
      <c r="AD23" s="503">
        <f>AC23-$O$20</f>
        <v>235.33335573263847</v>
      </c>
      <c r="AE23" s="92">
        <f>IF(($H$21=0),(_xlfn.IFS((W23&lt;='Frame Capacities'!$BZ$16),(W23*hstr1*'Frame Capacities'!$BS$16),(AND((W23&gt;'Frame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Capacities'!$BM$16),(AND((W23&gt;'Frame Capacities'!$CB$16),(W23&lt;='Frame Capacities'!$CC$16))),((W23-'Frame Capacities'!$CB$16)*hstr1*('Frame Capacities'!$BV$16)+'Frame Capacities'!$BN$16),(AND((W23&gt;'Frame Capacities'!$CC$16),(W23&lt;='Frame Capacities'!$CD$16))),((W23-'Frame Capacities'!$CC$16)*hstr1*('Frame Capacities'!$BW$16)+'Frame Capacities'!$BO$16))),((W23-'Frame Capacities'!$CE$16)*hstr1*'Frame Capacities'!$BX$16+'Frame Capacities'!$BQ$16))</f>
        <v>186.14201445239416</v>
      </c>
      <c r="AF23" s="50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49.191341280244046</v>
      </c>
      <c r="AG23" s="51">
        <f>AE23/$C$21</f>
        <v>0.52356941144662617</v>
      </c>
      <c r="AH23" s="48">
        <f>AF23/$D$21</f>
        <v>5.1255215865162594E-2</v>
      </c>
      <c r="AI23" s="505">
        <f t="shared" si="18"/>
        <v>235.33335573263821</v>
      </c>
      <c r="AJ23" s="506">
        <f t="shared" si="22"/>
        <v>2.5579538487363607E-13</v>
      </c>
      <c r="AK23" s="201">
        <f t="shared" si="19"/>
        <v>1.0869491240512648E-15</v>
      </c>
      <c r="AL23" s="184"/>
    </row>
    <row r="24" spans="1:38" ht="16.5" thickBot="1" x14ac:dyDescent="0.3">
      <c r="A24" s="5"/>
      <c r="B24" s="210" t="s">
        <v>306</v>
      </c>
      <c r="C24" s="211">
        <v>3</v>
      </c>
      <c r="D24" s="212"/>
      <c r="E24" s="184"/>
      <c r="F24" s="184"/>
      <c r="G24" s="184"/>
      <c r="H24" s="184"/>
      <c r="I24" s="6"/>
      <c r="J24" s="6"/>
      <c r="K24" s="6"/>
      <c r="L24" s="6"/>
      <c r="M24" s="6"/>
      <c r="N24" s="6"/>
      <c r="O24" s="6"/>
      <c r="P24" s="7"/>
      <c r="Q24" s="184"/>
      <c r="R24" s="522">
        <v>0</v>
      </c>
      <c r="S24" s="521">
        <f>R24</f>
        <v>0</v>
      </c>
      <c r="T24" s="184"/>
      <c r="U24" s="484">
        <v>0</v>
      </c>
      <c r="V24" s="486">
        <f>hstr0</f>
        <v>0</v>
      </c>
      <c r="W24" s="68" t="s">
        <v>66</v>
      </c>
      <c r="X24" s="507">
        <f t="shared" si="16"/>
        <v>0</v>
      </c>
      <c r="Y24" s="139" t="s">
        <v>66</v>
      </c>
      <c r="Z24" s="255">
        <v>0</v>
      </c>
      <c r="AA24" s="508" t="s">
        <v>66</v>
      </c>
      <c r="AB24" s="508" t="s">
        <v>66</v>
      </c>
      <c r="AC24" s="508" t="s">
        <v>66</v>
      </c>
      <c r="AD24" s="508" t="s">
        <v>66</v>
      </c>
      <c r="AE24" s="149" t="s">
        <v>66</v>
      </c>
      <c r="AF24" s="149" t="s">
        <v>66</v>
      </c>
      <c r="AG24" s="142" t="s">
        <v>66</v>
      </c>
      <c r="AH24" s="149" t="s">
        <v>66</v>
      </c>
      <c r="AI24" s="509" t="s">
        <v>66</v>
      </c>
      <c r="AJ24" s="510" t="s">
        <v>66</v>
      </c>
      <c r="AK24" s="184"/>
      <c r="AL24" s="184"/>
    </row>
    <row r="25" spans="1:38" x14ac:dyDescent="0.25">
      <c r="A25" s="5"/>
      <c r="B25" s="993" t="s">
        <v>304</v>
      </c>
      <c r="C25" s="994"/>
      <c r="D25" s="213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84"/>
      <c r="R25" s="184"/>
      <c r="S25" s="184"/>
      <c r="T25" s="184"/>
      <c r="U25" s="6"/>
      <c r="V25" s="6"/>
      <c r="W25" s="6"/>
      <c r="X25" s="6"/>
      <c r="Y25" s="511" t="s">
        <v>78</v>
      </c>
      <c r="Z25" s="512">
        <f>SUM(Z18:Z24)</f>
        <v>64.726620556413053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84"/>
      <c r="AL25" s="184"/>
    </row>
    <row r="26" spans="1:38" x14ac:dyDescent="0.25">
      <c r="A26" s="5"/>
      <c r="B26" s="993" t="s">
        <v>305</v>
      </c>
      <c r="C26" s="994"/>
      <c r="D26" s="214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</row>
    <row r="27" spans="1:38" ht="15.75" thickBot="1" x14ac:dyDescent="0.3">
      <c r="A27" s="5"/>
      <c r="B27" s="991" t="s">
        <v>317</v>
      </c>
      <c r="C27" s="992"/>
      <c r="D27" s="215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</row>
    <row r="28" spans="1:38" ht="15.75" thickBot="1" x14ac:dyDescent="0.3">
      <c r="A28" s="5"/>
      <c r="B28" s="184"/>
      <c r="C28" s="184"/>
      <c r="D28" s="18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84"/>
      <c r="R28" s="964" t="s">
        <v>243</v>
      </c>
      <c r="S28" s="966"/>
      <c r="T28" s="194"/>
      <c r="U28" s="964" t="s">
        <v>243</v>
      </c>
      <c r="V28" s="965"/>
      <c r="W28" s="965"/>
      <c r="X28" s="965"/>
      <c r="Y28" s="965"/>
      <c r="Z28" s="965"/>
      <c r="AA28" s="965"/>
      <c r="AB28" s="965"/>
      <c r="AC28" s="965"/>
      <c r="AD28" s="965"/>
      <c r="AE28" s="965"/>
      <c r="AF28" s="965"/>
      <c r="AG28" s="965"/>
      <c r="AH28" s="965"/>
      <c r="AI28" s="965"/>
      <c r="AJ28" s="966"/>
      <c r="AK28" s="184"/>
      <c r="AL28" s="184"/>
    </row>
    <row r="29" spans="1:38" ht="15" customHeight="1" x14ac:dyDescent="0.25">
      <c r="A29" s="5"/>
      <c r="B29" s="989" t="s">
        <v>318</v>
      </c>
      <c r="C29" s="990"/>
      <c r="D29" s="18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84"/>
      <c r="R29" s="707" t="s">
        <v>81</v>
      </c>
      <c r="S29" s="703" t="s">
        <v>80</v>
      </c>
      <c r="T29" s="184"/>
      <c r="U29" s="704" t="s">
        <v>0</v>
      </c>
      <c r="V29" s="978" t="s">
        <v>72</v>
      </c>
      <c r="W29" s="704" t="s">
        <v>101</v>
      </c>
      <c r="X29" s="674" t="s">
        <v>74</v>
      </c>
      <c r="Y29" s="704" t="s">
        <v>76</v>
      </c>
      <c r="Z29" s="704" t="s">
        <v>77</v>
      </c>
      <c r="AA29" s="979" t="s">
        <v>491</v>
      </c>
      <c r="AB29" s="948" t="s">
        <v>492</v>
      </c>
      <c r="AC29" s="948" t="s">
        <v>493</v>
      </c>
      <c r="AD29" s="948" t="s">
        <v>494</v>
      </c>
      <c r="AE29" s="671" t="s">
        <v>184</v>
      </c>
      <c r="AF29" s="671" t="s">
        <v>183</v>
      </c>
      <c r="AG29" s="671" t="s">
        <v>185</v>
      </c>
      <c r="AH29" s="671" t="s">
        <v>186</v>
      </c>
      <c r="AI29" s="950" t="s">
        <v>347</v>
      </c>
      <c r="AJ29" s="950" t="s">
        <v>389</v>
      </c>
      <c r="AK29" s="980" t="s">
        <v>237</v>
      </c>
      <c r="AL29" s="184"/>
    </row>
    <row r="30" spans="1:38" ht="15.75" customHeight="1" thickBot="1" x14ac:dyDescent="0.3">
      <c r="A30" s="5"/>
      <c r="B30" s="216" t="s">
        <v>316</v>
      </c>
      <c r="C30" s="217">
        <f>0.0005</f>
        <v>5.0000000000000001E-4</v>
      </c>
      <c r="D30" s="18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84"/>
      <c r="R30" s="973"/>
      <c r="S30" s="974"/>
      <c r="T30" s="184"/>
      <c r="U30" s="704"/>
      <c r="V30" s="978"/>
      <c r="W30" s="704"/>
      <c r="X30" s="674"/>
      <c r="Y30" s="704"/>
      <c r="Z30" s="704"/>
      <c r="AA30" s="979"/>
      <c r="AB30" s="948"/>
      <c r="AC30" s="948"/>
      <c r="AD30" s="948"/>
      <c r="AE30" s="671"/>
      <c r="AF30" s="671"/>
      <c r="AG30" s="671"/>
      <c r="AH30" s="671"/>
      <c r="AI30" s="950"/>
      <c r="AJ30" s="950"/>
      <c r="AK30" s="980"/>
      <c r="AL30" s="184"/>
    </row>
    <row r="31" spans="1:38" ht="16.5" thickBot="1" x14ac:dyDescent="0.3">
      <c r="A31" s="5"/>
      <c r="B31" s="184"/>
      <c r="C31" s="184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84"/>
      <c r="R31" s="44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1.7463742266006555E-3</v>
      </c>
      <c r="S31" s="519">
        <f>S32+R31</f>
        <v>0.19997802214079505</v>
      </c>
      <c r="T31" s="184"/>
      <c r="U31" s="487">
        <v>6</v>
      </c>
      <c r="V31" s="485">
        <f>V32+hstr6</f>
        <v>17.75</v>
      </c>
      <c r="W31" s="51">
        <f t="shared" ref="W31:W36" si="23">R31/(V31-V32)</f>
        <v>5.8212474220021855E-4</v>
      </c>
      <c r="X31" s="501">
        <f t="shared" ref="X31:X37" si="24">S31</f>
        <v>0.19997802214079505</v>
      </c>
      <c r="Y31" s="488">
        <f>mstr6</f>
        <v>63.074599999999997</v>
      </c>
      <c r="Z31" s="253">
        <f t="shared" ref="Z31:Z36" si="25">Y31*X31</f>
        <v>12.613533755321791</v>
      </c>
      <c r="AA31" s="502">
        <f>((Y31*X31)/(Z38)*$L$15)</f>
        <v>45.860346187851178</v>
      </c>
      <c r="AB31" s="502">
        <f>AD31+$O$15</f>
        <v>45.860346187851178</v>
      </c>
      <c r="AC31" s="502">
        <f>AA31</f>
        <v>45.860346187851178</v>
      </c>
      <c r="AD31" s="503">
        <f>AC31-$O$15</f>
        <v>45.860346187851178</v>
      </c>
      <c r="AE31" s="87">
        <f>IF(($H$16=0),(_xlfn.IFS((W31&lt;='Frame Capacities'!$BZ$11),(W31*hstr6*'Frame Capacities'!$BS$11),(AND((W31&gt;'Frame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Capacities'!$BM$11),(AND((W31&gt;'Frame Capacities'!$CB$11),(W31&lt;='Frame Capacities'!$CC$11))),((W31-'Frame Capacities'!$CB$11)*hstr6*('Frame Capacities'!$BV$11)+'Frame Capacities'!$BN$11),(AND((W31&gt;'Frame Capacities'!$CC$11),(W31&lt;='Frame Capacities'!$CD$11))),((W31-'Frame Capacities'!$CC$11)*hstr6*('Frame Capacities'!$BW$11)+'Frame Capacities'!$BO$11))),((W31-'Frame Capacities'!$CE$11)*hstr6*'Frame Capacities'!$BX$11+'Frame Capacities'!$BQ$11))</f>
        <v>2.0849479029153315</v>
      </c>
      <c r="AF31" s="596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43.775398284935903</v>
      </c>
      <c r="AG31" s="51">
        <f>AE31/$C$16</f>
        <v>0.15776419659507543</v>
      </c>
      <c r="AH31" s="48">
        <f>AF31/$D$16</f>
        <v>0.15776419659507551</v>
      </c>
      <c r="AI31" s="505">
        <f t="shared" ref="AI31:AI36" si="26">AE31+AF31</f>
        <v>45.860346187851235</v>
      </c>
      <c r="AJ31" s="506">
        <f>AD31-AI31</f>
        <v>-5.6843418860808015E-14</v>
      </c>
      <c r="AK31" s="201">
        <f>(AD31-(AI31))/AD31</f>
        <v>-1.2394895282292124E-15</v>
      </c>
      <c r="AL31" s="184"/>
    </row>
    <row r="32" spans="1:38" ht="16.5" thickBot="1" x14ac:dyDescent="0.3">
      <c r="A32" s="5"/>
      <c r="B32" s="987" t="s">
        <v>319</v>
      </c>
      <c r="C32" s="988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84"/>
      <c r="R32" s="49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3.2786869088543289E-3</v>
      </c>
      <c r="S32" s="520">
        <f>S33+R32</f>
        <v>0.1982316479141944</v>
      </c>
      <c r="T32" s="184"/>
      <c r="U32" s="487">
        <v>5</v>
      </c>
      <c r="V32" s="485">
        <f>V33+hstr5</f>
        <v>14.75</v>
      </c>
      <c r="W32" s="51">
        <f t="shared" si="23"/>
        <v>1.0928956362847764E-3</v>
      </c>
      <c r="X32" s="501">
        <f t="shared" si="24"/>
        <v>0.1982316479141944</v>
      </c>
      <c r="Y32" s="488">
        <f>mstr5</f>
        <v>67.278400000000005</v>
      </c>
      <c r="Z32" s="253">
        <f t="shared" si="25"/>
        <v>13.336708101030338</v>
      </c>
      <c r="AA32" s="502">
        <f>((Y32*X32)/(Z38)*$L$15)</f>
        <v>48.489666923158524</v>
      </c>
      <c r="AB32" s="502">
        <f>AD32-AD31+$O$16</f>
        <v>48.489666923158524</v>
      </c>
      <c r="AC32" s="502">
        <f>AC31+AA32</f>
        <v>94.350013111009702</v>
      </c>
      <c r="AD32" s="503">
        <f>AC32-$O$16</f>
        <v>94.350013111009702</v>
      </c>
      <c r="AE32" s="92">
        <f>IF(($H$17=0),(_xlfn.IFS((W32&lt;='Frame Capacities'!$BZ$12),(W32*hstr5*'Frame Capacities'!$BS$12),(AND((W32&gt;'Frame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Capacities'!$BM$12),(AND((W32&gt;'Frame Capacities'!$CB$12),(W32&lt;='Frame Capacities'!$CC$12))),((W32-'Frame Capacities'!$CB$12)*hstr5*('Frame Capacities'!$BV$12)+'Frame Capacities'!$BN$12),(AND((W32&gt;'Frame Capacities'!$CC$12),(W32&lt;='Frame Capacities'!$CD$12))),((W32-'Frame Capacities'!$CC$12)*hstr5*('Frame Capacities'!$BW$12)+'Frame Capacities'!$BO$12))),((W32-'Frame Capacities'!$CE$12)*hstr5*'Frame Capacities'!$BX$12+'Frame Capacities'!$BQ$12))</f>
        <v>4.1135223004893113</v>
      </c>
      <c r="AF32" s="50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90.236490810520422</v>
      </c>
      <c r="AG32" s="51">
        <f>AE32/$C$17</f>
        <v>0.16102567389546546</v>
      </c>
      <c r="AH32" s="48">
        <f>AF32/$D$17</f>
        <v>0.16102567389546565</v>
      </c>
      <c r="AI32" s="505">
        <f t="shared" si="26"/>
        <v>94.35001311100973</v>
      </c>
      <c r="AJ32" s="506">
        <f>AD32-AI32</f>
        <v>0</v>
      </c>
      <c r="AK32" s="201">
        <f t="shared" ref="AK32:AK36" si="27">(AD32-(AI32))/AD32</f>
        <v>-3.0123694203374179E-16</v>
      </c>
      <c r="AL32" s="184"/>
    </row>
    <row r="33" spans="1:38" ht="15.75" x14ac:dyDescent="0.25">
      <c r="A33" s="5"/>
      <c r="B33" s="984" t="s">
        <v>0</v>
      </c>
      <c r="C33" s="986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84"/>
      <c r="R33" s="49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4.3949468688683066E-3</v>
      </c>
      <c r="S33" s="520">
        <f t="shared" ref="S33:S35" si="28">S34+R33</f>
        <v>0.19495296100534007</v>
      </c>
      <c r="T33" s="184"/>
      <c r="U33" s="487">
        <v>4</v>
      </c>
      <c r="V33" s="485">
        <f>V34+hstr4</f>
        <v>11.75</v>
      </c>
      <c r="W33" s="51">
        <f t="shared" si="23"/>
        <v>1.4649822896227688E-3</v>
      </c>
      <c r="X33" s="501">
        <f t="shared" si="24"/>
        <v>0.19495296100534007</v>
      </c>
      <c r="Y33" s="488">
        <f>mstr4</f>
        <v>67.278400000000005</v>
      </c>
      <c r="Z33" s="253">
        <f t="shared" si="25"/>
        <v>13.116123291701673</v>
      </c>
      <c r="AA33" s="502">
        <f>((Y33*X33)/(Z38)*$L$15)</f>
        <v>47.687663621322059</v>
      </c>
      <c r="AB33" s="502">
        <f>AD33-AD32+$O$17</f>
        <v>47.687663621322059</v>
      </c>
      <c r="AC33" s="502">
        <f t="shared" ref="AC33:AC36" si="29">AC32+AA33</f>
        <v>142.03767673233176</v>
      </c>
      <c r="AD33" s="503">
        <f>AC33-$O$17</f>
        <v>142.03767673233176</v>
      </c>
      <c r="AE33" s="92">
        <f>IF(($H$18=0),(_xlfn.IFS((W33&lt;='Frame Capacities'!$BZ$13),(W33*hstr4*'Frame Capacities'!$BS$13),(AND((W33&gt;'Frame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Capacities'!$BM$13),(AND((W33&gt;'Frame Capacities'!$CB$13),(W33&lt;='Frame Capacities'!$CC$13))),((W33-'Frame Capacities'!$CB$13)*hstr4*('Frame Capacities'!$BV$13)+'Frame Capacities'!$BN$13),(AND((W33&gt;'Frame Capacities'!$CC$13),(W33&lt;='Frame Capacities'!$CD$13))),((W33-'Frame Capacities'!$CC$13)*hstr4*('Frame Capacities'!$BW$13)+'Frame Capacities'!$BO$13))),((W33-'Frame Capacities'!$CE$13)*hstr4*'Frame Capacities'!$BX$13+'Frame Capacities'!$BQ$13))</f>
        <v>6.7626032668135991</v>
      </c>
      <c r="AF33" s="50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135.27507346551806</v>
      </c>
      <c r="AG33" s="51">
        <f>AE33/$C$18</f>
        <v>0.16643916747106979</v>
      </c>
      <c r="AH33" s="48">
        <f>AF33/$D$18</f>
        <v>0.1664391674710699</v>
      </c>
      <c r="AI33" s="505">
        <f t="shared" si="26"/>
        <v>142.03767673233165</v>
      </c>
      <c r="AJ33" s="506">
        <f t="shared" ref="AJ33:AJ36" si="30">AD33-AI33</f>
        <v>0</v>
      </c>
      <c r="AK33" s="201">
        <f t="shared" si="27"/>
        <v>8.0039916406023356E-16</v>
      </c>
      <c r="AL33" s="184"/>
    </row>
    <row r="34" spans="1:38" ht="15.75" x14ac:dyDescent="0.25">
      <c r="A34" s="5"/>
      <c r="B34" s="985"/>
      <c r="C34" s="702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84"/>
      <c r="R34" s="49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9.5971826993550523E-3</v>
      </c>
      <c r="S34" s="520">
        <f t="shared" si="28"/>
        <v>0.19055801413647178</v>
      </c>
      <c r="T34" s="184"/>
      <c r="U34" s="487">
        <v>3</v>
      </c>
      <c r="V34" s="485">
        <f>V35+hstr3</f>
        <v>8.75</v>
      </c>
      <c r="W34" s="51">
        <f t="shared" si="23"/>
        <v>3.1990608997850174E-3</v>
      </c>
      <c r="X34" s="501">
        <f t="shared" si="24"/>
        <v>0.19055801413647178</v>
      </c>
      <c r="Y34" s="488">
        <f>mstr3</f>
        <v>67.278400000000005</v>
      </c>
      <c r="Z34" s="253">
        <f t="shared" si="25"/>
        <v>12.820438298279203</v>
      </c>
      <c r="AA34" s="502">
        <f>((Y34*X34)/(Z38)*$L$15)</f>
        <v>46.612610711967001</v>
      </c>
      <c r="AB34" s="502">
        <f>AD34-AD33+$O$18</f>
        <v>46.612610711966994</v>
      </c>
      <c r="AC34" s="502">
        <f t="shared" si="29"/>
        <v>188.65028744429875</v>
      </c>
      <c r="AD34" s="503">
        <f>AC34-$O$18</f>
        <v>188.65028744429875</v>
      </c>
      <c r="AE34" s="92">
        <f>IF(($H$19=0),(_xlfn.IFS((W34&lt;='Frame Capacities'!$BZ$14),(W34*hstr3*'Frame Capacities'!$BS$14),(AND((W34&gt;'Frame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Capacities'!$BM$14),(AND((W34&gt;'Frame Capacities'!$CB$14),(W34&lt;='Frame Capacities'!$CC$14))),((W34-'Frame Capacities'!$CB$14)*hstr3*('Frame Capacities'!$BV$14)+'Frame Capacities'!$BN$14),(AND((W34&gt;'Frame Capacities'!$CC$14),(W34&lt;='Frame Capacities'!$CD$14))),((W34-'Frame Capacities'!$CC$14)*hstr3*('Frame Capacities'!$BW$14)+'Frame Capacities'!$BO$14))),((W34-'Frame Capacities'!$CE$14)*hstr3*'Frame Capacities'!$BX$14+'Frame Capacities'!$BQ$14))</f>
        <v>57.876470485331971</v>
      </c>
      <c r="AF34" s="50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130.77381695896736</v>
      </c>
      <c r="AG34" s="51">
        <f>AE34/$C$19</f>
        <v>0.49334494896224196</v>
      </c>
      <c r="AH34" s="48">
        <f>AF34/$D$19</f>
        <v>0.13532237143518708</v>
      </c>
      <c r="AI34" s="505">
        <f t="shared" si="26"/>
        <v>188.65028744429932</v>
      </c>
      <c r="AJ34" s="506">
        <f t="shared" si="30"/>
        <v>-5.6843418860808015E-13</v>
      </c>
      <c r="AK34" s="201">
        <f t="shared" si="27"/>
        <v>-3.0131636495699331E-15</v>
      </c>
      <c r="AL34" s="184"/>
    </row>
    <row r="35" spans="1:38" ht="15.75" x14ac:dyDescent="0.25">
      <c r="A35" s="5"/>
      <c r="B35" s="349">
        <v>6</v>
      </c>
      <c r="C35" s="403">
        <v>0.19997802214130148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84"/>
      <c r="R35" s="49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0.17107560960780577</v>
      </c>
      <c r="S35" s="520">
        <f t="shared" si="28"/>
        <v>0.18096083143711672</v>
      </c>
      <c r="T35" s="184"/>
      <c r="U35" s="487">
        <v>2</v>
      </c>
      <c r="V35" s="485">
        <f>V36+hstr2</f>
        <v>5.75</v>
      </c>
      <c r="W35" s="51">
        <f t="shared" si="23"/>
        <v>5.7025203202601925E-2</v>
      </c>
      <c r="X35" s="501">
        <f t="shared" si="24"/>
        <v>0.18096083143711672</v>
      </c>
      <c r="Y35" s="488">
        <f>mstr2</f>
        <v>67.278400000000005</v>
      </c>
      <c r="Z35" s="253">
        <f t="shared" si="25"/>
        <v>12.174755201758915</v>
      </c>
      <c r="AA35" s="502">
        <f>((Y35*X35)/(Z38)*$L$15)</f>
        <v>44.265033030052855</v>
      </c>
      <c r="AB35" s="502">
        <f>AD35-AD34+$O$19</f>
        <v>44.265033030052848</v>
      </c>
      <c r="AC35" s="502">
        <f t="shared" si="29"/>
        <v>232.9153204743516</v>
      </c>
      <c r="AD35" s="503">
        <f>AC35-$O$19</f>
        <v>232.9153204743516</v>
      </c>
      <c r="AE35" s="92">
        <f>IF(($H$20=0),(_xlfn.IFS((W35&lt;='Frame Capacities'!$BZ$15),(W35*hstr2*'Frame Capacities'!$BS$15),(AND((W35&gt;'Frame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Capacities'!$BM$15),(AND((W35&gt;'Frame Capacities'!$CB$15),(W35&lt;='Frame Capacities'!$CC$15))),((W35-'Frame Capacities'!$CB$15)*hstr2*('Frame Capacities'!$BV$15)+'Frame Capacities'!$BN$15),(AND((W35&gt;'Frame Capacities'!$CC$15),(W35&lt;='Frame Capacities'!$CD$15))),((W35-'Frame Capacities'!$CC$15)*hstr2*('Frame Capacities'!$BW$15)+'Frame Capacities'!$BO$15))),((W35-'Frame Capacities'!$CE$15)*hstr2*'Frame Capacities'!$BX$15+'Frame Capacities'!$BQ$15))</f>
        <v>128.58732047435171</v>
      </c>
      <c r="AF35" s="50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104.328</v>
      </c>
      <c r="AG35" s="51">
        <f>AE35/$C$20</f>
        <v>4.4238757043928345</v>
      </c>
      <c r="AH35" s="48">
        <f>AF35/$D$20</f>
        <v>1</v>
      </c>
      <c r="AI35" s="505">
        <f t="shared" si="26"/>
        <v>232.91532047435172</v>
      </c>
      <c r="AJ35" s="506">
        <f t="shared" si="30"/>
        <v>0</v>
      </c>
      <c r="AK35" s="201">
        <f t="shared" si="27"/>
        <v>-4.8810373439618841E-16</v>
      </c>
      <c r="AL35" s="184"/>
    </row>
    <row r="36" spans="1:38" ht="15.75" x14ac:dyDescent="0.25">
      <c r="A36" s="5"/>
      <c r="B36" s="349">
        <v>5</v>
      </c>
      <c r="C36" s="403">
        <v>0.19823164791469999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84"/>
      <c r="R36" s="49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9.8852218293109598E-3</v>
      </c>
      <c r="S36" s="520">
        <f>S37+R36</f>
        <v>9.8852218293109598E-3</v>
      </c>
      <c r="T36" s="184"/>
      <c r="U36" s="487">
        <v>1</v>
      </c>
      <c r="V36" s="485">
        <f>V37+hstr1</f>
        <v>2.75</v>
      </c>
      <c r="W36" s="51">
        <f t="shared" si="23"/>
        <v>3.59462611974944E-3</v>
      </c>
      <c r="X36" s="501">
        <f t="shared" si="24"/>
        <v>9.8852218293109598E-3</v>
      </c>
      <c r="Y36" s="488">
        <f>mstr1</f>
        <v>67.278400000000005</v>
      </c>
      <c r="Z36" s="253">
        <f t="shared" si="25"/>
        <v>0.66506190832111456</v>
      </c>
      <c r="AA36" s="502">
        <f>((Y36*X36)/(Z38)*$L$15)</f>
        <v>2.4180352582868365</v>
      </c>
      <c r="AB36" s="502">
        <f>AD36-AD35+$O$20</f>
        <v>2.4180352582868352</v>
      </c>
      <c r="AC36" s="502">
        <f t="shared" si="29"/>
        <v>235.33335573263844</v>
      </c>
      <c r="AD36" s="503">
        <f>AC36-$O$20</f>
        <v>235.33335573263844</v>
      </c>
      <c r="AE36" s="92">
        <f>IF(($H$21=0),(_xlfn.IFS((W36&lt;='Frame Capacities'!$BZ$16),(W36*hstr1*'Frame Capacities'!$BS$16),(AND((W36&gt;'Frame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Capacities'!$BM$16),(AND((W36&gt;'Frame Capacities'!$CB$16),(W36&lt;='Frame Capacities'!$CC$16))),((W36-'Frame Capacities'!$CB$16)*hstr1*('Frame Capacities'!$BV$16)+'Frame Capacities'!$BN$16),(AND((W36&gt;'Frame Capacities'!$CC$16),(W36&lt;='Frame Capacities'!$CD$16))),((W36-'Frame Capacities'!$CC$16)*hstr1*('Frame Capacities'!$BW$16)+'Frame Capacities'!$BO$16))),((W36-'Frame Capacities'!$CE$16)*hstr1*'Frame Capacities'!$BX$16+'Frame Capacities'!$BQ$16))</f>
        <v>186.14201445239416</v>
      </c>
      <c r="AF36" s="50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49.191341280244046</v>
      </c>
      <c r="AG36" s="51">
        <f>AE36/$C$21</f>
        <v>0.52356941144662617</v>
      </c>
      <c r="AH36" s="48">
        <f>AF36/$D$21</f>
        <v>5.1255215865162594E-2</v>
      </c>
      <c r="AI36" s="505">
        <f t="shared" si="26"/>
        <v>235.33335573263821</v>
      </c>
      <c r="AJ36" s="506">
        <f t="shared" si="30"/>
        <v>2.2737367544323206E-13</v>
      </c>
      <c r="AK36" s="201">
        <f t="shared" si="27"/>
        <v>9.6617699915667989E-16</v>
      </c>
      <c r="AL36" s="184"/>
    </row>
    <row r="37" spans="1:38" ht="15.75" x14ac:dyDescent="0.25">
      <c r="A37" s="5"/>
      <c r="B37" s="349">
        <v>4</v>
      </c>
      <c r="C37" s="403">
        <v>0.19495296100584433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84"/>
      <c r="R37" s="522">
        <v>0</v>
      </c>
      <c r="S37" s="521">
        <f>R37</f>
        <v>0</v>
      </c>
      <c r="T37" s="184"/>
      <c r="U37" s="484">
        <v>0</v>
      </c>
      <c r="V37" s="486">
        <f>hstr0</f>
        <v>0</v>
      </c>
      <c r="W37" s="68" t="s">
        <v>66</v>
      </c>
      <c r="X37" s="507">
        <f t="shared" si="24"/>
        <v>0</v>
      </c>
      <c r="Y37" s="139" t="s">
        <v>66</v>
      </c>
      <c r="Z37" s="255">
        <v>0</v>
      </c>
      <c r="AA37" s="508" t="s">
        <v>66</v>
      </c>
      <c r="AB37" s="508" t="s">
        <v>66</v>
      </c>
      <c r="AC37" s="508" t="s">
        <v>66</v>
      </c>
      <c r="AD37" s="508" t="s">
        <v>66</v>
      </c>
      <c r="AE37" s="149" t="s">
        <v>66</v>
      </c>
      <c r="AF37" s="149" t="s">
        <v>66</v>
      </c>
      <c r="AG37" s="142" t="s">
        <v>66</v>
      </c>
      <c r="AH37" s="149" t="s">
        <v>66</v>
      </c>
      <c r="AI37" s="509" t="s">
        <v>66</v>
      </c>
      <c r="AJ37" s="510" t="s">
        <v>66</v>
      </c>
      <c r="AL37" s="184"/>
    </row>
    <row r="38" spans="1:38" x14ac:dyDescent="0.25">
      <c r="A38" s="5"/>
      <c r="B38" s="349">
        <v>3</v>
      </c>
      <c r="C38" s="403">
        <v>0.19055801413697479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84"/>
      <c r="R38" s="184"/>
      <c r="S38" s="184"/>
      <c r="T38" s="184"/>
      <c r="U38" s="6"/>
      <c r="V38" s="6"/>
      <c r="W38" s="6"/>
      <c r="X38" s="6"/>
      <c r="Y38" s="511" t="s">
        <v>78</v>
      </c>
      <c r="Z38" s="512">
        <f>SUM(Z31:Z37)</f>
        <v>64.726620556413039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84"/>
      <c r="AL38" s="184"/>
    </row>
    <row r="39" spans="1:38" x14ac:dyDescent="0.25">
      <c r="A39" s="5"/>
      <c r="B39" s="349">
        <v>2</v>
      </c>
      <c r="C39" s="403">
        <v>0.18096083143761921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</row>
    <row r="40" spans="1:38" ht="15.75" thickBot="1" x14ac:dyDescent="0.3">
      <c r="A40" s="5"/>
      <c r="B40" s="350">
        <v>1</v>
      </c>
      <c r="C40" s="404">
        <v>9.8852218293109598E-3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</row>
    <row r="41" spans="1:38" ht="15.75" thickBot="1" x14ac:dyDescent="0.3">
      <c r="A41" s="5"/>
      <c r="B41" s="184"/>
      <c r="C41" s="184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84"/>
      <c r="R41" s="967" t="s">
        <v>244</v>
      </c>
      <c r="S41" s="969"/>
      <c r="T41" s="194"/>
      <c r="U41" s="967" t="s">
        <v>244</v>
      </c>
      <c r="V41" s="968"/>
      <c r="W41" s="968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9"/>
      <c r="AK41" s="184"/>
      <c r="AL41" s="184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84"/>
      <c r="R42" s="707" t="s">
        <v>81</v>
      </c>
      <c r="S42" s="703" t="s">
        <v>80</v>
      </c>
      <c r="T42" s="184"/>
      <c r="U42" s="704" t="s">
        <v>0</v>
      </c>
      <c r="V42" s="978" t="s">
        <v>72</v>
      </c>
      <c r="W42" s="704" t="s">
        <v>101</v>
      </c>
      <c r="X42" s="674" t="s">
        <v>74</v>
      </c>
      <c r="Y42" s="704" t="s">
        <v>76</v>
      </c>
      <c r="Z42" s="704" t="s">
        <v>77</v>
      </c>
      <c r="AA42" s="979" t="s">
        <v>491</v>
      </c>
      <c r="AB42" s="948" t="s">
        <v>492</v>
      </c>
      <c r="AC42" s="948" t="s">
        <v>493</v>
      </c>
      <c r="AD42" s="948" t="s">
        <v>494</v>
      </c>
      <c r="AE42" s="671" t="s">
        <v>184</v>
      </c>
      <c r="AF42" s="671" t="s">
        <v>183</v>
      </c>
      <c r="AG42" s="671" t="s">
        <v>185</v>
      </c>
      <c r="AH42" s="671" t="s">
        <v>186</v>
      </c>
      <c r="AI42" s="950" t="s">
        <v>347</v>
      </c>
      <c r="AJ42" s="950" t="s">
        <v>389</v>
      </c>
      <c r="AK42" s="980" t="s">
        <v>237</v>
      </c>
      <c r="AL42" s="184"/>
    </row>
    <row r="43" spans="1:38" ht="15" customHeight="1" x14ac:dyDescent="0.25">
      <c r="A43" s="5"/>
      <c r="B43" s="184"/>
      <c r="C43" s="184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84"/>
      <c r="R43" s="973"/>
      <c r="S43" s="974"/>
      <c r="T43" s="184"/>
      <c r="U43" s="704"/>
      <c r="V43" s="978"/>
      <c r="W43" s="704"/>
      <c r="X43" s="674"/>
      <c r="Y43" s="704"/>
      <c r="Z43" s="704"/>
      <c r="AA43" s="979"/>
      <c r="AB43" s="948"/>
      <c r="AC43" s="948"/>
      <c r="AD43" s="948"/>
      <c r="AE43" s="671"/>
      <c r="AF43" s="671"/>
      <c r="AG43" s="671"/>
      <c r="AH43" s="671"/>
      <c r="AI43" s="950"/>
      <c r="AJ43" s="950"/>
      <c r="AK43" s="980"/>
      <c r="AL43" s="184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84"/>
      <c r="R44" s="44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1.7463742266006555E-3</v>
      </c>
      <c r="S44" s="519">
        <f>S45+R44</f>
        <v>0.19997802214079508</v>
      </c>
      <c r="T44" s="184"/>
      <c r="U44" s="487">
        <v>6</v>
      </c>
      <c r="V44" s="485">
        <f>V45+hstr6</f>
        <v>17.75</v>
      </c>
      <c r="W44" s="51">
        <f t="shared" ref="W44:W49" si="31">R44/(V44-V45)</f>
        <v>5.8212474220021855E-4</v>
      </c>
      <c r="X44" s="501">
        <f t="shared" ref="X44:X50" si="32">S44</f>
        <v>0.19997802214079508</v>
      </c>
      <c r="Y44" s="488">
        <f>mstr6</f>
        <v>63.074599999999997</v>
      </c>
      <c r="Z44" s="253">
        <f t="shared" ref="Z44:Z49" si="33">Y44*X44</f>
        <v>12.613533755321793</v>
      </c>
      <c r="AA44" s="502">
        <f>((Y44*X44)/(Z51)*$L$15)</f>
        <v>45.860346187851171</v>
      </c>
      <c r="AB44" s="502">
        <f>AD44+$O$15</f>
        <v>45.860346187851171</v>
      </c>
      <c r="AC44" s="502">
        <f>AA44</f>
        <v>45.860346187851171</v>
      </c>
      <c r="AD44" s="503">
        <f>AC44-$O$15</f>
        <v>45.860346187851171</v>
      </c>
      <c r="AE44" s="87">
        <f>IF(($H$16=0),(_xlfn.IFS((W44&lt;='Frame Capacities'!$BZ$11),(W44*hstr6*'Frame Capacities'!$BS$11),(AND((W44&gt;'Frame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Capacities'!$BM$11),(AND((W44&gt;'Frame Capacities'!$CB$11),(W44&lt;='Frame Capacities'!$CC$11))),((W44-'Frame Capacities'!$CB$11)*hstr6*('Frame Capacities'!$BV$11)+'Frame Capacities'!$BN$11),(AND((W44&gt;'Frame Capacities'!$CC$11),(W44&lt;='Frame Capacities'!$CD$11))),((W44-'Frame Capacities'!$CC$11)*hstr6*('Frame Capacities'!$BW$11)+'Frame Capacities'!$BO$11))),((W44-'Frame Capacities'!$CE$11)*hstr6*'Frame Capacities'!$BX$11+'Frame Capacities'!$BQ$11))</f>
        <v>2.0849479029153315</v>
      </c>
      <c r="AF44" s="596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43.775398284935903</v>
      </c>
      <c r="AG44" s="51">
        <f>AE44/$C$16</f>
        <v>0.15776419659507543</v>
      </c>
      <c r="AH44" s="48">
        <f>AF44/$D$16</f>
        <v>0.15776419659507551</v>
      </c>
      <c r="AI44" s="505">
        <f t="shared" ref="AI44:AI49" si="34">AE44+AF44</f>
        <v>45.860346187851235</v>
      </c>
      <c r="AJ44" s="506">
        <f>AD44-AI44</f>
        <v>-6.3948846218409017E-14</v>
      </c>
      <c r="AK44" s="201">
        <f>(AD44-(AI44))/AD44</f>
        <v>-1.3944257192578642E-15</v>
      </c>
      <c r="AL44" s="184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84"/>
      <c r="R45" s="49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3.2786869088543289E-3</v>
      </c>
      <c r="S45" s="520">
        <f>S46+R45</f>
        <v>0.19823164791419443</v>
      </c>
      <c r="T45" s="184"/>
      <c r="U45" s="487">
        <v>5</v>
      </c>
      <c r="V45" s="485">
        <f>V46+hstr5</f>
        <v>14.75</v>
      </c>
      <c r="W45" s="51">
        <f t="shared" si="31"/>
        <v>1.0928956362847764E-3</v>
      </c>
      <c r="X45" s="501">
        <f t="shared" si="32"/>
        <v>0.19823164791419443</v>
      </c>
      <c r="Y45" s="488">
        <f>mstr5</f>
        <v>67.278400000000005</v>
      </c>
      <c r="Z45" s="253">
        <f t="shared" si="33"/>
        <v>13.336708101030339</v>
      </c>
      <c r="AA45" s="502">
        <f>((Y45*X45)/(Z51)*$L$15)</f>
        <v>48.489666923158516</v>
      </c>
      <c r="AB45" s="502">
        <f>AD45-AD44+$O$16</f>
        <v>48.489666923158516</v>
      </c>
      <c r="AC45" s="502">
        <f>AC44+AA45</f>
        <v>94.350013111009687</v>
      </c>
      <c r="AD45" s="503">
        <f>AC45-$O$16</f>
        <v>94.350013111009687</v>
      </c>
      <c r="AE45" s="92">
        <f>IF(($H$17=0),(_xlfn.IFS((W45&lt;='Frame Capacities'!$BZ$12),(W45*hstr5*'Frame Capacities'!$BS$12),(AND((W45&gt;'Frame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Capacities'!$BM$12),(AND((W45&gt;'Frame Capacities'!$CB$12),(W45&lt;='Frame Capacities'!$CC$12))),((W45-'Frame Capacities'!$CB$12)*hstr5*('Frame Capacities'!$BV$12)+'Frame Capacities'!$BN$12),(AND((W45&gt;'Frame Capacities'!$CC$12),(W45&lt;='Frame Capacities'!$CD$12))),((W45-'Frame Capacities'!$CC$12)*hstr5*('Frame Capacities'!$BW$12)+'Frame Capacities'!$BO$12))),((W45-'Frame Capacities'!$CE$12)*hstr5*'Frame Capacities'!$BX$12+'Frame Capacities'!$BQ$12))</f>
        <v>4.1135223004893113</v>
      </c>
      <c r="AF45" s="50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90.236490810520422</v>
      </c>
      <c r="AG45" s="51">
        <f>AE45/$C$17</f>
        <v>0.16102567389546546</v>
      </c>
      <c r="AH45" s="48">
        <f>AF45/$D$17</f>
        <v>0.16102567389546565</v>
      </c>
      <c r="AI45" s="505">
        <f t="shared" si="34"/>
        <v>94.35001311100973</v>
      </c>
      <c r="AJ45" s="506">
        <f>AD45-AI45</f>
        <v>0</v>
      </c>
      <c r="AK45" s="201">
        <f t="shared" ref="AK45:AK49" si="35">(AD45-(AI45))/AD45</f>
        <v>-4.5185541305061273E-16</v>
      </c>
      <c r="AL45" s="184"/>
    </row>
    <row r="46" spans="1:38" ht="15" customHeight="1" x14ac:dyDescent="0.25">
      <c r="A46" s="6"/>
      <c r="B46" s="6"/>
      <c r="C46" s="6"/>
      <c r="D46" s="6"/>
      <c r="E46" s="1000" t="s">
        <v>350</v>
      </c>
      <c r="F46" s="1001"/>
      <c r="G46" s="1001"/>
      <c r="H46" s="1001"/>
      <c r="I46" s="1002"/>
      <c r="J46" s="496"/>
      <c r="K46" s="496"/>
      <c r="L46" s="6"/>
      <c r="M46" s="6"/>
      <c r="N46" s="6"/>
      <c r="O46" s="6"/>
      <c r="P46" s="6"/>
      <c r="Q46" s="184"/>
      <c r="R46" s="49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4.3949468688683066E-3</v>
      </c>
      <c r="S46" s="520">
        <f t="shared" ref="S46:S48" si="36">S47+R46</f>
        <v>0.1949529610053401</v>
      </c>
      <c r="T46" s="184"/>
      <c r="U46" s="487">
        <v>4</v>
      </c>
      <c r="V46" s="485">
        <f>V47+hstr4</f>
        <v>11.75</v>
      </c>
      <c r="W46" s="51">
        <f t="shared" si="31"/>
        <v>1.4649822896227688E-3</v>
      </c>
      <c r="X46" s="501">
        <f t="shared" si="32"/>
        <v>0.1949529610053401</v>
      </c>
      <c r="Y46" s="488">
        <f>mstr4</f>
        <v>67.278400000000005</v>
      </c>
      <c r="Z46" s="253">
        <f t="shared" si="33"/>
        <v>13.116123291701674</v>
      </c>
      <c r="AA46" s="502">
        <f>((Y46*X46)/(Z51)*$L$15)</f>
        <v>47.687663621322052</v>
      </c>
      <c r="AB46" s="502">
        <f>AD46-AD45+$O$17</f>
        <v>47.687663621322045</v>
      </c>
      <c r="AC46" s="502">
        <f t="shared" ref="AC46:AC49" si="37">AC45+AA46</f>
        <v>142.03767673233173</v>
      </c>
      <c r="AD46" s="503">
        <f>AC46-$O$17</f>
        <v>142.03767673233173</v>
      </c>
      <c r="AE46" s="92">
        <f>IF(($H$18=0),(_xlfn.IFS((W46&lt;='Frame Capacities'!$BZ$13),(W46*hstr4*'Frame Capacities'!$BS$13),(AND((W46&gt;'Frame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Capacities'!$BM$13),(AND((W46&gt;'Frame Capacities'!$CB$13),(W46&lt;='Frame Capacities'!$CC$13))),((W46-'Frame Capacities'!$CB$13)*hstr4*('Frame Capacities'!$BV$13)+'Frame Capacities'!$BN$13),(AND((W46&gt;'Frame Capacities'!$CC$13),(W46&lt;='Frame Capacities'!$CD$13))),((W46-'Frame Capacities'!$CC$13)*hstr4*('Frame Capacities'!$BW$13)+'Frame Capacities'!$BO$13))),((W46-'Frame Capacities'!$CE$13)*hstr4*'Frame Capacities'!$BX$13+'Frame Capacities'!$BQ$13))</f>
        <v>6.7626032668135991</v>
      </c>
      <c r="AF46" s="50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135.27507346551806</v>
      </c>
      <c r="AG46" s="51">
        <f>AE46/$C$18</f>
        <v>0.16643916747106979</v>
      </c>
      <c r="AH46" s="48">
        <f>AF46/$D$18</f>
        <v>0.1664391674710699</v>
      </c>
      <c r="AI46" s="505">
        <f t="shared" si="34"/>
        <v>142.03767673233165</v>
      </c>
      <c r="AJ46" s="506">
        <f t="shared" ref="AJ46:AJ49" si="38">AD46-AI46</f>
        <v>0</v>
      </c>
      <c r="AK46" s="201">
        <f t="shared" si="35"/>
        <v>6.0029937304517529E-16</v>
      </c>
      <c r="AL46" s="184"/>
    </row>
    <row r="47" spans="1:38" ht="15.75" x14ac:dyDescent="0.25">
      <c r="A47" s="6"/>
      <c r="B47" s="6"/>
      <c r="C47" s="6"/>
      <c r="D47" s="6"/>
      <c r="E47" s="405" t="s">
        <v>5</v>
      </c>
      <c r="F47" s="412" t="s">
        <v>2</v>
      </c>
      <c r="G47" s="408" t="s">
        <v>351</v>
      </c>
      <c r="H47" s="383" t="s">
        <v>352</v>
      </c>
      <c r="I47" s="405" t="s">
        <v>349</v>
      </c>
      <c r="J47" s="497"/>
      <c r="K47" s="6"/>
      <c r="L47" s="6"/>
      <c r="M47" s="6"/>
      <c r="N47" s="6"/>
      <c r="O47" s="6"/>
      <c r="P47" s="6"/>
      <c r="Q47" s="184"/>
      <c r="R47" s="49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9.5971826993550523E-3</v>
      </c>
      <c r="S47" s="520">
        <f t="shared" si="36"/>
        <v>0.1905580141364718</v>
      </c>
      <c r="T47" s="184"/>
      <c r="U47" s="487">
        <v>3</v>
      </c>
      <c r="V47" s="485">
        <f>V48+hstr3</f>
        <v>8.75</v>
      </c>
      <c r="W47" s="51">
        <f t="shared" si="31"/>
        <v>3.1990608997850174E-3</v>
      </c>
      <c r="X47" s="501">
        <f t="shared" si="32"/>
        <v>0.1905580141364718</v>
      </c>
      <c r="Y47" s="488">
        <f>mstr3</f>
        <v>67.278400000000005</v>
      </c>
      <c r="Z47" s="253">
        <f t="shared" si="33"/>
        <v>12.820438298279205</v>
      </c>
      <c r="AA47" s="502">
        <f>((Y47*X47)/(Z51)*$L$15)</f>
        <v>46.612610711967001</v>
      </c>
      <c r="AB47" s="502">
        <f>AD47-AD46+$O$18</f>
        <v>46.612610711966994</v>
      </c>
      <c r="AC47" s="502">
        <f t="shared" si="37"/>
        <v>188.65028744429873</v>
      </c>
      <c r="AD47" s="503">
        <f>AC47-$O$18</f>
        <v>188.65028744429873</v>
      </c>
      <c r="AE47" s="92">
        <f>IF(($H$19=0),(_xlfn.IFS((W47&lt;='Frame Capacities'!$BZ$14),(W47*hstr3*'Frame Capacities'!$BS$14),(AND((W47&gt;'Frame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Capacities'!$BM$14),(AND((W47&gt;'Frame Capacities'!$CB$14),(W47&lt;='Frame Capacities'!$CC$14))),((W47-'Frame Capacities'!$CB$14)*hstr3*('Frame Capacities'!$BV$14)+'Frame Capacities'!$BN$14),(AND((W47&gt;'Frame Capacities'!$CC$14),(W47&lt;='Frame Capacities'!$CD$14))),((W47-'Frame Capacities'!$CC$14)*hstr3*('Frame Capacities'!$BW$14)+'Frame Capacities'!$BO$14))),((W47-'Frame Capacities'!$CE$14)*hstr3*'Frame Capacities'!$BX$14+'Frame Capacities'!$BQ$14))</f>
        <v>57.876470485331971</v>
      </c>
      <c r="AF47" s="50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130.77381695896736</v>
      </c>
      <c r="AG47" s="51">
        <f>AE47/$C$19</f>
        <v>0.49334494896224196</v>
      </c>
      <c r="AH47" s="48">
        <f>AF47/$D$19</f>
        <v>0.13532237143518708</v>
      </c>
      <c r="AI47" s="505">
        <f t="shared" si="34"/>
        <v>188.65028744429932</v>
      </c>
      <c r="AJ47" s="506">
        <f t="shared" si="38"/>
        <v>-5.9685589803848416E-13</v>
      </c>
      <c r="AK47" s="201">
        <f t="shared" si="35"/>
        <v>-3.1638218320484303E-15</v>
      </c>
      <c r="AL47" s="184"/>
    </row>
    <row r="48" spans="1:38" ht="15.75" x14ac:dyDescent="0.25">
      <c r="A48" s="6"/>
      <c r="B48" s="6"/>
      <c r="C48" s="6"/>
      <c r="D48" s="6"/>
      <c r="E48" s="413">
        <v>6</v>
      </c>
      <c r="F48" s="409">
        <v>17.75</v>
      </c>
      <c r="G48" s="406">
        <f t="shared" ref="G48:G53" si="39">AA57</f>
        <v>45.860346187851178</v>
      </c>
      <c r="H48" s="406">
        <f t="shared" ref="H48:H54" si="40">G48/$AC$62</f>
        <v>0.19487397375131549</v>
      </c>
      <c r="I48" s="407">
        <f t="shared" ref="I48:I54" si="41">H48/MAX($H$48:$H$54)</f>
        <v>0.94577564866605446</v>
      </c>
      <c r="J48" s="218"/>
      <c r="K48" s="6"/>
      <c r="L48" s="6"/>
      <c r="M48" s="6"/>
      <c r="N48" s="6"/>
      <c r="O48" s="6"/>
      <c r="P48" s="6"/>
      <c r="Q48" s="184"/>
      <c r="R48" s="49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0.1710756096078058</v>
      </c>
      <c r="S48" s="520">
        <f t="shared" si="36"/>
        <v>0.18096083143711675</v>
      </c>
      <c r="T48" s="184"/>
      <c r="U48" s="487">
        <v>2</v>
      </c>
      <c r="V48" s="485">
        <f>V49+hstr2</f>
        <v>5.75</v>
      </c>
      <c r="W48" s="51">
        <f t="shared" si="31"/>
        <v>5.7025203202601932E-2</v>
      </c>
      <c r="X48" s="501">
        <f t="shared" si="32"/>
        <v>0.18096083143711675</v>
      </c>
      <c r="Y48" s="488">
        <f>mstr2</f>
        <v>67.278400000000005</v>
      </c>
      <c r="Z48" s="253">
        <f t="shared" si="33"/>
        <v>12.174755201758916</v>
      </c>
      <c r="AA48" s="502">
        <f>((Y48*X48)/(Z51)*$L$15)</f>
        <v>44.265033030052855</v>
      </c>
      <c r="AB48" s="502">
        <f>AD48-AD47+$O$19</f>
        <v>44.265033030052848</v>
      </c>
      <c r="AC48" s="502">
        <f t="shared" si="37"/>
        <v>232.91532047435157</v>
      </c>
      <c r="AD48" s="503">
        <f>AC48-$O$19</f>
        <v>232.91532047435157</v>
      </c>
      <c r="AE48" s="92">
        <f>IF(($H$20=0),(_xlfn.IFS((W48&lt;='Frame Capacities'!$BZ$15),(W48*hstr2*'Frame Capacities'!$BS$15),(AND((W48&gt;'Frame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Capacities'!$BM$15),(AND((W48&gt;'Frame Capacities'!$CB$15),(W48&lt;='Frame Capacities'!$CC$15))),((W48-'Frame Capacities'!$CB$15)*hstr2*('Frame Capacities'!$BV$15)+'Frame Capacities'!$BN$15),(AND((W48&gt;'Frame Capacities'!$CC$15),(W48&lt;='Frame Capacities'!$CD$15))),((W48-'Frame Capacities'!$CC$15)*hstr2*('Frame Capacities'!$BW$15)+'Frame Capacities'!$BO$15))),((W48-'Frame Capacities'!$CE$15)*hstr2*'Frame Capacities'!$BX$15+'Frame Capacities'!$BQ$15))</f>
        <v>128.58732047435169</v>
      </c>
      <c r="AF48" s="50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104.328</v>
      </c>
      <c r="AG48" s="51">
        <f>AE48/$C$20</f>
        <v>4.4238757043928336</v>
      </c>
      <c r="AH48" s="48">
        <f>AF48/$D$20</f>
        <v>1</v>
      </c>
      <c r="AI48" s="505">
        <f t="shared" si="34"/>
        <v>232.91532047435169</v>
      </c>
      <c r="AJ48" s="506">
        <f t="shared" si="38"/>
        <v>0</v>
      </c>
      <c r="AK48" s="201">
        <f t="shared" si="35"/>
        <v>-4.8810373439618851E-16</v>
      </c>
      <c r="AL48" s="184"/>
    </row>
    <row r="49" spans="1:38" ht="15.75" x14ac:dyDescent="0.25">
      <c r="A49" s="6"/>
      <c r="B49" s="6"/>
      <c r="C49" s="6"/>
      <c r="D49" s="6"/>
      <c r="E49" s="414">
        <v>5</v>
      </c>
      <c r="F49" s="410">
        <v>14.75</v>
      </c>
      <c r="G49" s="218">
        <f t="shared" si="39"/>
        <v>48.489666923158524</v>
      </c>
      <c r="H49" s="218">
        <f t="shared" si="40"/>
        <v>0.2060467236877695</v>
      </c>
      <c r="I49" s="219">
        <f t="shared" si="41"/>
        <v>1</v>
      </c>
      <c r="J49" s="218"/>
      <c r="K49" s="6"/>
      <c r="L49" s="6"/>
      <c r="M49" s="6"/>
      <c r="N49" s="6"/>
      <c r="O49" s="6"/>
      <c r="P49" s="6"/>
      <c r="Q49" s="184"/>
      <c r="R49" s="49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9.8852218293109598E-3</v>
      </c>
      <c r="S49" s="520">
        <f>S50+R49</f>
        <v>9.8852218293109598E-3</v>
      </c>
      <c r="T49" s="184"/>
      <c r="U49" s="487">
        <v>1</v>
      </c>
      <c r="V49" s="485">
        <f>V50+hstr1</f>
        <v>2.75</v>
      </c>
      <c r="W49" s="51">
        <f t="shared" si="31"/>
        <v>3.59462611974944E-3</v>
      </c>
      <c r="X49" s="501">
        <f t="shared" si="32"/>
        <v>9.8852218293109598E-3</v>
      </c>
      <c r="Y49" s="488">
        <f>mstr1</f>
        <v>67.278400000000005</v>
      </c>
      <c r="Z49" s="253">
        <f t="shared" si="33"/>
        <v>0.66506190832111456</v>
      </c>
      <c r="AA49" s="502">
        <f>((Y49*X49)/(Z51)*$L$15)</f>
        <v>2.4180352582868356</v>
      </c>
      <c r="AB49" s="502">
        <f>AD49-AD48+$O$20</f>
        <v>2.4180352582868352</v>
      </c>
      <c r="AC49" s="502">
        <f t="shared" si="37"/>
        <v>235.33335573263841</v>
      </c>
      <c r="AD49" s="503">
        <f>AC49-$O$20</f>
        <v>235.33335573263841</v>
      </c>
      <c r="AE49" s="92">
        <f>IF(($H$21=0),(_xlfn.IFS((W49&lt;='Frame Capacities'!$BZ$16),(W49*hstr1*'Frame Capacities'!$BS$16),(AND((W49&gt;'Frame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Capacities'!$BM$16),(AND((W49&gt;'Frame Capacities'!$CB$16),(W49&lt;='Frame Capacities'!$CC$16))),((W49-'Frame Capacities'!$CB$16)*hstr1*('Frame Capacities'!$BV$16)+'Frame Capacities'!$BN$16),(AND((W49&gt;'Frame Capacities'!$CC$16),(W49&lt;='Frame Capacities'!$CD$16))),((W49-'Frame Capacities'!$CC$16)*hstr1*('Frame Capacities'!$BW$16)+'Frame Capacities'!$BO$16))),((W49-'Frame Capacities'!$CE$16)*hstr1*'Frame Capacities'!$BX$16+'Frame Capacities'!$BQ$16))</f>
        <v>186.14201445239416</v>
      </c>
      <c r="AF49" s="50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49.191341280244046</v>
      </c>
      <c r="AG49" s="51">
        <f>AE49/$C$21</f>
        <v>0.52356941144662617</v>
      </c>
      <c r="AH49" s="48">
        <f>AF49/$D$21</f>
        <v>5.1255215865162594E-2</v>
      </c>
      <c r="AI49" s="505">
        <f t="shared" si="34"/>
        <v>235.33335573263821</v>
      </c>
      <c r="AJ49" s="506">
        <f t="shared" si="38"/>
        <v>0</v>
      </c>
      <c r="AK49" s="201">
        <f t="shared" si="35"/>
        <v>8.4540487426209497E-16</v>
      </c>
      <c r="AL49" s="184"/>
    </row>
    <row r="50" spans="1:38" ht="15.75" x14ac:dyDescent="0.25">
      <c r="A50" s="6"/>
      <c r="B50" s="6"/>
      <c r="C50" s="6"/>
      <c r="D50" s="6"/>
      <c r="E50" s="414">
        <v>4</v>
      </c>
      <c r="F50" s="410">
        <v>11.75</v>
      </c>
      <c r="G50" s="218">
        <f t="shared" si="39"/>
        <v>47.687663621322059</v>
      </c>
      <c r="H50" s="218">
        <f t="shared" si="40"/>
        <v>0.2026387779703438</v>
      </c>
      <c r="I50" s="219">
        <f t="shared" si="41"/>
        <v>0.98346032561726204</v>
      </c>
      <c r="J50" s="218"/>
      <c r="K50" s="6"/>
      <c r="L50" s="6"/>
      <c r="M50" s="6"/>
      <c r="N50" s="6"/>
      <c r="O50" s="6"/>
      <c r="P50" s="6"/>
      <c r="Q50" s="184"/>
      <c r="R50" s="522">
        <v>0</v>
      </c>
      <c r="S50" s="521">
        <f>R50</f>
        <v>0</v>
      </c>
      <c r="T50" s="184"/>
      <c r="U50" s="484">
        <v>0</v>
      </c>
      <c r="V50" s="486">
        <f>hstr0</f>
        <v>0</v>
      </c>
      <c r="W50" s="68" t="s">
        <v>66</v>
      </c>
      <c r="X50" s="507">
        <f t="shared" si="32"/>
        <v>0</v>
      </c>
      <c r="Y50" s="139" t="s">
        <v>66</v>
      </c>
      <c r="Z50" s="255">
        <v>0</v>
      </c>
      <c r="AA50" s="508" t="s">
        <v>66</v>
      </c>
      <c r="AB50" s="508" t="s">
        <v>66</v>
      </c>
      <c r="AC50" s="508" t="s">
        <v>66</v>
      </c>
      <c r="AD50" s="508" t="s">
        <v>66</v>
      </c>
      <c r="AE50" s="149" t="s">
        <v>66</v>
      </c>
      <c r="AF50" s="149" t="s">
        <v>66</v>
      </c>
      <c r="AG50" s="142" t="s">
        <v>66</v>
      </c>
      <c r="AH50" s="149" t="s">
        <v>66</v>
      </c>
      <c r="AI50" s="509" t="s">
        <v>66</v>
      </c>
      <c r="AJ50" s="510" t="s">
        <v>66</v>
      </c>
      <c r="AL50" s="184"/>
    </row>
    <row r="51" spans="1:38" x14ac:dyDescent="0.25">
      <c r="A51" s="184"/>
      <c r="B51" s="184"/>
      <c r="C51" s="184"/>
      <c r="D51" s="184"/>
      <c r="E51" s="414">
        <v>3</v>
      </c>
      <c r="F51" s="410">
        <v>8.75</v>
      </c>
      <c r="G51" s="218">
        <f t="shared" si="39"/>
        <v>46.612610711967008</v>
      </c>
      <c r="H51" s="218">
        <f t="shared" si="40"/>
        <v>0.19807056490930872</v>
      </c>
      <c r="I51" s="219">
        <f t="shared" si="41"/>
        <v>0.96128956269866561</v>
      </c>
      <c r="J51" s="218"/>
      <c r="K51" s="6"/>
      <c r="L51" s="184"/>
      <c r="M51" s="184"/>
      <c r="N51" s="184"/>
      <c r="O51" s="184"/>
      <c r="P51" s="184"/>
      <c r="Q51" s="184"/>
      <c r="R51" s="184"/>
      <c r="S51" s="184"/>
      <c r="T51" s="184"/>
      <c r="U51" s="6"/>
      <c r="V51" s="6"/>
      <c r="W51" s="6"/>
      <c r="X51" s="6"/>
      <c r="Y51" s="511" t="s">
        <v>78</v>
      </c>
      <c r="Z51" s="512">
        <f>SUM(Z44:Z50)</f>
        <v>64.726620556413053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84"/>
      <c r="AL51" s="184"/>
    </row>
    <row r="52" spans="1:38" x14ac:dyDescent="0.25">
      <c r="A52" s="184"/>
      <c r="B52" s="184"/>
      <c r="C52" s="184"/>
      <c r="D52" s="184"/>
      <c r="E52" s="414">
        <v>2</v>
      </c>
      <c r="F52" s="410">
        <v>5.75</v>
      </c>
      <c r="G52" s="218">
        <f t="shared" si="39"/>
        <v>44.265033030052862</v>
      </c>
      <c r="H52" s="218">
        <f t="shared" si="40"/>
        <v>0.18809502330108374</v>
      </c>
      <c r="I52" s="219">
        <f t="shared" si="41"/>
        <v>0.91287558440439631</v>
      </c>
      <c r="J52" s="218"/>
      <c r="K52" s="6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</row>
    <row r="53" spans="1:38" ht="15.75" thickBot="1" x14ac:dyDescent="0.3">
      <c r="A53" s="184"/>
      <c r="B53" s="184"/>
      <c r="C53" s="184"/>
      <c r="D53" s="184"/>
      <c r="E53" s="414">
        <v>1</v>
      </c>
      <c r="F53" s="410">
        <v>2.75</v>
      </c>
      <c r="G53" s="218">
        <f t="shared" si="39"/>
        <v>2.4180352582868356</v>
      </c>
      <c r="H53" s="218">
        <f t="shared" si="40"/>
        <v>1.0274936380178755E-2</v>
      </c>
      <c r="I53" s="219">
        <f t="shared" si="41"/>
        <v>4.98670214031103E-2</v>
      </c>
      <c r="J53" s="218"/>
      <c r="K53" s="6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</row>
    <row r="54" spans="1:38" ht="15.75" customHeight="1" thickBot="1" x14ac:dyDescent="0.3">
      <c r="A54" s="184"/>
      <c r="B54" s="184"/>
      <c r="C54" s="184"/>
      <c r="D54" s="222"/>
      <c r="E54" s="415">
        <v>0</v>
      </c>
      <c r="F54" s="411">
        <v>0</v>
      </c>
      <c r="G54" s="220">
        <v>0</v>
      </c>
      <c r="H54" s="220">
        <f t="shared" si="40"/>
        <v>0</v>
      </c>
      <c r="I54" s="221">
        <f t="shared" si="41"/>
        <v>0</v>
      </c>
      <c r="J54" s="218"/>
      <c r="K54" s="6"/>
      <c r="L54" s="222"/>
      <c r="M54" s="222"/>
      <c r="N54" s="222"/>
      <c r="O54" s="222"/>
      <c r="P54" s="222"/>
      <c r="Q54" s="184"/>
      <c r="R54" s="970" t="s">
        <v>245</v>
      </c>
      <c r="S54" s="972"/>
      <c r="T54" s="194"/>
      <c r="U54" s="970" t="s">
        <v>245</v>
      </c>
      <c r="V54" s="971"/>
      <c r="W54" s="971"/>
      <c r="X54" s="971"/>
      <c r="Y54" s="971"/>
      <c r="Z54" s="971"/>
      <c r="AA54" s="971"/>
      <c r="AB54" s="971"/>
      <c r="AC54" s="971"/>
      <c r="AD54" s="971"/>
      <c r="AE54" s="971"/>
      <c r="AF54" s="971"/>
      <c r="AG54" s="971"/>
      <c r="AH54" s="971"/>
      <c r="AI54" s="971"/>
      <c r="AJ54" s="972"/>
      <c r="AK54" s="184"/>
      <c r="AL54" s="184"/>
    </row>
    <row r="55" spans="1:38" ht="15" customHeight="1" x14ac:dyDescent="0.25">
      <c r="A55" s="184"/>
      <c r="B55" s="184"/>
      <c r="C55" s="184"/>
      <c r="D55" s="222"/>
      <c r="E55" s="184"/>
      <c r="F55" s="184"/>
      <c r="G55" s="184"/>
      <c r="H55" s="184"/>
      <c r="I55" s="184"/>
      <c r="J55" s="6"/>
      <c r="K55" s="6"/>
      <c r="L55" s="222"/>
      <c r="M55" s="222"/>
      <c r="N55" s="222"/>
      <c r="O55" s="222"/>
      <c r="P55" s="222"/>
      <c r="Q55" s="184"/>
      <c r="R55" s="707" t="s">
        <v>81</v>
      </c>
      <c r="S55" s="703" t="s">
        <v>80</v>
      </c>
      <c r="T55" s="184"/>
      <c r="U55" s="703" t="s">
        <v>0</v>
      </c>
      <c r="V55" s="703" t="s">
        <v>72</v>
      </c>
      <c r="W55" s="703" t="s">
        <v>101</v>
      </c>
      <c r="X55" s="982" t="s">
        <v>74</v>
      </c>
      <c r="Y55" s="703" t="s">
        <v>76</v>
      </c>
      <c r="Z55" s="703" t="s">
        <v>77</v>
      </c>
      <c r="AA55" s="947" t="s">
        <v>491</v>
      </c>
      <c r="AB55" s="947" t="s">
        <v>492</v>
      </c>
      <c r="AC55" s="947" t="s">
        <v>493</v>
      </c>
      <c r="AD55" s="947" t="s">
        <v>494</v>
      </c>
      <c r="AE55" s="707" t="s">
        <v>184</v>
      </c>
      <c r="AF55" s="707" t="s">
        <v>183</v>
      </c>
      <c r="AG55" s="707" t="s">
        <v>185</v>
      </c>
      <c r="AH55" s="707" t="s">
        <v>186</v>
      </c>
      <c r="AI55" s="949" t="s">
        <v>347</v>
      </c>
      <c r="AJ55" s="949" t="s">
        <v>389</v>
      </c>
      <c r="AK55" s="980" t="s">
        <v>237</v>
      </c>
      <c r="AL55" s="184"/>
    </row>
    <row r="56" spans="1:38" ht="15" customHeight="1" x14ac:dyDescent="0.25">
      <c r="A56" s="184"/>
      <c r="B56" s="184"/>
      <c r="C56" s="184"/>
      <c r="D56" s="223"/>
      <c r="E56" s="184"/>
      <c r="F56" s="184"/>
      <c r="G56" s="184"/>
      <c r="H56" s="184"/>
      <c r="I56" s="184"/>
      <c r="J56" s="184"/>
      <c r="K56" s="184"/>
      <c r="L56" s="223"/>
      <c r="M56" s="223"/>
      <c r="N56" s="224"/>
      <c r="O56" s="224"/>
      <c r="P56" s="224"/>
      <c r="Q56" s="184"/>
      <c r="R56" s="973"/>
      <c r="S56" s="974"/>
      <c r="T56" s="184"/>
      <c r="U56" s="704"/>
      <c r="V56" s="704"/>
      <c r="W56" s="704"/>
      <c r="X56" s="983"/>
      <c r="Y56" s="704"/>
      <c r="Z56" s="704"/>
      <c r="AA56" s="948"/>
      <c r="AB56" s="948"/>
      <c r="AC56" s="948"/>
      <c r="AD56" s="948"/>
      <c r="AE56" s="671"/>
      <c r="AF56" s="671"/>
      <c r="AG56" s="671"/>
      <c r="AH56" s="671"/>
      <c r="AI56" s="950"/>
      <c r="AJ56" s="950"/>
      <c r="AK56" s="980"/>
      <c r="AL56" s="184"/>
    </row>
    <row r="57" spans="1:38" ht="15" customHeight="1" x14ac:dyDescent="0.25">
      <c r="A57" s="184"/>
      <c r="B57" s="184"/>
      <c r="C57" s="184"/>
      <c r="D57" s="225"/>
      <c r="E57" s="184"/>
      <c r="F57" s="184"/>
      <c r="G57" s="184"/>
      <c r="H57" s="184"/>
      <c r="I57" s="184"/>
      <c r="J57" s="184"/>
      <c r="K57" s="184"/>
      <c r="L57" s="225"/>
      <c r="M57" s="226"/>
      <c r="N57" s="224"/>
      <c r="O57" s="224"/>
      <c r="P57" s="224"/>
      <c r="Q57" s="184"/>
      <c r="R57" s="44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1.7463742266006555E-3</v>
      </c>
      <c r="S57" s="519">
        <f>S58+R57</f>
        <v>0.1999780221407951</v>
      </c>
      <c r="T57" s="184"/>
      <c r="U57" s="487">
        <v>6</v>
      </c>
      <c r="V57" s="485">
        <f>V58+hstr6</f>
        <v>17.75</v>
      </c>
      <c r="W57" s="51">
        <f t="shared" ref="W57:W62" si="42">R57/(V57-V58)</f>
        <v>5.8212474220021855E-4</v>
      </c>
      <c r="X57" s="513">
        <f t="shared" ref="X57:X63" si="43">S57</f>
        <v>0.1999780221407951</v>
      </c>
      <c r="Y57" s="488">
        <f>mstr6</f>
        <v>63.074599999999997</v>
      </c>
      <c r="Z57" s="253">
        <f t="shared" ref="Z57:Z62" si="44">Y57*X57</f>
        <v>12.613533755321795</v>
      </c>
      <c r="AA57" s="502">
        <f>((Y57*X57)/(Z64)*$L$15)</f>
        <v>45.860346187851178</v>
      </c>
      <c r="AB57" s="502">
        <f>AD57+$O$15</f>
        <v>45.860346187851178</v>
      </c>
      <c r="AC57" s="502">
        <f>AA57</f>
        <v>45.860346187851178</v>
      </c>
      <c r="AD57" s="503">
        <f>AC57-$O$15</f>
        <v>45.860346187851178</v>
      </c>
      <c r="AE57" s="87">
        <f>IF(($H$16=0),(_xlfn.IFS((W57&lt;='Frame Capacities'!$BZ$11),(W57*hstr6*'Frame Capacities'!$BS$11),(AND((W57&gt;'Frame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Capacities'!$BM$11),(AND((W57&gt;'Frame Capacities'!$CB$11),(W57&lt;='Frame Capacities'!$CC$11))),((W57-'Frame Capacities'!$CB$11)*hstr6*('Frame Capacities'!$BV$11)+'Frame Capacities'!$BN$11),(AND((W57&gt;'Frame Capacities'!$CC$11),(W57&lt;='Frame Capacities'!$CD$11))),((W57-'Frame Capacities'!$CC$11)*hstr6*('Frame Capacities'!$BW$11)+'Frame Capacities'!$BO$11))),((W57-'Frame Capacities'!$CE$11)*hstr6*'Frame Capacities'!$BX$11+'Frame Capacities'!$BQ$11))</f>
        <v>2.0849479029153315</v>
      </c>
      <c r="AF57" s="596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43.775398284935903</v>
      </c>
      <c r="AG57" s="51">
        <f>AE57/$C$16</f>
        <v>0.15776419659507543</v>
      </c>
      <c r="AH57" s="48">
        <f>AF57/$D$16</f>
        <v>0.15776419659507551</v>
      </c>
      <c r="AI57" s="505">
        <f t="shared" ref="AI57:AI62" si="45">AE57+AF57</f>
        <v>45.860346187851235</v>
      </c>
      <c r="AJ57" s="506">
        <f>AD57-AI57</f>
        <v>-5.6843418860808015E-14</v>
      </c>
      <c r="AK57" s="201">
        <f>(AD57-(AI57))/AD57</f>
        <v>-1.2394895282292124E-15</v>
      </c>
      <c r="AL57" s="184"/>
    </row>
    <row r="58" spans="1:38" ht="15" customHeight="1" x14ac:dyDescent="0.25">
      <c r="A58" s="184"/>
      <c r="B58" s="184"/>
      <c r="C58" s="184"/>
      <c r="D58" s="225"/>
      <c r="E58" s="184"/>
      <c r="F58" s="184"/>
      <c r="G58" s="184"/>
      <c r="H58" s="184"/>
      <c r="I58" s="184"/>
      <c r="J58" s="184"/>
      <c r="K58" s="184"/>
      <c r="L58" s="225"/>
      <c r="M58" s="226"/>
      <c r="N58" s="224"/>
      <c r="O58" s="224"/>
      <c r="P58" s="224"/>
      <c r="Q58" s="184"/>
      <c r="R58" s="49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3.2786869088543289E-3</v>
      </c>
      <c r="S58" s="520">
        <f>S59+R58</f>
        <v>0.19823164791419445</v>
      </c>
      <c r="T58" s="184"/>
      <c r="U58" s="487">
        <v>5</v>
      </c>
      <c r="V58" s="485">
        <f>V59+hstr5</f>
        <v>14.75</v>
      </c>
      <c r="W58" s="51">
        <f t="shared" si="42"/>
        <v>1.0928956362847764E-3</v>
      </c>
      <c r="X58" s="513">
        <f t="shared" si="43"/>
        <v>0.19823164791419445</v>
      </c>
      <c r="Y58" s="488">
        <f>mstr5</f>
        <v>67.278400000000005</v>
      </c>
      <c r="Z58" s="253">
        <f t="shared" si="44"/>
        <v>13.336708101030341</v>
      </c>
      <c r="AA58" s="502">
        <f>((Y58*X58)/(Z64)*$L$15)</f>
        <v>48.489666923158524</v>
      </c>
      <c r="AB58" s="502">
        <f>AD58-AD57+$O$16</f>
        <v>48.489666923158524</v>
      </c>
      <c r="AC58" s="502">
        <f>AC57+AA58</f>
        <v>94.350013111009702</v>
      </c>
      <c r="AD58" s="503">
        <f>AC58-$O$16</f>
        <v>94.350013111009702</v>
      </c>
      <c r="AE58" s="92">
        <f>IF(($H$17=0),(_xlfn.IFS((W58&lt;='Frame Capacities'!$BZ$12),(W58*hstr5*'Frame Capacities'!$BS$12),(AND((W58&gt;'Frame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Capacities'!$BM$12),(AND((W58&gt;'Frame Capacities'!$CB$12),(W58&lt;='Frame Capacities'!$CC$12))),((W58-'Frame Capacities'!$CB$12)*hstr5*('Frame Capacities'!$BV$12)+'Frame Capacities'!$BN$12),(AND((W58&gt;'Frame Capacities'!$CC$12),(W58&lt;='Frame Capacities'!$CD$12))),((W58-'Frame Capacities'!$CC$12)*hstr5*('Frame Capacities'!$BW$12)+'Frame Capacities'!$BO$12))),((W58-'Frame Capacities'!$CE$12)*hstr5*'Frame Capacities'!$BX$12+'Frame Capacities'!$BQ$12))</f>
        <v>4.1135223004893113</v>
      </c>
      <c r="AF58" s="50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90.236490810520422</v>
      </c>
      <c r="AG58" s="51">
        <f>AE58/$C$17</f>
        <v>0.16102567389546546</v>
      </c>
      <c r="AH58" s="48">
        <f>AF58/$D$17</f>
        <v>0.16102567389546565</v>
      </c>
      <c r="AI58" s="505">
        <f>AE58+AF58</f>
        <v>94.35001311100973</v>
      </c>
      <c r="AJ58" s="506">
        <f>AD58-AI58</f>
        <v>0</v>
      </c>
      <c r="AK58" s="201">
        <f t="shared" ref="AK58:AK62" si="46">(AD58-(AI58))/AD58</f>
        <v>-3.0123694203374179E-16</v>
      </c>
      <c r="AL58" s="184"/>
    </row>
    <row r="59" spans="1:38" ht="15" customHeight="1" x14ac:dyDescent="0.25">
      <c r="A59" s="184"/>
      <c r="B59" s="184"/>
      <c r="C59" s="184"/>
      <c r="D59" s="225"/>
      <c r="E59" s="184"/>
      <c r="F59" s="184"/>
      <c r="G59" s="184"/>
      <c r="H59" s="184"/>
      <c r="I59" s="184"/>
      <c r="J59" s="184"/>
      <c r="K59" s="184"/>
      <c r="L59" s="225"/>
      <c r="M59" s="226"/>
      <c r="N59" s="224"/>
      <c r="O59" s="224"/>
      <c r="P59" s="224"/>
      <c r="Q59" s="184"/>
      <c r="R59" s="49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4.3949468688683066E-3</v>
      </c>
      <c r="S59" s="520">
        <f t="shared" ref="S59:S61" si="47">S60+R59</f>
        <v>0.19495296100534013</v>
      </c>
      <c r="T59" s="184"/>
      <c r="U59" s="487">
        <v>4</v>
      </c>
      <c r="V59" s="485">
        <f>V60+hstr4</f>
        <v>11.75</v>
      </c>
      <c r="W59" s="51">
        <f t="shared" si="42"/>
        <v>1.4649822896227688E-3</v>
      </c>
      <c r="X59" s="513">
        <f t="shared" si="43"/>
        <v>0.19495296100534013</v>
      </c>
      <c r="Y59" s="488">
        <f>mstr4</f>
        <v>67.278400000000005</v>
      </c>
      <c r="Z59" s="253">
        <f t="shared" si="44"/>
        <v>13.116123291701676</v>
      </c>
      <c r="AA59" s="502">
        <f>((Y59*X59)/(Z64)*$L$15)</f>
        <v>47.687663621322059</v>
      </c>
      <c r="AB59" s="502">
        <f>AD59-AD58+$O$17</f>
        <v>47.687663621322059</v>
      </c>
      <c r="AC59" s="502">
        <f t="shared" ref="AC59:AC62" si="48">AC58+AA59</f>
        <v>142.03767673233176</v>
      </c>
      <c r="AD59" s="503">
        <f>AC59-$O$17</f>
        <v>142.03767673233176</v>
      </c>
      <c r="AE59" s="92">
        <f>IF(($H$18=0),(_xlfn.IFS((W59&lt;='Frame Capacities'!$BZ$13),(W59*hstr4*'Frame Capacities'!$BS$13),(AND((W59&gt;'Frame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Capacities'!$BM$13),(AND((W59&gt;'Frame Capacities'!$CB$13),(W59&lt;='Frame Capacities'!$CC$13))),((W59-'Frame Capacities'!$CB$13)*hstr4*('Frame Capacities'!$BV$13)+'Frame Capacities'!$BN$13),(AND((W59&gt;'Frame Capacities'!$CC$13),(W59&lt;='Frame Capacities'!$CD$13))),((W59-'Frame Capacities'!$CC$13)*hstr4*('Frame Capacities'!$BW$13)+'Frame Capacities'!$BO$13))),((W59-'Frame Capacities'!$CE$13)*hstr4*'Frame Capacities'!$BX$13+'Frame Capacities'!$BQ$13))</f>
        <v>6.7626032668135991</v>
      </c>
      <c r="AF59" s="50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135.27507346551806</v>
      </c>
      <c r="AG59" s="51">
        <f>AE59/$C$18</f>
        <v>0.16643916747106979</v>
      </c>
      <c r="AH59" s="48">
        <f>AF59/$D$18</f>
        <v>0.1664391674710699</v>
      </c>
      <c r="AI59" s="505">
        <f t="shared" si="45"/>
        <v>142.03767673233165</v>
      </c>
      <c r="AJ59" s="506">
        <f t="shared" ref="AJ59:AJ62" si="49">AD59-AI59</f>
        <v>0</v>
      </c>
      <c r="AK59" s="201">
        <f t="shared" si="46"/>
        <v>8.0039916406023356E-16</v>
      </c>
      <c r="AL59" s="184"/>
    </row>
    <row r="60" spans="1:38" ht="15" customHeight="1" x14ac:dyDescent="0.25">
      <c r="A60" s="184"/>
      <c r="B60" s="184"/>
      <c r="C60" s="184"/>
      <c r="D60" s="225"/>
      <c r="E60" s="184"/>
      <c r="F60" s="184"/>
      <c r="G60" s="184"/>
      <c r="H60" s="184"/>
      <c r="I60" s="184"/>
      <c r="J60" s="184"/>
      <c r="K60" s="184"/>
      <c r="L60" s="225"/>
      <c r="M60" s="226"/>
      <c r="N60" s="224"/>
      <c r="O60" s="224"/>
      <c r="P60" s="224"/>
      <c r="Q60" s="184"/>
      <c r="R60" s="49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9.5971826993550523E-3</v>
      </c>
      <c r="S60" s="520">
        <f t="shared" si="47"/>
        <v>0.19055801413647183</v>
      </c>
      <c r="T60" s="184"/>
      <c r="U60" s="487">
        <v>3</v>
      </c>
      <c r="V60" s="485">
        <f>V61+hstr3</f>
        <v>8.75</v>
      </c>
      <c r="W60" s="51">
        <f t="shared" si="42"/>
        <v>3.1990608997850174E-3</v>
      </c>
      <c r="X60" s="513">
        <f t="shared" si="43"/>
        <v>0.19055801413647183</v>
      </c>
      <c r="Y60" s="488">
        <f>mstr3</f>
        <v>67.278400000000005</v>
      </c>
      <c r="Z60" s="253">
        <f t="shared" si="44"/>
        <v>12.820438298279207</v>
      </c>
      <c r="AA60" s="502">
        <f>((Y60*X60)/(Z64)*$L$15)</f>
        <v>46.612610711967008</v>
      </c>
      <c r="AB60" s="502">
        <f>AD60-AD59+$O$18</f>
        <v>46.612610711967022</v>
      </c>
      <c r="AC60" s="502">
        <f t="shared" si="48"/>
        <v>188.65028744429878</v>
      </c>
      <c r="AD60" s="503">
        <f>AC60-$O$18</f>
        <v>188.65028744429878</v>
      </c>
      <c r="AE60" s="92">
        <f>IF(($H$19=0),(_xlfn.IFS((W60&lt;='Frame Capacities'!$BZ$14),(W60*hstr3*'Frame Capacities'!$BS$14),(AND((W60&gt;'Frame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Capacities'!$BM$14),(AND((W60&gt;'Frame Capacities'!$CB$14),(W60&lt;='Frame Capacities'!$CC$14))),((W60-'Frame Capacities'!$CB$14)*hstr3*('Frame Capacities'!$BV$14)+'Frame Capacities'!$BN$14),(AND((W60&gt;'Frame Capacities'!$CC$14),(W60&lt;='Frame Capacities'!$CD$14))),((W60-'Frame Capacities'!$CC$14)*hstr3*('Frame Capacities'!$BW$14)+'Frame Capacities'!$BO$14))),((W60-'Frame Capacities'!$CE$14)*hstr3*'Frame Capacities'!$BX$14+'Frame Capacities'!$BQ$14))</f>
        <v>57.876470485331971</v>
      </c>
      <c r="AF60" s="50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130.77381695896736</v>
      </c>
      <c r="AG60" s="51">
        <f>AE60/$C$19</f>
        <v>0.49334494896224196</v>
      </c>
      <c r="AH60" s="48">
        <f>AF60/$D$19</f>
        <v>0.13532237143518708</v>
      </c>
      <c r="AI60" s="505">
        <f t="shared" si="45"/>
        <v>188.65028744429932</v>
      </c>
      <c r="AJ60" s="506">
        <f t="shared" si="49"/>
        <v>-5.4001247917767614E-13</v>
      </c>
      <c r="AK60" s="201">
        <f t="shared" si="46"/>
        <v>-2.862505467091436E-15</v>
      </c>
      <c r="AL60" s="184"/>
    </row>
    <row r="61" spans="1:38" ht="15" customHeight="1" x14ac:dyDescent="0.25">
      <c r="A61" s="184"/>
      <c r="B61" s="184"/>
      <c r="C61" s="184"/>
      <c r="D61" s="225"/>
      <c r="E61" s="184"/>
      <c r="F61" s="184"/>
      <c r="G61" s="184"/>
      <c r="H61" s="184"/>
      <c r="I61" s="184"/>
      <c r="J61" s="184"/>
      <c r="K61" s="184"/>
      <c r="L61" s="225"/>
      <c r="M61" s="226"/>
      <c r="N61" s="224"/>
      <c r="O61" s="224"/>
      <c r="P61" s="224"/>
      <c r="Q61" s="184"/>
      <c r="R61" s="49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0.17107560960780582</v>
      </c>
      <c r="S61" s="520">
        <f t="shared" si="47"/>
        <v>0.18096083143711678</v>
      </c>
      <c r="T61" s="184"/>
      <c r="U61" s="487">
        <v>2</v>
      </c>
      <c r="V61" s="485">
        <f>V62+hstr2</f>
        <v>5.75</v>
      </c>
      <c r="W61" s="51">
        <f t="shared" si="42"/>
        <v>5.7025203202601939E-2</v>
      </c>
      <c r="X61" s="513">
        <f t="shared" si="43"/>
        <v>0.18096083143711678</v>
      </c>
      <c r="Y61" s="488">
        <f>mstr2</f>
        <v>67.278400000000005</v>
      </c>
      <c r="Z61" s="253">
        <f t="shared" si="44"/>
        <v>12.174755201758918</v>
      </c>
      <c r="AA61" s="502">
        <f>((Y61*X61)/(Z64)*$L$15)</f>
        <v>44.265033030052862</v>
      </c>
      <c r="AB61" s="502">
        <f>AD61-AD60+$O$19</f>
        <v>44.265033030052848</v>
      </c>
      <c r="AC61" s="502">
        <f t="shared" si="48"/>
        <v>232.91532047435163</v>
      </c>
      <c r="AD61" s="503">
        <f>AC61-$O$19</f>
        <v>232.91532047435163</v>
      </c>
      <c r="AE61" s="92">
        <f>IF(($H$20=0),(_xlfn.IFS((W61&lt;='Frame Capacities'!$BZ$15),(W61*hstr2*'Frame Capacities'!$BS$15),(AND((W61&gt;'Frame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Capacities'!$BM$15),(AND((W61&gt;'Frame Capacities'!$CB$15),(W61&lt;='Frame Capacities'!$CC$15))),((W61-'Frame Capacities'!$CB$15)*hstr2*('Frame Capacities'!$BV$15)+'Frame Capacities'!$BN$15),(AND((W61&gt;'Frame Capacities'!$CC$15),(W61&lt;='Frame Capacities'!$CD$15))),((W61-'Frame Capacities'!$CC$15)*hstr2*('Frame Capacities'!$BW$15)+'Frame Capacities'!$BO$15))),((W61-'Frame Capacities'!$CE$15)*hstr2*'Frame Capacities'!$BX$15+'Frame Capacities'!$BQ$15))</f>
        <v>128.58732047435166</v>
      </c>
      <c r="AF61" s="50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104.328</v>
      </c>
      <c r="AG61" s="51">
        <f>AE61/$C$20</f>
        <v>4.4238757043928318</v>
      </c>
      <c r="AH61" s="48">
        <f>AF61/$D$20</f>
        <v>1</v>
      </c>
      <c r="AI61" s="505">
        <f t="shared" si="45"/>
        <v>232.91532047435166</v>
      </c>
      <c r="AJ61" s="506">
        <f t="shared" si="49"/>
        <v>0</v>
      </c>
      <c r="AK61" s="201">
        <f t="shared" si="46"/>
        <v>-1.220259335990471E-16</v>
      </c>
      <c r="AL61" s="184"/>
    </row>
    <row r="62" spans="1:38" ht="15" customHeight="1" x14ac:dyDescent="0.25">
      <c r="A62" s="184"/>
      <c r="B62" s="184"/>
      <c r="C62" s="184"/>
      <c r="D62" s="225"/>
      <c r="E62" s="184"/>
      <c r="F62" s="184"/>
      <c r="G62" s="184"/>
      <c r="H62" s="184"/>
      <c r="I62" s="184"/>
      <c r="J62" s="184"/>
      <c r="K62" s="184"/>
      <c r="L62" s="225"/>
      <c r="M62" s="226"/>
      <c r="N62" s="224"/>
      <c r="O62" s="224"/>
      <c r="P62" s="224"/>
      <c r="Q62" s="184"/>
      <c r="R62" s="49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9.8852218293109598E-3</v>
      </c>
      <c r="S62" s="520">
        <f>S63+R62</f>
        <v>9.8852218293109598E-3</v>
      </c>
      <c r="T62" s="184"/>
      <c r="U62" s="487">
        <v>1</v>
      </c>
      <c r="V62" s="485">
        <f>V63+hstr1</f>
        <v>2.75</v>
      </c>
      <c r="W62" s="51">
        <f t="shared" si="42"/>
        <v>3.59462611974944E-3</v>
      </c>
      <c r="X62" s="513">
        <f t="shared" si="43"/>
        <v>9.8852218293109598E-3</v>
      </c>
      <c r="Y62" s="488">
        <f>mstr1</f>
        <v>67.278400000000005</v>
      </c>
      <c r="Z62" s="253">
        <f t="shared" si="44"/>
        <v>0.66506190832111456</v>
      </c>
      <c r="AA62" s="502">
        <f>((Y62*X62)/(Z64)*$L$15)</f>
        <v>2.4180352582868356</v>
      </c>
      <c r="AB62" s="502">
        <f>AD62-AD61+$O$20</f>
        <v>2.4180352582868352</v>
      </c>
      <c r="AC62" s="502">
        <f t="shared" si="48"/>
        <v>235.33335573263847</v>
      </c>
      <c r="AD62" s="503">
        <f>AC62-$O$20</f>
        <v>235.33335573263847</v>
      </c>
      <c r="AE62" s="92">
        <f>IF(($H$21=0),(_xlfn.IFS((W62&lt;='Frame Capacities'!$BZ$16),(W62*hstr1*'Frame Capacities'!$BS$16),(AND((W62&gt;'Frame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Capacities'!$BM$16),(AND((W62&gt;'Frame Capacities'!$CB$16),(W62&lt;='Frame Capacities'!$CC$16))),((W62-'Frame Capacities'!$CB$16)*hstr1*('Frame Capacities'!$BV$16)+'Frame Capacities'!$BN$16),(AND((W62&gt;'Frame Capacities'!$CC$16),(W62&lt;='Frame Capacities'!$CD$16))),((W62-'Frame Capacities'!$CC$16)*hstr1*('Frame Capacities'!$BW$16)+'Frame Capacities'!$BO$16))),((W62-'Frame Capacities'!$CE$16)*hstr1*'Frame Capacities'!$BX$16+'Frame Capacities'!$BQ$16))</f>
        <v>186.14201445239416</v>
      </c>
      <c r="AF62" s="50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49.191341280244046</v>
      </c>
      <c r="AG62" s="51">
        <f>AE62/$C$21</f>
        <v>0.52356941144662617</v>
      </c>
      <c r="AH62" s="48">
        <f>AF62/$D$21</f>
        <v>5.1255215865162594E-2</v>
      </c>
      <c r="AI62" s="505">
        <f t="shared" si="45"/>
        <v>235.33335573263821</v>
      </c>
      <c r="AJ62" s="506">
        <f t="shared" si="49"/>
        <v>2.5579538487363607E-13</v>
      </c>
      <c r="AK62" s="201">
        <f t="shared" si="46"/>
        <v>1.0869491240512648E-15</v>
      </c>
      <c r="AL62" s="184"/>
    </row>
    <row r="63" spans="1:38" ht="15" customHeight="1" x14ac:dyDescent="0.25">
      <c r="A63" s="184"/>
      <c r="B63" s="184"/>
      <c r="C63" s="184"/>
      <c r="D63" s="225"/>
      <c r="E63" s="184"/>
      <c r="F63" s="184"/>
      <c r="G63" s="184"/>
      <c r="H63" s="184"/>
      <c r="I63" s="184"/>
      <c r="J63" s="184"/>
      <c r="K63" s="184"/>
      <c r="L63" s="225"/>
      <c r="M63" s="226"/>
      <c r="N63" s="224"/>
      <c r="O63" s="224"/>
      <c r="P63" s="224"/>
      <c r="Q63" s="184"/>
      <c r="R63" s="522">
        <v>0</v>
      </c>
      <c r="S63" s="521">
        <f>R63</f>
        <v>0</v>
      </c>
      <c r="T63" s="184"/>
      <c r="U63" s="484">
        <v>0</v>
      </c>
      <c r="V63" s="486">
        <f>hstr0</f>
        <v>0</v>
      </c>
      <c r="W63" s="515" t="s">
        <v>66</v>
      </c>
      <c r="X63" s="516">
        <f t="shared" si="43"/>
        <v>0</v>
      </c>
      <c r="Y63" s="139" t="s">
        <v>66</v>
      </c>
      <c r="Z63" s="255">
        <v>0</v>
      </c>
      <c r="AA63" s="508" t="s">
        <v>66</v>
      </c>
      <c r="AB63" s="508" t="s">
        <v>66</v>
      </c>
      <c r="AC63" s="508" t="s">
        <v>66</v>
      </c>
      <c r="AD63" s="508" t="s">
        <v>66</v>
      </c>
      <c r="AE63" s="149" t="s">
        <v>66</v>
      </c>
      <c r="AF63" s="149" t="s">
        <v>66</v>
      </c>
      <c r="AG63" s="142" t="s">
        <v>66</v>
      </c>
      <c r="AH63" s="149" t="s">
        <v>66</v>
      </c>
      <c r="AI63" s="509" t="s">
        <v>66</v>
      </c>
      <c r="AJ63" s="510" t="s">
        <v>66</v>
      </c>
      <c r="AL63" s="184"/>
    </row>
    <row r="64" spans="1:38" x14ac:dyDescent="0.25">
      <c r="A64" s="184"/>
      <c r="B64" s="184"/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6"/>
      <c r="V64" s="6"/>
      <c r="W64" s="6"/>
      <c r="X64" s="514" t="s">
        <v>85</v>
      </c>
      <c r="Y64" s="517" t="s">
        <v>78</v>
      </c>
      <c r="Z64" s="518">
        <f>SUM(Z57:Z63)</f>
        <v>64.726620556413053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84"/>
      <c r="AL64" s="184"/>
    </row>
    <row r="65" spans="1:38" ht="15" customHeight="1" x14ac:dyDescent="0.25">
      <c r="A65" s="184"/>
      <c r="B65" s="184"/>
      <c r="C65" s="184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483"/>
      <c r="AK65" s="184"/>
      <c r="AL65" s="184"/>
    </row>
    <row r="66" spans="1:38" ht="15" customHeight="1" x14ac:dyDescent="0.25">
      <c r="A66" s="184"/>
      <c r="B66" s="184"/>
      <c r="C66" s="184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</row>
    <row r="67" spans="1:38" ht="15.75" customHeight="1" x14ac:dyDescent="0.25">
      <c r="A67" s="184"/>
      <c r="B67" s="184"/>
      <c r="C67" s="168"/>
      <c r="D67" s="223"/>
      <c r="E67" s="223"/>
      <c r="F67" s="224"/>
      <c r="G67" s="223"/>
      <c r="H67" s="223"/>
      <c r="I67" s="223"/>
      <c r="J67" s="223"/>
      <c r="K67" s="224"/>
      <c r="L67" s="223"/>
      <c r="M67" s="223"/>
      <c r="N67" s="224"/>
      <c r="O67" s="489" t="s">
        <v>489</v>
      </c>
      <c r="P67" s="490" t="s">
        <v>490</v>
      </c>
      <c r="Q67" s="184"/>
      <c r="R67" s="981" t="s">
        <v>267</v>
      </c>
      <c r="S67" s="981"/>
      <c r="T67" s="184"/>
      <c r="U67" s="184"/>
      <c r="V67" s="184"/>
      <c r="W67" s="174"/>
      <c r="X67" s="174"/>
      <c r="Y67" s="228"/>
      <c r="Z67" s="228"/>
      <c r="AA67" s="228"/>
      <c r="AB67" s="228"/>
      <c r="AC67" s="228"/>
      <c r="AD67" s="228"/>
      <c r="AE67" s="184"/>
      <c r="AF67" s="184"/>
      <c r="AG67" s="184"/>
      <c r="AH67" s="184"/>
      <c r="AI67" s="184"/>
      <c r="AJ67" s="483"/>
      <c r="AK67" s="184"/>
      <c r="AL67" s="184"/>
    </row>
    <row r="68" spans="1:38" ht="15" customHeight="1" x14ac:dyDescent="0.25">
      <c r="A68" s="184"/>
      <c r="B68" s="184"/>
      <c r="C68" s="227"/>
      <c r="D68" s="225"/>
      <c r="E68" s="226"/>
      <c r="F68" s="224"/>
      <c r="G68" s="225"/>
      <c r="H68" s="225"/>
      <c r="I68" s="226"/>
      <c r="J68" s="226"/>
      <c r="K68" s="224"/>
      <c r="L68" s="225"/>
      <c r="M68" s="226"/>
      <c r="N68" s="224"/>
      <c r="O68" s="491">
        <v>6</v>
      </c>
      <c r="P68" s="492">
        <v>0</v>
      </c>
      <c r="R68" s="207" t="s">
        <v>269</v>
      </c>
      <c r="S68" s="17">
        <v>235.33335573263847</v>
      </c>
      <c r="T68" s="229" t="s">
        <v>259</v>
      </c>
      <c r="U68" s="184"/>
      <c r="V68" s="184"/>
      <c r="W68" s="174"/>
      <c r="X68" s="174"/>
      <c r="Y68" s="228"/>
      <c r="Z68" s="228"/>
      <c r="AA68" s="228"/>
      <c r="AB68" s="228"/>
      <c r="AC68" s="228"/>
      <c r="AD68" s="228"/>
      <c r="AE68" s="184"/>
      <c r="AF68" s="184"/>
      <c r="AG68" s="184"/>
      <c r="AH68" s="184"/>
      <c r="AI68" s="184"/>
      <c r="AJ68" s="184"/>
      <c r="AK68" s="184"/>
      <c r="AL68" s="184"/>
    </row>
    <row r="69" spans="1:38" ht="15.75" x14ac:dyDescent="0.25">
      <c r="A69" s="184"/>
      <c r="B69" s="184"/>
      <c r="C69" s="184"/>
      <c r="D69" s="184"/>
      <c r="E69" s="184"/>
      <c r="F69" s="224"/>
      <c r="G69" s="225"/>
      <c r="H69" s="225"/>
      <c r="I69" s="226"/>
      <c r="J69" s="226"/>
      <c r="K69" s="224"/>
      <c r="L69" s="225"/>
      <c r="M69" s="226"/>
      <c r="N69" s="224"/>
      <c r="O69" s="491">
        <v>5</v>
      </c>
      <c r="P69" s="492">
        <v>0</v>
      </c>
      <c r="Q69" s="184"/>
      <c r="R69" s="478" t="s">
        <v>482</v>
      </c>
      <c r="S69" s="479">
        <f>(D5-X57)*1000</f>
        <v>5.063727215315339E-10</v>
      </c>
      <c r="T69" s="184"/>
      <c r="U69" s="184"/>
      <c r="V69" s="184"/>
      <c r="W69" s="174"/>
      <c r="X69" s="174"/>
      <c r="Y69" s="228"/>
      <c r="Z69" s="228"/>
      <c r="AA69" s="228"/>
      <c r="AB69" s="228"/>
      <c r="AC69" s="228"/>
      <c r="AD69" s="228"/>
      <c r="AE69" s="184"/>
      <c r="AF69" s="184"/>
      <c r="AG69" s="184"/>
      <c r="AH69" s="184"/>
      <c r="AI69" s="184"/>
      <c r="AJ69" s="184"/>
      <c r="AK69" s="184"/>
      <c r="AL69" s="184"/>
    </row>
    <row r="70" spans="1:38" ht="15.75" x14ac:dyDescent="0.25">
      <c r="A70" s="184"/>
      <c r="B70" s="184"/>
      <c r="C70" s="184"/>
      <c r="D70" s="184"/>
      <c r="E70" s="184"/>
      <c r="F70" s="224"/>
      <c r="G70" s="225"/>
      <c r="H70" s="225"/>
      <c r="I70" s="226"/>
      <c r="J70" s="226"/>
      <c r="K70" s="224"/>
      <c r="L70" s="225"/>
      <c r="M70" s="226"/>
      <c r="N70" s="224"/>
      <c r="O70" s="491">
        <v>4</v>
      </c>
      <c r="P70" s="492">
        <v>0</v>
      </c>
      <c r="Q70" s="184"/>
      <c r="R70" s="480" t="s">
        <v>483</v>
      </c>
      <c r="S70" s="480">
        <v>0.01</v>
      </c>
      <c r="T70" s="184"/>
      <c r="U70" s="184"/>
      <c r="V70" s="184"/>
      <c r="W70" s="174"/>
      <c r="X70" s="174"/>
      <c r="Y70" s="228"/>
      <c r="Z70" s="228"/>
      <c r="AA70" s="228"/>
      <c r="AB70" s="228"/>
      <c r="AC70" s="481"/>
      <c r="AD70" s="481"/>
      <c r="AE70" s="184"/>
      <c r="AF70" s="184"/>
      <c r="AG70" s="184"/>
      <c r="AH70" s="184"/>
      <c r="AI70" s="184"/>
      <c r="AJ70" s="184"/>
      <c r="AK70" s="184"/>
      <c r="AL70" s="184"/>
    </row>
    <row r="71" spans="1:38" ht="15.75" x14ac:dyDescent="0.25">
      <c r="A71" s="184"/>
      <c r="B71" s="184"/>
      <c r="C71" s="184"/>
      <c r="D71" s="184"/>
      <c r="E71" s="184"/>
      <c r="F71" s="224"/>
      <c r="G71" s="225"/>
      <c r="H71" s="225"/>
      <c r="I71" s="226"/>
      <c r="J71" s="226"/>
      <c r="K71" s="224"/>
      <c r="L71" s="225"/>
      <c r="M71" s="226"/>
      <c r="N71" s="224"/>
      <c r="O71" s="493">
        <v>3</v>
      </c>
      <c r="P71" s="492">
        <v>0</v>
      </c>
      <c r="Q71" s="184"/>
      <c r="R71" s="184"/>
      <c r="S71" s="184"/>
      <c r="T71" s="184"/>
      <c r="U71" s="184"/>
      <c r="V71" s="184"/>
      <c r="W71" s="174"/>
      <c r="X71" s="174"/>
      <c r="Y71" s="228">
        <f>X57*1000</f>
        <v>199.9780221407951</v>
      </c>
      <c r="Z71" s="228">
        <f>AG61*100</f>
        <v>442.38757043928319</v>
      </c>
      <c r="AA71" s="228">
        <f>AH61*100</f>
        <v>100</v>
      </c>
      <c r="AB71" s="228"/>
      <c r="AC71" s="228"/>
      <c r="AD71" s="228"/>
      <c r="AE71" s="184"/>
      <c r="AF71" s="184"/>
      <c r="AG71" s="184"/>
      <c r="AH71" s="184"/>
      <c r="AI71" s="184"/>
      <c r="AJ71" s="184"/>
      <c r="AK71" s="184"/>
      <c r="AL71" s="184"/>
    </row>
    <row r="72" spans="1:38" ht="15.75" x14ac:dyDescent="0.25">
      <c r="A72" s="184"/>
      <c r="B72" s="184"/>
      <c r="C72" s="184"/>
      <c r="D72" s="184"/>
      <c r="E72" s="184"/>
      <c r="F72" s="224"/>
      <c r="G72" s="225"/>
      <c r="H72" s="225"/>
      <c r="I72" s="226"/>
      <c r="J72" s="226"/>
      <c r="K72" s="224"/>
      <c r="L72" s="225"/>
      <c r="M72" s="226"/>
      <c r="N72" s="224"/>
      <c r="O72" s="493">
        <v>2</v>
      </c>
      <c r="P72" s="492">
        <v>0</v>
      </c>
      <c r="Q72" s="184"/>
      <c r="R72" s="184"/>
      <c r="S72" s="184"/>
      <c r="T72" s="184"/>
      <c r="U72" s="184"/>
      <c r="V72" s="184"/>
      <c r="W72" s="174"/>
      <c r="X72" s="174"/>
      <c r="Y72" s="228"/>
      <c r="Z72" s="228"/>
      <c r="AA72" s="228"/>
      <c r="AB72" s="228"/>
      <c r="AC72" s="482"/>
      <c r="AD72" s="482"/>
      <c r="AE72" s="184"/>
      <c r="AF72" s="184"/>
      <c r="AG72" s="184"/>
      <c r="AH72" s="184"/>
      <c r="AI72" s="184"/>
      <c r="AJ72" s="184"/>
      <c r="AK72" s="184"/>
      <c r="AL72" s="184"/>
    </row>
    <row r="73" spans="1:38" ht="15.75" x14ac:dyDescent="0.25">
      <c r="A73" s="184"/>
      <c r="B73" s="184"/>
      <c r="C73" s="184"/>
      <c r="D73" s="184"/>
      <c r="E73" s="184"/>
      <c r="F73" s="224"/>
      <c r="G73" s="225"/>
      <c r="H73" s="225"/>
      <c r="I73" s="226"/>
      <c r="J73" s="226"/>
      <c r="K73" s="224"/>
      <c r="L73" s="225"/>
      <c r="M73" s="226"/>
      <c r="N73" s="224"/>
      <c r="O73" s="494">
        <v>1</v>
      </c>
      <c r="P73" s="495">
        <v>0</v>
      </c>
      <c r="Q73" s="184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</row>
    <row r="74" spans="1:38" x14ac:dyDescent="0.25">
      <c r="A74" s="184"/>
      <c r="B74" s="184"/>
      <c r="C74" s="227"/>
      <c r="D74" s="225"/>
      <c r="E74" s="226"/>
      <c r="F74" s="224"/>
      <c r="G74" s="225"/>
      <c r="H74" s="225"/>
      <c r="I74" s="226"/>
      <c r="J74" s="226"/>
      <c r="K74" s="224"/>
      <c r="L74" s="225"/>
      <c r="M74" s="226"/>
      <c r="N74" s="224"/>
      <c r="O74" s="224"/>
      <c r="P74" s="22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</row>
    <row r="75" spans="1:38" x14ac:dyDescent="0.25">
      <c r="A75" s="184"/>
      <c r="B75" s="184"/>
      <c r="C75" s="184"/>
      <c r="D75" s="184"/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</row>
    <row r="76" spans="1:38" x14ac:dyDescent="0.25">
      <c r="A76" s="184"/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</row>
    <row r="77" spans="1:38" x14ac:dyDescent="0.25">
      <c r="A77" s="184"/>
      <c r="B77" s="184"/>
      <c r="C77" s="184"/>
      <c r="D77" s="184"/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</row>
    <row r="78" spans="1:38" x14ac:dyDescent="0.25">
      <c r="A78" s="184"/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</row>
    <row r="79" spans="1:38" x14ac:dyDescent="0.25">
      <c r="A79" s="184"/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</row>
    <row r="80" spans="1:38" ht="15" customHeight="1" x14ac:dyDescent="0.25">
      <c r="A80" s="184"/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</row>
    <row r="81" spans="1:38" ht="15" customHeight="1" x14ac:dyDescent="0.25">
      <c r="A81" s="184"/>
      <c r="B81" s="184"/>
      <c r="C81" s="184"/>
      <c r="D81" s="184"/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</row>
    <row r="82" spans="1:38" x14ac:dyDescent="0.25">
      <c r="A82" s="184"/>
      <c r="B82" s="184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</row>
    <row r="83" spans="1:38" x14ac:dyDescent="0.25">
      <c r="A83" s="184"/>
      <c r="B83" s="184"/>
      <c r="C83" s="184"/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</row>
    <row r="84" spans="1:38" x14ac:dyDescent="0.25">
      <c r="A84" s="184"/>
      <c r="B84" s="184"/>
      <c r="C84" s="184"/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</row>
    <row r="85" spans="1:38" x14ac:dyDescent="0.25">
      <c r="A85" s="184"/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</row>
    <row r="86" spans="1:38" x14ac:dyDescent="0.25">
      <c r="A86" s="184"/>
      <c r="B86" s="184"/>
      <c r="C86" s="184"/>
      <c r="D86" s="184"/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</row>
    <row r="87" spans="1:38" x14ac:dyDescent="0.25">
      <c r="A87" s="184"/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</row>
    <row r="88" spans="1:38" x14ac:dyDescent="0.25">
      <c r="A88" s="184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  <c r="AL88" s="184"/>
    </row>
    <row r="89" spans="1:38" x14ac:dyDescent="0.25">
      <c r="A89" s="184"/>
      <c r="B89" s="184"/>
      <c r="C89" s="184"/>
      <c r="D89" s="184"/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</row>
    <row r="90" spans="1:38" x14ac:dyDescent="0.25">
      <c r="A90" s="184"/>
      <c r="B90" s="184"/>
      <c r="C90" s="184"/>
      <c r="D90" s="184"/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</row>
    <row r="91" spans="1:38" x14ac:dyDescent="0.25">
      <c r="A91" s="184"/>
      <c r="B91" s="184"/>
      <c r="C91" s="184"/>
      <c r="D91" s="184"/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</row>
    <row r="93" spans="1:38" x14ac:dyDescent="0.25"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</row>
    <row r="94" spans="1:38" x14ac:dyDescent="0.25">
      <c r="R94" s="231"/>
      <c r="S94" s="232"/>
      <c r="U94" s="232"/>
      <c r="V94" s="232"/>
      <c r="W94" s="232"/>
      <c r="X94" s="231"/>
      <c r="Y94" s="232"/>
      <c r="Z94" s="232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</row>
    <row r="95" spans="1:38" x14ac:dyDescent="0.25">
      <c r="R95" s="231"/>
      <c r="S95" s="232"/>
      <c r="U95" s="232"/>
      <c r="V95" s="232"/>
      <c r="W95" s="232"/>
      <c r="X95" s="231"/>
      <c r="Y95" s="232"/>
      <c r="Z95" s="232"/>
      <c r="AA95" s="231"/>
      <c r="AB95" s="231"/>
      <c r="AC95" s="231"/>
      <c r="AD95" s="231"/>
      <c r="AE95" s="231"/>
      <c r="AF95" s="231"/>
      <c r="AG95" s="231"/>
      <c r="AH95" s="231"/>
      <c r="AI95" s="231"/>
      <c r="AJ95" s="231"/>
    </row>
    <row r="96" spans="1:38" x14ac:dyDescent="0.25">
      <c r="R96" s="72"/>
      <c r="S96" s="233"/>
      <c r="U96" s="169"/>
      <c r="V96" s="71"/>
      <c r="W96" s="72"/>
      <c r="X96" s="234"/>
      <c r="Y96" s="71"/>
      <c r="Z96" s="71"/>
      <c r="AA96" s="71"/>
      <c r="AB96" s="71"/>
      <c r="AC96" s="235"/>
      <c r="AD96" s="235"/>
      <c r="AE96" s="152"/>
      <c r="AF96" s="236"/>
      <c r="AG96" s="72"/>
      <c r="AH96" s="176"/>
      <c r="AI96" s="176"/>
      <c r="AJ96" s="176"/>
    </row>
    <row r="97" spans="18:36" x14ac:dyDescent="0.25">
      <c r="R97" s="72"/>
      <c r="S97" s="233"/>
      <c r="U97" s="169"/>
      <c r="V97" s="71"/>
      <c r="W97" s="72"/>
      <c r="X97" s="234"/>
      <c r="Y97" s="71"/>
      <c r="Z97" s="71"/>
      <c r="AA97" s="71"/>
      <c r="AB97" s="71"/>
      <c r="AC97" s="235"/>
      <c r="AD97" s="235"/>
      <c r="AE97" s="152"/>
      <c r="AF97" s="236"/>
      <c r="AG97" s="72"/>
      <c r="AH97" s="176"/>
      <c r="AI97" s="176"/>
      <c r="AJ97" s="176"/>
    </row>
    <row r="98" spans="18:36" x14ac:dyDescent="0.25">
      <c r="R98" s="72"/>
      <c r="S98" s="233"/>
      <c r="U98" s="169"/>
      <c r="V98" s="71"/>
      <c r="W98" s="72"/>
      <c r="X98" s="234"/>
      <c r="Y98" s="71"/>
      <c r="Z98" s="71"/>
      <c r="AA98" s="71"/>
      <c r="AB98" s="71"/>
      <c r="AC98" s="235"/>
      <c r="AD98" s="235"/>
      <c r="AE98" s="152"/>
      <c r="AF98" s="236"/>
      <c r="AG98" s="72"/>
      <c r="AH98" s="176"/>
      <c r="AI98" s="176"/>
      <c r="AJ98" s="176"/>
    </row>
    <row r="99" spans="18:36" x14ac:dyDescent="0.25">
      <c r="R99" s="72"/>
      <c r="S99" s="233"/>
      <c r="U99" s="169"/>
      <c r="V99" s="71"/>
      <c r="W99" s="72"/>
      <c r="X99" s="234"/>
      <c r="Y99" s="71"/>
      <c r="Z99" s="71"/>
      <c r="AA99" s="71"/>
      <c r="AB99" s="71"/>
      <c r="AC99" s="235"/>
      <c r="AD99" s="235"/>
      <c r="AE99" s="152"/>
      <c r="AF99" s="236"/>
      <c r="AG99" s="72"/>
      <c r="AH99" s="176"/>
      <c r="AI99" s="176"/>
      <c r="AJ99" s="176"/>
    </row>
    <row r="100" spans="18:36" x14ac:dyDescent="0.25">
      <c r="R100" s="72"/>
      <c r="S100" s="233"/>
      <c r="U100" s="169"/>
      <c r="V100" s="71"/>
      <c r="W100" s="72"/>
      <c r="X100" s="234"/>
      <c r="Y100" s="71"/>
      <c r="Z100" s="71"/>
      <c r="AA100" s="71"/>
      <c r="AB100" s="71"/>
      <c r="AC100" s="235"/>
      <c r="AD100" s="235"/>
      <c r="AE100" s="152"/>
      <c r="AF100" s="236"/>
      <c r="AG100" s="72"/>
      <c r="AH100" s="176"/>
      <c r="AI100" s="176"/>
      <c r="AJ100" s="176"/>
    </row>
    <row r="101" spans="18:36" x14ac:dyDescent="0.25">
      <c r="R101" s="72"/>
      <c r="S101" s="233"/>
      <c r="U101" s="169"/>
      <c r="V101" s="71"/>
      <c r="W101" s="72"/>
      <c r="X101" s="234"/>
      <c r="Y101" s="71"/>
      <c r="Z101" s="71"/>
      <c r="AA101" s="71"/>
      <c r="AB101" s="71"/>
      <c r="AC101" s="235"/>
      <c r="AD101" s="235"/>
      <c r="AE101" s="152"/>
      <c r="AF101" s="236"/>
      <c r="AG101" s="72"/>
      <c r="AH101" s="176"/>
      <c r="AI101" s="176"/>
      <c r="AJ101" s="176"/>
    </row>
    <row r="102" spans="18:36" x14ac:dyDescent="0.25">
      <c r="R102" s="72"/>
      <c r="S102" s="233"/>
      <c r="U102" s="169"/>
      <c r="V102" s="71"/>
      <c r="W102" s="237"/>
      <c r="X102" s="234"/>
      <c r="Y102" s="71"/>
      <c r="Z102" s="71"/>
      <c r="AA102" s="71"/>
      <c r="AB102" s="71"/>
      <c r="AC102" s="235"/>
      <c r="AD102" s="235"/>
      <c r="AE102" s="152"/>
      <c r="AF102" s="152"/>
      <c r="AG102" s="162"/>
      <c r="AH102" s="152"/>
      <c r="AI102" s="152"/>
      <c r="AJ102" s="152"/>
    </row>
    <row r="103" spans="18:36" x14ac:dyDescent="0.25">
      <c r="X103" s="238"/>
      <c r="Y103" s="156"/>
      <c r="Z103" s="239"/>
    </row>
    <row r="106" spans="18:36" x14ac:dyDescent="0.25"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230"/>
      <c r="AC106" s="230"/>
      <c r="AD106" s="230"/>
      <c r="AE106" s="230"/>
      <c r="AF106" s="230"/>
      <c r="AG106" s="230"/>
      <c r="AH106" s="230"/>
      <c r="AI106" s="230"/>
      <c r="AJ106" s="230"/>
    </row>
    <row r="107" spans="18:36" x14ac:dyDescent="0.25">
      <c r="R107" s="231"/>
      <c r="S107" s="232"/>
      <c r="U107" s="232"/>
      <c r="V107" s="232"/>
      <c r="W107" s="232"/>
      <c r="X107" s="231"/>
      <c r="Y107" s="232"/>
      <c r="Z107" s="232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</row>
    <row r="108" spans="18:36" x14ac:dyDescent="0.25">
      <c r="R108" s="231"/>
      <c r="S108" s="232"/>
      <c r="U108" s="232"/>
      <c r="V108" s="232"/>
      <c r="W108" s="232"/>
      <c r="X108" s="231"/>
      <c r="Y108" s="232"/>
      <c r="Z108" s="232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</row>
    <row r="109" spans="18:36" x14ac:dyDescent="0.25">
      <c r="R109" s="72"/>
      <c r="S109" s="233"/>
      <c r="U109" s="169"/>
      <c r="V109" s="71"/>
      <c r="W109" s="72"/>
      <c r="X109" s="234"/>
      <c r="Y109" s="71"/>
      <c r="Z109" s="71"/>
      <c r="AA109" s="71"/>
      <c r="AB109" s="71"/>
      <c r="AC109" s="235"/>
      <c r="AD109" s="235"/>
      <c r="AE109" s="152"/>
      <c r="AF109" s="236"/>
      <c r="AG109" s="72"/>
      <c r="AH109" s="176"/>
      <c r="AI109" s="176"/>
      <c r="AJ109" s="176"/>
    </row>
    <row r="110" spans="18:36" x14ac:dyDescent="0.25">
      <c r="R110" s="72"/>
      <c r="S110" s="233"/>
      <c r="U110" s="169"/>
      <c r="V110" s="71"/>
      <c r="W110" s="72"/>
      <c r="X110" s="234"/>
      <c r="Y110" s="71"/>
      <c r="Z110" s="71"/>
      <c r="AA110" s="71"/>
      <c r="AB110" s="71"/>
      <c r="AC110" s="235"/>
      <c r="AD110" s="235"/>
      <c r="AE110" s="152"/>
      <c r="AF110" s="236"/>
      <c r="AG110" s="72"/>
      <c r="AH110" s="176"/>
      <c r="AI110" s="176"/>
      <c r="AJ110" s="176"/>
    </row>
    <row r="111" spans="18:36" x14ac:dyDescent="0.25">
      <c r="R111" s="72"/>
      <c r="S111" s="233"/>
      <c r="U111" s="169"/>
      <c r="V111" s="71"/>
      <c r="W111" s="72"/>
      <c r="X111" s="234"/>
      <c r="Y111" s="71"/>
      <c r="Z111" s="71"/>
      <c r="AA111" s="71"/>
      <c r="AB111" s="71"/>
      <c r="AC111" s="235"/>
      <c r="AD111" s="235"/>
      <c r="AE111" s="152"/>
      <c r="AF111" s="236"/>
      <c r="AG111" s="72"/>
      <c r="AH111" s="176"/>
      <c r="AI111" s="176"/>
      <c r="AJ111" s="176"/>
    </row>
    <row r="112" spans="18:36" x14ac:dyDescent="0.25">
      <c r="R112" s="72"/>
      <c r="S112" s="233"/>
      <c r="U112" s="169"/>
      <c r="V112" s="71"/>
      <c r="W112" s="72"/>
      <c r="X112" s="234"/>
      <c r="Y112" s="71"/>
      <c r="Z112" s="71"/>
      <c r="AA112" s="71"/>
      <c r="AB112" s="71"/>
      <c r="AC112" s="235"/>
      <c r="AD112" s="235"/>
      <c r="AE112" s="152"/>
      <c r="AF112" s="236"/>
      <c r="AG112" s="72"/>
      <c r="AH112" s="176"/>
      <c r="AI112" s="176"/>
      <c r="AJ112" s="176"/>
    </row>
    <row r="113" spans="18:36" x14ac:dyDescent="0.25">
      <c r="R113" s="237"/>
      <c r="S113" s="233"/>
      <c r="U113" s="169"/>
      <c r="V113" s="71"/>
      <c r="W113" s="72"/>
      <c r="X113" s="234"/>
      <c r="Y113" s="71"/>
      <c r="Z113" s="71"/>
      <c r="AA113" s="71"/>
      <c r="AB113" s="71"/>
      <c r="AC113" s="235"/>
      <c r="AD113" s="235"/>
      <c r="AE113" s="152"/>
      <c r="AF113" s="236"/>
      <c r="AG113" s="72"/>
      <c r="AH113" s="176"/>
      <c r="AI113" s="176"/>
      <c r="AJ113" s="176"/>
    </row>
    <row r="114" spans="18:36" x14ac:dyDescent="0.25">
      <c r="R114" s="72"/>
      <c r="S114" s="233"/>
      <c r="U114" s="169"/>
      <c r="V114" s="71"/>
      <c r="W114" s="72"/>
      <c r="X114" s="234"/>
      <c r="Y114" s="71"/>
      <c r="Z114" s="71"/>
      <c r="AA114" s="71"/>
      <c r="AB114" s="71"/>
      <c r="AC114" s="235"/>
      <c r="AD114" s="235"/>
      <c r="AE114" s="152"/>
      <c r="AF114" s="236"/>
      <c r="AG114" s="72"/>
      <c r="AH114" s="176"/>
      <c r="AI114" s="176"/>
      <c r="AJ114" s="176"/>
    </row>
    <row r="115" spans="18:36" x14ac:dyDescent="0.25">
      <c r="R115" s="72"/>
      <c r="S115" s="233"/>
      <c r="U115" s="169"/>
      <c r="V115" s="71"/>
      <c r="W115" s="237"/>
      <c r="X115" s="234"/>
      <c r="Y115" s="71"/>
      <c r="Z115" s="71"/>
      <c r="AA115" s="71"/>
      <c r="AB115" s="71"/>
      <c r="AC115" s="235"/>
      <c r="AD115" s="235"/>
      <c r="AE115" s="152"/>
      <c r="AF115" s="152"/>
      <c r="AG115" s="162"/>
      <c r="AH115" s="152"/>
      <c r="AI115" s="152"/>
      <c r="AJ115" s="152"/>
    </row>
    <row r="116" spans="18:36" x14ac:dyDescent="0.25">
      <c r="X116" s="238"/>
      <c r="Y116" s="156"/>
      <c r="Z116" s="239"/>
    </row>
    <row r="119" spans="18:36" x14ac:dyDescent="0.25">
      <c r="R119" s="230"/>
      <c r="S119" s="230"/>
      <c r="T119" s="230"/>
      <c r="U119" s="230"/>
      <c r="V119" s="230"/>
      <c r="W119" s="230"/>
      <c r="X119" s="230"/>
      <c r="Y119" s="230"/>
      <c r="Z119" s="230"/>
      <c r="AA119" s="230"/>
      <c r="AB119" s="230"/>
      <c r="AC119" s="230"/>
      <c r="AD119" s="230"/>
      <c r="AE119" s="230"/>
      <c r="AF119" s="230"/>
      <c r="AG119" s="230"/>
      <c r="AH119" s="230"/>
      <c r="AI119" s="230"/>
      <c r="AJ119" s="230"/>
    </row>
    <row r="120" spans="18:36" x14ac:dyDescent="0.25">
      <c r="R120" s="231"/>
      <c r="S120" s="232"/>
      <c r="U120" s="232"/>
      <c r="V120" s="232"/>
      <c r="W120" s="232"/>
      <c r="X120" s="231"/>
      <c r="Y120" s="232"/>
      <c r="Z120" s="232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31"/>
    </row>
    <row r="121" spans="18:36" x14ac:dyDescent="0.25">
      <c r="R121" s="231"/>
      <c r="S121" s="232"/>
      <c r="U121" s="232"/>
      <c r="V121" s="232"/>
      <c r="W121" s="232"/>
      <c r="X121" s="231"/>
      <c r="Y121" s="232"/>
      <c r="Z121" s="232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</row>
    <row r="122" spans="18:36" x14ac:dyDescent="0.25">
      <c r="R122" s="72"/>
      <c r="S122" s="233"/>
      <c r="U122" s="169"/>
      <c r="V122" s="71"/>
      <c r="W122" s="72"/>
      <c r="X122" s="234"/>
      <c r="Y122" s="71"/>
      <c r="Z122" s="71"/>
      <c r="AA122" s="71"/>
      <c r="AB122" s="71"/>
      <c r="AC122" s="235"/>
      <c r="AD122" s="235"/>
      <c r="AE122" s="152"/>
      <c r="AF122" s="236"/>
      <c r="AG122" s="72"/>
      <c r="AH122" s="176"/>
      <c r="AI122" s="176"/>
      <c r="AJ122" s="176"/>
    </row>
    <row r="123" spans="18:36" x14ac:dyDescent="0.25">
      <c r="R123" s="72"/>
      <c r="S123" s="233"/>
      <c r="U123" s="169"/>
      <c r="V123" s="71"/>
      <c r="W123" s="72"/>
      <c r="X123" s="234"/>
      <c r="Y123" s="71"/>
      <c r="Z123" s="71"/>
      <c r="AA123" s="71"/>
      <c r="AB123" s="71"/>
      <c r="AC123" s="235"/>
      <c r="AD123" s="235"/>
      <c r="AE123" s="152"/>
      <c r="AF123" s="236"/>
      <c r="AG123" s="72"/>
      <c r="AH123" s="176"/>
      <c r="AI123" s="176"/>
      <c r="AJ123" s="176"/>
    </row>
    <row r="124" spans="18:36" x14ac:dyDescent="0.25">
      <c r="R124" s="72"/>
      <c r="S124" s="233"/>
      <c r="U124" s="169"/>
      <c r="V124" s="71"/>
      <c r="W124" s="72"/>
      <c r="X124" s="234"/>
      <c r="Y124" s="71"/>
      <c r="Z124" s="71"/>
      <c r="AA124" s="71"/>
      <c r="AB124" s="71"/>
      <c r="AC124" s="235"/>
      <c r="AD124" s="235"/>
      <c r="AE124" s="152"/>
      <c r="AF124" s="236"/>
      <c r="AG124" s="72"/>
      <c r="AH124" s="176"/>
      <c r="AI124" s="176"/>
      <c r="AJ124" s="176"/>
    </row>
    <row r="125" spans="18:36" x14ac:dyDescent="0.25">
      <c r="R125" s="72"/>
      <c r="S125" s="233"/>
      <c r="U125" s="169"/>
      <c r="V125" s="71"/>
      <c r="W125" s="72"/>
      <c r="X125" s="234"/>
      <c r="Y125" s="71"/>
      <c r="Z125" s="71"/>
      <c r="AA125" s="71"/>
      <c r="AB125" s="71"/>
      <c r="AC125" s="235"/>
      <c r="AD125" s="235"/>
      <c r="AE125" s="152"/>
      <c r="AF125" s="236"/>
      <c r="AG125" s="72"/>
      <c r="AH125" s="176"/>
      <c r="AI125" s="176"/>
      <c r="AJ125" s="176"/>
    </row>
    <row r="126" spans="18:36" x14ac:dyDescent="0.25">
      <c r="R126" s="240"/>
      <c r="S126" s="233"/>
      <c r="U126" s="169"/>
      <c r="V126" s="71"/>
      <c r="W126" s="72"/>
      <c r="X126" s="234"/>
      <c r="Y126" s="71"/>
      <c r="Z126" s="71"/>
      <c r="AA126" s="71"/>
      <c r="AB126" s="71"/>
      <c r="AC126" s="235"/>
      <c r="AD126" s="235"/>
      <c r="AE126" s="152"/>
      <c r="AF126" s="236"/>
      <c r="AG126" s="72"/>
      <c r="AH126" s="176"/>
      <c r="AI126" s="176"/>
      <c r="AJ126" s="176"/>
    </row>
    <row r="127" spans="18:36" x14ac:dyDescent="0.25">
      <c r="R127" s="72"/>
      <c r="S127" s="233"/>
      <c r="U127" s="169"/>
      <c r="V127" s="71"/>
      <c r="W127" s="72"/>
      <c r="X127" s="234"/>
      <c r="Y127" s="71"/>
      <c r="Z127" s="71"/>
      <c r="AA127" s="71"/>
      <c r="AB127" s="71"/>
      <c r="AC127" s="235"/>
      <c r="AD127" s="235"/>
      <c r="AE127" s="152"/>
      <c r="AF127" s="236"/>
      <c r="AG127" s="72"/>
      <c r="AH127" s="176"/>
      <c r="AI127" s="176"/>
      <c r="AJ127" s="176"/>
    </row>
    <row r="128" spans="18:36" x14ac:dyDescent="0.25">
      <c r="R128" s="72"/>
      <c r="S128" s="233"/>
      <c r="U128" s="169"/>
      <c r="V128" s="71"/>
      <c r="W128" s="237"/>
      <c r="X128" s="234"/>
      <c r="Y128" s="71"/>
      <c r="Z128" s="71"/>
      <c r="AA128" s="71"/>
      <c r="AB128" s="71"/>
      <c r="AC128" s="235"/>
      <c r="AD128" s="235"/>
      <c r="AE128" s="152"/>
      <c r="AF128" s="152"/>
      <c r="AG128" s="162"/>
      <c r="AH128" s="152"/>
      <c r="AI128" s="152"/>
      <c r="AJ128" s="152"/>
    </row>
    <row r="129" spans="18:36" x14ac:dyDescent="0.25">
      <c r="X129" s="238"/>
      <c r="Y129" s="156"/>
      <c r="Z129" s="239"/>
    </row>
    <row r="132" spans="18:36" x14ac:dyDescent="0.25">
      <c r="R132" s="230"/>
      <c r="S132" s="230"/>
      <c r="T132" s="230"/>
      <c r="U132" s="230"/>
      <c r="V132" s="230"/>
      <c r="W132" s="230"/>
      <c r="X132" s="230"/>
      <c r="Y132" s="230"/>
      <c r="Z132" s="230"/>
      <c r="AA132" s="230"/>
      <c r="AB132" s="230"/>
      <c r="AC132" s="230"/>
      <c r="AD132" s="230"/>
      <c r="AE132" s="230"/>
      <c r="AF132" s="230"/>
      <c r="AG132" s="230"/>
      <c r="AH132" s="230"/>
      <c r="AI132" s="230"/>
      <c r="AJ132" s="230"/>
    </row>
    <row r="133" spans="18:36" x14ac:dyDescent="0.25">
      <c r="R133" s="231"/>
      <c r="S133" s="232"/>
      <c r="U133" s="232"/>
      <c r="V133" s="232"/>
      <c r="W133" s="232"/>
      <c r="X133" s="231"/>
      <c r="Y133" s="232"/>
      <c r="Z133" s="232"/>
      <c r="AA133" s="231"/>
      <c r="AB133" s="231"/>
      <c r="AC133" s="231"/>
      <c r="AD133" s="231"/>
      <c r="AE133" s="231"/>
      <c r="AF133" s="231"/>
      <c r="AG133" s="231"/>
      <c r="AH133" s="231"/>
      <c r="AI133" s="231"/>
      <c r="AJ133" s="231"/>
    </row>
    <row r="134" spans="18:36" x14ac:dyDescent="0.25">
      <c r="R134" s="231"/>
      <c r="S134" s="232"/>
      <c r="U134" s="232"/>
      <c r="V134" s="232"/>
      <c r="W134" s="232"/>
      <c r="X134" s="231"/>
      <c r="Y134" s="232"/>
      <c r="Z134" s="232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</row>
    <row r="135" spans="18:36" x14ac:dyDescent="0.25">
      <c r="R135" s="72"/>
      <c r="S135" s="233"/>
      <c r="U135" s="169"/>
      <c r="V135" s="71"/>
      <c r="W135" s="72"/>
      <c r="X135" s="234"/>
      <c r="Y135" s="71"/>
      <c r="Z135" s="71"/>
      <c r="AA135" s="71"/>
      <c r="AB135" s="71"/>
      <c r="AC135" s="235"/>
      <c r="AD135" s="235"/>
      <c r="AE135" s="152"/>
      <c r="AF135" s="236"/>
      <c r="AG135" s="72"/>
      <c r="AH135" s="176"/>
      <c r="AI135" s="176"/>
      <c r="AJ135" s="176"/>
    </row>
    <row r="136" spans="18:36" x14ac:dyDescent="0.25">
      <c r="R136" s="72"/>
      <c r="S136" s="233"/>
      <c r="U136" s="169"/>
      <c r="V136" s="71"/>
      <c r="W136" s="72"/>
      <c r="X136" s="234"/>
      <c r="Y136" s="71"/>
      <c r="Z136" s="71"/>
      <c r="AA136" s="71"/>
      <c r="AB136" s="71"/>
      <c r="AC136" s="235"/>
      <c r="AD136" s="235"/>
      <c r="AE136" s="152"/>
      <c r="AF136" s="236"/>
      <c r="AG136" s="72"/>
      <c r="AH136" s="176"/>
      <c r="AI136" s="176"/>
      <c r="AJ136" s="176"/>
    </row>
    <row r="137" spans="18:36" x14ac:dyDescent="0.25">
      <c r="R137" s="72"/>
      <c r="S137" s="233"/>
      <c r="U137" s="169"/>
      <c r="V137" s="71"/>
      <c r="W137" s="72"/>
      <c r="X137" s="234"/>
      <c r="Y137" s="71"/>
      <c r="Z137" s="71"/>
      <c r="AA137" s="71"/>
      <c r="AB137" s="71"/>
      <c r="AC137" s="235"/>
      <c r="AD137" s="235"/>
      <c r="AE137" s="152"/>
      <c r="AF137" s="236"/>
      <c r="AG137" s="72"/>
      <c r="AH137" s="176"/>
      <c r="AI137" s="176"/>
      <c r="AJ137" s="176"/>
    </row>
    <row r="138" spans="18:36" x14ac:dyDescent="0.25">
      <c r="R138" s="72"/>
      <c r="S138" s="233"/>
      <c r="U138" s="169"/>
      <c r="V138" s="71"/>
      <c r="W138" s="72"/>
      <c r="X138" s="234"/>
      <c r="Y138" s="71"/>
      <c r="Z138" s="71"/>
      <c r="AA138" s="71"/>
      <c r="AB138" s="71"/>
      <c r="AC138" s="235"/>
      <c r="AD138" s="235"/>
      <c r="AE138" s="152"/>
      <c r="AF138" s="236"/>
      <c r="AG138" s="72"/>
      <c r="AH138" s="176"/>
      <c r="AI138" s="176"/>
      <c r="AJ138" s="176"/>
    </row>
    <row r="139" spans="18:36" x14ac:dyDescent="0.25">
      <c r="R139" s="72"/>
      <c r="S139" s="233"/>
      <c r="U139" s="169"/>
      <c r="V139" s="71"/>
      <c r="W139" s="72"/>
      <c r="X139" s="234"/>
      <c r="Y139" s="71"/>
      <c r="Z139" s="71"/>
      <c r="AA139" s="71"/>
      <c r="AB139" s="71"/>
      <c r="AC139" s="235"/>
      <c r="AD139" s="235"/>
      <c r="AE139" s="152"/>
      <c r="AF139" s="236"/>
      <c r="AG139" s="72"/>
      <c r="AH139" s="176"/>
      <c r="AI139" s="176"/>
      <c r="AJ139" s="176"/>
    </row>
    <row r="140" spans="18:36" x14ac:dyDescent="0.25">
      <c r="R140" s="72"/>
      <c r="S140" s="233"/>
      <c r="U140" s="169"/>
      <c r="V140" s="71"/>
      <c r="W140" s="72"/>
      <c r="X140" s="234"/>
      <c r="Y140" s="71"/>
      <c r="Z140" s="71"/>
      <c r="AA140" s="71"/>
      <c r="AB140" s="71"/>
      <c r="AC140" s="235"/>
      <c r="AD140" s="235"/>
      <c r="AE140" s="152"/>
      <c r="AF140" s="236"/>
      <c r="AG140" s="72"/>
      <c r="AH140" s="176"/>
      <c r="AI140" s="176"/>
      <c r="AJ140" s="176"/>
    </row>
    <row r="141" spans="18:36" x14ac:dyDescent="0.25">
      <c r="R141" s="72"/>
      <c r="S141" s="233"/>
      <c r="U141" s="169"/>
      <c r="V141" s="71"/>
      <c r="W141" s="237"/>
      <c r="X141" s="234"/>
      <c r="Y141" s="71"/>
      <c r="Z141" s="71"/>
      <c r="AA141" s="71"/>
      <c r="AB141" s="71"/>
      <c r="AC141" s="235"/>
      <c r="AD141" s="235"/>
      <c r="AE141" s="152"/>
      <c r="AF141" s="152"/>
      <c r="AG141" s="162"/>
      <c r="AH141" s="152"/>
      <c r="AI141" s="152"/>
      <c r="AJ141" s="152"/>
    </row>
    <row r="142" spans="18:36" x14ac:dyDescent="0.25">
      <c r="X142" s="238"/>
      <c r="Y142" s="156"/>
      <c r="Z142" s="239"/>
    </row>
  </sheetData>
  <mergeCells count="134"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Fill="0" autoLine="0" r:id="rId7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Fill="0" autoLine="0" r:id="rId9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5" r:id="rId10" name="CommandButton5">
          <controlPr defaultSize="0" autoFill="0" autoLine="0" r:id="rId11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0" name="CommandButton5"/>
      </mc:Fallback>
    </mc:AlternateContent>
    <mc:AlternateContent xmlns:mc="http://schemas.openxmlformats.org/markup-compatibility/2006">
      <mc:Choice Requires="x14">
        <control shapeId="5126" r:id="rId12" name="CommandButton6">
          <controlPr defaultSize="0" autoFill="0" autoLine="0" r:id="rId13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2" name="CommandButton6"/>
      </mc:Fallback>
    </mc:AlternateContent>
    <mc:AlternateContent xmlns:mc="http://schemas.openxmlformats.org/markup-compatibility/2006">
      <mc:Choice Requires="x14">
        <control shapeId="5139" r:id="rId14" name="ToggleButton1">
          <controlPr defaultSize="0" autoLine="0" r:id="rId1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4" name="ToggleButton1"/>
      </mc:Fallback>
    </mc:AlternateContent>
    <mc:AlternateContent xmlns:mc="http://schemas.openxmlformats.org/markup-compatibility/2006">
      <mc:Choice Requires="x14">
        <control shapeId="5140" r:id="rId16" name="ToggleButton2">
          <controlPr defaultSize="0" autoLine="0" r:id="rId1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16" name="ToggleButton2"/>
      </mc:Fallback>
    </mc:AlternateContent>
    <mc:AlternateContent xmlns:mc="http://schemas.openxmlformats.org/markup-compatibility/2006">
      <mc:Choice Requires="x14">
        <control shapeId="5141" r:id="rId17" name="ToggleButton3">
          <controlPr defaultSize="0" autoLine="0" r:id="rId1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17" name="ToggleButton3"/>
      </mc:Fallback>
    </mc:AlternateContent>
    <mc:AlternateContent xmlns:mc="http://schemas.openxmlformats.org/markup-compatibility/2006">
      <mc:Choice Requires="x14">
        <control shapeId="5142" r:id="rId18" name="ToggleButton4">
          <controlPr defaultSize="0" autoLine="0" r:id="rId1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18" name="ToggleButton4"/>
      </mc:Fallback>
    </mc:AlternateContent>
    <mc:AlternateContent xmlns:mc="http://schemas.openxmlformats.org/markup-compatibility/2006">
      <mc:Choice Requires="x14">
        <control shapeId="5143" r:id="rId19" name="ToggleButton5">
          <controlPr defaultSize="0" autoLine="0" r:id="rId20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19" name="ToggleButton5"/>
      </mc:Fallback>
    </mc:AlternateContent>
    <mc:AlternateContent xmlns:mc="http://schemas.openxmlformats.org/markup-compatibility/2006">
      <mc:Choice Requires="x14">
        <control shapeId="5144" r:id="rId21" name="ToggleButton6">
          <controlPr defaultSize="0" autoLine="0" r:id="rId1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topLeftCell="A31" zoomScale="80" zoomScaleNormal="80" workbookViewId="0">
      <selection activeCell="C38" sqref="C38:D46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6" x14ac:dyDescent="0.3">
      <c r="B2" s="1039" t="s">
        <v>95</v>
      </c>
      <c r="C2" s="1039"/>
      <c r="D2" s="1039"/>
      <c r="E2" s="1039"/>
      <c r="F2" s="1039"/>
      <c r="G2" s="1039"/>
      <c r="H2" s="1039"/>
      <c r="J2" s="1023" t="s">
        <v>103</v>
      </c>
      <c r="K2" s="1024"/>
      <c r="L2" s="1024"/>
      <c r="M2" s="1024"/>
      <c r="N2" s="1024"/>
      <c r="O2" s="1024"/>
      <c r="P2" s="1024"/>
      <c r="Q2" s="1024"/>
      <c r="R2" s="1024"/>
      <c r="S2" s="1024"/>
      <c r="T2" s="1024"/>
      <c r="U2" s="1024"/>
      <c r="V2" s="1025"/>
      <c r="W2" s="34"/>
      <c r="X2" s="1018" t="s">
        <v>106</v>
      </c>
      <c r="Y2" s="1018"/>
      <c r="Z2" s="1018"/>
      <c r="AA2" s="1018"/>
      <c r="AB2" s="1018"/>
    </row>
    <row r="3" spans="2:28" ht="15" customHeight="1" x14ac:dyDescent="0.25">
      <c r="B3" s="671" t="s">
        <v>57</v>
      </c>
      <c r="C3" s="671" t="s">
        <v>87</v>
      </c>
      <c r="D3" s="671"/>
      <c r="E3" s="704" t="s">
        <v>94</v>
      </c>
      <c r="F3" s="704" t="s">
        <v>86</v>
      </c>
      <c r="G3" s="671" t="s">
        <v>91</v>
      </c>
      <c r="H3" s="671"/>
      <c r="J3" s="973" t="s">
        <v>5</v>
      </c>
      <c r="K3" s="974" t="s">
        <v>3</v>
      </c>
      <c r="L3" s="974" t="s">
        <v>72</v>
      </c>
      <c r="M3" s="973" t="s">
        <v>74</v>
      </c>
      <c r="N3" s="973" t="s">
        <v>81</v>
      </c>
      <c r="O3" s="974" t="s">
        <v>101</v>
      </c>
      <c r="P3" s="974" t="s">
        <v>255</v>
      </c>
      <c r="Q3" s="974" t="s">
        <v>256</v>
      </c>
      <c r="R3" s="973" t="s">
        <v>390</v>
      </c>
      <c r="S3" s="973" t="s">
        <v>391</v>
      </c>
      <c r="T3" s="973" t="s">
        <v>75</v>
      </c>
      <c r="U3" s="974" t="s">
        <v>102</v>
      </c>
      <c r="V3" s="973" t="s">
        <v>79</v>
      </c>
      <c r="X3" s="671" t="s">
        <v>5</v>
      </c>
      <c r="Y3" s="1006" t="s">
        <v>76</v>
      </c>
      <c r="Z3" s="1006" t="s">
        <v>77</v>
      </c>
      <c r="AA3" s="1006" t="s">
        <v>104</v>
      </c>
      <c r="AB3" s="704" t="s">
        <v>105</v>
      </c>
    </row>
    <row r="4" spans="2:28" x14ac:dyDescent="0.25">
      <c r="B4" s="671"/>
      <c r="C4" s="8" t="s">
        <v>88</v>
      </c>
      <c r="D4" s="8" t="s">
        <v>89</v>
      </c>
      <c r="E4" s="704"/>
      <c r="F4" s="704"/>
      <c r="G4" s="671"/>
      <c r="H4" s="671"/>
      <c r="J4" s="707"/>
      <c r="K4" s="703"/>
      <c r="L4" s="703"/>
      <c r="M4" s="707"/>
      <c r="N4" s="707"/>
      <c r="O4" s="703"/>
      <c r="P4" s="703"/>
      <c r="Q4" s="703"/>
      <c r="R4" s="707"/>
      <c r="S4" s="707"/>
      <c r="T4" s="707"/>
      <c r="U4" s="703"/>
      <c r="V4" s="707"/>
      <c r="X4" s="671"/>
      <c r="Y4" s="1006"/>
      <c r="Z4" s="1006"/>
      <c r="AA4" s="1006"/>
      <c r="AB4" s="704"/>
    </row>
    <row r="5" spans="2:28" x14ac:dyDescent="0.25">
      <c r="B5" s="327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83" t="s">
        <v>38</v>
      </c>
      <c r="G5" s="241" t="s">
        <v>93</v>
      </c>
      <c r="H5" s="241" t="s">
        <v>90</v>
      </c>
      <c r="J5" s="242">
        <v>6</v>
      </c>
      <c r="K5" s="197">
        <v>3</v>
      </c>
      <c r="L5" s="197">
        <v>17.75</v>
      </c>
      <c r="M5" s="243">
        <v>2.5699996201069053E-2</v>
      </c>
      <c r="N5" s="21">
        <v>1.9318253938292659E-3</v>
      </c>
      <c r="O5" s="244">
        <v>6.4394179794308865E-4</v>
      </c>
      <c r="P5" s="243">
        <v>8.3125273614190701E-3</v>
      </c>
      <c r="Q5" s="243">
        <v>2.4571407410608624E-3</v>
      </c>
      <c r="R5" s="17">
        <v>7.7466427470881533E-2</v>
      </c>
      <c r="S5" s="17">
        <v>0.26206956206548793</v>
      </c>
      <c r="T5" s="611">
        <v>231.2821755060146</v>
      </c>
      <c r="U5" s="197">
        <v>693.84652651804379</v>
      </c>
      <c r="V5" s="17">
        <v>948.25278761536538</v>
      </c>
      <c r="W5" s="72"/>
      <c r="X5" s="283">
        <v>6</v>
      </c>
      <c r="Y5" s="17">
        <f>mstr6</f>
        <v>63.074599999999997</v>
      </c>
      <c r="Z5" s="17">
        <f>Y5*M5</f>
        <v>1.62101698038395</v>
      </c>
      <c r="AA5" s="17">
        <f>Z5*L5</f>
        <v>28.773051401815113</v>
      </c>
      <c r="AB5" s="17">
        <f>AA11/Z11</f>
        <v>12.389842022556833</v>
      </c>
    </row>
    <row r="6" spans="2:28" x14ac:dyDescent="0.25">
      <c r="B6" s="327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0">C6/D6</f>
        <v>2.0133037694013298</v>
      </c>
      <c r="F6" s="283" t="s">
        <v>38</v>
      </c>
      <c r="G6" s="241" t="s">
        <v>93</v>
      </c>
      <c r="H6" s="241" t="s">
        <v>90</v>
      </c>
      <c r="J6" s="242">
        <v>5</v>
      </c>
      <c r="K6" s="197">
        <v>3</v>
      </c>
      <c r="L6" s="197">
        <v>14.75</v>
      </c>
      <c r="M6" s="243">
        <v>2.3768170807239787E-2</v>
      </c>
      <c r="N6" s="21">
        <v>3.5689346346951221E-3</v>
      </c>
      <c r="O6" s="244">
        <v>1.1896448782317073E-3</v>
      </c>
      <c r="P6" s="243">
        <v>9.5976000000000013E-3</v>
      </c>
      <c r="Q6" s="243">
        <v>2.2807165072368058E-3</v>
      </c>
      <c r="R6" s="17">
        <v>0.12395232956486071</v>
      </c>
      <c r="S6" s="17">
        <v>0.52161014946702755</v>
      </c>
      <c r="T6" s="611">
        <v>459.4350863687057</v>
      </c>
      <c r="U6" s="197">
        <v>2072.1517856241608</v>
      </c>
      <c r="V6" s="1035"/>
      <c r="W6" s="72"/>
      <c r="X6" s="283">
        <v>5</v>
      </c>
      <c r="Y6" s="17">
        <f>mstr5</f>
        <v>67.278400000000005</v>
      </c>
      <c r="Z6" s="17">
        <f t="shared" ref="Z6:Z10" si="1">Y6*M6</f>
        <v>1.5990845028378013</v>
      </c>
      <c r="AA6" s="17">
        <f t="shared" ref="AA6:AA10" si="2">Z6*L6</f>
        <v>23.586496416857571</v>
      </c>
      <c r="AB6" s="327" t="s">
        <v>334</v>
      </c>
    </row>
    <row r="7" spans="2:28" x14ac:dyDescent="0.25">
      <c r="B7" s="327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0"/>
        <v>1.7334860633829712</v>
      </c>
      <c r="F7" s="283" t="s">
        <v>38</v>
      </c>
      <c r="G7" s="241" t="s">
        <v>93</v>
      </c>
      <c r="H7" s="241" t="s">
        <v>90</v>
      </c>
      <c r="J7" s="242">
        <v>4</v>
      </c>
      <c r="K7" s="197">
        <v>3</v>
      </c>
      <c r="L7" s="197">
        <v>11.75</v>
      </c>
      <c r="M7" s="243">
        <v>2.0199236172544665E-2</v>
      </c>
      <c r="N7" s="21">
        <v>4.6592133753397963E-3</v>
      </c>
      <c r="O7" s="244">
        <v>1.5530711251132655E-3</v>
      </c>
      <c r="P7" s="243">
        <v>8.8673064285714302E-3</v>
      </c>
      <c r="Q7" s="243">
        <v>2.1026318802204874E-3</v>
      </c>
      <c r="R7" s="17">
        <v>0.17514576017234509</v>
      </c>
      <c r="S7" s="17">
        <v>0.73863196868793146</v>
      </c>
      <c r="T7" s="611">
        <v>653.32945742932156</v>
      </c>
      <c r="U7" s="197">
        <v>4032.1401579121257</v>
      </c>
      <c r="V7" s="1036"/>
      <c r="W7" s="186"/>
      <c r="X7" s="283">
        <v>4</v>
      </c>
      <c r="Y7" s="17">
        <f>mstr4</f>
        <v>67.278400000000005</v>
      </c>
      <c r="Z7" s="17">
        <f t="shared" si="1"/>
        <v>1.3589722909109292</v>
      </c>
      <c r="AA7" s="17">
        <f t="shared" si="2"/>
        <v>15.967924418203419</v>
      </c>
      <c r="AB7" s="196">
        <f>T10/M5</f>
        <v>36860.450146533767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0"/>
        <v>1.3511904761904763</v>
      </c>
      <c r="F8" s="19" t="s">
        <v>38</v>
      </c>
      <c r="G8" s="241" t="s">
        <v>93</v>
      </c>
      <c r="H8" s="241" t="s">
        <v>90</v>
      </c>
      <c r="J8" s="242">
        <v>3</v>
      </c>
      <c r="K8" s="197">
        <v>3</v>
      </c>
      <c r="L8" s="197">
        <v>8.75</v>
      </c>
      <c r="M8" s="243">
        <v>1.5540022797204869E-2</v>
      </c>
      <c r="N8" s="21">
        <v>5.2455602693758947E-3</v>
      </c>
      <c r="O8" s="244">
        <v>1.7485200897919648E-3</v>
      </c>
      <c r="P8" s="243">
        <v>8.3556867009551838E-3</v>
      </c>
      <c r="Q8" s="243">
        <v>1.9478666359322766E-3</v>
      </c>
      <c r="R8" s="17">
        <v>0.2092610879716304</v>
      </c>
      <c r="S8" s="17">
        <v>0.89765903760402899</v>
      </c>
      <c r="T8" s="611">
        <v>802.4996003380005</v>
      </c>
      <c r="U8" s="197">
        <v>6439.6389589261271</v>
      </c>
      <c r="V8" s="1036"/>
      <c r="W8" s="186"/>
      <c r="X8" s="283">
        <v>3</v>
      </c>
      <c r="Y8" s="17">
        <f>mstr3</f>
        <v>67.278400000000005</v>
      </c>
      <c r="Z8" s="17">
        <f t="shared" si="1"/>
        <v>1.0455078697594682</v>
      </c>
      <c r="AA8" s="17">
        <f t="shared" si="2"/>
        <v>9.148193860395347</v>
      </c>
      <c r="AB8" s="352" t="s">
        <v>336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0"/>
        <v>1.1119275042860639</v>
      </c>
      <c r="F9" s="19" t="s">
        <v>38</v>
      </c>
      <c r="G9" s="241" t="s">
        <v>93</v>
      </c>
      <c r="H9" s="241" t="s">
        <v>90</v>
      </c>
      <c r="J9" s="242">
        <v>2</v>
      </c>
      <c r="K9" s="197">
        <v>3</v>
      </c>
      <c r="L9" s="197">
        <v>5.75</v>
      </c>
      <c r="M9" s="243">
        <v>1.0294462527828974E-2</v>
      </c>
      <c r="N9" s="21">
        <v>5.3769520242429132E-3</v>
      </c>
      <c r="O9" s="244">
        <v>1.7923173414143045E-3</v>
      </c>
      <c r="P9" s="243">
        <v>6.4157970868129726E-3</v>
      </c>
      <c r="Q9" s="243">
        <v>1.8112309252701479E-3</v>
      </c>
      <c r="R9" s="17">
        <v>0.27936004165378497</v>
      </c>
      <c r="S9" s="17">
        <v>0.98955760770647039</v>
      </c>
      <c r="T9" s="611">
        <v>901.31711601815016</v>
      </c>
      <c r="U9" s="197">
        <v>9143.5903069805772</v>
      </c>
      <c r="V9" s="1036"/>
      <c r="W9" s="186"/>
      <c r="X9" s="283">
        <v>2</v>
      </c>
      <c r="Y9" s="17">
        <f>mstr2</f>
        <v>67.278400000000005</v>
      </c>
      <c r="Z9" s="17">
        <f t="shared" si="1"/>
        <v>0.6925949677322889</v>
      </c>
      <c r="AA9" s="17">
        <f t="shared" si="2"/>
        <v>3.9824210644606612</v>
      </c>
      <c r="AB9" s="17">
        <f>((Y10*M8+Y9*M9+Y8*M10+M7*Y7+M6*Y6+M5*Y5)^2)/(Y10*M8*M8+Y9*M9*M9+Y8*M10*M10+Y7*M7*M7+Y6*M6*M6+Y5*M5*M5)</f>
        <v>334.51100674445934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0"/>
        <v>0.8817246067197515</v>
      </c>
      <c r="F10" s="19" t="s">
        <v>38</v>
      </c>
      <c r="G10" s="241" t="s">
        <v>93</v>
      </c>
      <c r="H10" s="241" t="s">
        <v>90</v>
      </c>
      <c r="J10" s="242">
        <v>1</v>
      </c>
      <c r="K10" s="197">
        <v>2.75</v>
      </c>
      <c r="L10" s="197">
        <v>2.75</v>
      </c>
      <c r="M10" s="243">
        <v>4.9175105035860608E-3</v>
      </c>
      <c r="N10" s="21">
        <v>4.9175105035860608E-3</v>
      </c>
      <c r="O10" s="244">
        <v>1.7881856376676586E-3</v>
      </c>
      <c r="P10" s="243">
        <v>4.8471720397440425E-3</v>
      </c>
      <c r="Q10" s="243">
        <v>1.7850281840739108E-3</v>
      </c>
      <c r="R10" s="17">
        <v>0.36891317721045541</v>
      </c>
      <c r="S10" s="17">
        <v>1.0017688536359923</v>
      </c>
      <c r="T10" s="611">
        <v>947.313428735613</v>
      </c>
      <c r="U10" s="197">
        <v>11748.702236003513</v>
      </c>
      <c r="V10" s="1037"/>
      <c r="W10" s="186"/>
      <c r="X10" s="283">
        <v>1</v>
      </c>
      <c r="Y10" s="17">
        <f>mstr1</f>
        <v>67.278400000000005</v>
      </c>
      <c r="Z10" s="17">
        <f t="shared" si="1"/>
        <v>0.33084223866446444</v>
      </c>
      <c r="AA10" s="17">
        <f t="shared" si="2"/>
        <v>0.90981615632727719</v>
      </c>
      <c r="AB10" s="327" t="s">
        <v>335</v>
      </c>
    </row>
    <row r="11" spans="2:28" x14ac:dyDescent="0.25">
      <c r="X11" s="284"/>
      <c r="Y11" s="327" t="s">
        <v>78</v>
      </c>
      <c r="Z11" s="245">
        <f>SUM(Z5:Z10)</f>
        <v>6.6480188502889028</v>
      </c>
      <c r="AA11" s="245">
        <f>SUM(AA5:AA10)</f>
        <v>82.367903318059405</v>
      </c>
      <c r="AB11" s="196">
        <f>2*PI()*SQRT(AB9/AB7)</f>
        <v>0.59855595679929452</v>
      </c>
    </row>
    <row r="13" spans="2:28" ht="15.6" x14ac:dyDescent="0.3">
      <c r="B13" s="1040" t="s">
        <v>96</v>
      </c>
      <c r="C13" s="1040"/>
      <c r="D13" s="1040"/>
      <c r="E13" s="1040"/>
      <c r="F13" s="1040"/>
      <c r="G13" s="1040"/>
      <c r="H13" s="1040"/>
      <c r="J13" s="1014" t="s">
        <v>107</v>
      </c>
      <c r="K13" s="1014"/>
      <c r="L13" s="1014"/>
      <c r="M13" s="1014"/>
      <c r="N13" s="1014"/>
      <c r="O13" s="1014"/>
      <c r="P13" s="1014"/>
      <c r="Q13" s="1014"/>
      <c r="R13" s="1014"/>
      <c r="S13" s="1014"/>
      <c r="T13" s="1014"/>
      <c r="U13" s="1014"/>
      <c r="V13" s="1014"/>
      <c r="X13" s="1018" t="s">
        <v>106</v>
      </c>
      <c r="Y13" s="1018"/>
      <c r="Z13" s="1018"/>
      <c r="AA13" s="1018"/>
      <c r="AB13" s="1018"/>
    </row>
    <row r="14" spans="2:28" ht="15" customHeight="1" x14ac:dyDescent="0.25">
      <c r="B14" s="671" t="s">
        <v>57</v>
      </c>
      <c r="C14" s="671" t="s">
        <v>99</v>
      </c>
      <c r="D14" s="671"/>
      <c r="E14" s="704" t="s">
        <v>97</v>
      </c>
      <c r="F14" s="704" t="s">
        <v>86</v>
      </c>
      <c r="G14" s="671" t="s">
        <v>91</v>
      </c>
      <c r="H14" s="671"/>
      <c r="J14" s="973" t="s">
        <v>5</v>
      </c>
      <c r="K14" s="974" t="s">
        <v>3</v>
      </c>
      <c r="L14" s="974" t="s">
        <v>72</v>
      </c>
      <c r="M14" s="973" t="s">
        <v>74</v>
      </c>
      <c r="N14" s="973" t="s">
        <v>81</v>
      </c>
      <c r="O14" s="974" t="s">
        <v>101</v>
      </c>
      <c r="P14" s="974" t="s">
        <v>255</v>
      </c>
      <c r="Q14" s="974" t="s">
        <v>256</v>
      </c>
      <c r="R14" s="973" t="s">
        <v>390</v>
      </c>
      <c r="S14" s="973" t="s">
        <v>391</v>
      </c>
      <c r="T14" s="973" t="s">
        <v>75</v>
      </c>
      <c r="U14" s="974" t="s">
        <v>102</v>
      </c>
      <c r="V14" s="973" t="s">
        <v>79</v>
      </c>
      <c r="X14" s="671" t="s">
        <v>5</v>
      </c>
      <c r="Y14" s="1006" t="s">
        <v>76</v>
      </c>
      <c r="Z14" s="1006" t="s">
        <v>77</v>
      </c>
      <c r="AA14" s="1006" t="s">
        <v>104</v>
      </c>
      <c r="AB14" s="704" t="s">
        <v>105</v>
      </c>
    </row>
    <row r="15" spans="2:28" x14ac:dyDescent="0.25">
      <c r="B15" s="671"/>
      <c r="C15" s="8" t="s">
        <v>98</v>
      </c>
      <c r="D15" s="8" t="s">
        <v>100</v>
      </c>
      <c r="E15" s="704"/>
      <c r="F15" s="704"/>
      <c r="G15" s="671"/>
      <c r="H15" s="671"/>
      <c r="J15" s="707"/>
      <c r="K15" s="703"/>
      <c r="L15" s="703"/>
      <c r="M15" s="707"/>
      <c r="N15" s="707"/>
      <c r="O15" s="703"/>
      <c r="P15" s="703"/>
      <c r="Q15" s="703"/>
      <c r="R15" s="707"/>
      <c r="S15" s="707"/>
      <c r="T15" s="707"/>
      <c r="U15" s="703"/>
      <c r="V15" s="707"/>
      <c r="X15" s="671"/>
      <c r="Y15" s="1006"/>
      <c r="Z15" s="1006"/>
      <c r="AA15" s="1006"/>
      <c r="AB15" s="704"/>
    </row>
    <row r="16" spans="2:28" x14ac:dyDescent="0.25">
      <c r="B16" s="327">
        <v>6</v>
      </c>
      <c r="C16" s="206">
        <f>'Yield Mechanism'!AE57</f>
        <v>2.0849479029153315</v>
      </c>
      <c r="D16" s="17">
        <f>'Yield Mechanism'!C16</f>
        <v>13.215596110609628</v>
      </c>
      <c r="E16" s="17">
        <f t="shared" ref="E16:E21" si="3">C16/D16</f>
        <v>0.15776419659507543</v>
      </c>
      <c r="F16" s="283" t="s">
        <v>38</v>
      </c>
      <c r="G16" s="241" t="s">
        <v>92</v>
      </c>
      <c r="H16" s="241" t="s">
        <v>66</v>
      </c>
      <c r="J16" s="242">
        <v>6</v>
      </c>
      <c r="K16" s="197">
        <v>3</v>
      </c>
      <c r="L16" s="197">
        <v>17.75</v>
      </c>
      <c r="M16" s="243">
        <v>2.6099759428439784E-2</v>
      </c>
      <c r="N16" s="21">
        <v>1.9458465334198753E-3</v>
      </c>
      <c r="O16" s="244">
        <v>6.4861551113995844E-4</v>
      </c>
      <c r="P16" s="243">
        <v>8.3125273614190701E-3</v>
      </c>
      <c r="Q16" s="243">
        <v>2.4571407410608624E-3</v>
      </c>
      <c r="R16" s="17">
        <v>7.8028676831835453E-2</v>
      </c>
      <c r="S16" s="17">
        <v>0.26397165628368557</v>
      </c>
      <c r="T16" s="611">
        <v>232.96081565535115</v>
      </c>
      <c r="U16" s="197">
        <v>698.88244696605352</v>
      </c>
      <c r="V16" s="17">
        <v>959.18868250201331</v>
      </c>
      <c r="W16" s="186"/>
      <c r="X16" s="283">
        <v>6</v>
      </c>
      <c r="Y16" s="17">
        <f>mstr6</f>
        <v>63.074599999999997</v>
      </c>
      <c r="Z16" s="17">
        <f t="shared" ref="Z16:Z21" si="4">Y16*M16</f>
        <v>1.646231886045068</v>
      </c>
      <c r="AA16" s="17">
        <f t="shared" ref="AA16:AA21" si="5">Z16*L16</f>
        <v>29.220615977299957</v>
      </c>
      <c r="AB16" s="17">
        <f>AA22/Z22</f>
        <v>12.365792575703196</v>
      </c>
    </row>
    <row r="17" spans="2:28" x14ac:dyDescent="0.25">
      <c r="B17" s="327">
        <v>5</v>
      </c>
      <c r="C17" s="206">
        <f>'Yield Mechanism'!AE58</f>
        <v>4.1135223004893113</v>
      </c>
      <c r="D17" s="17">
        <f>'Yield Mechanism'!C17</f>
        <v>25.545754294807207</v>
      </c>
      <c r="E17" s="17">
        <f t="shared" si="3"/>
        <v>0.16102567389546546</v>
      </c>
      <c r="F17" s="283" t="s">
        <v>38</v>
      </c>
      <c r="G17" s="241" t="s">
        <v>92</v>
      </c>
      <c r="H17" s="241" t="s">
        <v>66</v>
      </c>
      <c r="J17" s="242">
        <v>5</v>
      </c>
      <c r="K17" s="197">
        <v>3</v>
      </c>
      <c r="L17" s="197">
        <v>14.75</v>
      </c>
      <c r="M17" s="243">
        <v>2.4153912895019908E-2</v>
      </c>
      <c r="N17" s="21">
        <v>3.5960232903395652E-3</v>
      </c>
      <c r="O17" s="244">
        <v>1.1986744301131884E-3</v>
      </c>
      <c r="P17" s="243">
        <v>9.5976000000000013E-3</v>
      </c>
      <c r="Q17" s="243">
        <v>2.2807165072368058E-3</v>
      </c>
      <c r="R17" s="17">
        <v>0.12489314308922941</v>
      </c>
      <c r="S17" s="17">
        <v>0.52556923506702646</v>
      </c>
      <c r="T17" s="611">
        <v>462.92225554368241</v>
      </c>
      <c r="U17" s="197">
        <v>2087.6492135971007</v>
      </c>
      <c r="V17" s="1035"/>
      <c r="W17" s="186"/>
      <c r="X17" s="283">
        <v>5</v>
      </c>
      <c r="Y17" s="17">
        <f>mstr5</f>
        <v>67.278400000000005</v>
      </c>
      <c r="Z17" s="17">
        <f t="shared" si="4"/>
        <v>1.6250366133163074</v>
      </c>
      <c r="AA17" s="17">
        <f t="shared" si="5"/>
        <v>23.969290046415534</v>
      </c>
      <c r="AB17" s="474" t="s">
        <v>334</v>
      </c>
    </row>
    <row r="18" spans="2:28" x14ac:dyDescent="0.25">
      <c r="B18" s="327">
        <v>4</v>
      </c>
      <c r="C18" s="206">
        <f>'Yield Mechanism'!AE59</f>
        <v>6.7626032668135991</v>
      </c>
      <c r="D18" s="17">
        <f>'Yield Mechanism'!C18</f>
        <v>40.63108083011209</v>
      </c>
      <c r="E18" s="17">
        <f t="shared" si="3"/>
        <v>0.16643916747106979</v>
      </c>
      <c r="F18" s="283" t="s">
        <v>38</v>
      </c>
      <c r="G18" s="241" t="s">
        <v>92</v>
      </c>
      <c r="H18" s="241" t="s">
        <v>66</v>
      </c>
      <c r="J18" s="242">
        <v>4</v>
      </c>
      <c r="K18" s="197">
        <v>3</v>
      </c>
      <c r="L18" s="197">
        <v>11.75</v>
      </c>
      <c r="M18" s="243">
        <v>2.0557889604680343E-2</v>
      </c>
      <c r="N18" s="21">
        <v>4.6971364073890853E-3</v>
      </c>
      <c r="O18" s="244">
        <v>1.5657121357963617E-3</v>
      </c>
      <c r="P18" s="243">
        <v>8.8673064285714302E-3</v>
      </c>
      <c r="Q18" s="243">
        <v>2.1026318802204874E-3</v>
      </c>
      <c r="R18" s="17">
        <v>0.17657133520856638</v>
      </c>
      <c r="S18" s="17">
        <v>0.74464396289481594</v>
      </c>
      <c r="T18" s="611">
        <v>658.64714347563438</v>
      </c>
      <c r="U18" s="197">
        <v>4063.5906440240037</v>
      </c>
      <c r="V18" s="1036"/>
      <c r="W18" s="186"/>
      <c r="X18" s="283">
        <v>4</v>
      </c>
      <c r="Y18" s="17">
        <f>mstr4</f>
        <v>67.278400000000005</v>
      </c>
      <c r="Z18" s="17">
        <f t="shared" si="4"/>
        <v>1.383101919979526</v>
      </c>
      <c r="AA18" s="17">
        <f t="shared" si="5"/>
        <v>16.251447559759431</v>
      </c>
      <c r="AB18" s="196">
        <f>T21/M16</f>
        <v>36750.862977334094</v>
      </c>
    </row>
    <row r="19" spans="2:28" x14ac:dyDescent="0.25">
      <c r="B19" s="8">
        <v>3</v>
      </c>
      <c r="C19" s="206">
        <f>'Yield Mechanism'!AE60</f>
        <v>57.876470485331971</v>
      </c>
      <c r="D19" s="17">
        <f>'Yield Mechanism'!C19</f>
        <v>117.3144077122426</v>
      </c>
      <c r="E19" s="17">
        <f t="shared" si="3"/>
        <v>0.49334494896224196</v>
      </c>
      <c r="F19" s="19" t="s">
        <v>38</v>
      </c>
      <c r="G19" s="241" t="s">
        <v>92</v>
      </c>
      <c r="H19" s="241" t="s">
        <v>66</v>
      </c>
      <c r="J19" s="242">
        <v>3</v>
      </c>
      <c r="K19" s="197">
        <v>3</v>
      </c>
      <c r="L19" s="197">
        <v>8.75</v>
      </c>
      <c r="M19" s="243">
        <v>1.5860753197291258E-2</v>
      </c>
      <c r="N19" s="21">
        <v>5.2923130674721371E-3</v>
      </c>
      <c r="O19" s="244">
        <v>1.7641043558240456E-3</v>
      </c>
      <c r="P19" s="243">
        <v>8.3556867009551838E-3</v>
      </c>
      <c r="Q19" s="243">
        <v>1.9478666359322766E-3</v>
      </c>
      <c r="R19" s="17">
        <v>0.21112619691956394</v>
      </c>
      <c r="S19" s="17">
        <v>0.90565972191403143</v>
      </c>
      <c r="T19" s="611">
        <v>809.65214455829255</v>
      </c>
      <c r="U19" s="197">
        <v>6492.5470776988814</v>
      </c>
      <c r="V19" s="1036"/>
      <c r="W19" s="186"/>
      <c r="X19" s="283">
        <v>3</v>
      </c>
      <c r="Y19" s="17">
        <f>mstr3</f>
        <v>67.278400000000005</v>
      </c>
      <c r="Z19" s="17">
        <f t="shared" si="4"/>
        <v>1.0670860979086403</v>
      </c>
      <c r="AA19" s="17">
        <f t="shared" si="5"/>
        <v>9.3370033567006026</v>
      </c>
      <c r="AB19" s="475" t="s">
        <v>336</v>
      </c>
    </row>
    <row r="20" spans="2:28" x14ac:dyDescent="0.25">
      <c r="B20" s="8">
        <v>2</v>
      </c>
      <c r="C20" s="206">
        <f>'Yield Mechanism'!AE61</f>
        <v>128.58732047435166</v>
      </c>
      <c r="D20" s="17">
        <f>'Yield Mechanism'!C20</f>
        <v>29.066666666666666</v>
      </c>
      <c r="E20" s="17">
        <f t="shared" si="3"/>
        <v>4.4238757043928318</v>
      </c>
      <c r="F20" s="19" t="s">
        <v>38</v>
      </c>
      <c r="G20" s="241" t="s">
        <v>92</v>
      </c>
      <c r="H20" s="241" t="s">
        <v>66</v>
      </c>
      <c r="J20" s="242">
        <v>2</v>
      </c>
      <c r="K20" s="197">
        <v>3</v>
      </c>
      <c r="L20" s="197">
        <v>5.75</v>
      </c>
      <c r="M20" s="243">
        <v>1.0568440129819121E-2</v>
      </c>
      <c r="N20" s="21">
        <v>5.4303665333594259E-3</v>
      </c>
      <c r="O20" s="244">
        <v>1.8101221777864754E-3</v>
      </c>
      <c r="P20" s="243">
        <v>6.4157970868129726E-3</v>
      </c>
      <c r="Q20" s="243">
        <v>1.8112309252701479E-3</v>
      </c>
      <c r="R20" s="17">
        <v>0.28213519743431414</v>
      </c>
      <c r="S20" s="17">
        <v>0.99938784863475805</v>
      </c>
      <c r="T20" s="611">
        <v>910.27077807303874</v>
      </c>
      <c r="U20" s="197">
        <v>9223.3594119179979</v>
      </c>
      <c r="V20" s="1036"/>
      <c r="W20" s="186"/>
      <c r="X20" s="283">
        <v>2</v>
      </c>
      <c r="Y20" s="17">
        <f>mstr2</f>
        <v>67.278400000000005</v>
      </c>
      <c r="Z20" s="17">
        <f t="shared" si="4"/>
        <v>0.71102774243002276</v>
      </c>
      <c r="AA20" s="17">
        <f t="shared" si="5"/>
        <v>4.0884095189726306</v>
      </c>
      <c r="AB20" s="17">
        <f>((Y21*M19+Y20*M20+Y19*M21+M18*Y18+M17*Y17+M16*Y16)^2)/(Y21*M19*M19+Y20*M20*M20+Y19*M21*M21+Y18*M18*M18+Y17*M17*M17+Y16*M16*M16)</f>
        <v>335.68186074035742</v>
      </c>
    </row>
    <row r="21" spans="2:28" x14ac:dyDescent="0.25">
      <c r="B21" s="8">
        <v>1</v>
      </c>
      <c r="C21" s="206">
        <f>'Yield Mechanism'!AE62</f>
        <v>186.14201445239416</v>
      </c>
      <c r="D21" s="17">
        <f>'Yield Mechanism'!C21</f>
        <v>355.5249989453784</v>
      </c>
      <c r="E21" s="17">
        <f t="shared" si="3"/>
        <v>0.52356941144662617</v>
      </c>
      <c r="F21" s="19" t="s">
        <v>38</v>
      </c>
      <c r="G21" s="241" t="s">
        <v>92</v>
      </c>
      <c r="H21" s="241" t="s">
        <v>66</v>
      </c>
      <c r="J21" s="242">
        <v>1</v>
      </c>
      <c r="K21" s="197">
        <v>2.75</v>
      </c>
      <c r="L21" s="197">
        <v>2.75</v>
      </c>
      <c r="M21" s="243">
        <v>5.1380735964596949E-3</v>
      </c>
      <c r="N21" s="21">
        <v>5.1380735964596949E-3</v>
      </c>
      <c r="O21" s="244">
        <v>1.8683903987126162E-3</v>
      </c>
      <c r="P21" s="243">
        <v>4.8471720397440425E-3</v>
      </c>
      <c r="Q21" s="243">
        <v>1.7850281840739108E-3</v>
      </c>
      <c r="R21" s="17">
        <v>0.3854598894763549</v>
      </c>
      <c r="S21" s="17">
        <v>1.0467007834287807</v>
      </c>
      <c r="T21" s="611">
        <v>959.18868249597415</v>
      </c>
      <c r="U21" s="197">
        <v>11861.128288781927</v>
      </c>
      <c r="V21" s="1037"/>
      <c r="W21" s="186"/>
      <c r="X21" s="283">
        <v>1</v>
      </c>
      <c r="Y21" s="17">
        <f>mstr1</f>
        <v>67.278400000000005</v>
      </c>
      <c r="Z21" s="17">
        <f t="shared" si="4"/>
        <v>0.34568137065205395</v>
      </c>
      <c r="AA21" s="17">
        <f t="shared" si="5"/>
        <v>0.9506237692931484</v>
      </c>
      <c r="AB21" s="474" t="s">
        <v>335</v>
      </c>
    </row>
    <row r="22" spans="2:28" x14ac:dyDescent="0.25">
      <c r="X22" s="284"/>
      <c r="Y22" s="474" t="s">
        <v>78</v>
      </c>
      <c r="Z22" s="245">
        <f>SUM(Z16:Z21)</f>
        <v>6.7781656303316185</v>
      </c>
      <c r="AA22" s="245">
        <f>SUM(AA16:AA21)</f>
        <v>83.817390228441297</v>
      </c>
      <c r="AB22" s="196">
        <f>2*PI()*SQRT(AB20/AB18)</f>
        <v>0.60049588340367077</v>
      </c>
    </row>
    <row r="24" spans="2:28" ht="15.75" customHeight="1" x14ac:dyDescent="0.3">
      <c r="B24" s="1041" t="s">
        <v>254</v>
      </c>
      <c r="C24" s="1042"/>
      <c r="D24" s="1042"/>
      <c r="E24" s="1042"/>
      <c r="F24" s="1042"/>
      <c r="G24" s="1042"/>
      <c r="H24" s="1043"/>
      <c r="J24" s="1023" t="s">
        <v>108</v>
      </c>
      <c r="K24" s="1024"/>
      <c r="L24" s="1024"/>
      <c r="M24" s="1024"/>
      <c r="N24" s="1024"/>
      <c r="O24" s="1024"/>
      <c r="P24" s="1024"/>
      <c r="Q24" s="1024"/>
      <c r="R24" s="1024"/>
      <c r="S24" s="1024"/>
      <c r="T24" s="1024"/>
      <c r="U24" s="1024"/>
      <c r="V24" s="1025"/>
      <c r="X24" s="1016" t="s">
        <v>106</v>
      </c>
      <c r="Y24" s="1016"/>
      <c r="Z24" s="1016"/>
      <c r="AA24" s="1016"/>
      <c r="AB24" s="1016"/>
    </row>
    <row r="25" spans="2:28" ht="15" customHeight="1" x14ac:dyDescent="0.25">
      <c r="B25" s="476" t="s">
        <v>5</v>
      </c>
      <c r="C25" s="476" t="s">
        <v>308</v>
      </c>
      <c r="D25" s="476" t="s">
        <v>257</v>
      </c>
      <c r="E25" s="476" t="s">
        <v>70</v>
      </c>
      <c r="F25" s="408" t="s">
        <v>187</v>
      </c>
      <c r="G25" s="383" t="s">
        <v>188</v>
      </c>
      <c r="H25" s="476" t="s">
        <v>214</v>
      </c>
      <c r="J25" s="973" t="s">
        <v>5</v>
      </c>
      <c r="K25" s="974" t="s">
        <v>3</v>
      </c>
      <c r="L25" s="974" t="s">
        <v>72</v>
      </c>
      <c r="M25" s="973" t="s">
        <v>74</v>
      </c>
      <c r="N25" s="973" t="s">
        <v>81</v>
      </c>
      <c r="O25" s="974" t="s">
        <v>101</v>
      </c>
      <c r="P25" s="974" t="s">
        <v>255</v>
      </c>
      <c r="Q25" s="974" t="s">
        <v>256</v>
      </c>
      <c r="R25" s="973" t="s">
        <v>390</v>
      </c>
      <c r="S25" s="973" t="s">
        <v>391</v>
      </c>
      <c r="T25" s="973" t="s">
        <v>75</v>
      </c>
      <c r="U25" s="974" t="s">
        <v>102</v>
      </c>
      <c r="V25" s="973" t="s">
        <v>79</v>
      </c>
      <c r="X25" s="671" t="s">
        <v>5</v>
      </c>
      <c r="Y25" s="1006" t="s">
        <v>76</v>
      </c>
      <c r="Z25" s="1006" t="s">
        <v>77</v>
      </c>
      <c r="AA25" s="1006" t="s">
        <v>104</v>
      </c>
      <c r="AB25" s="704" t="s">
        <v>105</v>
      </c>
    </row>
    <row r="26" spans="2:28" x14ac:dyDescent="0.25">
      <c r="B26" s="383">
        <v>6</v>
      </c>
      <c r="C26" s="302">
        <f>'Frame Capacities'!BZ11</f>
        <v>8.3125273614190701E-3</v>
      </c>
      <c r="D26" s="43">
        <f>'Infill Capacities'!CY11</f>
        <v>2.4571407410608624E-3</v>
      </c>
      <c r="E26" s="305" t="e">
        <f>'System Capacities'!Q6</f>
        <v>#N/A</v>
      </c>
      <c r="F26" s="87">
        <f>'System Capacities'!N6</f>
        <v>13.215596110609628</v>
      </c>
      <c r="G26" s="87">
        <f>'System Capacities'!O6</f>
        <v>277.47359178896437</v>
      </c>
      <c r="H26" s="126" t="e">
        <f>'System Capacities'!P6</f>
        <v>#N/A</v>
      </c>
      <c r="J26" s="707"/>
      <c r="K26" s="703"/>
      <c r="L26" s="703"/>
      <c r="M26" s="707"/>
      <c r="N26" s="707"/>
      <c r="O26" s="703"/>
      <c r="P26" s="703"/>
      <c r="Q26" s="703"/>
      <c r="R26" s="707"/>
      <c r="S26" s="707"/>
      <c r="T26" s="707"/>
      <c r="U26" s="703"/>
      <c r="V26" s="707"/>
      <c r="X26" s="671"/>
      <c r="Y26" s="1006"/>
      <c r="Z26" s="1006"/>
      <c r="AA26" s="1006"/>
      <c r="AB26" s="704"/>
    </row>
    <row r="27" spans="2:28" x14ac:dyDescent="0.25">
      <c r="B27" s="246">
        <v>5</v>
      </c>
      <c r="C27" s="247">
        <f>'Frame Capacities'!BZ12</f>
        <v>9.5976000000000013E-3</v>
      </c>
      <c r="D27" s="48">
        <f>'Infill Capacities'!CY12</f>
        <v>2.2807165072368058E-3</v>
      </c>
      <c r="E27" s="253" t="e">
        <f>'System Capacities'!Q7</f>
        <v>#N/A</v>
      </c>
      <c r="F27" s="92">
        <f>'System Capacities'!N7</f>
        <v>25.545754294807207</v>
      </c>
      <c r="G27" s="92">
        <f>'System Capacities'!O7</f>
        <v>560.38573618452904</v>
      </c>
      <c r="H27" s="477" t="e">
        <f>'System Capacities'!P7</f>
        <v>#N/A</v>
      </c>
      <c r="J27" s="242">
        <v>6</v>
      </c>
      <c r="K27" s="197">
        <v>3</v>
      </c>
      <c r="L27" s="197">
        <v>17.75</v>
      </c>
      <c r="M27" s="243">
        <v>3.2791265964516744E-2</v>
      </c>
      <c r="N27" s="21">
        <v>2.0867505453487437E-3</v>
      </c>
      <c r="O27" s="244">
        <v>6.9558351511624789E-4</v>
      </c>
      <c r="P27" s="243">
        <v>8.3125273614190701E-3</v>
      </c>
      <c r="Q27" s="243">
        <v>2.4571407410608624E-3</v>
      </c>
      <c r="R27" s="17">
        <v>8.3678944426054988E-2</v>
      </c>
      <c r="S27" s="17">
        <v>0.28308655808455319</v>
      </c>
      <c r="T27" s="611">
        <v>249.83013858719093</v>
      </c>
      <c r="U27" s="197">
        <v>749.49041576157276</v>
      </c>
      <c r="V27" s="17">
        <v>1083.1993453973553</v>
      </c>
      <c r="W27" s="186"/>
      <c r="X27" s="283">
        <v>6</v>
      </c>
      <c r="Y27" s="17">
        <f>mstr6</f>
        <v>63.074599999999997</v>
      </c>
      <c r="Z27" s="17">
        <f t="shared" ref="Z27:Z32" si="6">Y27*M27</f>
        <v>2.0682959842055078</v>
      </c>
      <c r="AA27" s="17">
        <f t="shared" ref="AA27:AA32" si="7">Z27*L27</f>
        <v>36.712253719647762</v>
      </c>
      <c r="AB27" s="17">
        <f>AA33/Z33</f>
        <v>12.119576789527379</v>
      </c>
    </row>
    <row r="28" spans="2:28" x14ac:dyDescent="0.25">
      <c r="B28" s="246">
        <v>4</v>
      </c>
      <c r="C28" s="247">
        <f>'Frame Capacities'!BZ13</f>
        <v>8.8673064285714302E-3</v>
      </c>
      <c r="D28" s="48">
        <f>'Infill Capacities'!CY13</f>
        <v>2.1026318802204874E-3</v>
      </c>
      <c r="E28" s="253" t="e">
        <f>'System Capacities'!Q8</f>
        <v>#N/A</v>
      </c>
      <c r="F28" s="92">
        <f>'System Capacities'!N8</f>
        <v>40.63108083011209</v>
      </c>
      <c r="G28" s="92">
        <f>'System Capacities'!O8</f>
        <v>812.7598540711956</v>
      </c>
      <c r="H28" s="477" t="e">
        <f>'System Capacities'!P8</f>
        <v>#N/A</v>
      </c>
      <c r="J28" s="242">
        <v>5</v>
      </c>
      <c r="K28" s="197">
        <v>3</v>
      </c>
      <c r="L28" s="197">
        <v>14.75</v>
      </c>
      <c r="M28" s="243">
        <v>3.0704515419168001E-2</v>
      </c>
      <c r="N28" s="21">
        <v>3.8790193766285036E-3</v>
      </c>
      <c r="O28" s="244">
        <v>1.2930064588761679E-3</v>
      </c>
      <c r="P28" s="243">
        <v>9.5976000000000013E-3</v>
      </c>
      <c r="Q28" s="243">
        <v>2.2807165072368058E-3</v>
      </c>
      <c r="R28" s="17">
        <v>0.13472185326291655</v>
      </c>
      <c r="S28" s="17">
        <v>0.56692993398057412</v>
      </c>
      <c r="T28" s="611">
        <v>499.35282787252299</v>
      </c>
      <c r="U28" s="197">
        <v>2247.5488993791419</v>
      </c>
      <c r="V28" s="1035"/>
      <c r="W28" s="186"/>
      <c r="X28" s="283">
        <v>5</v>
      </c>
      <c r="Y28" s="17">
        <f>mstr5</f>
        <v>67.278400000000005</v>
      </c>
      <c r="Z28" s="17">
        <f t="shared" si="6"/>
        <v>2.0657506701769526</v>
      </c>
      <c r="AA28" s="17">
        <f t="shared" si="7"/>
        <v>30.469822385110049</v>
      </c>
      <c r="AB28" s="474" t="s">
        <v>334</v>
      </c>
    </row>
    <row r="29" spans="2:28" x14ac:dyDescent="0.25">
      <c r="B29" s="246">
        <v>3</v>
      </c>
      <c r="C29" s="247">
        <f>'Frame Capacities'!BZ14</f>
        <v>8.3556867009551838E-3</v>
      </c>
      <c r="D29" s="48">
        <f>'Infill Capacities'!CY14</f>
        <v>1.9478666359322766E-3</v>
      </c>
      <c r="E29" s="253" t="e">
        <f>'System Capacities'!Q9</f>
        <v>#N/A</v>
      </c>
      <c r="F29" s="92">
        <f>'System Capacities'!N9</f>
        <v>117.3144077122426</v>
      </c>
      <c r="G29" s="92">
        <f>'System Capacities'!O9</f>
        <v>966.38726894910894</v>
      </c>
      <c r="H29" s="477" t="e">
        <f>'System Capacities'!P9</f>
        <v>#N/A</v>
      </c>
      <c r="J29" s="242">
        <v>4</v>
      </c>
      <c r="K29" s="197">
        <v>3</v>
      </c>
      <c r="L29" s="197">
        <v>11.75</v>
      </c>
      <c r="M29" s="243">
        <v>2.6825496042539497E-2</v>
      </c>
      <c r="N29" s="21">
        <v>5.115792132361522E-3</v>
      </c>
      <c r="O29" s="244">
        <v>1.7052640441205073E-3</v>
      </c>
      <c r="P29" s="243">
        <v>8.8673064285714302E-3</v>
      </c>
      <c r="Q29" s="243">
        <v>2.1026318802204874E-3</v>
      </c>
      <c r="R29" s="17">
        <v>0.19230913669859884</v>
      </c>
      <c r="S29" s="17">
        <v>0.81101407248789981</v>
      </c>
      <c r="T29" s="611">
        <v>717.35235734147807</v>
      </c>
      <c r="U29" s="197">
        <v>4399.6059714035764</v>
      </c>
      <c r="V29" s="1036"/>
      <c r="W29" s="186"/>
      <c r="X29" s="283">
        <v>4</v>
      </c>
      <c r="Y29" s="17">
        <f>mstr4</f>
        <v>67.278400000000005</v>
      </c>
      <c r="Z29" s="17">
        <f t="shared" si="6"/>
        <v>1.8047764529483894</v>
      </c>
      <c r="AA29" s="17">
        <f t="shared" si="7"/>
        <v>21.206123322143576</v>
      </c>
      <c r="AB29" s="196">
        <f>T32/M27</f>
        <v>33033.16640991022</v>
      </c>
    </row>
    <row r="30" spans="2:28" x14ac:dyDescent="0.25">
      <c r="B30" s="246">
        <v>2</v>
      </c>
      <c r="C30" s="247">
        <f>'Frame Capacities'!BZ15</f>
        <v>6.4157970868129726E-3</v>
      </c>
      <c r="D30" s="48">
        <f>'Infill Capacities'!CY15</f>
        <v>1.8112309252701479E-3</v>
      </c>
      <c r="E30" s="253">
        <f>'System Capacities'!Q10</f>
        <v>0.08</v>
      </c>
      <c r="F30" s="92">
        <f>'System Capacities'!N10</f>
        <v>29.066666666666666</v>
      </c>
      <c r="G30" s="92">
        <f>'System Capacities'!O10</f>
        <v>104.328</v>
      </c>
      <c r="H30" s="477">
        <f>'System Capacities'!P10</f>
        <v>135.59885884496498</v>
      </c>
      <c r="J30" s="242">
        <v>3</v>
      </c>
      <c r="K30" s="197">
        <v>3</v>
      </c>
      <c r="L30" s="197">
        <v>8.75</v>
      </c>
      <c r="M30" s="243">
        <v>2.1709703910177975E-2</v>
      </c>
      <c r="N30" s="21">
        <v>5.8422039547152971E-3</v>
      </c>
      <c r="O30" s="244">
        <v>1.9474013182384324E-3</v>
      </c>
      <c r="P30" s="243">
        <v>8.3556867009551838E-3</v>
      </c>
      <c r="Q30" s="243">
        <v>1.9478666359322766E-3</v>
      </c>
      <c r="R30" s="17">
        <v>0.2330629890677704</v>
      </c>
      <c r="S30" s="17">
        <v>0.99976111419269653</v>
      </c>
      <c r="T30" s="611">
        <v>893.7779947212241</v>
      </c>
      <c r="U30" s="197">
        <v>7080.9399555672489</v>
      </c>
      <c r="V30" s="1036"/>
      <c r="W30" s="186"/>
      <c r="X30" s="283">
        <v>3</v>
      </c>
      <c r="Y30" s="17">
        <f>mstr3</f>
        <v>67.278400000000005</v>
      </c>
      <c r="Z30" s="17">
        <f t="shared" si="6"/>
        <v>1.4605941435505181</v>
      </c>
      <c r="AA30" s="17">
        <f t="shared" si="7"/>
        <v>12.780198756067033</v>
      </c>
      <c r="AB30" s="475" t="s">
        <v>336</v>
      </c>
    </row>
    <row r="31" spans="2:28" x14ac:dyDescent="0.25">
      <c r="B31" s="118">
        <v>1</v>
      </c>
      <c r="C31" s="248">
        <f>'Frame Capacities'!BZ16</f>
        <v>4.8471720397440425E-3</v>
      </c>
      <c r="D31" s="67">
        <f>'Infill Capacities'!CY16</f>
        <v>1.7850281840739108E-3</v>
      </c>
      <c r="E31" s="255" t="e">
        <f>'System Capacities'!Q11</f>
        <v>#N/A</v>
      </c>
      <c r="F31" s="149">
        <f>'System Capacities'!N11</f>
        <v>355.5249989453784</v>
      </c>
      <c r="G31" s="149">
        <f>'System Capacities'!O11</f>
        <v>959.73337444626134</v>
      </c>
      <c r="H31" s="140" t="e">
        <f>'System Capacities'!P11</f>
        <v>#N/A</v>
      </c>
      <c r="J31" s="242">
        <v>2</v>
      </c>
      <c r="K31" s="197">
        <v>3</v>
      </c>
      <c r="L31" s="197">
        <v>5.75</v>
      </c>
      <c r="M31" s="243">
        <v>1.5867499955462678E-2</v>
      </c>
      <c r="N31" s="21">
        <v>8.4261344958706415E-3</v>
      </c>
      <c r="O31" s="244">
        <v>2.8087114986235472E-3</v>
      </c>
      <c r="P31" s="243">
        <v>6.4157970868129726E-3</v>
      </c>
      <c r="Q31" s="243">
        <v>1.8112309252701479E-3</v>
      </c>
      <c r="R31" s="17">
        <v>0.43778060007486397</v>
      </c>
      <c r="S31" s="17">
        <v>1.5507197119023481</v>
      </c>
      <c r="T31" s="611">
        <v>1022.7264964995488</v>
      </c>
      <c r="U31" s="197">
        <v>10149.119445065895</v>
      </c>
      <c r="V31" s="1036"/>
      <c r="W31" s="186"/>
      <c r="X31" s="283">
        <v>2</v>
      </c>
      <c r="Y31" s="17">
        <f>mstr2</f>
        <v>67.278400000000005</v>
      </c>
      <c r="Z31" s="17">
        <f t="shared" si="6"/>
        <v>1.0675400090036002</v>
      </c>
      <c r="AA31" s="17">
        <f t="shared" si="7"/>
        <v>6.1383550517707013</v>
      </c>
      <c r="AB31" s="17">
        <f>((Y32*M30+Y31*M31+Y30*M32+M29*Y29+M28*Y28+M27*Y27)^2)/(Y32*M30*M30+Y31*M31*M31+Y30*M32*M32+Y29*M29*M29+Y28*M28*M28+Y27*M27*M27)</f>
        <v>346.57242697480763</v>
      </c>
    </row>
    <row r="32" spans="2:28" x14ac:dyDescent="0.25">
      <c r="J32" s="242">
        <v>1</v>
      </c>
      <c r="K32" s="197">
        <v>2.75</v>
      </c>
      <c r="L32" s="197">
        <v>2.75</v>
      </c>
      <c r="M32" s="243">
        <v>7.4413654595920364E-3</v>
      </c>
      <c r="N32" s="21">
        <v>7.4413654595920364E-3</v>
      </c>
      <c r="O32" s="244">
        <v>2.7059510762152861E-3</v>
      </c>
      <c r="P32" s="243">
        <v>4.8471720397440425E-3</v>
      </c>
      <c r="Q32" s="243">
        <v>1.7850281840739108E-3</v>
      </c>
      <c r="R32" s="17">
        <v>0.55825356600261611</v>
      </c>
      <c r="S32" s="17">
        <v>1.5159150428872128</v>
      </c>
      <c r="T32" s="611">
        <v>1083.1993453975067</v>
      </c>
      <c r="U32" s="197">
        <v>13127.917644909037</v>
      </c>
      <c r="V32" s="1037"/>
      <c r="W32" s="186"/>
      <c r="X32" s="283">
        <v>1</v>
      </c>
      <c r="Y32" s="17">
        <f>mstr1</f>
        <v>67.278400000000005</v>
      </c>
      <c r="Z32" s="17">
        <f t="shared" si="6"/>
        <v>0.50064316193661695</v>
      </c>
      <c r="AA32" s="17">
        <f t="shared" si="7"/>
        <v>1.3767686953256966</v>
      </c>
      <c r="AB32" s="474" t="s">
        <v>335</v>
      </c>
    </row>
    <row r="33" spans="2:28" x14ac:dyDescent="0.25">
      <c r="X33" s="284"/>
      <c r="Y33" s="474" t="s">
        <v>78</v>
      </c>
      <c r="Z33" s="245">
        <f>SUM(Z27:Z32)</f>
        <v>8.9676004218215866</v>
      </c>
      <c r="AA33" s="245">
        <f>SUM(AA27:AA32)</f>
        <v>108.68352193006483</v>
      </c>
      <c r="AB33" s="196">
        <f>2*PI()*SQRT(AB31/AB29)</f>
        <v>0.64357885916085689</v>
      </c>
    </row>
    <row r="35" spans="2:28" ht="15.75" customHeight="1" x14ac:dyDescent="0.25">
      <c r="B35" s="1038" t="s">
        <v>218</v>
      </c>
      <c r="C35" s="1038"/>
      <c r="D35" s="1038"/>
      <c r="E35" s="1044" t="s">
        <v>216</v>
      </c>
      <c r="F35" s="1044"/>
      <c r="G35" s="1044"/>
      <c r="H35" s="249"/>
      <c r="J35" s="1014" t="s">
        <v>109</v>
      </c>
      <c r="K35" s="1014"/>
      <c r="L35" s="1014"/>
      <c r="M35" s="1014"/>
      <c r="N35" s="1014"/>
      <c r="O35" s="1014"/>
      <c r="P35" s="1014"/>
      <c r="Q35" s="1014"/>
      <c r="R35" s="1014"/>
      <c r="S35" s="1014"/>
      <c r="T35" s="1014"/>
      <c r="U35" s="1014"/>
      <c r="V35" s="1014"/>
      <c r="X35" s="1015" t="s">
        <v>106</v>
      </c>
      <c r="Y35" s="1015"/>
      <c r="Z35" s="1015"/>
      <c r="AA35" s="1015"/>
      <c r="AB35" s="1015"/>
    </row>
    <row r="36" spans="2:28" ht="15" customHeight="1" x14ac:dyDescent="0.25">
      <c r="B36" s="8" t="s">
        <v>112</v>
      </c>
      <c r="C36" s="190" t="s">
        <v>79</v>
      </c>
      <c r="D36" s="8" t="s">
        <v>113</v>
      </c>
      <c r="E36" s="250" t="s">
        <v>217</v>
      </c>
      <c r="F36" s="250" t="s">
        <v>501</v>
      </c>
      <c r="G36" s="8" t="s">
        <v>219</v>
      </c>
      <c r="H36" s="169"/>
      <c r="J36" s="973" t="s">
        <v>5</v>
      </c>
      <c r="K36" s="974" t="s">
        <v>3</v>
      </c>
      <c r="L36" s="974" t="s">
        <v>72</v>
      </c>
      <c r="M36" s="973" t="s">
        <v>74</v>
      </c>
      <c r="N36" s="973" t="s">
        <v>81</v>
      </c>
      <c r="O36" s="974" t="s">
        <v>101</v>
      </c>
      <c r="P36" s="974" t="s">
        <v>255</v>
      </c>
      <c r="Q36" s="974" t="s">
        <v>256</v>
      </c>
      <c r="R36" s="973" t="s">
        <v>390</v>
      </c>
      <c r="S36" s="973" t="s">
        <v>391</v>
      </c>
      <c r="T36" s="973" t="s">
        <v>75</v>
      </c>
      <c r="U36" s="974" t="s">
        <v>102</v>
      </c>
      <c r="V36" s="973" t="s">
        <v>79</v>
      </c>
      <c r="X36" s="671" t="s">
        <v>5</v>
      </c>
      <c r="Y36" s="1006" t="s">
        <v>76</v>
      </c>
      <c r="Z36" s="1006" t="s">
        <v>77</v>
      </c>
      <c r="AA36" s="1006" t="s">
        <v>104</v>
      </c>
      <c r="AB36" s="704" t="s">
        <v>105</v>
      </c>
    </row>
    <row r="37" spans="2:28" x14ac:dyDescent="0.25">
      <c r="B37" s="251">
        <v>0</v>
      </c>
      <c r="C37" s="176">
        <v>0</v>
      </c>
      <c r="D37" s="50">
        <v>0</v>
      </c>
      <c r="E37" s="42" t="s">
        <v>215</v>
      </c>
      <c r="F37" s="252"/>
      <c r="G37" s="129" t="s">
        <v>215</v>
      </c>
      <c r="H37" s="71"/>
      <c r="J37" s="707"/>
      <c r="K37" s="703"/>
      <c r="L37" s="703"/>
      <c r="M37" s="707"/>
      <c r="N37" s="707"/>
      <c r="O37" s="703"/>
      <c r="P37" s="703"/>
      <c r="Q37" s="703"/>
      <c r="R37" s="707"/>
      <c r="S37" s="707"/>
      <c r="T37" s="707"/>
      <c r="U37" s="703"/>
      <c r="V37" s="707"/>
      <c r="X37" s="671"/>
      <c r="Y37" s="1006"/>
      <c r="Z37" s="1006"/>
      <c r="AA37" s="1006"/>
      <c r="AB37" s="704"/>
    </row>
    <row r="38" spans="2:28" x14ac:dyDescent="0.25">
      <c r="B38" s="251">
        <v>1</v>
      </c>
      <c r="C38" s="71">
        <f>V5*-1</f>
        <v>-948.25278761536538</v>
      </c>
      <c r="D38" s="253">
        <f>M5</f>
        <v>2.5699996201069053E-2</v>
      </c>
      <c r="E38" s="42">
        <f>((C38-C37)/(D38-D37))*-1</f>
        <v>36897.001081109905</v>
      </c>
      <c r="F38" s="252">
        <f>$O$229</f>
        <v>27829.497502921487</v>
      </c>
      <c r="G38" s="129">
        <f>((F38-E38)/F38)*100</f>
        <v>-32.582347479456033</v>
      </c>
      <c r="H38" s="71"/>
      <c r="J38" s="242">
        <v>6</v>
      </c>
      <c r="K38" s="197">
        <v>3</v>
      </c>
      <c r="L38" s="197">
        <v>17.75</v>
      </c>
      <c r="M38" s="243">
        <v>5.0685507212863398E-2</v>
      </c>
      <c r="N38" s="21">
        <v>2.4287184737212808E-3</v>
      </c>
      <c r="O38" s="244">
        <v>8.0957282457376023E-4</v>
      </c>
      <c r="P38" s="243">
        <v>8.3125273614190701E-3</v>
      </c>
      <c r="Q38" s="243">
        <v>2.4571407410608624E-3</v>
      </c>
      <c r="R38" s="17">
        <v>9.73918989224902E-2</v>
      </c>
      <c r="S38" s="17">
        <v>0.32947759607137106</v>
      </c>
      <c r="T38" s="611">
        <v>290.77125401093588</v>
      </c>
      <c r="U38" s="197">
        <v>872.31376203280763</v>
      </c>
      <c r="V38" s="17">
        <v>1315.0993043379256</v>
      </c>
      <c r="W38" s="186"/>
      <c r="X38" s="283">
        <v>6</v>
      </c>
      <c r="Y38" s="17">
        <f>mstr6</f>
        <v>63.074599999999997</v>
      </c>
      <c r="Z38" s="17">
        <f t="shared" ref="Z38:Z43" si="8">Y38*M38</f>
        <v>3.1969680932484734</v>
      </c>
      <c r="AA38" s="17">
        <f t="shared" ref="AA38:AA43" si="9">Z38*L38</f>
        <v>56.746183655160401</v>
      </c>
      <c r="AB38" s="17">
        <f>AA44/Z44</f>
        <v>12.005292168964708</v>
      </c>
    </row>
    <row r="39" spans="2:28" x14ac:dyDescent="0.25">
      <c r="B39" s="251">
        <v>2</v>
      </c>
      <c r="C39" s="152">
        <f>V16*-1</f>
        <v>-959.18868250201331</v>
      </c>
      <c r="D39" s="50">
        <f>M16</f>
        <v>2.6099759428439784E-2</v>
      </c>
      <c r="E39" s="42">
        <f>((C39-C38)/(D39-D38))*-1</f>
        <v>27355.93005533309</v>
      </c>
      <c r="G39" s="254"/>
      <c r="H39" s="71"/>
      <c r="J39" s="242">
        <v>5</v>
      </c>
      <c r="K39" s="197">
        <v>3</v>
      </c>
      <c r="L39" s="197">
        <v>14.75</v>
      </c>
      <c r="M39" s="243">
        <v>4.8256788739142117E-2</v>
      </c>
      <c r="N39" s="21">
        <v>4.5525706049667838E-3</v>
      </c>
      <c r="O39" s="244">
        <v>1.5175235349889279E-3</v>
      </c>
      <c r="P39" s="243">
        <v>9.5976000000000013E-3</v>
      </c>
      <c r="Q39" s="243">
        <v>2.2807165072368058E-3</v>
      </c>
      <c r="R39" s="17">
        <v>0.15811489695225137</v>
      </c>
      <c r="S39" s="17">
        <v>0.66537139980956173</v>
      </c>
      <c r="T39" s="611">
        <v>586.0602345470586</v>
      </c>
      <c r="U39" s="197">
        <v>2630.4944656739835</v>
      </c>
      <c r="V39" s="1035"/>
      <c r="W39" s="186"/>
      <c r="X39" s="283">
        <v>5</v>
      </c>
      <c r="Y39" s="17">
        <f>mstr5</f>
        <v>67.278400000000005</v>
      </c>
      <c r="Z39" s="17">
        <f t="shared" si="8"/>
        <v>3.2466395355074993</v>
      </c>
      <c r="AA39" s="17">
        <f t="shared" si="9"/>
        <v>47.887933148735613</v>
      </c>
      <c r="AB39" s="474" t="s">
        <v>334</v>
      </c>
    </row>
    <row r="40" spans="2:28" x14ac:dyDescent="0.25">
      <c r="B40" s="251">
        <v>3</v>
      </c>
      <c r="C40" s="71">
        <f>V27*-1</f>
        <v>-1083.1993453973553</v>
      </c>
      <c r="D40" s="253">
        <f>M27</f>
        <v>3.2791265964516744E-2</v>
      </c>
      <c r="E40" s="42">
        <f>((C40-C39)/(D40-D39))*-1</f>
        <v>18532.547525246217</v>
      </c>
      <c r="F40" s="71"/>
      <c r="G40" s="129"/>
      <c r="H40" s="71"/>
      <c r="J40" s="242">
        <v>4</v>
      </c>
      <c r="K40" s="197">
        <v>3</v>
      </c>
      <c r="L40" s="197">
        <v>11.75</v>
      </c>
      <c r="M40" s="243">
        <v>4.3704218134175334E-2</v>
      </c>
      <c r="N40" s="21">
        <v>6.0866672417856024E-3</v>
      </c>
      <c r="O40" s="244">
        <v>2.028889080595201E-3</v>
      </c>
      <c r="P40" s="243">
        <v>8.8673064285714302E-3</v>
      </c>
      <c r="Q40" s="243">
        <v>2.1026318802204874E-3</v>
      </c>
      <c r="R40" s="17">
        <v>0.22880556761384704</v>
      </c>
      <c r="S40" s="17">
        <v>0.96492833561643054</v>
      </c>
      <c r="T40" s="611">
        <v>853.4914987315002</v>
      </c>
      <c r="U40" s="197">
        <v>5190.9689618684843</v>
      </c>
      <c r="V40" s="1036"/>
      <c r="W40" s="186"/>
      <c r="X40" s="283">
        <v>4</v>
      </c>
      <c r="Y40" s="17">
        <f>mstr4</f>
        <v>67.278400000000005</v>
      </c>
      <c r="Z40" s="17">
        <f t="shared" si="8"/>
        <v>2.9403498693183021</v>
      </c>
      <c r="AA40" s="17">
        <f t="shared" si="9"/>
        <v>34.549110964490048</v>
      </c>
      <c r="AB40" s="196">
        <f>T43/M38</f>
        <v>25946.259131046259</v>
      </c>
    </row>
    <row r="41" spans="2:28" x14ac:dyDescent="0.25">
      <c r="B41" s="251">
        <v>4</v>
      </c>
      <c r="C41" s="71">
        <f>V38*-1</f>
        <v>-1315.0993043379256</v>
      </c>
      <c r="D41" s="253">
        <f>M38</f>
        <v>5.0685507212863398E-2</v>
      </c>
      <c r="E41" s="1026">
        <f>((C42-C40)/(D42-D40))*-1</f>
        <v>6177.4621913378014</v>
      </c>
      <c r="F41" s="1027">
        <f>N236</f>
        <v>9117.7596153846134</v>
      </c>
      <c r="G41" s="1028">
        <f>((F41-E41)/F41)*100</f>
        <v>32.248025261442272</v>
      </c>
      <c r="J41" s="242">
        <v>3</v>
      </c>
      <c r="K41" s="197">
        <v>3</v>
      </c>
      <c r="L41" s="197">
        <v>8.75</v>
      </c>
      <c r="M41" s="243">
        <v>3.7617550892389731E-2</v>
      </c>
      <c r="N41" s="21">
        <v>1.1546638521766815E-2</v>
      </c>
      <c r="O41" s="244">
        <v>3.8488795072556051E-3</v>
      </c>
      <c r="P41" s="243">
        <v>8.3556867009551838E-3</v>
      </c>
      <c r="Q41" s="243">
        <v>1.9478666359322766E-3</v>
      </c>
      <c r="R41" s="17">
        <v>0.4606299452103223</v>
      </c>
      <c r="S41" s="17">
        <v>1.9759461126626243</v>
      </c>
      <c r="T41" s="611">
        <v>1083.6777283492077</v>
      </c>
      <c r="U41" s="197">
        <v>8442.0021469161074</v>
      </c>
      <c r="V41" s="1036"/>
      <c r="W41" s="186"/>
      <c r="X41" s="283">
        <v>3</v>
      </c>
      <c r="Y41" s="17">
        <f>mstr3</f>
        <v>67.278400000000005</v>
      </c>
      <c r="Z41" s="17">
        <f t="shared" si="8"/>
        <v>2.5308486359585536</v>
      </c>
      <c r="AA41" s="17">
        <f t="shared" si="9"/>
        <v>22.144925564637344</v>
      </c>
      <c r="AB41" s="475" t="s">
        <v>336</v>
      </c>
    </row>
    <row r="42" spans="2:28" x14ac:dyDescent="0.25">
      <c r="B42" s="251">
        <v>5</v>
      </c>
      <c r="C42" s="71">
        <f>V49*-1</f>
        <v>-1220.3393895715071</v>
      </c>
      <c r="D42" s="253">
        <f>M49</f>
        <v>5.4991328049308327E-2</v>
      </c>
      <c r="E42" s="1026"/>
      <c r="F42" s="1027"/>
      <c r="G42" s="1028"/>
      <c r="H42" s="71"/>
      <c r="J42" s="242">
        <v>2</v>
      </c>
      <c r="K42" s="197">
        <v>3</v>
      </c>
      <c r="L42" s="197">
        <v>5.75</v>
      </c>
      <c r="M42" s="243">
        <v>2.6070912370622916E-2</v>
      </c>
      <c r="N42" s="21">
        <v>1.4322390768320488E-2</v>
      </c>
      <c r="O42" s="244">
        <v>4.774130256106829E-3</v>
      </c>
      <c r="P42" s="243">
        <v>6.4157970868129726E-3</v>
      </c>
      <c r="Q42" s="243">
        <v>1.8112309252701479E-3</v>
      </c>
      <c r="R42" s="17">
        <v>0.74412114216011838</v>
      </c>
      <c r="S42" s="17">
        <v>2.6358484660893033</v>
      </c>
      <c r="T42" s="611">
        <v>1243.2087153152954</v>
      </c>
      <c r="U42" s="197">
        <v>12171.628292861995</v>
      </c>
      <c r="V42" s="1036"/>
      <c r="W42" s="186"/>
      <c r="X42" s="283">
        <v>2</v>
      </c>
      <c r="Y42" s="17">
        <f>mstr2</f>
        <v>67.278400000000005</v>
      </c>
      <c r="Z42" s="17">
        <f t="shared" si="8"/>
        <v>1.7540092708357169</v>
      </c>
      <c r="AA42" s="17">
        <f t="shared" si="9"/>
        <v>10.085553307305371</v>
      </c>
      <c r="AB42" s="17">
        <f>((Y43*M41+Y42*M42+Y41*M43+M40*Y40+M39*Y39+M38*Y38)^2)/(Y43*M41*M41+Y42*M42*M42+Y41*M43*M43+Y40*M40*M40+Y39*M39*M39+Y38*M38*M38)</f>
        <v>349.9439140408594</v>
      </c>
    </row>
    <row r="43" spans="2:28" x14ac:dyDescent="0.25">
      <c r="B43" s="251">
        <v>6</v>
      </c>
      <c r="C43" s="71">
        <f>V60*-1</f>
        <v>-400.71377249183888</v>
      </c>
      <c r="D43" s="253">
        <f>M60</f>
        <v>7.4792284357370259E-2</v>
      </c>
      <c r="E43" s="42">
        <f>((C43-C42)/(D43-D42))*-1</f>
        <v>-41393.233959410274</v>
      </c>
      <c r="F43" s="71"/>
      <c r="G43" s="129"/>
      <c r="H43" s="71"/>
      <c r="J43" s="242">
        <v>1</v>
      </c>
      <c r="K43" s="197">
        <v>2.75</v>
      </c>
      <c r="L43" s="197">
        <v>2.75</v>
      </c>
      <c r="M43" s="243">
        <v>1.1748521602302428E-2</v>
      </c>
      <c r="N43" s="21">
        <v>1.1748521602302428E-2</v>
      </c>
      <c r="O43" s="244">
        <v>4.2721896735645193E-3</v>
      </c>
      <c r="P43" s="243">
        <v>4.8471720397440425E-3</v>
      </c>
      <c r="Q43" s="243">
        <v>1.7850281840739108E-3</v>
      </c>
      <c r="R43" s="17">
        <v>0.88137776801297829</v>
      </c>
      <c r="S43" s="17">
        <v>2.3933457811373278</v>
      </c>
      <c r="T43" s="611">
        <v>1315.0993043334679</v>
      </c>
      <c r="U43" s="197">
        <v>15788.151379779032</v>
      </c>
      <c r="V43" s="1037"/>
      <c r="W43" s="186"/>
      <c r="X43" s="283">
        <v>1</v>
      </c>
      <c r="Y43" s="17">
        <f>mstr1</f>
        <v>67.278400000000005</v>
      </c>
      <c r="Z43" s="17">
        <f t="shared" si="8"/>
        <v>0.79042173576834374</v>
      </c>
      <c r="AA43" s="17">
        <f t="shared" si="9"/>
        <v>2.1736597733629455</v>
      </c>
      <c r="AB43" s="474" t="s">
        <v>335</v>
      </c>
    </row>
    <row r="44" spans="2:28" x14ac:dyDescent="0.25">
      <c r="B44" s="251">
        <v>7</v>
      </c>
      <c r="C44" s="71">
        <f>V71*-1</f>
        <v>-405.22490116105132</v>
      </c>
      <c r="D44" s="253">
        <f>M71</f>
        <v>8.7086465458636353E-2</v>
      </c>
      <c r="E44" s="42">
        <f t="shared" ref="E44:E47" si="10">((C44-C43)/(D44-D43))*-1</f>
        <v>366.9320170294115</v>
      </c>
      <c r="G44" s="254"/>
      <c r="X44" s="284"/>
      <c r="Y44" s="474" t="s">
        <v>78</v>
      </c>
      <c r="Z44" s="245">
        <f>SUM(Z38:Z43)</f>
        <v>14.459237140636889</v>
      </c>
      <c r="AA44" s="245">
        <f>SUM(AA38:AA43)</f>
        <v>173.58736641369168</v>
      </c>
      <c r="AB44" s="196">
        <f>2*PI()*SQRT(AB42/AB40)</f>
        <v>0.72969557944786456</v>
      </c>
    </row>
    <row r="45" spans="2:28" x14ac:dyDescent="0.25">
      <c r="B45" s="251">
        <v>8</v>
      </c>
      <c r="C45" s="71">
        <f>V82*-1</f>
        <v>-342.7288193767165</v>
      </c>
      <c r="D45" s="253">
        <f>M82</f>
        <v>0.12698399686822759</v>
      </c>
      <c r="E45" s="42">
        <f t="shared" si="10"/>
        <v>-1566.4147524002192</v>
      </c>
      <c r="G45" s="254"/>
    </row>
    <row r="46" spans="2:28" ht="15.75" x14ac:dyDescent="0.25">
      <c r="B46" s="251">
        <v>9</v>
      </c>
      <c r="C46" s="71">
        <f>V93*-1</f>
        <v>-235.33335573263852</v>
      </c>
      <c r="D46" s="253">
        <f>M93</f>
        <v>0.1999780221407951</v>
      </c>
      <c r="E46" s="42">
        <f t="shared" si="10"/>
        <v>-1471.2911535300568</v>
      </c>
      <c r="G46" s="254"/>
      <c r="J46" s="1023" t="s">
        <v>110</v>
      </c>
      <c r="K46" s="1024"/>
      <c r="L46" s="1024"/>
      <c r="M46" s="1024"/>
      <c r="N46" s="1024"/>
      <c r="O46" s="1024"/>
      <c r="P46" s="1024"/>
      <c r="Q46" s="1024"/>
      <c r="R46" s="1024"/>
      <c r="S46" s="1024"/>
      <c r="T46" s="1024"/>
      <c r="U46" s="1024"/>
      <c r="V46" s="1025"/>
      <c r="X46" s="1014" t="s">
        <v>106</v>
      </c>
      <c r="Y46" s="1014"/>
      <c r="Z46" s="1014"/>
      <c r="AA46" s="1014"/>
      <c r="AB46" s="1014"/>
    </row>
    <row r="47" spans="2:28" ht="15" customHeight="1" x14ac:dyDescent="0.25">
      <c r="B47" s="251">
        <v>10</v>
      </c>
      <c r="C47" s="71">
        <f>V104*-1</f>
        <v>-235.33335573263852</v>
      </c>
      <c r="D47" s="253">
        <f>M104</f>
        <v>0.1999780221407951</v>
      </c>
      <c r="E47" s="42" t="e">
        <f t="shared" si="10"/>
        <v>#DIV/0!</v>
      </c>
      <c r="G47" s="254"/>
      <c r="J47" s="973" t="s">
        <v>5</v>
      </c>
      <c r="K47" s="974" t="s">
        <v>3</v>
      </c>
      <c r="L47" s="974" t="s">
        <v>72</v>
      </c>
      <c r="M47" s="973" t="s">
        <v>74</v>
      </c>
      <c r="N47" s="973" t="s">
        <v>81</v>
      </c>
      <c r="O47" s="974" t="s">
        <v>101</v>
      </c>
      <c r="P47" s="974" t="s">
        <v>255</v>
      </c>
      <c r="Q47" s="974" t="s">
        <v>256</v>
      </c>
      <c r="R47" s="973" t="s">
        <v>390</v>
      </c>
      <c r="S47" s="973" t="s">
        <v>391</v>
      </c>
      <c r="T47" s="973" t="s">
        <v>75</v>
      </c>
      <c r="U47" s="974" t="s">
        <v>102</v>
      </c>
      <c r="V47" s="973" t="s">
        <v>79</v>
      </c>
      <c r="X47" s="671" t="s">
        <v>5</v>
      </c>
      <c r="Y47" s="1006" t="s">
        <v>76</v>
      </c>
      <c r="Z47" s="1006" t="s">
        <v>77</v>
      </c>
      <c r="AA47" s="1006" t="s">
        <v>104</v>
      </c>
      <c r="AB47" s="704" t="s">
        <v>105</v>
      </c>
    </row>
    <row r="48" spans="2:28" x14ac:dyDescent="0.25">
      <c r="B48" s="251">
        <v>11</v>
      </c>
      <c r="C48" s="71">
        <f>V115*-1</f>
        <v>-235.33335573263852</v>
      </c>
      <c r="D48" s="253">
        <f>M115</f>
        <v>0.1999780221407951</v>
      </c>
      <c r="E48" s="42" t="e">
        <f t="shared" ref="E48:E57" si="11">((C48-C47)/(D48-D47))*-1</f>
        <v>#DIV/0!</v>
      </c>
      <c r="G48" s="254"/>
      <c r="J48" s="707"/>
      <c r="K48" s="703"/>
      <c r="L48" s="703"/>
      <c r="M48" s="707"/>
      <c r="N48" s="707"/>
      <c r="O48" s="703"/>
      <c r="P48" s="703"/>
      <c r="Q48" s="703"/>
      <c r="R48" s="707"/>
      <c r="S48" s="707"/>
      <c r="T48" s="707"/>
      <c r="U48" s="703"/>
      <c r="V48" s="707"/>
      <c r="X48" s="671"/>
      <c r="Y48" s="1006"/>
      <c r="Z48" s="1006"/>
      <c r="AA48" s="1006"/>
      <c r="AB48" s="704"/>
    </row>
    <row r="49" spans="2:28" x14ac:dyDescent="0.25">
      <c r="B49" s="251">
        <v>12</v>
      </c>
      <c r="C49" s="71">
        <f>V126*-1</f>
        <v>-235.33335573263852</v>
      </c>
      <c r="D49" s="253">
        <f>M126</f>
        <v>0.1999780221407951</v>
      </c>
      <c r="E49" s="42" t="e">
        <f t="shared" si="11"/>
        <v>#DIV/0!</v>
      </c>
      <c r="G49" s="254"/>
      <c r="J49" s="242">
        <v>6</v>
      </c>
      <c r="K49" s="197">
        <v>3</v>
      </c>
      <c r="L49" s="197">
        <v>17.75</v>
      </c>
      <c r="M49" s="243">
        <v>5.4991328049308327E-2</v>
      </c>
      <c r="N49" s="21">
        <v>2.3573549713038974E-3</v>
      </c>
      <c r="O49" s="244">
        <v>7.8578499043463251E-4</v>
      </c>
      <c r="P49" s="243">
        <v>8.3125273614190701E-3</v>
      </c>
      <c r="Q49" s="243">
        <v>2.4571407410608624E-3</v>
      </c>
      <c r="R49" s="17">
        <v>9.4530214009483568E-2</v>
      </c>
      <c r="S49" s="17">
        <v>0.31979649244486191</v>
      </c>
      <c r="T49" s="611">
        <v>265.30402305216751</v>
      </c>
      <c r="U49" s="197">
        <v>795.91206915650253</v>
      </c>
      <c r="V49" s="17">
        <v>1220.3393895715071</v>
      </c>
      <c r="W49" s="186"/>
      <c r="X49" s="283">
        <v>6</v>
      </c>
      <c r="Y49" s="17">
        <f>mstr6</f>
        <v>63.074599999999997</v>
      </c>
      <c r="Z49" s="17">
        <f t="shared" ref="Z49:Z54" si="12">Y49*M49</f>
        <v>3.468556020178903</v>
      </c>
      <c r="AA49" s="17">
        <f t="shared" ref="AA49:AA54" si="13">Z49*L49</f>
        <v>61.566869358175531</v>
      </c>
      <c r="AB49" s="17">
        <f>AA55/Z55</f>
        <v>11.96310996606949</v>
      </c>
    </row>
    <row r="50" spans="2:28" x14ac:dyDescent="0.25">
      <c r="B50" s="251">
        <v>13</v>
      </c>
      <c r="C50" s="71">
        <f>V137*-1</f>
        <v>-235.33335573263852</v>
      </c>
      <c r="D50" s="253">
        <f>M137</f>
        <v>0.1999780221407951</v>
      </c>
      <c r="E50" s="42" t="e">
        <f t="shared" si="11"/>
        <v>#DIV/0!</v>
      </c>
      <c r="G50" s="254"/>
      <c r="J50" s="242">
        <v>5</v>
      </c>
      <c r="K50" s="197">
        <v>3</v>
      </c>
      <c r="L50" s="197">
        <v>14.75</v>
      </c>
      <c r="M50" s="243">
        <v>5.263397307800443E-2</v>
      </c>
      <c r="N50" s="21">
        <v>4.4226915710042988E-3</v>
      </c>
      <c r="O50" s="244">
        <v>1.4742305236680995E-3</v>
      </c>
      <c r="P50" s="243">
        <v>9.5976000000000013E-3</v>
      </c>
      <c r="Q50" s="243">
        <v>2.2807165072368058E-3</v>
      </c>
      <c r="R50" s="17">
        <v>0.15360408056890257</v>
      </c>
      <c r="S50" s="17">
        <v>0.64638920224863827</v>
      </c>
      <c r="T50" s="611">
        <v>536.15906922389036</v>
      </c>
      <c r="U50" s="197">
        <v>2404.3892768281735</v>
      </c>
      <c r="V50" s="1035"/>
      <c r="W50" s="186"/>
      <c r="X50" s="283">
        <v>5</v>
      </c>
      <c r="Y50" s="17">
        <f>mstr5</f>
        <v>67.278400000000005</v>
      </c>
      <c r="Z50" s="17">
        <f t="shared" si="12"/>
        <v>3.5411294943312135</v>
      </c>
      <c r="AA50" s="17">
        <f t="shared" si="13"/>
        <v>52.231660041385396</v>
      </c>
      <c r="AB50" s="474" t="s">
        <v>334</v>
      </c>
    </row>
    <row r="51" spans="2:28" x14ac:dyDescent="0.25">
      <c r="B51" s="251">
        <v>14</v>
      </c>
      <c r="C51" s="71">
        <f>V148*-1</f>
        <v>-235.33335573263852</v>
      </c>
      <c r="D51" s="253">
        <f>M148</f>
        <v>0.1999780221407951</v>
      </c>
      <c r="E51" s="42" t="e">
        <f t="shared" si="11"/>
        <v>#DIV/0!</v>
      </c>
      <c r="G51" s="254"/>
      <c r="J51" s="242">
        <v>4</v>
      </c>
      <c r="K51" s="197">
        <v>3</v>
      </c>
      <c r="L51" s="197">
        <v>11.75</v>
      </c>
      <c r="M51" s="243">
        <v>4.8211281507000131E-2</v>
      </c>
      <c r="N51" s="21">
        <v>5.9216023753428798E-3</v>
      </c>
      <c r="O51" s="244">
        <v>1.9738674584476265E-3</v>
      </c>
      <c r="P51" s="243">
        <v>8.8673064285714302E-3</v>
      </c>
      <c r="Q51" s="243">
        <v>2.1026318802204874E-3</v>
      </c>
      <c r="R51" s="17">
        <v>0.2226005692199392</v>
      </c>
      <c r="S51" s="17">
        <v>0.93876035887016118</v>
      </c>
      <c r="T51" s="611">
        <v>784.25489241443802</v>
      </c>
      <c r="U51" s="197">
        <v>4757.1539540714875</v>
      </c>
      <c r="V51" s="1036"/>
      <c r="W51" s="186"/>
      <c r="X51" s="283">
        <v>4</v>
      </c>
      <c r="Y51" s="17">
        <f>mstr4</f>
        <v>67.278400000000005</v>
      </c>
      <c r="Z51" s="17">
        <f t="shared" si="12"/>
        <v>3.2435778817405581</v>
      </c>
      <c r="AA51" s="17">
        <f t="shared" si="13"/>
        <v>38.112040110451559</v>
      </c>
      <c r="AB51" s="196">
        <f>T54/M49</f>
        <v>22196.72783224106</v>
      </c>
    </row>
    <row r="52" spans="2:28" x14ac:dyDescent="0.25">
      <c r="B52" s="251">
        <v>15</v>
      </c>
      <c r="C52" s="71">
        <f>V159*-1</f>
        <v>-235.33335573263852</v>
      </c>
      <c r="D52" s="253">
        <f>M159</f>
        <v>0.1999780221407951</v>
      </c>
      <c r="E52" s="42" t="e">
        <f t="shared" si="11"/>
        <v>#DIV/0!</v>
      </c>
      <c r="G52" s="254"/>
      <c r="J52" s="242">
        <v>3</v>
      </c>
      <c r="K52" s="197">
        <v>3</v>
      </c>
      <c r="L52" s="197">
        <v>8.75</v>
      </c>
      <c r="M52" s="243">
        <v>4.2289679131657251E-2</v>
      </c>
      <c r="N52" s="21">
        <v>1.136907782823867E-2</v>
      </c>
      <c r="O52" s="244">
        <v>3.7896926094128903E-3</v>
      </c>
      <c r="P52" s="243">
        <v>8.3556867009551838E-3</v>
      </c>
      <c r="Q52" s="243">
        <v>1.9478666359322766E-3</v>
      </c>
      <c r="R52" s="17">
        <v>0.45354651808326779</v>
      </c>
      <c r="S52" s="17">
        <v>1.9455606146254925</v>
      </c>
      <c r="T52" s="611">
        <v>1001.8780799480338</v>
      </c>
      <c r="U52" s="197">
        <v>7762.7881939155886</v>
      </c>
      <c r="V52" s="1036"/>
      <c r="W52" s="186"/>
      <c r="X52" s="283">
        <v>3</v>
      </c>
      <c r="Y52" s="17">
        <f>mstr3</f>
        <v>67.278400000000005</v>
      </c>
      <c r="Z52" s="17">
        <f t="shared" si="12"/>
        <v>2.8451819484912892</v>
      </c>
      <c r="AA52" s="17">
        <f t="shared" si="13"/>
        <v>24.89534204929878</v>
      </c>
      <c r="AB52" s="475" t="s">
        <v>336</v>
      </c>
    </row>
    <row r="53" spans="2:28" x14ac:dyDescent="0.25">
      <c r="B53" s="251">
        <v>16</v>
      </c>
      <c r="C53" s="71">
        <f>V170*-1</f>
        <v>-235.33335573263852</v>
      </c>
      <c r="D53" s="253">
        <f>M170</f>
        <v>0.1999780221407951</v>
      </c>
      <c r="E53" s="42" t="e">
        <f t="shared" si="11"/>
        <v>#DIV/0!</v>
      </c>
      <c r="G53" s="254"/>
      <c r="J53" s="242">
        <v>2</v>
      </c>
      <c r="K53" s="197">
        <v>3</v>
      </c>
      <c r="L53" s="197">
        <v>5.75</v>
      </c>
      <c r="M53" s="243">
        <v>3.0920601303418581E-2</v>
      </c>
      <c r="N53" s="21">
        <v>1.9332659934314114E-2</v>
      </c>
      <c r="O53" s="244">
        <v>6.444219978104705E-3</v>
      </c>
      <c r="P53" s="243">
        <v>6.4157970868129726E-3</v>
      </c>
      <c r="Q53" s="243">
        <v>1.8112309252701479E-3</v>
      </c>
      <c r="R53" s="17">
        <v>1.0044301418681325</v>
      </c>
      <c r="S53" s="17">
        <v>3.5579228955267204</v>
      </c>
      <c r="T53" s="611">
        <v>1159.8467931278406</v>
      </c>
      <c r="U53" s="197">
        <v>11242.32857329911</v>
      </c>
      <c r="V53" s="1036"/>
      <c r="W53" s="186"/>
      <c r="X53" s="283">
        <v>2</v>
      </c>
      <c r="Y53" s="17">
        <f>mstr2</f>
        <v>67.278400000000005</v>
      </c>
      <c r="Z53" s="17">
        <f t="shared" si="12"/>
        <v>2.0802885827319169</v>
      </c>
      <c r="AA53" s="17">
        <f t="shared" si="13"/>
        <v>11.961659350708523</v>
      </c>
      <c r="AB53" s="17">
        <f>((Y54*M52+Y53*M53+Y52*M54+M51*Y51+M50*Y50+M49*Y49)^2)/(Y54*M52*M52+Y53*M53*M53+Y52*M54*M54+Y51*M51*M51+Y50*M50*M50+Y49*M49*M49)</f>
        <v>350.21402916756557</v>
      </c>
    </row>
    <row r="54" spans="2:28" x14ac:dyDescent="0.25">
      <c r="B54" s="251">
        <v>17</v>
      </c>
      <c r="C54" s="71">
        <f>V181*-1</f>
        <v>-235.33335573263852</v>
      </c>
      <c r="D54" s="253">
        <f>M181</f>
        <v>0.1999780221407951</v>
      </c>
      <c r="E54" s="42" t="e">
        <f t="shared" si="11"/>
        <v>#DIV/0!</v>
      </c>
      <c r="G54" s="254"/>
      <c r="J54" s="242">
        <v>1</v>
      </c>
      <c r="K54" s="197">
        <v>2.75</v>
      </c>
      <c r="L54" s="197">
        <v>2.75</v>
      </c>
      <c r="M54" s="243">
        <v>1.1587941369104465E-2</v>
      </c>
      <c r="N54" s="21">
        <v>1.1587941369104465E-2</v>
      </c>
      <c r="O54" s="244">
        <v>4.2137968614925324E-3</v>
      </c>
      <c r="P54" s="243">
        <v>4.8471720397440425E-3</v>
      </c>
      <c r="Q54" s="243">
        <v>1.7850281840739108E-3</v>
      </c>
      <c r="R54" s="17">
        <v>0.86933098865520031</v>
      </c>
      <c r="S54" s="17">
        <v>2.3606332376643619</v>
      </c>
      <c r="T54" s="611">
        <v>1220.6275418439807</v>
      </c>
      <c r="U54" s="197">
        <v>14599.054313370056</v>
      </c>
      <c r="V54" s="1037"/>
      <c r="W54" s="186"/>
      <c r="X54" s="283">
        <v>1</v>
      </c>
      <c r="Y54" s="17">
        <f>mstr1</f>
        <v>67.278400000000005</v>
      </c>
      <c r="Z54" s="17">
        <f t="shared" si="12"/>
        <v>0.77961815460715789</v>
      </c>
      <c r="AA54" s="17">
        <f t="shared" si="13"/>
        <v>2.1439499251696841</v>
      </c>
      <c r="AB54" s="474" t="s">
        <v>335</v>
      </c>
    </row>
    <row r="55" spans="2:28" x14ac:dyDescent="0.25">
      <c r="B55" s="251">
        <v>18</v>
      </c>
      <c r="C55" s="71">
        <f>V192*-1</f>
        <v>-235.33335573263852</v>
      </c>
      <c r="D55" s="253">
        <f>M192</f>
        <v>0.1999780221407951</v>
      </c>
      <c r="E55" s="42" t="e">
        <f t="shared" si="11"/>
        <v>#DIV/0!</v>
      </c>
      <c r="G55" s="254"/>
      <c r="X55" s="284"/>
      <c r="Y55" s="474" t="s">
        <v>78</v>
      </c>
      <c r="Z55" s="245">
        <f>SUM(Z49:Z54)</f>
        <v>15.958352082081039</v>
      </c>
      <c r="AA55" s="245">
        <f>SUM(AA49:AA54)</f>
        <v>190.91152083518946</v>
      </c>
      <c r="AB55" s="196">
        <f>2*PI()*SQRT(AB53/AB51)</f>
        <v>0.78922740936317215</v>
      </c>
    </row>
    <row r="56" spans="2:28" x14ac:dyDescent="0.25">
      <c r="B56" s="251">
        <v>19</v>
      </c>
      <c r="C56" s="71">
        <f>V203*-1</f>
        <v>-235.33335573263852</v>
      </c>
      <c r="D56" s="253">
        <f>M203</f>
        <v>0.1999780221407951</v>
      </c>
      <c r="E56" s="42" t="e">
        <f t="shared" si="11"/>
        <v>#DIV/0!</v>
      </c>
      <c r="G56" s="254"/>
    </row>
    <row r="57" spans="2:28" ht="15.75" x14ac:dyDescent="0.25">
      <c r="B57" s="121">
        <v>20</v>
      </c>
      <c r="C57" s="66">
        <f>V214*-1</f>
        <v>-235.33335573263852</v>
      </c>
      <c r="D57" s="255">
        <f>M214</f>
        <v>0.1999780221407951</v>
      </c>
      <c r="E57" s="139" t="e">
        <f t="shared" si="11"/>
        <v>#DIV/0!</v>
      </c>
      <c r="F57" s="256"/>
      <c r="G57" s="257"/>
      <c r="J57" s="1011" t="s">
        <v>111</v>
      </c>
      <c r="K57" s="1012"/>
      <c r="L57" s="1012"/>
      <c r="M57" s="1012"/>
      <c r="N57" s="1012"/>
      <c r="O57" s="1012"/>
      <c r="P57" s="1012"/>
      <c r="Q57" s="1012"/>
      <c r="R57" s="1012"/>
      <c r="S57" s="1012"/>
      <c r="T57" s="1012"/>
      <c r="U57" s="1012"/>
      <c r="V57" s="1013"/>
      <c r="W57" s="258"/>
      <c r="X57" s="1005" t="s">
        <v>106</v>
      </c>
      <c r="Y57" s="1005"/>
      <c r="Z57" s="1005"/>
      <c r="AA57" s="1005"/>
      <c r="AB57" s="1005"/>
    </row>
    <row r="58" spans="2:28" ht="15" customHeight="1" x14ac:dyDescent="0.25">
      <c r="J58" s="973" t="s">
        <v>5</v>
      </c>
      <c r="K58" s="974" t="s">
        <v>3</v>
      </c>
      <c r="L58" s="974" t="s">
        <v>72</v>
      </c>
      <c r="M58" s="973" t="s">
        <v>74</v>
      </c>
      <c r="N58" s="973" t="s">
        <v>81</v>
      </c>
      <c r="O58" s="974" t="s">
        <v>101</v>
      </c>
      <c r="P58" s="974" t="s">
        <v>255</v>
      </c>
      <c r="Q58" s="974" t="s">
        <v>256</v>
      </c>
      <c r="R58" s="973" t="s">
        <v>390</v>
      </c>
      <c r="S58" s="973" t="s">
        <v>391</v>
      </c>
      <c r="T58" s="973" t="s">
        <v>75</v>
      </c>
      <c r="U58" s="974" t="s">
        <v>102</v>
      </c>
      <c r="V58" s="973" t="s">
        <v>79</v>
      </c>
      <c r="X58" s="671" t="s">
        <v>5</v>
      </c>
      <c r="Y58" s="1006" t="s">
        <v>76</v>
      </c>
      <c r="Z58" s="1006" t="s">
        <v>77</v>
      </c>
      <c r="AA58" s="1006" t="s">
        <v>104</v>
      </c>
      <c r="AB58" s="704" t="s">
        <v>105</v>
      </c>
    </row>
    <row r="59" spans="2:28" x14ac:dyDescent="0.25">
      <c r="J59" s="707"/>
      <c r="K59" s="703"/>
      <c r="L59" s="703"/>
      <c r="M59" s="707"/>
      <c r="N59" s="707"/>
      <c r="O59" s="703"/>
      <c r="P59" s="703"/>
      <c r="Q59" s="703"/>
      <c r="R59" s="707"/>
      <c r="S59" s="707"/>
      <c r="T59" s="707"/>
      <c r="U59" s="703"/>
      <c r="V59" s="707"/>
      <c r="X59" s="671"/>
      <c r="Y59" s="1006"/>
      <c r="Z59" s="1006"/>
      <c r="AA59" s="1006"/>
      <c r="AB59" s="704"/>
    </row>
    <row r="60" spans="2:28" x14ac:dyDescent="0.25">
      <c r="J60" s="242">
        <v>6</v>
      </c>
      <c r="K60" s="197">
        <v>3</v>
      </c>
      <c r="L60" s="197">
        <v>17.75</v>
      </c>
      <c r="M60" s="243">
        <v>7.4792284357370259E-2</v>
      </c>
      <c r="N60" s="21">
        <v>1.847113271640527E-3</v>
      </c>
      <c r="O60" s="244">
        <v>6.1570442388017566E-4</v>
      </c>
      <c r="P60" s="243">
        <v>8.3125273614190701E-3</v>
      </c>
      <c r="Q60" s="243">
        <v>2.4571407410608624E-3</v>
      </c>
      <c r="R60" s="17">
        <v>7.4069461321456143E-2</v>
      </c>
      <c r="S60" s="17">
        <v>0.25057759760816439</v>
      </c>
      <c r="T60" s="611">
        <v>82.042413526301786</v>
      </c>
      <c r="U60" s="197">
        <v>246.12724057890534</v>
      </c>
      <c r="V60" s="17">
        <v>400.71377249183888</v>
      </c>
      <c r="W60" s="186"/>
      <c r="X60" s="283">
        <v>6</v>
      </c>
      <c r="Y60" s="17">
        <f>mstr6</f>
        <v>63.074599999999997</v>
      </c>
      <c r="Z60" s="17">
        <f t="shared" ref="Z60:Z65" si="14">Y60*M60</f>
        <v>4.7174934189273863</v>
      </c>
      <c r="AA60" s="17">
        <f t="shared" ref="AA60:AA65" si="15">Z60*L60</f>
        <v>83.735508185961109</v>
      </c>
      <c r="AB60" s="17">
        <f>AA66/Z66</f>
        <v>11.819814218083938</v>
      </c>
    </row>
    <row r="61" spans="2:28" x14ac:dyDescent="0.25">
      <c r="J61" s="242">
        <v>5</v>
      </c>
      <c r="K61" s="197">
        <v>3</v>
      </c>
      <c r="L61" s="197">
        <v>14.75</v>
      </c>
      <c r="M61" s="243">
        <v>7.2945171085729732E-2</v>
      </c>
      <c r="N61" s="21">
        <v>3.4678181670255021E-3</v>
      </c>
      <c r="O61" s="244">
        <v>1.1559393890085007E-3</v>
      </c>
      <c r="P61" s="243">
        <v>9.5976000000000013E-3</v>
      </c>
      <c r="Q61" s="243">
        <v>2.2807165072368058E-3</v>
      </c>
      <c r="R61" s="17">
        <v>0.12044046313750319</v>
      </c>
      <c r="S61" s="17">
        <v>0.50683168440297521</v>
      </c>
      <c r="T61" s="611">
        <v>167.39158839359013</v>
      </c>
      <c r="U61" s="197">
        <v>748.30200575967569</v>
      </c>
      <c r="V61" s="1035"/>
      <c r="W61" s="186"/>
      <c r="X61" s="283">
        <v>5</v>
      </c>
      <c r="Y61" s="17">
        <f>mstr5</f>
        <v>67.278400000000005</v>
      </c>
      <c r="Z61" s="17">
        <f t="shared" si="14"/>
        <v>4.9076343983741593</v>
      </c>
      <c r="AA61" s="17">
        <f t="shared" si="15"/>
        <v>72.387607376018849</v>
      </c>
      <c r="AB61" s="474" t="s">
        <v>334</v>
      </c>
    </row>
    <row r="62" spans="2:28" x14ac:dyDescent="0.25">
      <c r="J62" s="242">
        <v>4</v>
      </c>
      <c r="K62" s="197">
        <v>3</v>
      </c>
      <c r="L62" s="197">
        <v>11.75</v>
      </c>
      <c r="M62" s="243">
        <v>6.947735291870423E-2</v>
      </c>
      <c r="N62" s="21">
        <v>4.6484608822429108E-3</v>
      </c>
      <c r="O62" s="244">
        <v>1.5494869607476369E-3</v>
      </c>
      <c r="P62" s="243">
        <v>8.8673064285714302E-3</v>
      </c>
      <c r="Q62" s="243">
        <v>2.1026318802204874E-3</v>
      </c>
      <c r="R62" s="17">
        <v>0.17474156027302953</v>
      </c>
      <c r="S62" s="17">
        <v>0.7369273600974573</v>
      </c>
      <c r="T62" s="611">
        <v>248.68325794914844</v>
      </c>
      <c r="U62" s="197">
        <v>1494.351779607121</v>
      </c>
      <c r="V62" s="1036"/>
      <c r="W62" s="186"/>
      <c r="X62" s="283">
        <v>4</v>
      </c>
      <c r="Y62" s="17">
        <f>mstr4</f>
        <v>67.278400000000005</v>
      </c>
      <c r="Z62" s="17">
        <f t="shared" si="14"/>
        <v>4.6743251406057507</v>
      </c>
      <c r="AA62" s="17">
        <f t="shared" si="15"/>
        <v>54.923320402117568</v>
      </c>
      <c r="AB62" s="196">
        <f>T65/M60</f>
        <v>5357.6886430846198</v>
      </c>
    </row>
    <row r="63" spans="2:28" x14ac:dyDescent="0.25">
      <c r="J63" s="242">
        <v>3</v>
      </c>
      <c r="K63" s="197">
        <v>3</v>
      </c>
      <c r="L63" s="197">
        <v>8.75</v>
      </c>
      <c r="M63" s="243">
        <v>6.4828892036461319E-2</v>
      </c>
      <c r="N63" s="21">
        <v>9.8932562760937759E-3</v>
      </c>
      <c r="O63" s="244">
        <v>3.2977520920312586E-3</v>
      </c>
      <c r="P63" s="243">
        <v>8.3556867009551838E-3</v>
      </c>
      <c r="Q63" s="243">
        <v>1.9478666359322766E-3</v>
      </c>
      <c r="R63" s="17">
        <v>0.39467158236728461</v>
      </c>
      <c r="S63" s="17">
        <v>1.6930071244086522</v>
      </c>
      <c r="T63" s="611">
        <v>324.53601640480622</v>
      </c>
      <c r="U63" s="197">
        <v>2467.9598288215398</v>
      </c>
      <c r="V63" s="1036"/>
      <c r="W63" s="186"/>
      <c r="X63" s="283">
        <v>3</v>
      </c>
      <c r="Y63" s="17">
        <f>mstr3</f>
        <v>67.278400000000005</v>
      </c>
      <c r="Z63" s="17">
        <f t="shared" si="14"/>
        <v>4.3615841299858591</v>
      </c>
      <c r="AA63" s="17">
        <f t="shared" si="15"/>
        <v>38.163861137376266</v>
      </c>
      <c r="AB63" s="475" t="s">
        <v>336</v>
      </c>
    </row>
    <row r="64" spans="2:28" x14ac:dyDescent="0.25">
      <c r="J64" s="242">
        <v>2</v>
      </c>
      <c r="K64" s="197">
        <v>3</v>
      </c>
      <c r="L64" s="197">
        <v>5.75</v>
      </c>
      <c r="M64" s="243">
        <v>5.4935635760367543E-2</v>
      </c>
      <c r="N64" s="21">
        <v>4.4764614551455598E-2</v>
      </c>
      <c r="O64" s="244">
        <v>1.4921538183818533E-2</v>
      </c>
      <c r="P64" s="243">
        <v>6.4157970868129726E-3</v>
      </c>
      <c r="Q64" s="243">
        <v>1.8112309252701479E-3</v>
      </c>
      <c r="R64" s="17">
        <v>2.3257497052842053</v>
      </c>
      <c r="S64" s="17">
        <v>8.2383411058382645</v>
      </c>
      <c r="T64" s="611">
        <v>388.81321410233181</v>
      </c>
      <c r="U64" s="197">
        <v>3634.399471128535</v>
      </c>
      <c r="V64" s="1036"/>
      <c r="W64" s="186"/>
      <c r="X64" s="283">
        <v>2</v>
      </c>
      <c r="Y64" s="17">
        <f>mstr2</f>
        <v>67.278400000000005</v>
      </c>
      <c r="Z64" s="17">
        <f t="shared" si="14"/>
        <v>3.695981676940312</v>
      </c>
      <c r="AA64" s="17">
        <f t="shared" si="15"/>
        <v>21.251894642406793</v>
      </c>
      <c r="AB64" s="17">
        <f>((Y65*M63+Y64*M64+Y63*M65+M62*Y62+M61*Y61+M60*Y60)^2)/(Y65*M63*M63+Y64*M64*M64+Y63*M65*M65+Y62*M62*M62+Y61*M61*M61+Y60*M60*M60)</f>
        <v>347.37210552307846</v>
      </c>
    </row>
    <row r="65" spans="10:28" x14ac:dyDescent="0.25">
      <c r="J65" s="242">
        <v>1</v>
      </c>
      <c r="K65" s="197">
        <v>2.75</v>
      </c>
      <c r="L65" s="197">
        <v>2.75</v>
      </c>
      <c r="M65" s="243">
        <v>1.0171021208911949E-2</v>
      </c>
      <c r="N65" s="21">
        <v>1.0171021208911949E-2</v>
      </c>
      <c r="O65" s="244">
        <v>3.6985531668770723E-3</v>
      </c>
      <c r="P65" s="243">
        <v>4.8471720397440425E-3</v>
      </c>
      <c r="Q65" s="243">
        <v>1.7850281840739108E-3</v>
      </c>
      <c r="R65" s="17">
        <v>0.76303319472695597</v>
      </c>
      <c r="S65" s="17">
        <v>2.071985865475797</v>
      </c>
      <c r="T65" s="611">
        <v>400.71377249183809</v>
      </c>
      <c r="U65" s="197">
        <v>4736.3623454810895</v>
      </c>
      <c r="V65" s="1037"/>
      <c r="W65" s="186"/>
      <c r="X65" s="283">
        <v>1</v>
      </c>
      <c r="Y65" s="17">
        <f>mstr1</f>
        <v>67.278400000000005</v>
      </c>
      <c r="Z65" s="17">
        <f t="shared" si="14"/>
        <v>0.68429003330166172</v>
      </c>
      <c r="AA65" s="17">
        <f t="shared" si="15"/>
        <v>1.8817975915795697</v>
      </c>
      <c r="AB65" s="474" t="s">
        <v>335</v>
      </c>
    </row>
    <row r="66" spans="10:28" x14ac:dyDescent="0.25">
      <c r="X66" s="284"/>
      <c r="Y66" s="474" t="s">
        <v>78</v>
      </c>
      <c r="Z66" s="245">
        <f>SUM(Z60:Z65)</f>
        <v>23.04130879813513</v>
      </c>
      <c r="AA66" s="245">
        <f>SUM(AA60:AA65)</f>
        <v>272.34398933546015</v>
      </c>
      <c r="AB66" s="196">
        <f>2*PI()*SQRT(AB64/AB62)</f>
        <v>1.5998843979137416</v>
      </c>
    </row>
    <row r="67" spans="10:28" x14ac:dyDescent="0.25">
      <c r="R67" s="259"/>
      <c r="S67" s="259"/>
    </row>
    <row r="68" spans="10:28" ht="15.75" x14ac:dyDescent="0.25">
      <c r="J68" s="1011" t="s">
        <v>270</v>
      </c>
      <c r="K68" s="1012"/>
      <c r="L68" s="1012"/>
      <c r="M68" s="1012"/>
      <c r="N68" s="1012"/>
      <c r="O68" s="1012"/>
      <c r="P68" s="1012"/>
      <c r="Q68" s="1012"/>
      <c r="R68" s="1012"/>
      <c r="S68" s="1012"/>
      <c r="T68" s="1012"/>
      <c r="U68" s="1012"/>
      <c r="V68" s="1013"/>
      <c r="W68" s="258"/>
      <c r="X68" s="1005" t="s">
        <v>106</v>
      </c>
      <c r="Y68" s="1005"/>
      <c r="Z68" s="1005"/>
      <c r="AA68" s="1005"/>
      <c r="AB68" s="1005"/>
    </row>
    <row r="69" spans="10:28" ht="15" customHeight="1" x14ac:dyDescent="0.25">
      <c r="J69" s="973" t="s">
        <v>5</v>
      </c>
      <c r="K69" s="974" t="s">
        <v>3</v>
      </c>
      <c r="L69" s="974" t="s">
        <v>72</v>
      </c>
      <c r="M69" s="973" t="s">
        <v>74</v>
      </c>
      <c r="N69" s="973" t="s">
        <v>81</v>
      </c>
      <c r="O69" s="974" t="s">
        <v>101</v>
      </c>
      <c r="P69" s="974" t="s">
        <v>255</v>
      </c>
      <c r="Q69" s="974" t="s">
        <v>256</v>
      </c>
      <c r="R69" s="973" t="s">
        <v>390</v>
      </c>
      <c r="S69" s="973" t="s">
        <v>391</v>
      </c>
      <c r="T69" s="973" t="s">
        <v>75</v>
      </c>
      <c r="U69" s="974" t="s">
        <v>102</v>
      </c>
      <c r="V69" s="973" t="s">
        <v>79</v>
      </c>
      <c r="X69" s="671" t="s">
        <v>5</v>
      </c>
      <c r="Y69" s="1006" t="s">
        <v>76</v>
      </c>
      <c r="Z69" s="1006" t="s">
        <v>77</v>
      </c>
      <c r="AA69" s="1006" t="s">
        <v>104</v>
      </c>
      <c r="AB69" s="704" t="s">
        <v>105</v>
      </c>
    </row>
    <row r="70" spans="10:28" x14ac:dyDescent="0.25">
      <c r="J70" s="707"/>
      <c r="K70" s="703"/>
      <c r="L70" s="703"/>
      <c r="M70" s="707"/>
      <c r="N70" s="707"/>
      <c r="O70" s="703"/>
      <c r="P70" s="703"/>
      <c r="Q70" s="703"/>
      <c r="R70" s="707"/>
      <c r="S70" s="707"/>
      <c r="T70" s="707"/>
      <c r="U70" s="703"/>
      <c r="V70" s="707"/>
      <c r="X70" s="671"/>
      <c r="Y70" s="1006"/>
      <c r="Z70" s="1006"/>
      <c r="AA70" s="1006"/>
      <c r="AB70" s="704"/>
    </row>
    <row r="71" spans="10:28" x14ac:dyDescent="0.25">
      <c r="J71" s="242">
        <v>6</v>
      </c>
      <c r="K71" s="197">
        <v>3</v>
      </c>
      <c r="L71" s="197">
        <v>17.75</v>
      </c>
      <c r="M71" s="243">
        <v>8.7086465458636353E-2</v>
      </c>
      <c r="N71" s="21">
        <v>1.8471639199749978E-3</v>
      </c>
      <c r="O71" s="244">
        <v>6.1572130665833258E-4</v>
      </c>
      <c r="P71" s="243">
        <v>8.3125273614190701E-3</v>
      </c>
      <c r="Q71" s="243">
        <v>2.4571407410608624E-3</v>
      </c>
      <c r="R71" s="17">
        <v>7.4071492325676988E-2</v>
      </c>
      <c r="S71" s="17">
        <v>0.2505844685121687</v>
      </c>
      <c r="T71" s="611">
        <v>82.060604699822548</v>
      </c>
      <c r="U71" s="197">
        <v>246.18181409946766</v>
      </c>
      <c r="V71" s="17">
        <v>405.22490116105132</v>
      </c>
      <c r="W71" s="186"/>
      <c r="X71" s="283">
        <v>6</v>
      </c>
      <c r="Y71" s="17">
        <f>mstr6</f>
        <v>63.074599999999997</v>
      </c>
      <c r="Z71" s="17">
        <f t="shared" ref="Z71:Z76" si="16">Y71*M71</f>
        <v>5.4929439742173045</v>
      </c>
      <c r="AA71" s="17">
        <f t="shared" ref="AA71:AA76" si="17">Z71*L71</f>
        <v>97.49975554235715</v>
      </c>
      <c r="AB71" s="17">
        <f>AA77/Z77</f>
        <v>11.797878046121468</v>
      </c>
    </row>
    <row r="72" spans="10:28" x14ac:dyDescent="0.25">
      <c r="J72" s="242">
        <v>5</v>
      </c>
      <c r="K72" s="197">
        <v>3</v>
      </c>
      <c r="L72" s="197">
        <v>14.75</v>
      </c>
      <c r="M72" s="243">
        <v>8.5239301538661355E-2</v>
      </c>
      <c r="N72" s="21">
        <v>3.4687043367042647E-3</v>
      </c>
      <c r="O72" s="244">
        <v>1.1562347789014216E-3</v>
      </c>
      <c r="P72" s="243">
        <v>9.5976000000000013E-3</v>
      </c>
      <c r="Q72" s="243">
        <v>2.2807165072368058E-3</v>
      </c>
      <c r="R72" s="17">
        <v>0.1204712406123845</v>
      </c>
      <c r="S72" s="17">
        <v>0.50696120067208783</v>
      </c>
      <c r="T72" s="611">
        <v>167.73382282871049</v>
      </c>
      <c r="U72" s="197">
        <v>749.38328258559909</v>
      </c>
      <c r="V72" s="1035"/>
      <c r="W72" s="186"/>
      <c r="X72" s="283">
        <v>5</v>
      </c>
      <c r="Y72" s="17">
        <f>mstr5</f>
        <v>67.278400000000005</v>
      </c>
      <c r="Z72" s="17">
        <f t="shared" si="16"/>
        <v>5.7347638246386747</v>
      </c>
      <c r="AA72" s="17">
        <f t="shared" si="17"/>
        <v>84.587766413420454</v>
      </c>
      <c r="AB72" s="474" t="s">
        <v>334</v>
      </c>
    </row>
    <row r="73" spans="10:28" x14ac:dyDescent="0.25">
      <c r="J73" s="242">
        <v>4</v>
      </c>
      <c r="K73" s="197">
        <v>3</v>
      </c>
      <c r="L73" s="197">
        <v>11.75</v>
      </c>
      <c r="M73" s="243">
        <v>8.177059720195709E-2</v>
      </c>
      <c r="N73" s="21">
        <v>4.6514024346187011E-3</v>
      </c>
      <c r="O73" s="244">
        <v>1.5504674782062338E-3</v>
      </c>
      <c r="P73" s="243">
        <v>8.8673064285714302E-3</v>
      </c>
      <c r="Q73" s="243">
        <v>2.1026318802204874E-3</v>
      </c>
      <c r="R73" s="17">
        <v>0.17485213697030455</v>
      </c>
      <c r="S73" s="17">
        <v>0.73739368873435307</v>
      </c>
      <c r="T73" s="611">
        <v>249.92067894462232</v>
      </c>
      <c r="U73" s="197">
        <v>1499.145319419466</v>
      </c>
      <c r="V73" s="1036"/>
      <c r="W73" s="186"/>
      <c r="X73" s="283">
        <v>4</v>
      </c>
      <c r="Y73" s="17">
        <f>mstr4</f>
        <v>67.278400000000005</v>
      </c>
      <c r="Z73" s="17">
        <f t="shared" si="16"/>
        <v>5.5013949467921499</v>
      </c>
      <c r="AA73" s="17">
        <f t="shared" si="17"/>
        <v>64.641390624807755</v>
      </c>
      <c r="AB73" s="196">
        <f>T76/M71</f>
        <v>4653.1329412959449</v>
      </c>
    </row>
    <row r="74" spans="10:28" x14ac:dyDescent="0.25">
      <c r="J74" s="242">
        <v>3</v>
      </c>
      <c r="K74" s="197">
        <v>3</v>
      </c>
      <c r="L74" s="197">
        <v>8.75</v>
      </c>
      <c r="M74" s="243">
        <v>7.7119194767338389E-2</v>
      </c>
      <c r="N74" s="21">
        <v>9.8995671576489613E-3</v>
      </c>
      <c r="O74" s="244">
        <v>3.2998557192163206E-3</v>
      </c>
      <c r="P74" s="243">
        <v>8.3556867009551838E-3</v>
      </c>
      <c r="Q74" s="243">
        <v>1.9478666359322766E-3</v>
      </c>
      <c r="R74" s="17">
        <v>0.3949233423075923</v>
      </c>
      <c r="S74" s="17">
        <v>1.6940870890973307</v>
      </c>
      <c r="T74" s="611">
        <v>327.43245434416798</v>
      </c>
      <c r="U74" s="197">
        <v>2481.4426824519696</v>
      </c>
      <c r="V74" s="1036"/>
      <c r="W74" s="186"/>
      <c r="X74" s="283">
        <v>3</v>
      </c>
      <c r="Y74" s="17">
        <f>mstr3</f>
        <v>67.278400000000005</v>
      </c>
      <c r="Z74" s="17">
        <f t="shared" si="16"/>
        <v>5.1884560332348997</v>
      </c>
      <c r="AA74" s="17">
        <f t="shared" si="17"/>
        <v>45.398990290805372</v>
      </c>
      <c r="AB74" s="475" t="s">
        <v>336</v>
      </c>
    </row>
    <row r="75" spans="10:28" x14ac:dyDescent="0.25">
      <c r="J75" s="242">
        <v>2</v>
      </c>
      <c r="K75" s="197">
        <v>3</v>
      </c>
      <c r="L75" s="197">
        <v>5.75</v>
      </c>
      <c r="M75" s="243">
        <v>6.7219627609689428E-2</v>
      </c>
      <c r="N75" s="21">
        <v>5.7040810569796908E-2</v>
      </c>
      <c r="O75" s="244">
        <v>1.9013603523265636E-2</v>
      </c>
      <c r="P75" s="243">
        <v>6.4157970868129726E-3</v>
      </c>
      <c r="Q75" s="243">
        <v>1.8112309252701479E-3</v>
      </c>
      <c r="R75" s="17">
        <v>2.9635606092259668</v>
      </c>
      <c r="S75" s="17">
        <v>10.497614223558891</v>
      </c>
      <c r="T75" s="611">
        <v>394.9942681631851</v>
      </c>
      <c r="U75" s="197">
        <v>3666.4254869415249</v>
      </c>
      <c r="V75" s="1036"/>
      <c r="W75" s="186"/>
      <c r="X75" s="283">
        <v>2</v>
      </c>
      <c r="Y75" s="17">
        <f>mstr2</f>
        <v>67.278400000000005</v>
      </c>
      <c r="Z75" s="17">
        <f t="shared" si="16"/>
        <v>4.5224289941757299</v>
      </c>
      <c r="AA75" s="17">
        <f t="shared" si="17"/>
        <v>26.003966716510448</v>
      </c>
      <c r="AB75" s="17">
        <f>((Y76*M74+Y75*M75+Y74*M76+M73*Y73+M72*Y72+M71*Y71)^2)/(Y76*M74*M74+Y75*M75*M75+Y74*M76*M76+Y73*M73*M73+Y72*M72*M72+Y71*M71*M71)</f>
        <v>345.72725194864756</v>
      </c>
    </row>
    <row r="76" spans="10:28" x14ac:dyDescent="0.25">
      <c r="J76" s="242">
        <v>1</v>
      </c>
      <c r="K76" s="197">
        <v>2.75</v>
      </c>
      <c r="L76" s="197">
        <v>2.75</v>
      </c>
      <c r="M76" s="243">
        <v>1.0178817039892518E-2</v>
      </c>
      <c r="N76" s="21">
        <v>1.0178817039892518E-2</v>
      </c>
      <c r="O76" s="244">
        <v>3.70138801450637E-3</v>
      </c>
      <c r="P76" s="243">
        <v>4.8471720397440425E-3</v>
      </c>
      <c r="Q76" s="243">
        <v>1.7850281840739108E-3</v>
      </c>
      <c r="R76" s="17">
        <v>0.76361804040729364</v>
      </c>
      <c r="S76" s="17">
        <v>2.0735739903326427</v>
      </c>
      <c r="T76" s="611">
        <v>405.22490116661231</v>
      </c>
      <c r="U76" s="197">
        <v>4780.793965149709</v>
      </c>
      <c r="V76" s="1037"/>
      <c r="W76" s="186"/>
      <c r="X76" s="283">
        <v>1</v>
      </c>
      <c r="Y76" s="17">
        <f>mstr1</f>
        <v>67.278400000000005</v>
      </c>
      <c r="Z76" s="17">
        <f t="shared" si="16"/>
        <v>0.68481452433670487</v>
      </c>
      <c r="AA76" s="17">
        <f t="shared" si="17"/>
        <v>1.8832399419259385</v>
      </c>
      <c r="AB76" s="474" t="s">
        <v>335</v>
      </c>
    </row>
    <row r="77" spans="10:28" x14ac:dyDescent="0.25">
      <c r="X77" s="284"/>
      <c r="Y77" s="474" t="s">
        <v>78</v>
      </c>
      <c r="Z77" s="245">
        <f>SUM(Z71:Z76)</f>
        <v>27.124802297395462</v>
      </c>
      <c r="AA77" s="245">
        <f>SUM(AA71:AA76)</f>
        <v>320.0151095298271</v>
      </c>
      <c r="AB77" s="196">
        <f>2*PI()*SQRT(AB75/AB73)</f>
        <v>1.7126710042391198</v>
      </c>
    </row>
    <row r="78" spans="10:28" x14ac:dyDescent="0.25">
      <c r="Q78" s="72"/>
      <c r="T78" s="260"/>
    </row>
    <row r="79" spans="10:28" ht="15.75" x14ac:dyDescent="0.25">
      <c r="J79" s="1005" t="s">
        <v>271</v>
      </c>
      <c r="K79" s="1005"/>
      <c r="L79" s="1005"/>
      <c r="M79" s="1005"/>
      <c r="N79" s="1005"/>
      <c r="O79" s="1005"/>
      <c r="P79" s="1005"/>
      <c r="Q79" s="1005"/>
      <c r="R79" s="1005"/>
      <c r="S79" s="1005"/>
      <c r="T79" s="1005"/>
      <c r="U79" s="1005"/>
      <c r="V79" s="1005"/>
      <c r="W79" s="258"/>
      <c r="X79" s="1005" t="s">
        <v>106</v>
      </c>
      <c r="Y79" s="1005"/>
      <c r="Z79" s="1005"/>
      <c r="AA79" s="1005"/>
      <c r="AB79" s="1005"/>
    </row>
    <row r="80" spans="10:28" ht="15" customHeight="1" x14ac:dyDescent="0.25">
      <c r="J80" s="973" t="s">
        <v>5</v>
      </c>
      <c r="K80" s="974" t="s">
        <v>3</v>
      </c>
      <c r="L80" s="974" t="s">
        <v>72</v>
      </c>
      <c r="M80" s="973" t="s">
        <v>74</v>
      </c>
      <c r="N80" s="973" t="s">
        <v>81</v>
      </c>
      <c r="O80" s="974" t="s">
        <v>101</v>
      </c>
      <c r="P80" s="974" t="s">
        <v>255</v>
      </c>
      <c r="Q80" s="974" t="s">
        <v>256</v>
      </c>
      <c r="R80" s="973" t="s">
        <v>390</v>
      </c>
      <c r="S80" s="973" t="s">
        <v>391</v>
      </c>
      <c r="T80" s="973" t="s">
        <v>75</v>
      </c>
      <c r="U80" s="974" t="s">
        <v>102</v>
      </c>
      <c r="V80" s="973" t="s">
        <v>79</v>
      </c>
      <c r="X80" s="671" t="s">
        <v>5</v>
      </c>
      <c r="Y80" s="1006" t="s">
        <v>76</v>
      </c>
      <c r="Z80" s="1006" t="s">
        <v>77</v>
      </c>
      <c r="AA80" s="1006" t="s">
        <v>104</v>
      </c>
      <c r="AB80" s="704" t="s">
        <v>105</v>
      </c>
    </row>
    <row r="81" spans="10:28" x14ac:dyDescent="0.25">
      <c r="J81" s="707"/>
      <c r="K81" s="703"/>
      <c r="L81" s="703"/>
      <c r="M81" s="707"/>
      <c r="N81" s="707"/>
      <c r="O81" s="703"/>
      <c r="P81" s="703"/>
      <c r="Q81" s="703"/>
      <c r="R81" s="707"/>
      <c r="S81" s="707"/>
      <c r="T81" s="707"/>
      <c r="U81" s="703"/>
      <c r="V81" s="707"/>
      <c r="X81" s="671"/>
      <c r="Y81" s="1006"/>
      <c r="Z81" s="1006"/>
      <c r="AA81" s="1006"/>
      <c r="AB81" s="704"/>
    </row>
    <row r="82" spans="10:28" ht="15" customHeight="1" x14ac:dyDescent="0.25">
      <c r="J82" s="242">
        <v>6</v>
      </c>
      <c r="K82" s="197">
        <v>3</v>
      </c>
      <c r="L82" s="197">
        <v>17.75</v>
      </c>
      <c r="M82" s="243">
        <v>0.12698399686822759</v>
      </c>
      <c r="N82" s="21">
        <v>1.8077890247126804E-3</v>
      </c>
      <c r="O82" s="244">
        <v>6.0259634157089348E-4</v>
      </c>
      <c r="P82" s="243">
        <v>8.3125273614190701E-3</v>
      </c>
      <c r="Q82" s="243">
        <v>2.4571407410608624E-3</v>
      </c>
      <c r="R82" s="17">
        <v>7.2492554354494351E-2</v>
      </c>
      <c r="S82" s="17">
        <v>0.24524290835319612</v>
      </c>
      <c r="T82" s="611">
        <v>67.918470324203795</v>
      </c>
      <c r="U82" s="197">
        <v>203.7554109726114</v>
      </c>
      <c r="V82" s="17">
        <v>342.7288193767165</v>
      </c>
      <c r="W82" s="186"/>
      <c r="X82" s="283">
        <v>6</v>
      </c>
      <c r="Y82" s="17">
        <f>mstr6</f>
        <v>63.074599999999997</v>
      </c>
      <c r="Z82" s="17">
        <f t="shared" ref="Z82:Z87" si="18">Y82*M82</f>
        <v>8.009464808864708</v>
      </c>
      <c r="AA82" s="17">
        <f t="shared" ref="AA82:AA87" si="19">Z82*L82</f>
        <v>142.16800035734857</v>
      </c>
      <c r="AB82" s="17">
        <f>AA88/Z88</f>
        <v>11.754766271213358</v>
      </c>
    </row>
    <row r="83" spans="10:28" x14ac:dyDescent="0.25">
      <c r="J83" s="242">
        <v>5</v>
      </c>
      <c r="K83" s="197">
        <v>3</v>
      </c>
      <c r="L83" s="197">
        <v>14.75</v>
      </c>
      <c r="M83" s="243">
        <v>0.12517620784351491</v>
      </c>
      <c r="N83" s="21">
        <v>3.3951622390389902E-3</v>
      </c>
      <c r="O83" s="244">
        <v>1.1317207463463301E-3</v>
      </c>
      <c r="P83" s="243">
        <v>9.5976000000000013E-3</v>
      </c>
      <c r="Q83" s="243">
        <v>2.2807165072368058E-3</v>
      </c>
      <c r="R83" s="17">
        <v>0.11791705700866154</v>
      </c>
      <c r="S83" s="17">
        <v>0.49621280977067267</v>
      </c>
      <c r="T83" s="611">
        <v>139.33222113157177</v>
      </c>
      <c r="U83" s="197">
        <v>621.75207436732671</v>
      </c>
      <c r="V83" s="1035"/>
      <c r="W83" s="186"/>
      <c r="X83" s="283">
        <v>5</v>
      </c>
      <c r="Y83" s="17">
        <f>mstr5</f>
        <v>67.278400000000005</v>
      </c>
      <c r="Z83" s="17">
        <f t="shared" si="18"/>
        <v>8.4216549817791346</v>
      </c>
      <c r="AA83" s="17">
        <f t="shared" si="19"/>
        <v>124.21941098124223</v>
      </c>
      <c r="AB83" s="474" t="s">
        <v>334</v>
      </c>
    </row>
    <row r="84" spans="10:28" ht="15" customHeight="1" x14ac:dyDescent="0.25">
      <c r="J84" s="242">
        <v>4</v>
      </c>
      <c r="K84" s="197">
        <v>3</v>
      </c>
      <c r="L84" s="197">
        <v>11.75</v>
      </c>
      <c r="M84" s="243">
        <v>0.12178104560447592</v>
      </c>
      <c r="N84" s="21">
        <v>4.5536732694310272E-3</v>
      </c>
      <c r="O84" s="244">
        <v>1.5178910898103425E-3</v>
      </c>
      <c r="P84" s="243">
        <v>8.8673064285714302E-3</v>
      </c>
      <c r="Q84" s="243">
        <v>2.1026318802204874E-3</v>
      </c>
      <c r="R84" s="17">
        <v>0.17117837327912019</v>
      </c>
      <c r="S84" s="17">
        <v>0.72190054002756421</v>
      </c>
      <c r="T84" s="611">
        <v>208.80901223816028</v>
      </c>
      <c r="U84" s="197">
        <v>1248.1791110818076</v>
      </c>
      <c r="V84" s="1036"/>
      <c r="W84" s="186"/>
      <c r="X84" s="283">
        <v>4</v>
      </c>
      <c r="Y84" s="17">
        <f>mstr4</f>
        <v>67.278400000000005</v>
      </c>
      <c r="Z84" s="17">
        <f t="shared" si="18"/>
        <v>8.1932338985961728</v>
      </c>
      <c r="AA84" s="17">
        <f t="shared" si="19"/>
        <v>96.270498308505026</v>
      </c>
      <c r="AB84" s="196">
        <f>T87/M82</f>
        <v>2698.9922181483175</v>
      </c>
    </row>
    <row r="85" spans="10:28" x14ac:dyDescent="0.25">
      <c r="J85" s="242">
        <v>3</v>
      </c>
      <c r="K85" s="197">
        <v>3</v>
      </c>
      <c r="L85" s="197">
        <v>8.75</v>
      </c>
      <c r="M85" s="243">
        <v>0.11722737233504489</v>
      </c>
      <c r="N85" s="21">
        <v>9.7868239468331536E-3</v>
      </c>
      <c r="O85" s="244">
        <v>3.2622746489443847E-3</v>
      </c>
      <c r="P85" s="243">
        <v>8.3556867009551838E-3</v>
      </c>
      <c r="Q85" s="243">
        <v>1.9478666359322766E-3</v>
      </c>
      <c r="R85" s="17">
        <v>0.39042567842705933</v>
      </c>
      <c r="S85" s="17">
        <v>1.6747936376984114</v>
      </c>
      <c r="T85" s="611">
        <v>275.68790639832758</v>
      </c>
      <c r="U85" s="197">
        <v>2075.2428302767903</v>
      </c>
      <c r="V85" s="1036"/>
      <c r="W85" s="186"/>
      <c r="X85" s="283">
        <v>3</v>
      </c>
      <c r="Y85" s="17">
        <f>mstr3</f>
        <v>67.278400000000005</v>
      </c>
      <c r="Z85" s="17">
        <f t="shared" si="18"/>
        <v>7.8868700469060844</v>
      </c>
      <c r="AA85" s="17">
        <f t="shared" si="19"/>
        <v>69.010112910428234</v>
      </c>
      <c r="AB85" s="475" t="s">
        <v>336</v>
      </c>
    </row>
    <row r="86" spans="10:28" x14ac:dyDescent="0.25">
      <c r="J86" s="242">
        <v>2</v>
      </c>
      <c r="K86" s="197">
        <v>3</v>
      </c>
      <c r="L86" s="197">
        <v>5.75</v>
      </c>
      <c r="M86" s="243">
        <v>0.10744054838821174</v>
      </c>
      <c r="N86" s="21">
        <v>9.7369732898642147E-2</v>
      </c>
      <c r="O86" s="244">
        <v>3.2456577632880713E-2</v>
      </c>
      <c r="P86" s="243">
        <v>6.4157970868129726E-3</v>
      </c>
      <c r="Q86" s="243">
        <v>1.8112309252701479E-3</v>
      </c>
      <c r="R86" s="17">
        <v>5.0588535132434211</v>
      </c>
      <c r="S86" s="17">
        <v>17.919624262179472</v>
      </c>
      <c r="T86" s="611">
        <v>336.98336087314703</v>
      </c>
      <c r="U86" s="197">
        <v>3086.1929128962315</v>
      </c>
      <c r="V86" s="1036"/>
      <c r="W86" s="186"/>
      <c r="X86" s="283">
        <v>2</v>
      </c>
      <c r="Y86" s="17">
        <f>mstr2</f>
        <v>67.278400000000005</v>
      </c>
      <c r="Z86" s="17">
        <f t="shared" si="18"/>
        <v>7.2284281906814654</v>
      </c>
      <c r="AA86" s="17">
        <f t="shared" si="19"/>
        <v>41.563462096418426</v>
      </c>
      <c r="AB86" s="17">
        <f>((Y87*M85+Y86*M86+Y85*M87+M84*Y84+M83*Y83+M82*Y82)^2)/(Y87*M85*M85+Y86*M86*M86+Y85*M87*M87+Y84*M84*M84+Y83*M83*M83+Y82*M82*M82)</f>
        <v>341.95777010071652</v>
      </c>
    </row>
    <row r="87" spans="10:28" x14ac:dyDescent="0.25">
      <c r="J87" s="242">
        <v>1</v>
      </c>
      <c r="K87" s="197">
        <v>2.75</v>
      </c>
      <c r="L87" s="197">
        <v>2.75</v>
      </c>
      <c r="M87" s="243">
        <v>1.0070815489569594E-2</v>
      </c>
      <c r="N87" s="21">
        <v>1.0070815489569594E-2</v>
      </c>
      <c r="O87" s="244">
        <v>3.6621147234798521E-3</v>
      </c>
      <c r="P87" s="243">
        <v>4.8471720397440425E-3</v>
      </c>
      <c r="Q87" s="243">
        <v>1.7850281840739108E-3</v>
      </c>
      <c r="R87" s="17">
        <v>0.75551573029647034</v>
      </c>
      <c r="S87" s="17">
        <v>2.0515724940106708</v>
      </c>
      <c r="T87" s="611">
        <v>342.72881937671661</v>
      </c>
      <c r="U87" s="197">
        <v>4028.6971661822022</v>
      </c>
      <c r="V87" s="1037"/>
      <c r="W87" s="186"/>
      <c r="X87" s="283">
        <v>1</v>
      </c>
      <c r="Y87" s="17">
        <f>mstr1</f>
        <v>67.278400000000005</v>
      </c>
      <c r="Z87" s="17">
        <f t="shared" si="18"/>
        <v>0.67754835283345904</v>
      </c>
      <c r="AA87" s="17">
        <f t="shared" si="19"/>
        <v>1.8632579702920125</v>
      </c>
      <c r="AB87" s="474" t="s">
        <v>335</v>
      </c>
    </row>
    <row r="88" spans="10:28" x14ac:dyDescent="0.25">
      <c r="X88" s="284"/>
      <c r="Y88" s="474" t="s">
        <v>78</v>
      </c>
      <c r="Z88" s="245">
        <f>SUM(Z82:Z87)</f>
        <v>40.417200279661024</v>
      </c>
      <c r="AA88" s="245">
        <f>SUM(AA82:AA87)</f>
        <v>475.09474262423453</v>
      </c>
      <c r="AB88" s="196">
        <f>2*PI()*SQRT(AB86/AB84)</f>
        <v>2.2364813985021201</v>
      </c>
    </row>
    <row r="89" spans="10:28" x14ac:dyDescent="0.25">
      <c r="S89" s="72"/>
    </row>
    <row r="90" spans="10:28" ht="15.75" x14ac:dyDescent="0.25">
      <c r="J90" s="1005" t="s">
        <v>272</v>
      </c>
      <c r="K90" s="1005"/>
      <c r="L90" s="1005"/>
      <c r="M90" s="1005"/>
      <c r="N90" s="1005"/>
      <c r="O90" s="1005"/>
      <c r="P90" s="1005"/>
      <c r="Q90" s="1005"/>
      <c r="R90" s="1005"/>
      <c r="S90" s="1005"/>
      <c r="T90" s="1005"/>
      <c r="U90" s="1005"/>
      <c r="V90" s="1005"/>
      <c r="W90" s="258"/>
      <c r="X90" s="1005" t="s">
        <v>106</v>
      </c>
      <c r="Y90" s="1005"/>
      <c r="Z90" s="1005"/>
      <c r="AA90" s="1005"/>
      <c r="AB90" s="1005"/>
    </row>
    <row r="91" spans="10:28" ht="15" customHeight="1" x14ac:dyDescent="0.25">
      <c r="J91" s="973" t="s">
        <v>5</v>
      </c>
      <c r="K91" s="974" t="s">
        <v>3</v>
      </c>
      <c r="L91" s="974" t="s">
        <v>72</v>
      </c>
      <c r="M91" s="973" t="s">
        <v>74</v>
      </c>
      <c r="N91" s="973" t="s">
        <v>81</v>
      </c>
      <c r="O91" s="974" t="s">
        <v>101</v>
      </c>
      <c r="P91" s="974" t="s">
        <v>255</v>
      </c>
      <c r="Q91" s="974" t="s">
        <v>256</v>
      </c>
      <c r="R91" s="973" t="s">
        <v>390</v>
      </c>
      <c r="S91" s="973" t="s">
        <v>391</v>
      </c>
      <c r="T91" s="973" t="s">
        <v>75</v>
      </c>
      <c r="U91" s="974" t="s">
        <v>102</v>
      </c>
      <c r="V91" s="973" t="s">
        <v>79</v>
      </c>
      <c r="X91" s="671" t="s">
        <v>5</v>
      </c>
      <c r="Y91" s="1006" t="s">
        <v>76</v>
      </c>
      <c r="Z91" s="1006" t="s">
        <v>77</v>
      </c>
      <c r="AA91" s="1006" t="s">
        <v>104</v>
      </c>
      <c r="AB91" s="704" t="s">
        <v>105</v>
      </c>
    </row>
    <row r="92" spans="10:28" x14ac:dyDescent="0.25">
      <c r="J92" s="707"/>
      <c r="K92" s="703"/>
      <c r="L92" s="703"/>
      <c r="M92" s="707"/>
      <c r="N92" s="707"/>
      <c r="O92" s="703"/>
      <c r="P92" s="703"/>
      <c r="Q92" s="703"/>
      <c r="R92" s="707"/>
      <c r="S92" s="707"/>
      <c r="T92" s="707"/>
      <c r="U92" s="703"/>
      <c r="V92" s="707"/>
      <c r="X92" s="671"/>
      <c r="Y92" s="1006"/>
      <c r="Z92" s="1006"/>
      <c r="AA92" s="1006"/>
      <c r="AB92" s="704"/>
    </row>
    <row r="93" spans="10:28" x14ac:dyDescent="0.25">
      <c r="J93" s="242">
        <v>6</v>
      </c>
      <c r="K93" s="197">
        <v>3</v>
      </c>
      <c r="L93" s="197">
        <v>17.75</v>
      </c>
      <c r="M93" s="243">
        <v>0.1999780221407951</v>
      </c>
      <c r="N93" s="21">
        <v>1.7463742266006499E-3</v>
      </c>
      <c r="O93" s="244">
        <v>5.8212474220021659E-4</v>
      </c>
      <c r="P93" s="243">
        <v>8.3125273614190701E-3</v>
      </c>
      <c r="Q93" s="243">
        <v>2.4571407410608624E-3</v>
      </c>
      <c r="R93" s="17">
        <v>7.0029813664377452E-2</v>
      </c>
      <c r="S93" s="17">
        <v>0.23691143631800518</v>
      </c>
      <c r="T93" s="611">
        <v>45.860346187851235</v>
      </c>
      <c r="U93" s="197">
        <v>137.5810385635537</v>
      </c>
      <c r="V93" s="17">
        <v>235.33335573263852</v>
      </c>
      <c r="W93" s="186"/>
      <c r="X93" s="283">
        <v>6</v>
      </c>
      <c r="Y93" s="17">
        <f>mstr6</f>
        <v>63.074599999999997</v>
      </c>
      <c r="Z93" s="17">
        <f t="shared" ref="Z93:Z98" si="20">Y93*M93</f>
        <v>12.613533755321795</v>
      </c>
      <c r="AA93" s="17">
        <f t="shared" ref="AA93:AA98" si="21">Z93*L93</f>
        <v>223.89022415696186</v>
      </c>
      <c r="AB93" s="17">
        <f>AA99/Z99</f>
        <v>11.722127751615165</v>
      </c>
    </row>
    <row r="94" spans="10:28" x14ac:dyDescent="0.25">
      <c r="J94" s="242">
        <v>5</v>
      </c>
      <c r="K94" s="197">
        <v>3</v>
      </c>
      <c r="L94" s="197">
        <v>14.75</v>
      </c>
      <c r="M94" s="243">
        <v>0.19823164791419445</v>
      </c>
      <c r="N94" s="21">
        <v>3.278686908854328E-3</v>
      </c>
      <c r="O94" s="244">
        <v>1.0928956362847759E-3</v>
      </c>
      <c r="P94" s="243">
        <v>9.5976000000000013E-3</v>
      </c>
      <c r="Q94" s="243">
        <v>2.2807165072368058E-3</v>
      </c>
      <c r="R94" s="17">
        <v>0.11387176338717761</v>
      </c>
      <c r="S94" s="17">
        <v>0.47918960239774377</v>
      </c>
      <c r="T94" s="611">
        <v>94.35001311100973</v>
      </c>
      <c r="U94" s="197">
        <v>420.63107789658289</v>
      </c>
      <c r="V94" s="1035"/>
      <c r="W94" s="186"/>
      <c r="X94" s="283">
        <v>5</v>
      </c>
      <c r="Y94" s="17">
        <f>mstr5</f>
        <v>67.278400000000005</v>
      </c>
      <c r="Z94" s="17">
        <f t="shared" si="20"/>
        <v>13.336708101030341</v>
      </c>
      <c r="AA94" s="17">
        <f t="shared" si="21"/>
        <v>196.71644449019755</v>
      </c>
      <c r="AB94" s="474" t="s">
        <v>334</v>
      </c>
    </row>
    <row r="95" spans="10:28" ht="15" customHeight="1" x14ac:dyDescent="0.25">
      <c r="J95" s="242">
        <v>4</v>
      </c>
      <c r="K95" s="197">
        <v>3</v>
      </c>
      <c r="L95" s="197">
        <v>11.75</v>
      </c>
      <c r="M95" s="243">
        <v>0.19495296100534013</v>
      </c>
      <c r="N95" s="21">
        <v>4.3949468688682936E-3</v>
      </c>
      <c r="O95" s="244">
        <v>1.4649822896227644E-3</v>
      </c>
      <c r="P95" s="243">
        <v>8.8673064285714302E-3</v>
      </c>
      <c r="Q95" s="243">
        <v>2.1026318802204874E-3</v>
      </c>
      <c r="R95" s="17">
        <v>0.16521164588407947</v>
      </c>
      <c r="S95" s="17">
        <v>0.69673740962642616</v>
      </c>
      <c r="T95" s="611">
        <v>142.03767673233165</v>
      </c>
      <c r="U95" s="197">
        <v>846.74410809357778</v>
      </c>
      <c r="V95" s="1036"/>
      <c r="W95" s="186"/>
      <c r="X95" s="283">
        <v>4</v>
      </c>
      <c r="Y95" s="17">
        <f>mstr4</f>
        <v>67.278400000000005</v>
      </c>
      <c r="Z95" s="17">
        <f t="shared" si="20"/>
        <v>13.116123291701676</v>
      </c>
      <c r="AA95" s="17">
        <f t="shared" si="21"/>
        <v>154.11444867749469</v>
      </c>
      <c r="AB95" s="196">
        <f>T98/M93</f>
        <v>1176.7960959577401</v>
      </c>
    </row>
    <row r="96" spans="10:28" x14ac:dyDescent="0.25">
      <c r="J96" s="242">
        <v>3</v>
      </c>
      <c r="K96" s="197">
        <v>3</v>
      </c>
      <c r="L96" s="197">
        <v>8.75</v>
      </c>
      <c r="M96" s="243">
        <v>0.19055801413647183</v>
      </c>
      <c r="N96" s="21">
        <v>9.5971826993550557E-3</v>
      </c>
      <c r="O96" s="244">
        <v>3.1990608997850187E-3</v>
      </c>
      <c r="P96" s="243">
        <v>8.3556867009551838E-3</v>
      </c>
      <c r="Q96" s="243">
        <v>1.9478666359322766E-3</v>
      </c>
      <c r="R96" s="17">
        <v>0.38286032187148866</v>
      </c>
      <c r="S96" s="17">
        <v>1.6423408259949495</v>
      </c>
      <c r="T96" s="611">
        <v>188.65028744429932</v>
      </c>
      <c r="U96" s="197">
        <v>1412.6949704264757</v>
      </c>
      <c r="V96" s="1036"/>
      <c r="W96" s="186"/>
      <c r="X96" s="283">
        <v>3</v>
      </c>
      <c r="Y96" s="17">
        <f>mstr3</f>
        <v>67.278400000000005</v>
      </c>
      <c r="Z96" s="17">
        <f t="shared" si="20"/>
        <v>12.820438298279207</v>
      </c>
      <c r="AA96" s="17">
        <f t="shared" si="21"/>
        <v>112.17883510994307</v>
      </c>
      <c r="AB96" s="475" t="s">
        <v>336</v>
      </c>
    </row>
    <row r="97" spans="9:28" x14ac:dyDescent="0.25">
      <c r="J97" s="242">
        <v>2</v>
      </c>
      <c r="K97" s="197">
        <v>3</v>
      </c>
      <c r="L97" s="197">
        <v>5.75</v>
      </c>
      <c r="M97" s="243">
        <v>0.18096083143711678</v>
      </c>
      <c r="N97" s="21">
        <v>0.17107560960780582</v>
      </c>
      <c r="O97" s="244">
        <v>5.7025203202601939E-2</v>
      </c>
      <c r="P97" s="243">
        <v>6.4157970868129726E-3</v>
      </c>
      <c r="Q97" s="243">
        <v>1.8112309252701479E-3</v>
      </c>
      <c r="R97" s="17">
        <v>8.8882491810427613</v>
      </c>
      <c r="S97" s="17">
        <v>31.48422567602557</v>
      </c>
      <c r="T97" s="611">
        <v>232.91532047435166</v>
      </c>
      <c r="U97" s="197">
        <v>2111.4409318495309</v>
      </c>
      <c r="V97" s="1036"/>
      <c r="W97" s="186"/>
      <c r="X97" s="283">
        <v>2</v>
      </c>
      <c r="Y97" s="17">
        <f>mstr2</f>
        <v>67.278400000000005</v>
      </c>
      <c r="Z97" s="17">
        <f t="shared" si="20"/>
        <v>12.174755201758918</v>
      </c>
      <c r="AA97" s="17">
        <f t="shared" si="21"/>
        <v>70.004842410113781</v>
      </c>
      <c r="AB97" s="17">
        <f>((Y98*M96+Y97*M97+Y96*M98+M95*Y95+M94*Y94+M93*Y93)^2)/(Y98*M96*M96+Y97*M97*M97+Y96*M98*M98+Y95*M95*M95+Y94*M94*M94+Y93*M93*M93)</f>
        <v>338.5215186058951</v>
      </c>
    </row>
    <row r="98" spans="9:28" x14ac:dyDescent="0.25">
      <c r="J98" s="242">
        <v>1</v>
      </c>
      <c r="K98" s="197">
        <v>2.75</v>
      </c>
      <c r="L98" s="197">
        <v>2.75</v>
      </c>
      <c r="M98" s="243">
        <v>9.8852218293109598E-3</v>
      </c>
      <c r="N98" s="21">
        <v>9.8852218293109598E-3</v>
      </c>
      <c r="O98" s="244">
        <v>3.59462611974944E-3</v>
      </c>
      <c r="P98" s="243">
        <v>4.8471720397440425E-3</v>
      </c>
      <c r="Q98" s="243">
        <v>1.7850281840739108E-3</v>
      </c>
      <c r="R98" s="17">
        <v>0.74159243581114076</v>
      </c>
      <c r="S98" s="17">
        <v>2.0137643493928166</v>
      </c>
      <c r="T98" s="611">
        <v>235.33335573263821</v>
      </c>
      <c r="U98" s="197">
        <v>2758.6076601142859</v>
      </c>
      <c r="V98" s="1037"/>
      <c r="W98" s="186"/>
      <c r="X98" s="283">
        <v>1</v>
      </c>
      <c r="Y98" s="17">
        <f>mstr1</f>
        <v>67.278400000000005</v>
      </c>
      <c r="Z98" s="17">
        <f t="shared" si="20"/>
        <v>0.66506190832111456</v>
      </c>
      <c r="AA98" s="17">
        <f t="shared" si="21"/>
        <v>1.8289202478830651</v>
      </c>
      <c r="AB98" s="474" t="s">
        <v>335</v>
      </c>
    </row>
    <row r="99" spans="9:28" x14ac:dyDescent="0.25">
      <c r="X99" s="284"/>
      <c r="Y99" s="474" t="s">
        <v>78</v>
      </c>
      <c r="Z99" s="245">
        <f>SUM(Z93:Z98)</f>
        <v>64.726620556413053</v>
      </c>
      <c r="AA99" s="245">
        <f>SUM(AA93:AA98)</f>
        <v>758.73371509259403</v>
      </c>
      <c r="AB99" s="196">
        <f>2*PI()*SQRT(AB97/AB95)</f>
        <v>3.3699417890142915</v>
      </c>
    </row>
    <row r="101" spans="9:28" ht="15.75" x14ac:dyDescent="0.25">
      <c r="J101" s="1005" t="s">
        <v>273</v>
      </c>
      <c r="K101" s="1005"/>
      <c r="L101" s="1005"/>
      <c r="M101" s="1005"/>
      <c r="N101" s="1005"/>
      <c r="O101" s="1005"/>
      <c r="P101" s="1005"/>
      <c r="Q101" s="1005"/>
      <c r="R101" s="1005"/>
      <c r="S101" s="1005"/>
      <c r="T101" s="1005"/>
      <c r="U101" s="1005"/>
      <c r="V101" s="1005"/>
      <c r="W101" s="258"/>
      <c r="X101" s="1005" t="s">
        <v>106</v>
      </c>
      <c r="Y101" s="1005"/>
      <c r="Z101" s="1005"/>
      <c r="AA101" s="1005"/>
      <c r="AB101" s="1005"/>
    </row>
    <row r="102" spans="9:28" ht="15" customHeight="1" x14ac:dyDescent="0.25">
      <c r="J102" s="973" t="s">
        <v>5</v>
      </c>
      <c r="K102" s="974" t="s">
        <v>3</v>
      </c>
      <c r="L102" s="974" t="s">
        <v>72</v>
      </c>
      <c r="M102" s="973" t="s">
        <v>74</v>
      </c>
      <c r="N102" s="973" t="s">
        <v>81</v>
      </c>
      <c r="O102" s="974" t="s">
        <v>101</v>
      </c>
      <c r="P102" s="974" t="s">
        <v>255</v>
      </c>
      <c r="Q102" s="974" t="s">
        <v>256</v>
      </c>
      <c r="R102" s="973" t="s">
        <v>390</v>
      </c>
      <c r="S102" s="973" t="s">
        <v>391</v>
      </c>
      <c r="T102" s="973" t="s">
        <v>75</v>
      </c>
      <c r="U102" s="974" t="s">
        <v>102</v>
      </c>
      <c r="V102" s="973" t="s">
        <v>79</v>
      </c>
      <c r="X102" s="671" t="s">
        <v>5</v>
      </c>
      <c r="Y102" s="1006" t="s">
        <v>76</v>
      </c>
      <c r="Z102" s="1006" t="s">
        <v>77</v>
      </c>
      <c r="AA102" s="1006" t="s">
        <v>104</v>
      </c>
      <c r="AB102" s="704" t="s">
        <v>105</v>
      </c>
    </row>
    <row r="103" spans="9:28" x14ac:dyDescent="0.25">
      <c r="J103" s="707"/>
      <c r="K103" s="703"/>
      <c r="L103" s="703"/>
      <c r="M103" s="707"/>
      <c r="N103" s="707"/>
      <c r="O103" s="703"/>
      <c r="P103" s="703"/>
      <c r="Q103" s="703"/>
      <c r="R103" s="707"/>
      <c r="S103" s="707"/>
      <c r="T103" s="707"/>
      <c r="U103" s="703"/>
      <c r="V103" s="707"/>
      <c r="X103" s="671"/>
      <c r="Y103" s="1006"/>
      <c r="Z103" s="1006"/>
      <c r="AA103" s="1006"/>
      <c r="AB103" s="704"/>
    </row>
    <row r="104" spans="9:28" x14ac:dyDescent="0.25">
      <c r="J104" s="242">
        <v>6</v>
      </c>
      <c r="K104" s="197">
        <f>hstr6</f>
        <v>3</v>
      </c>
      <c r="L104" s="197">
        <f t="shared" ref="L104:L106" si="22">L105+K104</f>
        <v>17.75</v>
      </c>
      <c r="M104" s="243">
        <f>'Yield Mechanism'!$X$57</f>
        <v>0.1999780221407951</v>
      </c>
      <c r="N104" s="21">
        <f>M104-M105</f>
        <v>1.7463742266006499E-3</v>
      </c>
      <c r="O104" s="244">
        <f t="shared" ref="O104:O108" si="23">N104/K104</f>
        <v>5.8212474220021659E-4</v>
      </c>
      <c r="P104" s="243">
        <f>$C$26</f>
        <v>8.3125273614190701E-3</v>
      </c>
      <c r="Q104" s="243">
        <f>$D$26</f>
        <v>2.4571407410608624E-3</v>
      </c>
      <c r="R104" s="17">
        <f>O104/P104</f>
        <v>7.0029813664377452E-2</v>
      </c>
      <c r="S104" s="17">
        <f t="shared" ref="S104:S109" si="24">O104/Q104</f>
        <v>0.23691143631800518</v>
      </c>
      <c r="T104" s="611">
        <f>'Yield Mechanism'!$AI$57</f>
        <v>45.860346187851235</v>
      </c>
      <c r="U104" s="197">
        <f>T104*K104</f>
        <v>137.5810385635537</v>
      </c>
      <c r="V104" s="17">
        <f>U109/AB104</f>
        <v>235.33335573263852</v>
      </c>
      <c r="W104" s="186"/>
      <c r="X104" s="283">
        <v>6</v>
      </c>
      <c r="Y104" s="17">
        <f>mstr6</f>
        <v>63.074599999999997</v>
      </c>
      <c r="Z104" s="17">
        <f t="shared" ref="Z104:Z109" si="25">Y104*M104</f>
        <v>12.613533755321795</v>
      </c>
      <c r="AA104" s="17">
        <f t="shared" ref="AA104:AA109" si="26">Z104*L104</f>
        <v>223.89022415696186</v>
      </c>
      <c r="AB104" s="17">
        <f>AA110/Z110</f>
        <v>11.722127751615165</v>
      </c>
    </row>
    <row r="105" spans="9:28" x14ac:dyDescent="0.25">
      <c r="J105" s="242">
        <v>5</v>
      </c>
      <c r="K105" s="197">
        <f>hstr5</f>
        <v>3</v>
      </c>
      <c r="L105" s="197">
        <f t="shared" si="22"/>
        <v>14.75</v>
      </c>
      <c r="M105" s="243">
        <f>'Yield Mechanism'!$X$58</f>
        <v>0.19823164791419445</v>
      </c>
      <c r="N105" s="21">
        <f t="shared" ref="N105:N107" si="27">M105-M106</f>
        <v>3.278686908854328E-3</v>
      </c>
      <c r="O105" s="244">
        <f t="shared" si="23"/>
        <v>1.0928956362847759E-3</v>
      </c>
      <c r="P105" s="243">
        <f>$C$27</f>
        <v>9.5976000000000013E-3</v>
      </c>
      <c r="Q105" s="243">
        <f>$D$27</f>
        <v>2.2807165072368058E-3</v>
      </c>
      <c r="R105" s="17">
        <f t="shared" ref="R105:R109" si="28">O105/P105</f>
        <v>0.11387176338717761</v>
      </c>
      <c r="S105" s="17">
        <f t="shared" si="24"/>
        <v>0.47918960239774377</v>
      </c>
      <c r="T105" s="611">
        <f>'Yield Mechanism'!$AI$58</f>
        <v>94.35001311100973</v>
      </c>
      <c r="U105" s="197">
        <f>T105*K105+U104</f>
        <v>420.63107789658289</v>
      </c>
      <c r="V105" s="1035"/>
      <c r="W105" s="186"/>
      <c r="X105" s="283">
        <v>5</v>
      </c>
      <c r="Y105" s="17">
        <f>mstr5</f>
        <v>67.278400000000005</v>
      </c>
      <c r="Z105" s="17">
        <f t="shared" si="25"/>
        <v>13.336708101030341</v>
      </c>
      <c r="AA105" s="17">
        <f t="shared" si="26"/>
        <v>196.71644449019755</v>
      </c>
      <c r="AB105" s="474" t="s">
        <v>334</v>
      </c>
    </row>
    <row r="106" spans="9:28" ht="15.75" x14ac:dyDescent="0.25">
      <c r="I106" s="261"/>
      <c r="J106" s="242">
        <v>4</v>
      </c>
      <c r="K106" s="197">
        <f>hstr4</f>
        <v>3</v>
      </c>
      <c r="L106" s="197">
        <f t="shared" si="22"/>
        <v>11.75</v>
      </c>
      <c r="M106" s="243">
        <f>'Yield Mechanism'!$X$59</f>
        <v>0.19495296100534013</v>
      </c>
      <c r="N106" s="21">
        <f t="shared" si="27"/>
        <v>4.3949468688682936E-3</v>
      </c>
      <c r="O106" s="244">
        <f t="shared" si="23"/>
        <v>1.4649822896227644E-3</v>
      </c>
      <c r="P106" s="243">
        <f>$C$28</f>
        <v>8.8673064285714302E-3</v>
      </c>
      <c r="Q106" s="243">
        <f>$D$28</f>
        <v>2.1026318802204874E-3</v>
      </c>
      <c r="R106" s="17">
        <f t="shared" si="28"/>
        <v>0.16521164588407947</v>
      </c>
      <c r="S106" s="17">
        <f t="shared" si="24"/>
        <v>0.69673740962642616</v>
      </c>
      <c r="T106" s="611">
        <f>'Yield Mechanism'!$AI$59</f>
        <v>142.03767673233165</v>
      </c>
      <c r="U106" s="197">
        <f t="shared" ref="U106:U109" si="29">T106*K106+U105</f>
        <v>846.74410809357778</v>
      </c>
      <c r="V106" s="1036"/>
      <c r="W106" s="186"/>
      <c r="X106" s="283">
        <v>4</v>
      </c>
      <c r="Y106" s="17">
        <f>mstr4</f>
        <v>67.278400000000005</v>
      </c>
      <c r="Z106" s="17">
        <f t="shared" si="25"/>
        <v>13.116123291701676</v>
      </c>
      <c r="AA106" s="17">
        <f t="shared" si="26"/>
        <v>154.11444867749469</v>
      </c>
      <c r="AB106" s="196">
        <f>T109/M104</f>
        <v>1176.7960959577401</v>
      </c>
    </row>
    <row r="107" spans="9:28" x14ac:dyDescent="0.25">
      <c r="I107" s="231"/>
      <c r="J107" s="242">
        <v>3</v>
      </c>
      <c r="K107" s="197">
        <f>hstr3</f>
        <v>3</v>
      </c>
      <c r="L107" s="197">
        <f>L108+K107</f>
        <v>8.75</v>
      </c>
      <c r="M107" s="243">
        <f>'Yield Mechanism'!$X$60</f>
        <v>0.19055801413647183</v>
      </c>
      <c r="N107" s="21">
        <f t="shared" si="27"/>
        <v>9.5971826993550557E-3</v>
      </c>
      <c r="O107" s="244">
        <f t="shared" si="23"/>
        <v>3.1990608997850187E-3</v>
      </c>
      <c r="P107" s="243">
        <f>$C$29</f>
        <v>8.3556867009551838E-3</v>
      </c>
      <c r="Q107" s="243">
        <f>$D$29</f>
        <v>1.9478666359322766E-3</v>
      </c>
      <c r="R107" s="17">
        <f t="shared" si="28"/>
        <v>0.38286032187148866</v>
      </c>
      <c r="S107" s="17">
        <f t="shared" si="24"/>
        <v>1.6423408259949495</v>
      </c>
      <c r="T107" s="611">
        <f>'Yield Mechanism'!$AI$60</f>
        <v>188.65028744429932</v>
      </c>
      <c r="U107" s="197">
        <f t="shared" si="29"/>
        <v>1412.6949704264757</v>
      </c>
      <c r="V107" s="1036"/>
      <c r="W107" s="186"/>
      <c r="X107" s="283">
        <v>3</v>
      </c>
      <c r="Y107" s="17">
        <f>mstr3</f>
        <v>67.278400000000005</v>
      </c>
      <c r="Z107" s="17">
        <f t="shared" si="25"/>
        <v>12.820438298279207</v>
      </c>
      <c r="AA107" s="17">
        <f t="shared" si="26"/>
        <v>112.17883510994307</v>
      </c>
      <c r="AB107" s="475" t="s">
        <v>336</v>
      </c>
    </row>
    <row r="108" spans="9:28" x14ac:dyDescent="0.25">
      <c r="J108" s="242">
        <v>2</v>
      </c>
      <c r="K108" s="197">
        <f>hstr2</f>
        <v>3</v>
      </c>
      <c r="L108" s="197">
        <f>L109+K108</f>
        <v>5.75</v>
      </c>
      <c r="M108" s="243">
        <f>'Yield Mechanism'!$X$61</f>
        <v>0.18096083143711678</v>
      </c>
      <c r="N108" s="21">
        <f>M108-M109</f>
        <v>0.17107560960780582</v>
      </c>
      <c r="O108" s="244">
        <f t="shared" si="23"/>
        <v>5.7025203202601939E-2</v>
      </c>
      <c r="P108" s="243">
        <f>$C$30</f>
        <v>6.4157970868129726E-3</v>
      </c>
      <c r="Q108" s="243">
        <f>$D$30</f>
        <v>1.8112309252701479E-3</v>
      </c>
      <c r="R108" s="17">
        <f t="shared" si="28"/>
        <v>8.8882491810427613</v>
      </c>
      <c r="S108" s="17">
        <f t="shared" si="24"/>
        <v>31.48422567602557</v>
      </c>
      <c r="T108" s="611">
        <f>'Yield Mechanism'!$AI$61</f>
        <v>232.91532047435166</v>
      </c>
      <c r="U108" s="197">
        <f t="shared" si="29"/>
        <v>2111.4409318495309</v>
      </c>
      <c r="V108" s="1036"/>
      <c r="W108" s="186"/>
      <c r="X108" s="283">
        <v>2</v>
      </c>
      <c r="Y108" s="17">
        <f>mstr2</f>
        <v>67.278400000000005</v>
      </c>
      <c r="Z108" s="17">
        <f t="shared" si="25"/>
        <v>12.174755201758918</v>
      </c>
      <c r="AA108" s="17">
        <f t="shared" si="26"/>
        <v>70.004842410113781</v>
      </c>
      <c r="AB108" s="17">
        <f>((Y109*M107+Y108*M108+Y107*M109+M106*Y106+M105*Y105+M104*Y104)^2)/(Y109*M107*M107+Y108*M108*M108+Y107*M109*M109+Y106*M106*M106+Y105*M105*M105+Y104*M104*M104)</f>
        <v>338.5215186058951</v>
      </c>
    </row>
    <row r="109" spans="9:28" x14ac:dyDescent="0.25">
      <c r="J109" s="242">
        <v>1</v>
      </c>
      <c r="K109" s="197">
        <f>hstr1</f>
        <v>2.75</v>
      </c>
      <c r="L109" s="197">
        <f>K109</f>
        <v>2.75</v>
      </c>
      <c r="M109" s="243">
        <f>'Yield Mechanism'!$X$62</f>
        <v>9.8852218293109598E-3</v>
      </c>
      <c r="N109" s="21">
        <f>M109</f>
        <v>9.8852218293109598E-3</v>
      </c>
      <c r="O109" s="244">
        <f>N109/K109</f>
        <v>3.59462611974944E-3</v>
      </c>
      <c r="P109" s="243">
        <f>$C$31</f>
        <v>4.8471720397440425E-3</v>
      </c>
      <c r="Q109" s="243">
        <f>$D$31</f>
        <v>1.7850281840739108E-3</v>
      </c>
      <c r="R109" s="17">
        <f t="shared" si="28"/>
        <v>0.74159243581114076</v>
      </c>
      <c r="S109" s="17">
        <f t="shared" si="24"/>
        <v>2.0137643493928166</v>
      </c>
      <c r="T109" s="611">
        <f>'Yield Mechanism'!$AI$62</f>
        <v>235.33335573263821</v>
      </c>
      <c r="U109" s="197">
        <f t="shared" si="29"/>
        <v>2758.6076601142859</v>
      </c>
      <c r="V109" s="1037"/>
      <c r="W109" s="186"/>
      <c r="X109" s="283">
        <v>1</v>
      </c>
      <c r="Y109" s="17">
        <f>mstr1</f>
        <v>67.278400000000005</v>
      </c>
      <c r="Z109" s="17">
        <f t="shared" si="25"/>
        <v>0.66506190832111456</v>
      </c>
      <c r="AA109" s="17">
        <f t="shared" si="26"/>
        <v>1.8289202478830651</v>
      </c>
      <c r="AB109" s="474" t="s">
        <v>335</v>
      </c>
    </row>
    <row r="110" spans="9:28" x14ac:dyDescent="0.25">
      <c r="X110" s="284"/>
      <c r="Y110" s="474" t="s">
        <v>78</v>
      </c>
      <c r="Z110" s="245">
        <f>SUM(Z104:Z109)</f>
        <v>64.726620556413053</v>
      </c>
      <c r="AA110" s="245">
        <f>SUM(AA104:AA109)</f>
        <v>758.73371509259403</v>
      </c>
      <c r="AB110" s="196">
        <f>2*PI()*SQRT(AB108/AB106)</f>
        <v>3.3699417890142915</v>
      </c>
    </row>
    <row r="112" spans="9:28" ht="15.75" x14ac:dyDescent="0.25">
      <c r="J112" s="1023" t="s">
        <v>337</v>
      </c>
      <c r="K112" s="1024"/>
      <c r="L112" s="1024"/>
      <c r="M112" s="1024"/>
      <c r="N112" s="1024"/>
      <c r="O112" s="1024"/>
      <c r="P112" s="1024"/>
      <c r="Q112" s="1024"/>
      <c r="R112" s="1024"/>
      <c r="S112" s="1024"/>
      <c r="T112" s="1024"/>
      <c r="U112" s="1024"/>
      <c r="V112" s="1025"/>
      <c r="W112" s="34"/>
      <c r="X112" s="1018" t="s">
        <v>106</v>
      </c>
      <c r="Y112" s="1018"/>
      <c r="Z112" s="1018"/>
      <c r="AA112" s="1018"/>
      <c r="AB112" s="1018"/>
    </row>
    <row r="113" spans="2:28" ht="15" customHeight="1" x14ac:dyDescent="0.25">
      <c r="J113" s="973" t="s">
        <v>5</v>
      </c>
      <c r="K113" s="974" t="s">
        <v>3</v>
      </c>
      <c r="L113" s="974" t="s">
        <v>72</v>
      </c>
      <c r="M113" s="973" t="s">
        <v>74</v>
      </c>
      <c r="N113" s="973" t="s">
        <v>81</v>
      </c>
      <c r="O113" s="974" t="s">
        <v>101</v>
      </c>
      <c r="P113" s="974" t="s">
        <v>255</v>
      </c>
      <c r="Q113" s="974" t="s">
        <v>256</v>
      </c>
      <c r="R113" s="973" t="s">
        <v>390</v>
      </c>
      <c r="S113" s="973" t="s">
        <v>391</v>
      </c>
      <c r="T113" s="973" t="s">
        <v>75</v>
      </c>
      <c r="U113" s="974" t="s">
        <v>102</v>
      </c>
      <c r="V113" s="973" t="s">
        <v>79</v>
      </c>
      <c r="X113" s="671" t="s">
        <v>5</v>
      </c>
      <c r="Y113" s="1006" t="s">
        <v>76</v>
      </c>
      <c r="Z113" s="1006" t="s">
        <v>77</v>
      </c>
      <c r="AA113" s="1006" t="s">
        <v>104</v>
      </c>
      <c r="AB113" s="704" t="s">
        <v>105</v>
      </c>
    </row>
    <row r="114" spans="2:28" x14ac:dyDescent="0.25">
      <c r="J114" s="707"/>
      <c r="K114" s="703"/>
      <c r="L114" s="703"/>
      <c r="M114" s="707"/>
      <c r="N114" s="707"/>
      <c r="O114" s="703"/>
      <c r="P114" s="703"/>
      <c r="Q114" s="703"/>
      <c r="R114" s="707"/>
      <c r="S114" s="707"/>
      <c r="T114" s="707"/>
      <c r="U114" s="703"/>
      <c r="V114" s="707"/>
      <c r="X114" s="671"/>
      <c r="Y114" s="1006"/>
      <c r="Z114" s="1006"/>
      <c r="AA114" s="1006"/>
      <c r="AB114" s="704"/>
    </row>
    <row r="115" spans="2:28" x14ac:dyDescent="0.25">
      <c r="J115" s="242">
        <v>6</v>
      </c>
      <c r="K115" s="197">
        <f>hstr6</f>
        <v>3</v>
      </c>
      <c r="L115" s="197">
        <f t="shared" ref="L115:L117" si="30">L116+K115</f>
        <v>17.75</v>
      </c>
      <c r="M115" s="243">
        <f>'Yield Mechanism'!$X$57</f>
        <v>0.1999780221407951</v>
      </c>
      <c r="N115" s="21">
        <f>M115-M116</f>
        <v>1.7463742266006499E-3</v>
      </c>
      <c r="O115" s="244">
        <f t="shared" ref="O115:O119" si="31">N115/K115</f>
        <v>5.8212474220021659E-4</v>
      </c>
      <c r="P115" s="243">
        <f>$C$26</f>
        <v>8.3125273614190701E-3</v>
      </c>
      <c r="Q115" s="243">
        <f>$D$26</f>
        <v>2.4571407410608624E-3</v>
      </c>
      <c r="R115" s="17">
        <f>O115/P115</f>
        <v>7.0029813664377452E-2</v>
      </c>
      <c r="S115" s="17">
        <f t="shared" ref="S115:S120" si="32">O115/Q115</f>
        <v>0.23691143631800518</v>
      </c>
      <c r="T115" s="611">
        <f>'Yield Mechanism'!$AI$57</f>
        <v>45.860346187851235</v>
      </c>
      <c r="U115" s="197">
        <f>T115*K115</f>
        <v>137.5810385635537</v>
      </c>
      <c r="V115" s="17">
        <f>U120/AB115</f>
        <v>235.33335573263852</v>
      </c>
      <c r="W115" s="186"/>
      <c r="X115" s="283">
        <v>6</v>
      </c>
      <c r="Y115" s="17">
        <f>mstr6</f>
        <v>63.074599999999997</v>
      </c>
      <c r="Z115" s="17">
        <f t="shared" ref="Z115:Z120" si="33">Y115*M115</f>
        <v>12.613533755321795</v>
      </c>
      <c r="AA115" s="17">
        <f t="shared" ref="AA115:AA120" si="34">Z115*L115</f>
        <v>223.89022415696186</v>
      </c>
      <c r="AB115" s="17">
        <f>AA121/Z121</f>
        <v>11.722127751615165</v>
      </c>
    </row>
    <row r="116" spans="2:28" x14ac:dyDescent="0.25">
      <c r="J116" s="242">
        <v>5</v>
      </c>
      <c r="K116" s="197">
        <f>hstr5</f>
        <v>3</v>
      </c>
      <c r="L116" s="197">
        <f t="shared" si="30"/>
        <v>14.75</v>
      </c>
      <c r="M116" s="243">
        <f>'Yield Mechanism'!$X$58</f>
        <v>0.19823164791419445</v>
      </c>
      <c r="N116" s="21">
        <f t="shared" ref="N116:N118" si="35">M116-M117</f>
        <v>3.278686908854328E-3</v>
      </c>
      <c r="O116" s="244">
        <f t="shared" si="31"/>
        <v>1.0928956362847759E-3</v>
      </c>
      <c r="P116" s="243">
        <f>$C$27</f>
        <v>9.5976000000000013E-3</v>
      </c>
      <c r="Q116" s="243">
        <f>$D$27</f>
        <v>2.2807165072368058E-3</v>
      </c>
      <c r="R116" s="17">
        <f t="shared" ref="R116:R120" si="36">O116/P116</f>
        <v>0.11387176338717761</v>
      </c>
      <c r="S116" s="17">
        <f t="shared" si="32"/>
        <v>0.47918960239774377</v>
      </c>
      <c r="T116" s="611">
        <f>'Yield Mechanism'!$AI$58</f>
        <v>94.35001311100973</v>
      </c>
      <c r="U116" s="197">
        <f>T116*K116+U115</f>
        <v>420.63107789658289</v>
      </c>
      <c r="V116" s="1035"/>
      <c r="W116" s="186"/>
      <c r="X116" s="283">
        <v>5</v>
      </c>
      <c r="Y116" s="17">
        <f>mstr5</f>
        <v>67.278400000000005</v>
      </c>
      <c r="Z116" s="17">
        <f t="shared" si="33"/>
        <v>13.336708101030341</v>
      </c>
      <c r="AA116" s="17">
        <f t="shared" si="34"/>
        <v>196.71644449019755</v>
      </c>
      <c r="AB116" s="474" t="s">
        <v>334</v>
      </c>
    </row>
    <row r="117" spans="2:28" ht="15" customHeight="1" x14ac:dyDescent="0.25">
      <c r="J117" s="242">
        <v>4</v>
      </c>
      <c r="K117" s="197">
        <f>hstr4</f>
        <v>3</v>
      </c>
      <c r="L117" s="197">
        <f t="shared" si="30"/>
        <v>11.75</v>
      </c>
      <c r="M117" s="243">
        <f>'Yield Mechanism'!$X$59</f>
        <v>0.19495296100534013</v>
      </c>
      <c r="N117" s="21">
        <f t="shared" si="35"/>
        <v>4.3949468688682936E-3</v>
      </c>
      <c r="O117" s="244">
        <f t="shared" si="31"/>
        <v>1.4649822896227644E-3</v>
      </c>
      <c r="P117" s="243">
        <f>$C$28</f>
        <v>8.8673064285714302E-3</v>
      </c>
      <c r="Q117" s="243">
        <f>$D$28</f>
        <v>2.1026318802204874E-3</v>
      </c>
      <c r="R117" s="17">
        <f t="shared" si="36"/>
        <v>0.16521164588407947</v>
      </c>
      <c r="S117" s="17">
        <f t="shared" si="32"/>
        <v>0.69673740962642616</v>
      </c>
      <c r="T117" s="611">
        <f>'Yield Mechanism'!$AI$59</f>
        <v>142.03767673233165</v>
      </c>
      <c r="U117" s="197">
        <f t="shared" ref="U117:U120" si="37">T117*K117+U116</f>
        <v>846.74410809357778</v>
      </c>
      <c r="V117" s="1036"/>
      <c r="W117" s="186"/>
      <c r="X117" s="283">
        <v>4</v>
      </c>
      <c r="Y117" s="17">
        <f>mstr4</f>
        <v>67.278400000000005</v>
      </c>
      <c r="Z117" s="17">
        <f t="shared" si="33"/>
        <v>13.116123291701676</v>
      </c>
      <c r="AA117" s="17">
        <f t="shared" si="34"/>
        <v>154.11444867749469</v>
      </c>
      <c r="AB117" s="196">
        <f>T120/M115</f>
        <v>1176.7960959577401</v>
      </c>
    </row>
    <row r="118" spans="2:28" ht="15" customHeight="1" x14ac:dyDescent="0.25">
      <c r="J118" s="242">
        <v>3</v>
      </c>
      <c r="K118" s="197">
        <f>hstr3</f>
        <v>3</v>
      </c>
      <c r="L118" s="197">
        <f>L119+K118</f>
        <v>8.75</v>
      </c>
      <c r="M118" s="243">
        <f>'Yield Mechanism'!$X$60</f>
        <v>0.19055801413647183</v>
      </c>
      <c r="N118" s="21">
        <f t="shared" si="35"/>
        <v>9.5971826993550557E-3</v>
      </c>
      <c r="O118" s="244">
        <f t="shared" si="31"/>
        <v>3.1990608997850187E-3</v>
      </c>
      <c r="P118" s="243">
        <f>$C$29</f>
        <v>8.3556867009551838E-3</v>
      </c>
      <c r="Q118" s="243">
        <f>$D$29</f>
        <v>1.9478666359322766E-3</v>
      </c>
      <c r="R118" s="17">
        <f t="shared" si="36"/>
        <v>0.38286032187148866</v>
      </c>
      <c r="S118" s="17">
        <f t="shared" si="32"/>
        <v>1.6423408259949495</v>
      </c>
      <c r="T118" s="611">
        <f>'Yield Mechanism'!$AI$60</f>
        <v>188.65028744429932</v>
      </c>
      <c r="U118" s="197">
        <f t="shared" si="37"/>
        <v>1412.6949704264757</v>
      </c>
      <c r="V118" s="1036"/>
      <c r="W118" s="186"/>
      <c r="X118" s="283">
        <v>3</v>
      </c>
      <c r="Y118" s="17">
        <f>mstr3</f>
        <v>67.278400000000005</v>
      </c>
      <c r="Z118" s="17">
        <f t="shared" si="33"/>
        <v>12.820438298279207</v>
      </c>
      <c r="AA118" s="17">
        <f t="shared" si="34"/>
        <v>112.17883510994307</v>
      </c>
      <c r="AB118" s="475" t="s">
        <v>336</v>
      </c>
    </row>
    <row r="119" spans="2:28" x14ac:dyDescent="0.25">
      <c r="J119" s="242">
        <v>2</v>
      </c>
      <c r="K119" s="197">
        <f>hstr2</f>
        <v>3</v>
      </c>
      <c r="L119" s="197">
        <f>L120+K119</f>
        <v>5.75</v>
      </c>
      <c r="M119" s="243">
        <f>'Yield Mechanism'!$X$61</f>
        <v>0.18096083143711678</v>
      </c>
      <c r="N119" s="21">
        <f>M119-M120</f>
        <v>0.17107560960780582</v>
      </c>
      <c r="O119" s="244">
        <f t="shared" si="31"/>
        <v>5.7025203202601939E-2</v>
      </c>
      <c r="P119" s="243">
        <f>$C$30</f>
        <v>6.4157970868129726E-3</v>
      </c>
      <c r="Q119" s="243">
        <f>$D$30</f>
        <v>1.8112309252701479E-3</v>
      </c>
      <c r="R119" s="17">
        <f t="shared" si="36"/>
        <v>8.8882491810427613</v>
      </c>
      <c r="S119" s="17">
        <f t="shared" si="32"/>
        <v>31.48422567602557</v>
      </c>
      <c r="T119" s="611">
        <f>'Yield Mechanism'!$AI$61</f>
        <v>232.91532047435166</v>
      </c>
      <c r="U119" s="197">
        <f t="shared" si="37"/>
        <v>2111.4409318495309</v>
      </c>
      <c r="V119" s="1036"/>
      <c r="W119" s="186"/>
      <c r="X119" s="283">
        <v>2</v>
      </c>
      <c r="Y119" s="17">
        <f>mstr2</f>
        <v>67.278400000000005</v>
      </c>
      <c r="Z119" s="17">
        <f t="shared" si="33"/>
        <v>12.174755201758918</v>
      </c>
      <c r="AA119" s="17">
        <f t="shared" si="34"/>
        <v>70.004842410113781</v>
      </c>
      <c r="AB119" s="17">
        <f>((Y120*M118+Y119*M119+Y118*M120+M117*Y117+M116*Y116+M115*Y115)^2)/(Y120*M118*M118+Y119*M119*M119+Y118*M120*M120+Y117*M117*M117+Y116*M116*M116+Y115*M115*M115)</f>
        <v>338.5215186058951</v>
      </c>
    </row>
    <row r="120" spans="2:28" x14ac:dyDescent="0.25">
      <c r="J120" s="242">
        <v>1</v>
      </c>
      <c r="K120" s="197">
        <f>hstr1</f>
        <v>2.75</v>
      </c>
      <c r="L120" s="197">
        <f>K120</f>
        <v>2.75</v>
      </c>
      <c r="M120" s="243">
        <f>'Yield Mechanism'!$X$62</f>
        <v>9.8852218293109598E-3</v>
      </c>
      <c r="N120" s="21">
        <f>M120</f>
        <v>9.8852218293109598E-3</v>
      </c>
      <c r="O120" s="244">
        <f>N120/K120</f>
        <v>3.59462611974944E-3</v>
      </c>
      <c r="P120" s="243">
        <f>$C$31</f>
        <v>4.8471720397440425E-3</v>
      </c>
      <c r="Q120" s="243">
        <f>$D$31</f>
        <v>1.7850281840739108E-3</v>
      </c>
      <c r="R120" s="17">
        <f t="shared" si="36"/>
        <v>0.74159243581114076</v>
      </c>
      <c r="S120" s="17">
        <f t="shared" si="32"/>
        <v>2.0137643493928166</v>
      </c>
      <c r="T120" s="611">
        <f>'Yield Mechanism'!$AI$62</f>
        <v>235.33335573263821</v>
      </c>
      <c r="U120" s="197">
        <f t="shared" si="37"/>
        <v>2758.6076601142859</v>
      </c>
      <c r="V120" s="1037"/>
      <c r="W120" s="186"/>
      <c r="X120" s="283">
        <v>1</v>
      </c>
      <c r="Y120" s="17">
        <f>mstr1</f>
        <v>67.278400000000005</v>
      </c>
      <c r="Z120" s="17">
        <f t="shared" si="33"/>
        <v>0.66506190832111456</v>
      </c>
      <c r="AA120" s="17">
        <f t="shared" si="34"/>
        <v>1.8289202478830651</v>
      </c>
      <c r="AB120" s="474" t="s">
        <v>335</v>
      </c>
    </row>
    <row r="121" spans="2:28" x14ac:dyDescent="0.25">
      <c r="X121" s="284"/>
      <c r="Y121" s="474" t="s">
        <v>78</v>
      </c>
      <c r="Z121" s="245">
        <f>SUM(Z115:Z120)</f>
        <v>64.726620556413053</v>
      </c>
      <c r="AA121" s="245">
        <f>SUM(AA115:AA120)</f>
        <v>758.73371509259403</v>
      </c>
      <c r="AB121" s="196">
        <f>2*PI()*SQRT(AB119/AB117)</f>
        <v>3.3699417890142915</v>
      </c>
    </row>
    <row r="123" spans="2:28" ht="15.75" x14ac:dyDescent="0.25">
      <c r="B123" s="1029" t="s">
        <v>207</v>
      </c>
      <c r="C123" s="1030"/>
      <c r="D123" s="1030"/>
      <c r="E123" s="1030"/>
      <c r="F123" s="1030"/>
      <c r="G123" s="1030"/>
      <c r="H123" s="1031"/>
      <c r="J123" s="1014" t="s">
        <v>338</v>
      </c>
      <c r="K123" s="1014"/>
      <c r="L123" s="1014"/>
      <c r="M123" s="1014"/>
      <c r="N123" s="1014"/>
      <c r="O123" s="1014"/>
      <c r="P123" s="1014"/>
      <c r="Q123" s="1014"/>
      <c r="R123" s="1014"/>
      <c r="S123" s="1014"/>
      <c r="T123" s="1014"/>
      <c r="U123" s="1014"/>
      <c r="V123" s="1014"/>
      <c r="X123" s="1017" t="s">
        <v>106</v>
      </c>
      <c r="Y123" s="1017"/>
      <c r="Z123" s="1017"/>
      <c r="AA123" s="1017"/>
      <c r="AB123" s="1017"/>
    </row>
    <row r="124" spans="2:28" ht="15" customHeight="1" x14ac:dyDescent="0.25">
      <c r="B124" s="671" t="s">
        <v>206</v>
      </c>
      <c r="C124" s="671" t="s">
        <v>5</v>
      </c>
      <c r="D124" s="674" t="s">
        <v>84</v>
      </c>
      <c r="E124" s="946"/>
      <c r="F124" s="946"/>
      <c r="G124" s="946"/>
      <c r="H124" s="675"/>
      <c r="J124" s="973" t="s">
        <v>5</v>
      </c>
      <c r="K124" s="974" t="s">
        <v>3</v>
      </c>
      <c r="L124" s="974" t="s">
        <v>72</v>
      </c>
      <c r="M124" s="973" t="s">
        <v>74</v>
      </c>
      <c r="N124" s="973" t="s">
        <v>81</v>
      </c>
      <c r="O124" s="974" t="s">
        <v>101</v>
      </c>
      <c r="P124" s="974" t="s">
        <v>255</v>
      </c>
      <c r="Q124" s="974" t="s">
        <v>256</v>
      </c>
      <c r="R124" s="973" t="s">
        <v>390</v>
      </c>
      <c r="S124" s="973" t="s">
        <v>391</v>
      </c>
      <c r="T124" s="973" t="s">
        <v>75</v>
      </c>
      <c r="U124" s="974" t="s">
        <v>102</v>
      </c>
      <c r="V124" s="973" t="s">
        <v>79</v>
      </c>
      <c r="X124" s="671" t="s">
        <v>5</v>
      </c>
      <c r="Y124" s="1006" t="s">
        <v>76</v>
      </c>
      <c r="Z124" s="1006" t="s">
        <v>77</v>
      </c>
      <c r="AA124" s="1006" t="s">
        <v>104</v>
      </c>
      <c r="AB124" s="704" t="s">
        <v>105</v>
      </c>
    </row>
    <row r="125" spans="2:28" x14ac:dyDescent="0.25">
      <c r="B125" s="671"/>
      <c r="C125" s="671"/>
      <c r="D125" s="262"/>
      <c r="E125" s="262"/>
      <c r="F125" s="262"/>
      <c r="G125" s="289"/>
      <c r="H125" s="263" t="s">
        <v>266</v>
      </c>
      <c r="J125" s="707"/>
      <c r="K125" s="703"/>
      <c r="L125" s="703"/>
      <c r="M125" s="707"/>
      <c r="N125" s="707"/>
      <c r="O125" s="703"/>
      <c r="P125" s="703"/>
      <c r="Q125" s="703"/>
      <c r="R125" s="707"/>
      <c r="S125" s="707"/>
      <c r="T125" s="707"/>
      <c r="U125" s="703"/>
      <c r="V125" s="707"/>
      <c r="X125" s="671"/>
      <c r="Y125" s="1006"/>
      <c r="Z125" s="1006"/>
      <c r="AA125" s="1006"/>
      <c r="AB125" s="704"/>
    </row>
    <row r="126" spans="2:28" x14ac:dyDescent="0.25">
      <c r="B126" s="327">
        <f t="shared" ref="B126:B128" si="38">B127+3</f>
        <v>17.75</v>
      </c>
      <c r="C126" s="327">
        <v>6</v>
      </c>
      <c r="D126" s="21"/>
      <c r="E126" s="21"/>
      <c r="F126" s="21"/>
      <c r="G126" s="21"/>
      <c r="H126" s="264">
        <v>0</v>
      </c>
      <c r="I126" s="260"/>
      <c r="J126" s="242">
        <v>6</v>
      </c>
      <c r="K126" s="197">
        <f>hstr6</f>
        <v>3</v>
      </c>
      <c r="L126" s="197">
        <f t="shared" ref="L126:L128" si="39">L127+K126</f>
        <v>17.75</v>
      </c>
      <c r="M126" s="243">
        <f>'Yield Mechanism'!$X$57</f>
        <v>0.1999780221407951</v>
      </c>
      <c r="N126" s="21">
        <f>M126-M127</f>
        <v>1.7463742266006499E-3</v>
      </c>
      <c r="O126" s="244">
        <f t="shared" ref="O126:O130" si="40">N126/K126</f>
        <v>5.8212474220021659E-4</v>
      </c>
      <c r="P126" s="243">
        <f>$C$26</f>
        <v>8.3125273614190701E-3</v>
      </c>
      <c r="Q126" s="243">
        <f>$D$26</f>
        <v>2.4571407410608624E-3</v>
      </c>
      <c r="R126" s="17">
        <f>O126/P126</f>
        <v>7.0029813664377452E-2</v>
      </c>
      <c r="S126" s="17">
        <f t="shared" ref="S126:S131" si="41">O126/Q126</f>
        <v>0.23691143631800518</v>
      </c>
      <c r="T126" s="611">
        <f>'Yield Mechanism'!$AI$57</f>
        <v>45.860346187851235</v>
      </c>
      <c r="U126" s="197">
        <f>T126*K126</f>
        <v>137.5810385635537</v>
      </c>
      <c r="V126" s="17">
        <f>U131/AB126</f>
        <v>235.33335573263852</v>
      </c>
      <c r="W126" s="186"/>
      <c r="X126" s="283">
        <v>6</v>
      </c>
      <c r="Y126" s="17">
        <f>mstr6</f>
        <v>63.074599999999997</v>
      </c>
      <c r="Z126" s="17">
        <f t="shared" ref="Z126:Z131" si="42">Y126*M126</f>
        <v>12.613533755321795</v>
      </c>
      <c r="AA126" s="17">
        <f t="shared" ref="AA126:AA131" si="43">Z126*L126</f>
        <v>223.89022415696186</v>
      </c>
      <c r="AB126" s="17">
        <f>AA132/Z132</f>
        <v>11.722127751615165</v>
      </c>
    </row>
    <row r="127" spans="2:28" x14ac:dyDescent="0.25">
      <c r="B127" s="327">
        <f t="shared" si="38"/>
        <v>14.75</v>
      </c>
      <c r="C127" s="327">
        <v>5</v>
      </c>
      <c r="D127" s="21"/>
      <c r="E127" s="21"/>
      <c r="F127" s="21"/>
      <c r="G127" s="21"/>
      <c r="H127" s="264">
        <v>0</v>
      </c>
      <c r="I127" s="260"/>
      <c r="J127" s="242">
        <v>5</v>
      </c>
      <c r="K127" s="197">
        <f>hstr5</f>
        <v>3</v>
      </c>
      <c r="L127" s="197">
        <f t="shared" si="39"/>
        <v>14.75</v>
      </c>
      <c r="M127" s="243">
        <f>'Yield Mechanism'!$X$58</f>
        <v>0.19823164791419445</v>
      </c>
      <c r="N127" s="21">
        <f t="shared" ref="N127:N129" si="44">M127-M128</f>
        <v>3.278686908854328E-3</v>
      </c>
      <c r="O127" s="244">
        <f t="shared" si="40"/>
        <v>1.0928956362847759E-3</v>
      </c>
      <c r="P127" s="243">
        <f>$C$27</f>
        <v>9.5976000000000013E-3</v>
      </c>
      <c r="Q127" s="243">
        <f>$D$27</f>
        <v>2.2807165072368058E-3</v>
      </c>
      <c r="R127" s="17">
        <f t="shared" ref="R127:R131" si="45">O127/P127</f>
        <v>0.11387176338717761</v>
      </c>
      <c r="S127" s="17">
        <f t="shared" si="41"/>
        <v>0.47918960239774377</v>
      </c>
      <c r="T127" s="611">
        <f>'Yield Mechanism'!$AI$58</f>
        <v>94.35001311100973</v>
      </c>
      <c r="U127" s="197">
        <f>T127*K127+U126</f>
        <v>420.63107789658289</v>
      </c>
      <c r="V127" s="1035"/>
      <c r="W127" s="186"/>
      <c r="X127" s="283">
        <v>5</v>
      </c>
      <c r="Y127" s="17">
        <f>mstr5</f>
        <v>67.278400000000005</v>
      </c>
      <c r="Z127" s="17">
        <f t="shared" si="42"/>
        <v>13.336708101030341</v>
      </c>
      <c r="AA127" s="17">
        <f t="shared" si="43"/>
        <v>196.71644449019755</v>
      </c>
      <c r="AB127" s="474" t="s">
        <v>334</v>
      </c>
    </row>
    <row r="128" spans="2:28" x14ac:dyDescent="0.25">
      <c r="B128" s="327">
        <f t="shared" si="38"/>
        <v>11.75</v>
      </c>
      <c r="C128" s="327">
        <v>4</v>
      </c>
      <c r="D128" s="21"/>
      <c r="E128" s="21"/>
      <c r="F128" s="21"/>
      <c r="G128" s="21"/>
      <c r="H128" s="264">
        <v>0</v>
      </c>
      <c r="I128" s="260"/>
      <c r="J128" s="242">
        <v>4</v>
      </c>
      <c r="K128" s="197">
        <f>hstr4</f>
        <v>3</v>
      </c>
      <c r="L128" s="197">
        <f t="shared" si="39"/>
        <v>11.75</v>
      </c>
      <c r="M128" s="243">
        <f>'Yield Mechanism'!$X$59</f>
        <v>0.19495296100534013</v>
      </c>
      <c r="N128" s="21">
        <f t="shared" si="44"/>
        <v>4.3949468688682936E-3</v>
      </c>
      <c r="O128" s="244">
        <f t="shared" si="40"/>
        <v>1.4649822896227644E-3</v>
      </c>
      <c r="P128" s="243">
        <f>$C$28</f>
        <v>8.8673064285714302E-3</v>
      </c>
      <c r="Q128" s="243">
        <f>$D$28</f>
        <v>2.1026318802204874E-3</v>
      </c>
      <c r="R128" s="17">
        <f t="shared" si="45"/>
        <v>0.16521164588407947</v>
      </c>
      <c r="S128" s="17">
        <f t="shared" si="41"/>
        <v>0.69673740962642616</v>
      </c>
      <c r="T128" s="611">
        <f>'Yield Mechanism'!$AI$59</f>
        <v>142.03767673233165</v>
      </c>
      <c r="U128" s="197">
        <f t="shared" ref="U128:U131" si="46">T128*K128+U127</f>
        <v>846.74410809357778</v>
      </c>
      <c r="V128" s="1036"/>
      <c r="W128" s="186"/>
      <c r="X128" s="283">
        <v>4</v>
      </c>
      <c r="Y128" s="17">
        <f>mstr4</f>
        <v>67.278400000000005</v>
      </c>
      <c r="Z128" s="17">
        <f t="shared" si="42"/>
        <v>13.116123291701676</v>
      </c>
      <c r="AA128" s="17">
        <f t="shared" si="43"/>
        <v>154.11444867749469</v>
      </c>
      <c r="AB128" s="196">
        <f>T131/M126</f>
        <v>1176.7960959577401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64">
        <v>0</v>
      </c>
      <c r="I129" s="260"/>
      <c r="J129" s="242">
        <v>3</v>
      </c>
      <c r="K129" s="197">
        <f>hstr3</f>
        <v>3</v>
      </c>
      <c r="L129" s="197">
        <f>L130+K129</f>
        <v>8.75</v>
      </c>
      <c r="M129" s="243">
        <f>'Yield Mechanism'!$X$60</f>
        <v>0.19055801413647183</v>
      </c>
      <c r="N129" s="21">
        <f t="shared" si="44"/>
        <v>9.5971826993550557E-3</v>
      </c>
      <c r="O129" s="244">
        <f t="shared" si="40"/>
        <v>3.1990608997850187E-3</v>
      </c>
      <c r="P129" s="243">
        <f>$C$29</f>
        <v>8.3556867009551838E-3</v>
      </c>
      <c r="Q129" s="243">
        <f>$D$29</f>
        <v>1.9478666359322766E-3</v>
      </c>
      <c r="R129" s="17">
        <f t="shared" si="45"/>
        <v>0.38286032187148866</v>
      </c>
      <c r="S129" s="17">
        <f t="shared" si="41"/>
        <v>1.6423408259949495</v>
      </c>
      <c r="T129" s="611">
        <f>'Yield Mechanism'!$AI$60</f>
        <v>188.65028744429932</v>
      </c>
      <c r="U129" s="197">
        <f t="shared" si="46"/>
        <v>1412.6949704264757</v>
      </c>
      <c r="V129" s="1036"/>
      <c r="W129" s="186"/>
      <c r="X129" s="283">
        <v>3</v>
      </c>
      <c r="Y129" s="17">
        <f>mstr3</f>
        <v>67.278400000000005</v>
      </c>
      <c r="Z129" s="17">
        <f t="shared" si="42"/>
        <v>12.820438298279207</v>
      </c>
      <c r="AA129" s="17">
        <f t="shared" si="43"/>
        <v>112.17883510994307</v>
      </c>
      <c r="AB129" s="475" t="s">
        <v>336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64">
        <v>0</v>
      </c>
      <c r="I130" s="260"/>
      <c r="J130" s="242">
        <v>2</v>
      </c>
      <c r="K130" s="197">
        <f>hstr2</f>
        <v>3</v>
      </c>
      <c r="L130" s="197">
        <f>L131+K130</f>
        <v>5.75</v>
      </c>
      <c r="M130" s="243">
        <f>'Yield Mechanism'!$X$61</f>
        <v>0.18096083143711678</v>
      </c>
      <c r="N130" s="21">
        <f>M130-M131</f>
        <v>0.17107560960780582</v>
      </c>
      <c r="O130" s="244">
        <f t="shared" si="40"/>
        <v>5.7025203202601939E-2</v>
      </c>
      <c r="P130" s="243">
        <f>$C$30</f>
        <v>6.4157970868129726E-3</v>
      </c>
      <c r="Q130" s="243">
        <f>$D$30</f>
        <v>1.8112309252701479E-3</v>
      </c>
      <c r="R130" s="17">
        <f t="shared" si="45"/>
        <v>8.8882491810427613</v>
      </c>
      <c r="S130" s="17">
        <f t="shared" si="41"/>
        <v>31.48422567602557</v>
      </c>
      <c r="T130" s="611">
        <f>'Yield Mechanism'!$AI$61</f>
        <v>232.91532047435166</v>
      </c>
      <c r="U130" s="197">
        <f t="shared" si="46"/>
        <v>2111.4409318495309</v>
      </c>
      <c r="V130" s="1036"/>
      <c r="W130" s="186"/>
      <c r="X130" s="283">
        <v>2</v>
      </c>
      <c r="Y130" s="17">
        <f>mstr2</f>
        <v>67.278400000000005</v>
      </c>
      <c r="Z130" s="17">
        <f t="shared" si="42"/>
        <v>12.174755201758918</v>
      </c>
      <c r="AA130" s="17">
        <f t="shared" si="43"/>
        <v>70.004842410113781</v>
      </c>
      <c r="AB130" s="17">
        <f>((Y131*M129+Y130*M130+Y129*M131+M128*Y128+M127*Y127+M126*Y126)^2)/(Y131*M129*M129+Y130*M130*M130+Y129*M131*M131+Y128*M128*M128+Y127*M127*M127+Y126*M126*M126)</f>
        <v>338.5215186058951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64">
        <v>0</v>
      </c>
      <c r="I131" s="260"/>
      <c r="J131" s="242">
        <v>1</v>
      </c>
      <c r="K131" s="197">
        <f>hstr1</f>
        <v>2.75</v>
      </c>
      <c r="L131" s="197">
        <f>K131</f>
        <v>2.75</v>
      </c>
      <c r="M131" s="243">
        <f>'Yield Mechanism'!$X$62</f>
        <v>9.8852218293109598E-3</v>
      </c>
      <c r="N131" s="21">
        <f>M131</f>
        <v>9.8852218293109598E-3</v>
      </c>
      <c r="O131" s="244">
        <f>N131/K131</f>
        <v>3.59462611974944E-3</v>
      </c>
      <c r="P131" s="243">
        <f>$C$31</f>
        <v>4.8471720397440425E-3</v>
      </c>
      <c r="Q131" s="243">
        <f>$D$31</f>
        <v>1.7850281840739108E-3</v>
      </c>
      <c r="R131" s="17">
        <f t="shared" si="45"/>
        <v>0.74159243581114076</v>
      </c>
      <c r="S131" s="17">
        <f t="shared" si="41"/>
        <v>2.0137643493928166</v>
      </c>
      <c r="T131" s="611">
        <f>'Yield Mechanism'!$AI$62</f>
        <v>235.33335573263821</v>
      </c>
      <c r="U131" s="197">
        <f t="shared" si="46"/>
        <v>2758.6076601142859</v>
      </c>
      <c r="V131" s="1037"/>
      <c r="W131" s="186"/>
      <c r="X131" s="283">
        <v>1</v>
      </c>
      <c r="Y131" s="17">
        <f>mstr1</f>
        <v>67.278400000000005</v>
      </c>
      <c r="Z131" s="17">
        <f t="shared" si="42"/>
        <v>0.66506190832111456</v>
      </c>
      <c r="AA131" s="17">
        <f t="shared" si="43"/>
        <v>1.8289202478830651</v>
      </c>
      <c r="AB131" s="474" t="s">
        <v>335</v>
      </c>
    </row>
    <row r="132" spans="2:28" x14ac:dyDescent="0.25">
      <c r="B132" s="262">
        <v>0</v>
      </c>
      <c r="C132" s="8">
        <v>0</v>
      </c>
      <c r="D132" s="21"/>
      <c r="E132" s="21"/>
      <c r="F132" s="21"/>
      <c r="G132" s="21"/>
      <c r="H132" s="264">
        <v>0</v>
      </c>
      <c r="I132" s="260"/>
      <c r="X132" s="284"/>
      <c r="Y132" s="474" t="s">
        <v>78</v>
      </c>
      <c r="Z132" s="245">
        <f>SUM(Z126:Z131)</f>
        <v>64.726620556413053</v>
      </c>
      <c r="AA132" s="245">
        <f>SUM(AA126:AA131)</f>
        <v>758.73371509259403</v>
      </c>
      <c r="AB132" s="196">
        <f>2*PI()*SQRT(AB130/AB128)</f>
        <v>3.3699417890142915</v>
      </c>
    </row>
    <row r="134" spans="2:28" ht="18.75" x14ac:dyDescent="0.25">
      <c r="B134" s="1032" t="s">
        <v>120</v>
      </c>
      <c r="C134" s="1033"/>
      <c r="D134" s="1033"/>
      <c r="E134" s="1033"/>
      <c r="F134" s="1033"/>
      <c r="G134" s="1033"/>
      <c r="H134" s="1034"/>
      <c r="J134" s="1023" t="s">
        <v>339</v>
      </c>
      <c r="K134" s="1024"/>
      <c r="L134" s="1024"/>
      <c r="M134" s="1024"/>
      <c r="N134" s="1024"/>
      <c r="O134" s="1024"/>
      <c r="P134" s="1024"/>
      <c r="Q134" s="1024"/>
      <c r="R134" s="1024"/>
      <c r="S134" s="1024"/>
      <c r="T134" s="1024"/>
      <c r="U134" s="1024"/>
      <c r="V134" s="1025"/>
      <c r="X134" s="1016" t="s">
        <v>106</v>
      </c>
      <c r="Y134" s="1016"/>
      <c r="Z134" s="1016"/>
      <c r="AA134" s="1016"/>
      <c r="AB134" s="1016"/>
    </row>
    <row r="135" spans="2:28" ht="15" customHeight="1" x14ac:dyDescent="0.25">
      <c r="B135" s="948" t="s">
        <v>5</v>
      </c>
      <c r="C135" s="948" t="s">
        <v>114</v>
      </c>
      <c r="D135" s="948" t="s">
        <v>115</v>
      </c>
      <c r="E135" s="948" t="s">
        <v>116</v>
      </c>
      <c r="F135" s="948" t="s">
        <v>117</v>
      </c>
      <c r="G135" s="948" t="s">
        <v>118</v>
      </c>
      <c r="H135" s="948" t="s">
        <v>119</v>
      </c>
      <c r="J135" s="973" t="s">
        <v>5</v>
      </c>
      <c r="K135" s="974" t="s">
        <v>3</v>
      </c>
      <c r="L135" s="974" t="s">
        <v>72</v>
      </c>
      <c r="M135" s="973" t="s">
        <v>74</v>
      </c>
      <c r="N135" s="973" t="s">
        <v>81</v>
      </c>
      <c r="O135" s="974" t="s">
        <v>101</v>
      </c>
      <c r="P135" s="974" t="s">
        <v>255</v>
      </c>
      <c r="Q135" s="974" t="s">
        <v>256</v>
      </c>
      <c r="R135" s="973" t="s">
        <v>390</v>
      </c>
      <c r="S135" s="973" t="s">
        <v>391</v>
      </c>
      <c r="T135" s="973" t="s">
        <v>75</v>
      </c>
      <c r="U135" s="974" t="s">
        <v>102</v>
      </c>
      <c r="V135" s="973" t="s">
        <v>79</v>
      </c>
      <c r="X135" s="671" t="s">
        <v>5</v>
      </c>
      <c r="Y135" s="1006" t="s">
        <v>76</v>
      </c>
      <c r="Z135" s="1006" t="s">
        <v>77</v>
      </c>
      <c r="AA135" s="1006" t="s">
        <v>104</v>
      </c>
      <c r="AB135" s="704" t="s">
        <v>105</v>
      </c>
    </row>
    <row r="136" spans="2:28" x14ac:dyDescent="0.25">
      <c r="B136" s="948"/>
      <c r="C136" s="948"/>
      <c r="D136" s="948"/>
      <c r="E136" s="948"/>
      <c r="F136" s="948"/>
      <c r="G136" s="948"/>
      <c r="H136" s="948"/>
      <c r="J136" s="707"/>
      <c r="K136" s="703"/>
      <c r="L136" s="703"/>
      <c r="M136" s="707"/>
      <c r="N136" s="707"/>
      <c r="O136" s="703"/>
      <c r="P136" s="703"/>
      <c r="Q136" s="703"/>
      <c r="R136" s="707"/>
      <c r="S136" s="707"/>
      <c r="T136" s="707"/>
      <c r="U136" s="703"/>
      <c r="V136" s="707"/>
      <c r="X136" s="671"/>
      <c r="Y136" s="1006"/>
      <c r="Z136" s="1006"/>
      <c r="AA136" s="1006"/>
      <c r="AB136" s="704"/>
    </row>
    <row r="137" spans="2:28" x14ac:dyDescent="0.25">
      <c r="B137" s="265">
        <v>6</v>
      </c>
      <c r="C137" s="21">
        <f>M5-H126</f>
        <v>2.5699996201069053E-2</v>
      </c>
      <c r="D137" s="21">
        <f>M16-H126</f>
        <v>2.6099759428439784E-2</v>
      </c>
      <c r="E137" s="21">
        <f>M27-H126</f>
        <v>3.2791265964516744E-2</v>
      </c>
      <c r="F137" s="21">
        <f>M38-H126</f>
        <v>5.0685507212863398E-2</v>
      </c>
      <c r="G137" s="21">
        <f>M49-H126</f>
        <v>5.4991328049308327E-2</v>
      </c>
      <c r="H137" s="21">
        <f>M159-H126</f>
        <v>0.1999780221407951</v>
      </c>
      <c r="J137" s="242">
        <v>6</v>
      </c>
      <c r="K137" s="197">
        <f>hstr6</f>
        <v>3</v>
      </c>
      <c r="L137" s="197">
        <f t="shared" ref="L137:L139" si="47">L138+K137</f>
        <v>17.75</v>
      </c>
      <c r="M137" s="243">
        <f>'Yield Mechanism'!$X$57</f>
        <v>0.1999780221407951</v>
      </c>
      <c r="N137" s="21">
        <f>M137-M138</f>
        <v>1.7463742266006499E-3</v>
      </c>
      <c r="O137" s="244">
        <f t="shared" ref="O137:O141" si="48">N137/K137</f>
        <v>5.8212474220021659E-4</v>
      </c>
      <c r="P137" s="243">
        <f>$C$26</f>
        <v>8.3125273614190701E-3</v>
      </c>
      <c r="Q137" s="243">
        <f>$D$26</f>
        <v>2.4571407410608624E-3</v>
      </c>
      <c r="R137" s="17">
        <f>O137/P137</f>
        <v>7.0029813664377452E-2</v>
      </c>
      <c r="S137" s="17">
        <f t="shared" ref="S137:S142" si="49">O137/Q137</f>
        <v>0.23691143631800518</v>
      </c>
      <c r="T137" s="611">
        <f>'Yield Mechanism'!$AI$57</f>
        <v>45.860346187851235</v>
      </c>
      <c r="U137" s="197">
        <f>T137*K137</f>
        <v>137.5810385635537</v>
      </c>
      <c r="V137" s="17">
        <f>U142/AB137</f>
        <v>235.33335573263852</v>
      </c>
      <c r="W137" s="186"/>
      <c r="X137" s="283">
        <v>6</v>
      </c>
      <c r="Y137" s="17">
        <f>mstr6</f>
        <v>63.074599999999997</v>
      </c>
      <c r="Z137" s="17">
        <f t="shared" ref="Z137:Z142" si="50">Y137*M137</f>
        <v>12.613533755321795</v>
      </c>
      <c r="AA137" s="17">
        <f t="shared" ref="AA137:AA142" si="51">Z137*L137</f>
        <v>223.89022415696186</v>
      </c>
      <c r="AB137" s="17">
        <f>AA143/Z143</f>
        <v>11.722127751615165</v>
      </c>
    </row>
    <row r="138" spans="2:28" x14ac:dyDescent="0.25">
      <c r="B138" s="265">
        <v>5</v>
      </c>
      <c r="C138" s="21">
        <f t="shared" ref="C138:C143" si="52">M6-H127</f>
        <v>2.3768170807239787E-2</v>
      </c>
      <c r="D138" s="21">
        <f t="shared" ref="D138:D143" si="53">M17-H127</f>
        <v>2.4153912895019908E-2</v>
      </c>
      <c r="E138" s="21">
        <f t="shared" ref="E138:E143" si="54">M28-H127</f>
        <v>3.0704515419168001E-2</v>
      </c>
      <c r="F138" s="21">
        <f t="shared" ref="F138:F143" si="55">M39-H127</f>
        <v>4.8256788739142117E-2</v>
      </c>
      <c r="G138" s="21">
        <f t="shared" ref="G138:G143" si="56">M50-H127</f>
        <v>5.263397307800443E-2</v>
      </c>
      <c r="H138" s="21">
        <f t="shared" ref="H138:H143" si="57">M160-H127</f>
        <v>0.19823164791419445</v>
      </c>
      <c r="I138" s="266"/>
      <c r="J138" s="242">
        <v>5</v>
      </c>
      <c r="K138" s="197">
        <f>hstr5</f>
        <v>3</v>
      </c>
      <c r="L138" s="197">
        <f t="shared" si="47"/>
        <v>14.75</v>
      </c>
      <c r="M138" s="243">
        <f>'Yield Mechanism'!$X$58</f>
        <v>0.19823164791419445</v>
      </c>
      <c r="N138" s="21">
        <f t="shared" ref="N138:N140" si="58">M138-M139</f>
        <v>3.278686908854328E-3</v>
      </c>
      <c r="O138" s="244">
        <f t="shared" si="48"/>
        <v>1.0928956362847759E-3</v>
      </c>
      <c r="P138" s="243">
        <f>$C$27</f>
        <v>9.5976000000000013E-3</v>
      </c>
      <c r="Q138" s="243">
        <f>$D$27</f>
        <v>2.2807165072368058E-3</v>
      </c>
      <c r="R138" s="17">
        <f t="shared" ref="R138:R142" si="59">O138/P138</f>
        <v>0.11387176338717761</v>
      </c>
      <c r="S138" s="17">
        <f t="shared" si="49"/>
        <v>0.47918960239774377</v>
      </c>
      <c r="T138" s="611">
        <f>'Yield Mechanism'!$AI$58</f>
        <v>94.35001311100973</v>
      </c>
      <c r="U138" s="197">
        <f>T138*K138+U137</f>
        <v>420.63107789658289</v>
      </c>
      <c r="V138" s="1035"/>
      <c r="W138" s="186"/>
      <c r="X138" s="283">
        <v>5</v>
      </c>
      <c r="Y138" s="17">
        <f>mstr5</f>
        <v>67.278400000000005</v>
      </c>
      <c r="Z138" s="17">
        <f t="shared" si="50"/>
        <v>13.336708101030341</v>
      </c>
      <c r="AA138" s="17">
        <f t="shared" si="51"/>
        <v>196.71644449019755</v>
      </c>
      <c r="AB138" s="474" t="s">
        <v>334</v>
      </c>
    </row>
    <row r="139" spans="2:28" x14ac:dyDescent="0.25">
      <c r="B139" s="265">
        <v>4</v>
      </c>
      <c r="C139" s="21">
        <f t="shared" si="52"/>
        <v>2.0199236172544665E-2</v>
      </c>
      <c r="D139" s="21">
        <f t="shared" si="53"/>
        <v>2.0557889604680343E-2</v>
      </c>
      <c r="E139" s="21">
        <f t="shared" si="54"/>
        <v>2.6825496042539497E-2</v>
      </c>
      <c r="F139" s="21">
        <f t="shared" si="55"/>
        <v>4.3704218134175334E-2</v>
      </c>
      <c r="G139" s="21">
        <f t="shared" si="56"/>
        <v>4.8211281507000131E-2</v>
      </c>
      <c r="H139" s="21">
        <f t="shared" si="57"/>
        <v>0.19495296100534013</v>
      </c>
      <c r="I139" s="266"/>
      <c r="J139" s="242">
        <v>4</v>
      </c>
      <c r="K139" s="197">
        <f>hstr4</f>
        <v>3</v>
      </c>
      <c r="L139" s="197">
        <f t="shared" si="47"/>
        <v>11.75</v>
      </c>
      <c r="M139" s="243">
        <f>'Yield Mechanism'!$X$59</f>
        <v>0.19495296100534013</v>
      </c>
      <c r="N139" s="21">
        <f t="shared" si="58"/>
        <v>4.3949468688682936E-3</v>
      </c>
      <c r="O139" s="244">
        <f t="shared" si="48"/>
        <v>1.4649822896227644E-3</v>
      </c>
      <c r="P139" s="243">
        <f>$C$28</f>
        <v>8.8673064285714302E-3</v>
      </c>
      <c r="Q139" s="243">
        <f>$D$28</f>
        <v>2.1026318802204874E-3</v>
      </c>
      <c r="R139" s="17">
        <f t="shared" si="59"/>
        <v>0.16521164588407947</v>
      </c>
      <c r="S139" s="17">
        <f t="shared" si="49"/>
        <v>0.69673740962642616</v>
      </c>
      <c r="T139" s="611">
        <f>'Yield Mechanism'!$AI$59</f>
        <v>142.03767673233165</v>
      </c>
      <c r="U139" s="197">
        <f t="shared" ref="U139:U142" si="60">T139*K139+U138</f>
        <v>846.74410809357778</v>
      </c>
      <c r="V139" s="1036"/>
      <c r="W139" s="186"/>
      <c r="X139" s="283">
        <v>4</v>
      </c>
      <c r="Y139" s="17">
        <f>mstr4</f>
        <v>67.278400000000005</v>
      </c>
      <c r="Z139" s="17">
        <f t="shared" si="50"/>
        <v>13.116123291701676</v>
      </c>
      <c r="AA139" s="17">
        <f t="shared" si="51"/>
        <v>154.11444867749469</v>
      </c>
      <c r="AB139" s="196">
        <f>T142/M137</f>
        <v>1176.7960959577401</v>
      </c>
    </row>
    <row r="140" spans="2:28" x14ac:dyDescent="0.25">
      <c r="B140" s="265">
        <v>3</v>
      </c>
      <c r="C140" s="21">
        <f t="shared" si="52"/>
        <v>1.5540022797204869E-2</v>
      </c>
      <c r="D140" s="21">
        <f t="shared" si="53"/>
        <v>1.5860753197291258E-2</v>
      </c>
      <c r="E140" s="21">
        <f t="shared" si="54"/>
        <v>2.1709703910177975E-2</v>
      </c>
      <c r="F140" s="21">
        <f t="shared" si="55"/>
        <v>3.7617550892389731E-2</v>
      </c>
      <c r="G140" s="21">
        <f t="shared" si="56"/>
        <v>4.2289679131657251E-2</v>
      </c>
      <c r="H140" s="21">
        <f t="shared" si="57"/>
        <v>0.19055801413647183</v>
      </c>
      <c r="J140" s="242">
        <v>3</v>
      </c>
      <c r="K140" s="197">
        <f>hstr3</f>
        <v>3</v>
      </c>
      <c r="L140" s="197">
        <f>L141+K140</f>
        <v>8.75</v>
      </c>
      <c r="M140" s="243">
        <f>'Yield Mechanism'!$X$60</f>
        <v>0.19055801413647183</v>
      </c>
      <c r="N140" s="21">
        <f t="shared" si="58"/>
        <v>9.5971826993550557E-3</v>
      </c>
      <c r="O140" s="244">
        <f t="shared" si="48"/>
        <v>3.1990608997850187E-3</v>
      </c>
      <c r="P140" s="243">
        <f>$C$29</f>
        <v>8.3556867009551838E-3</v>
      </c>
      <c r="Q140" s="243">
        <f>$D$29</f>
        <v>1.9478666359322766E-3</v>
      </c>
      <c r="R140" s="17">
        <f t="shared" si="59"/>
        <v>0.38286032187148866</v>
      </c>
      <c r="S140" s="17">
        <f t="shared" si="49"/>
        <v>1.6423408259949495</v>
      </c>
      <c r="T140" s="611">
        <f>'Yield Mechanism'!$AI$60</f>
        <v>188.65028744429932</v>
      </c>
      <c r="U140" s="197">
        <f t="shared" si="60"/>
        <v>1412.6949704264757</v>
      </c>
      <c r="V140" s="1036"/>
      <c r="W140" s="186"/>
      <c r="X140" s="283">
        <v>3</v>
      </c>
      <c r="Y140" s="17">
        <f>mstr3</f>
        <v>67.278400000000005</v>
      </c>
      <c r="Z140" s="17">
        <f t="shared" si="50"/>
        <v>12.820438298279207</v>
      </c>
      <c r="AA140" s="17">
        <f t="shared" si="51"/>
        <v>112.17883510994307</v>
      </c>
      <c r="AB140" s="475" t="s">
        <v>336</v>
      </c>
    </row>
    <row r="141" spans="2:28" x14ac:dyDescent="0.25">
      <c r="B141" s="265">
        <v>2</v>
      </c>
      <c r="C141" s="21">
        <f t="shared" si="52"/>
        <v>1.0294462527828974E-2</v>
      </c>
      <c r="D141" s="21">
        <f t="shared" si="53"/>
        <v>1.0568440129819121E-2</v>
      </c>
      <c r="E141" s="21">
        <f t="shared" si="54"/>
        <v>1.5867499955462678E-2</v>
      </c>
      <c r="F141" s="21">
        <f t="shared" si="55"/>
        <v>2.6070912370622916E-2</v>
      </c>
      <c r="G141" s="21">
        <f t="shared" si="56"/>
        <v>3.0920601303418581E-2</v>
      </c>
      <c r="H141" s="21">
        <f t="shared" si="57"/>
        <v>0.18096083143711678</v>
      </c>
      <c r="J141" s="242">
        <v>2</v>
      </c>
      <c r="K141" s="197">
        <f>hstr2</f>
        <v>3</v>
      </c>
      <c r="L141" s="197">
        <f>L142+K141</f>
        <v>5.75</v>
      </c>
      <c r="M141" s="243">
        <f>'Yield Mechanism'!$X$61</f>
        <v>0.18096083143711678</v>
      </c>
      <c r="N141" s="21">
        <f>M141-M142</f>
        <v>0.17107560960780582</v>
      </c>
      <c r="O141" s="244">
        <f t="shared" si="48"/>
        <v>5.7025203202601939E-2</v>
      </c>
      <c r="P141" s="243">
        <f>$C$30</f>
        <v>6.4157970868129726E-3</v>
      </c>
      <c r="Q141" s="243">
        <f>$D$30</f>
        <v>1.8112309252701479E-3</v>
      </c>
      <c r="R141" s="17">
        <f t="shared" si="59"/>
        <v>8.8882491810427613</v>
      </c>
      <c r="S141" s="17">
        <f t="shared" si="49"/>
        <v>31.48422567602557</v>
      </c>
      <c r="T141" s="611">
        <f>'Yield Mechanism'!$AI$61</f>
        <v>232.91532047435166</v>
      </c>
      <c r="U141" s="197">
        <f t="shared" si="60"/>
        <v>2111.4409318495309</v>
      </c>
      <c r="V141" s="1036"/>
      <c r="W141" s="186"/>
      <c r="X141" s="283">
        <v>2</v>
      </c>
      <c r="Y141" s="17">
        <f>mstr2</f>
        <v>67.278400000000005</v>
      </c>
      <c r="Z141" s="17">
        <f t="shared" si="50"/>
        <v>12.174755201758918</v>
      </c>
      <c r="AA141" s="17">
        <f t="shared" si="51"/>
        <v>70.004842410113781</v>
      </c>
      <c r="AB141" s="17">
        <f>((Y142*M140+Y141*M141+Y140*M142+M139*Y139+M138*Y138+M137*Y137)^2)/(Y142*M140*M140+Y141*M141*M141+Y140*M142*M142+Y139*M139*M139+Y138*M138*M138+Y137*M137*M137)</f>
        <v>338.5215186058951</v>
      </c>
    </row>
    <row r="142" spans="2:28" x14ac:dyDescent="0.25">
      <c r="B142" s="265">
        <v>1</v>
      </c>
      <c r="C142" s="21">
        <f t="shared" si="52"/>
        <v>4.9175105035860608E-3</v>
      </c>
      <c r="D142" s="21">
        <f t="shared" si="53"/>
        <v>5.1380735964596949E-3</v>
      </c>
      <c r="E142" s="21">
        <f t="shared" si="54"/>
        <v>7.4413654595920364E-3</v>
      </c>
      <c r="F142" s="21">
        <f t="shared" si="55"/>
        <v>1.1748521602302428E-2</v>
      </c>
      <c r="G142" s="21">
        <f t="shared" si="56"/>
        <v>1.1587941369104465E-2</v>
      </c>
      <c r="H142" s="21">
        <f t="shared" si="57"/>
        <v>9.8852218293109598E-3</v>
      </c>
      <c r="J142" s="242">
        <v>1</v>
      </c>
      <c r="K142" s="197">
        <f>hstr1</f>
        <v>2.75</v>
      </c>
      <c r="L142" s="197">
        <f>K142</f>
        <v>2.75</v>
      </c>
      <c r="M142" s="243">
        <f>'Yield Mechanism'!$X$62</f>
        <v>9.8852218293109598E-3</v>
      </c>
      <c r="N142" s="21">
        <f>M142</f>
        <v>9.8852218293109598E-3</v>
      </c>
      <c r="O142" s="244">
        <f>N142/K142</f>
        <v>3.59462611974944E-3</v>
      </c>
      <c r="P142" s="243">
        <f>$C$31</f>
        <v>4.8471720397440425E-3</v>
      </c>
      <c r="Q142" s="243">
        <f>$D$31</f>
        <v>1.7850281840739108E-3</v>
      </c>
      <c r="R142" s="17">
        <f t="shared" si="59"/>
        <v>0.74159243581114076</v>
      </c>
      <c r="S142" s="17">
        <f t="shared" si="49"/>
        <v>2.0137643493928166</v>
      </c>
      <c r="T142" s="611">
        <f>'Yield Mechanism'!$AI$62</f>
        <v>235.33335573263821</v>
      </c>
      <c r="U142" s="197">
        <f t="shared" si="60"/>
        <v>2758.6076601142859</v>
      </c>
      <c r="V142" s="1037"/>
      <c r="W142" s="186"/>
      <c r="X142" s="283">
        <v>1</v>
      </c>
      <c r="Y142" s="17">
        <f>mstr1</f>
        <v>67.278400000000005</v>
      </c>
      <c r="Z142" s="17">
        <f t="shared" si="50"/>
        <v>0.66506190832111456</v>
      </c>
      <c r="AA142" s="17">
        <f t="shared" si="51"/>
        <v>1.8289202478830651</v>
      </c>
      <c r="AB142" s="474" t="s">
        <v>335</v>
      </c>
    </row>
    <row r="143" spans="2:28" x14ac:dyDescent="0.25">
      <c r="B143" s="267">
        <v>0</v>
      </c>
      <c r="C143" s="21">
        <f t="shared" si="52"/>
        <v>0</v>
      </c>
      <c r="D143" s="21">
        <f t="shared" si="53"/>
        <v>0</v>
      </c>
      <c r="E143" s="21">
        <f t="shared" si="54"/>
        <v>0</v>
      </c>
      <c r="F143" s="21">
        <f t="shared" si="55"/>
        <v>0</v>
      </c>
      <c r="G143" s="21">
        <f t="shared" si="56"/>
        <v>0</v>
      </c>
      <c r="H143" s="21">
        <f t="shared" si="57"/>
        <v>0</v>
      </c>
      <c r="X143" s="284"/>
      <c r="Y143" s="474" t="s">
        <v>78</v>
      </c>
      <c r="Z143" s="245">
        <f>SUM(Z137:Z142)</f>
        <v>64.726620556413053</v>
      </c>
      <c r="AA143" s="245">
        <f>SUM(AA137:AA142)</f>
        <v>758.73371509259403</v>
      </c>
      <c r="AB143" s="196">
        <f>2*PI()*SQRT(AB141/AB139)</f>
        <v>3.3699417890142915</v>
      </c>
    </row>
    <row r="145" spans="10:28" ht="15.75" x14ac:dyDescent="0.25">
      <c r="J145" s="1014" t="s">
        <v>340</v>
      </c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X145" s="1015" t="s">
        <v>106</v>
      </c>
      <c r="Y145" s="1015"/>
      <c r="Z145" s="1015"/>
      <c r="AA145" s="1015"/>
      <c r="AB145" s="1015"/>
    </row>
    <row r="146" spans="10:28" ht="15" customHeight="1" x14ac:dyDescent="0.25">
      <c r="J146" s="973" t="s">
        <v>5</v>
      </c>
      <c r="K146" s="974" t="s">
        <v>3</v>
      </c>
      <c r="L146" s="974" t="s">
        <v>72</v>
      </c>
      <c r="M146" s="973" t="s">
        <v>74</v>
      </c>
      <c r="N146" s="973" t="s">
        <v>81</v>
      </c>
      <c r="O146" s="974" t="s">
        <v>101</v>
      </c>
      <c r="P146" s="974" t="s">
        <v>255</v>
      </c>
      <c r="Q146" s="974" t="s">
        <v>256</v>
      </c>
      <c r="R146" s="973" t="s">
        <v>390</v>
      </c>
      <c r="S146" s="973" t="s">
        <v>391</v>
      </c>
      <c r="T146" s="973" t="s">
        <v>75</v>
      </c>
      <c r="U146" s="974" t="s">
        <v>102</v>
      </c>
      <c r="V146" s="973" t="s">
        <v>79</v>
      </c>
      <c r="X146" s="671" t="s">
        <v>5</v>
      </c>
      <c r="Y146" s="1006" t="s">
        <v>76</v>
      </c>
      <c r="Z146" s="1006" t="s">
        <v>77</v>
      </c>
      <c r="AA146" s="1006" t="s">
        <v>104</v>
      </c>
      <c r="AB146" s="704" t="s">
        <v>105</v>
      </c>
    </row>
    <row r="147" spans="10:28" x14ac:dyDescent="0.25">
      <c r="J147" s="707"/>
      <c r="K147" s="703"/>
      <c r="L147" s="703"/>
      <c r="M147" s="707"/>
      <c r="N147" s="707"/>
      <c r="O147" s="703"/>
      <c r="P147" s="703"/>
      <c r="Q147" s="703"/>
      <c r="R147" s="707"/>
      <c r="S147" s="707"/>
      <c r="T147" s="707"/>
      <c r="U147" s="703"/>
      <c r="V147" s="707"/>
      <c r="X147" s="671"/>
      <c r="Y147" s="1006"/>
      <c r="Z147" s="1006"/>
      <c r="AA147" s="1006"/>
      <c r="AB147" s="704"/>
    </row>
    <row r="148" spans="10:28" x14ac:dyDescent="0.25">
      <c r="J148" s="242">
        <v>6</v>
      </c>
      <c r="K148" s="197">
        <f>hstr6</f>
        <v>3</v>
      </c>
      <c r="L148" s="197">
        <f t="shared" ref="L148:L150" si="61">L149+K148</f>
        <v>17.75</v>
      </c>
      <c r="M148" s="243">
        <f>'Yield Mechanism'!$X$57</f>
        <v>0.1999780221407951</v>
      </c>
      <c r="N148" s="21">
        <f>M148-M149</f>
        <v>1.7463742266006499E-3</v>
      </c>
      <c r="O148" s="244">
        <f t="shared" ref="O148:O152" si="62">N148/K148</f>
        <v>5.8212474220021659E-4</v>
      </c>
      <c r="P148" s="243">
        <f>$C$26</f>
        <v>8.3125273614190701E-3</v>
      </c>
      <c r="Q148" s="243">
        <f>$D$26</f>
        <v>2.4571407410608624E-3</v>
      </c>
      <c r="R148" s="17">
        <f>O148/P148</f>
        <v>7.0029813664377452E-2</v>
      </c>
      <c r="S148" s="17">
        <f t="shared" ref="S148:S153" si="63">O148/Q148</f>
        <v>0.23691143631800518</v>
      </c>
      <c r="T148" s="611">
        <f>'Yield Mechanism'!$AI$57</f>
        <v>45.860346187851235</v>
      </c>
      <c r="U148" s="197">
        <f>T148*K148</f>
        <v>137.5810385635537</v>
      </c>
      <c r="V148" s="17">
        <f>U153/AB148</f>
        <v>235.33335573263852</v>
      </c>
      <c r="W148" s="186"/>
      <c r="X148" s="283">
        <v>6</v>
      </c>
      <c r="Y148" s="17">
        <f>mstr6</f>
        <v>63.074599999999997</v>
      </c>
      <c r="Z148" s="17">
        <f t="shared" ref="Z148:Z153" si="64">Y148*M148</f>
        <v>12.613533755321795</v>
      </c>
      <c r="AA148" s="17">
        <f t="shared" ref="AA148:AA153" si="65">Z148*L148</f>
        <v>223.89022415696186</v>
      </c>
      <c r="AB148" s="17">
        <f>AA154/Z154</f>
        <v>11.722127751615165</v>
      </c>
    </row>
    <row r="149" spans="10:28" x14ac:dyDescent="0.25">
      <c r="J149" s="242">
        <v>5</v>
      </c>
      <c r="K149" s="197">
        <f>hstr5</f>
        <v>3</v>
      </c>
      <c r="L149" s="197">
        <f t="shared" si="61"/>
        <v>14.75</v>
      </c>
      <c r="M149" s="243">
        <f>'Yield Mechanism'!$X$58</f>
        <v>0.19823164791419445</v>
      </c>
      <c r="N149" s="21">
        <f t="shared" ref="N149:N151" si="66">M149-M150</f>
        <v>3.278686908854328E-3</v>
      </c>
      <c r="O149" s="244">
        <f t="shared" si="62"/>
        <v>1.0928956362847759E-3</v>
      </c>
      <c r="P149" s="243">
        <f>$C$27</f>
        <v>9.5976000000000013E-3</v>
      </c>
      <c r="Q149" s="243">
        <f>$D$27</f>
        <v>2.2807165072368058E-3</v>
      </c>
      <c r="R149" s="17">
        <f t="shared" ref="R149:R153" si="67">O149/P149</f>
        <v>0.11387176338717761</v>
      </c>
      <c r="S149" s="17">
        <f t="shared" si="63"/>
        <v>0.47918960239774377</v>
      </c>
      <c r="T149" s="611">
        <f>'Yield Mechanism'!$AI$58</f>
        <v>94.35001311100973</v>
      </c>
      <c r="U149" s="197">
        <f>T149*K149+U148</f>
        <v>420.63107789658289</v>
      </c>
      <c r="V149" s="1035"/>
      <c r="W149" s="186"/>
      <c r="X149" s="283">
        <v>5</v>
      </c>
      <c r="Y149" s="17">
        <f>mstr5</f>
        <v>67.278400000000005</v>
      </c>
      <c r="Z149" s="17">
        <f t="shared" si="64"/>
        <v>13.336708101030341</v>
      </c>
      <c r="AA149" s="17">
        <f t="shared" si="65"/>
        <v>196.71644449019755</v>
      </c>
      <c r="AB149" s="474" t="s">
        <v>334</v>
      </c>
    </row>
    <row r="150" spans="10:28" x14ac:dyDescent="0.25">
      <c r="J150" s="242">
        <v>4</v>
      </c>
      <c r="K150" s="197">
        <f>hstr4</f>
        <v>3</v>
      </c>
      <c r="L150" s="197">
        <f t="shared" si="61"/>
        <v>11.75</v>
      </c>
      <c r="M150" s="243">
        <f>'Yield Mechanism'!$X$59</f>
        <v>0.19495296100534013</v>
      </c>
      <c r="N150" s="21">
        <f t="shared" si="66"/>
        <v>4.3949468688682936E-3</v>
      </c>
      <c r="O150" s="244">
        <f t="shared" si="62"/>
        <v>1.4649822896227644E-3</v>
      </c>
      <c r="P150" s="243">
        <f>$C$28</f>
        <v>8.8673064285714302E-3</v>
      </c>
      <c r="Q150" s="243">
        <f>$D$28</f>
        <v>2.1026318802204874E-3</v>
      </c>
      <c r="R150" s="17">
        <f t="shared" si="67"/>
        <v>0.16521164588407947</v>
      </c>
      <c r="S150" s="17">
        <f t="shared" si="63"/>
        <v>0.69673740962642616</v>
      </c>
      <c r="T150" s="611">
        <f>'Yield Mechanism'!$AI$59</f>
        <v>142.03767673233165</v>
      </c>
      <c r="U150" s="197">
        <f t="shared" ref="U150:U153" si="68">T150*K150+U149</f>
        <v>846.74410809357778</v>
      </c>
      <c r="V150" s="1036"/>
      <c r="W150" s="186"/>
      <c r="X150" s="283">
        <v>4</v>
      </c>
      <c r="Y150" s="17">
        <f>mstr4</f>
        <v>67.278400000000005</v>
      </c>
      <c r="Z150" s="17">
        <f t="shared" si="64"/>
        <v>13.116123291701676</v>
      </c>
      <c r="AA150" s="17">
        <f t="shared" si="65"/>
        <v>154.11444867749469</v>
      </c>
      <c r="AB150" s="196">
        <f>T153/M148</f>
        <v>1176.7960959577401</v>
      </c>
    </row>
    <row r="151" spans="10:28" x14ac:dyDescent="0.25">
      <c r="J151" s="242">
        <v>3</v>
      </c>
      <c r="K151" s="197">
        <f>hstr3</f>
        <v>3</v>
      </c>
      <c r="L151" s="197">
        <f>L152+K151</f>
        <v>8.75</v>
      </c>
      <c r="M151" s="243">
        <f>'Yield Mechanism'!$X$60</f>
        <v>0.19055801413647183</v>
      </c>
      <c r="N151" s="21">
        <f t="shared" si="66"/>
        <v>9.5971826993550557E-3</v>
      </c>
      <c r="O151" s="244">
        <f t="shared" si="62"/>
        <v>3.1990608997850187E-3</v>
      </c>
      <c r="P151" s="243">
        <f>$C$29</f>
        <v>8.3556867009551838E-3</v>
      </c>
      <c r="Q151" s="243">
        <f>$D$29</f>
        <v>1.9478666359322766E-3</v>
      </c>
      <c r="R151" s="17">
        <f t="shared" si="67"/>
        <v>0.38286032187148866</v>
      </c>
      <c r="S151" s="17">
        <f t="shared" si="63"/>
        <v>1.6423408259949495</v>
      </c>
      <c r="T151" s="611">
        <f>'Yield Mechanism'!$AI$60</f>
        <v>188.65028744429932</v>
      </c>
      <c r="U151" s="197">
        <f t="shared" si="68"/>
        <v>1412.6949704264757</v>
      </c>
      <c r="V151" s="1036"/>
      <c r="W151" s="186"/>
      <c r="X151" s="283">
        <v>3</v>
      </c>
      <c r="Y151" s="17">
        <f>mstr3</f>
        <v>67.278400000000005</v>
      </c>
      <c r="Z151" s="17">
        <f t="shared" si="64"/>
        <v>12.820438298279207</v>
      </c>
      <c r="AA151" s="17">
        <f t="shared" si="65"/>
        <v>112.17883510994307</v>
      </c>
      <c r="AB151" s="475" t="s">
        <v>336</v>
      </c>
    </row>
    <row r="152" spans="10:28" x14ac:dyDescent="0.25">
      <c r="J152" s="242">
        <v>2</v>
      </c>
      <c r="K152" s="197">
        <f>hstr2</f>
        <v>3</v>
      </c>
      <c r="L152" s="197">
        <f>L153+K152</f>
        <v>5.75</v>
      </c>
      <c r="M152" s="243">
        <f>'Yield Mechanism'!$X$61</f>
        <v>0.18096083143711678</v>
      </c>
      <c r="N152" s="21">
        <f>M152-M153</f>
        <v>0.17107560960780582</v>
      </c>
      <c r="O152" s="244">
        <f t="shared" si="62"/>
        <v>5.7025203202601939E-2</v>
      </c>
      <c r="P152" s="243">
        <f>$C$30</f>
        <v>6.4157970868129726E-3</v>
      </c>
      <c r="Q152" s="243">
        <f>$D$30</f>
        <v>1.8112309252701479E-3</v>
      </c>
      <c r="R152" s="17">
        <f t="shared" si="67"/>
        <v>8.8882491810427613</v>
      </c>
      <c r="S152" s="17">
        <f t="shared" si="63"/>
        <v>31.48422567602557</v>
      </c>
      <c r="T152" s="611">
        <f>'Yield Mechanism'!$AI$61</f>
        <v>232.91532047435166</v>
      </c>
      <c r="U152" s="197">
        <f t="shared" si="68"/>
        <v>2111.4409318495309</v>
      </c>
      <c r="V152" s="1036"/>
      <c r="W152" s="186"/>
      <c r="X152" s="283">
        <v>2</v>
      </c>
      <c r="Y152" s="17">
        <f>mstr2</f>
        <v>67.278400000000005</v>
      </c>
      <c r="Z152" s="17">
        <f t="shared" si="64"/>
        <v>12.174755201758918</v>
      </c>
      <c r="AA152" s="17">
        <f t="shared" si="65"/>
        <v>70.004842410113781</v>
      </c>
      <c r="AB152" s="17">
        <f>((Y153*M151+Y152*M152+Y151*M153+M150*Y150+M149*Y149+M148*Y148)^2)/(Y153*M151*M151+Y152*M152*M152+Y151*M153*M153+Y150*M150*M150+Y149*M149*M149+Y148*M148*M148)</f>
        <v>338.5215186058951</v>
      </c>
    </row>
    <row r="153" spans="10:28" x14ac:dyDescent="0.25">
      <c r="J153" s="242">
        <v>1</v>
      </c>
      <c r="K153" s="197">
        <f>hstr1</f>
        <v>2.75</v>
      </c>
      <c r="L153" s="197">
        <f>K153</f>
        <v>2.75</v>
      </c>
      <c r="M153" s="243">
        <f>'Yield Mechanism'!$X$62</f>
        <v>9.8852218293109598E-3</v>
      </c>
      <c r="N153" s="21">
        <f>M153</f>
        <v>9.8852218293109598E-3</v>
      </c>
      <c r="O153" s="244">
        <f>N153/K153</f>
        <v>3.59462611974944E-3</v>
      </c>
      <c r="P153" s="243">
        <f>$C$31</f>
        <v>4.8471720397440425E-3</v>
      </c>
      <c r="Q153" s="243">
        <f>$D$31</f>
        <v>1.7850281840739108E-3</v>
      </c>
      <c r="R153" s="17">
        <f t="shared" si="67"/>
        <v>0.74159243581114076</v>
      </c>
      <c r="S153" s="17">
        <f t="shared" si="63"/>
        <v>2.0137643493928166</v>
      </c>
      <c r="T153" s="611">
        <f>'Yield Mechanism'!$AI$62</f>
        <v>235.33335573263821</v>
      </c>
      <c r="U153" s="197">
        <f t="shared" si="68"/>
        <v>2758.6076601142859</v>
      </c>
      <c r="V153" s="1037"/>
      <c r="W153" s="186"/>
      <c r="X153" s="283">
        <v>1</v>
      </c>
      <c r="Y153" s="17">
        <f>mstr1</f>
        <v>67.278400000000005</v>
      </c>
      <c r="Z153" s="17">
        <f t="shared" si="64"/>
        <v>0.66506190832111456</v>
      </c>
      <c r="AA153" s="17">
        <f t="shared" si="65"/>
        <v>1.8289202478830651</v>
      </c>
      <c r="AB153" s="474" t="s">
        <v>335</v>
      </c>
    </row>
    <row r="154" spans="10:28" x14ac:dyDescent="0.25">
      <c r="X154" s="284"/>
      <c r="Y154" s="474" t="s">
        <v>78</v>
      </c>
      <c r="Z154" s="245">
        <f>SUM(Z148:Z153)</f>
        <v>64.726620556413053</v>
      </c>
      <c r="AA154" s="245">
        <f>SUM(AA148:AA153)</f>
        <v>758.73371509259403</v>
      </c>
      <c r="AB154" s="196">
        <f>2*PI()*SQRT(AB152/AB150)</f>
        <v>3.3699417890142915</v>
      </c>
    </row>
    <row r="156" spans="10:28" ht="15.75" x14ac:dyDescent="0.25">
      <c r="J156" s="1023" t="s">
        <v>341</v>
      </c>
      <c r="K156" s="1024"/>
      <c r="L156" s="1024"/>
      <c r="M156" s="1024"/>
      <c r="N156" s="1024"/>
      <c r="O156" s="1024"/>
      <c r="P156" s="1024"/>
      <c r="Q156" s="1024"/>
      <c r="R156" s="1024"/>
      <c r="S156" s="1024"/>
      <c r="T156" s="1024"/>
      <c r="U156" s="1024"/>
      <c r="V156" s="1025"/>
      <c r="X156" s="1014" t="s">
        <v>106</v>
      </c>
      <c r="Y156" s="1014"/>
      <c r="Z156" s="1014"/>
      <c r="AA156" s="1014"/>
      <c r="AB156" s="1014"/>
    </row>
    <row r="157" spans="10:28" ht="15" customHeight="1" x14ac:dyDescent="0.25">
      <c r="J157" s="973" t="s">
        <v>5</v>
      </c>
      <c r="K157" s="974" t="s">
        <v>3</v>
      </c>
      <c r="L157" s="974" t="s">
        <v>72</v>
      </c>
      <c r="M157" s="973" t="s">
        <v>74</v>
      </c>
      <c r="N157" s="973" t="s">
        <v>81</v>
      </c>
      <c r="O157" s="974" t="s">
        <v>101</v>
      </c>
      <c r="P157" s="974" t="s">
        <v>255</v>
      </c>
      <c r="Q157" s="974" t="s">
        <v>256</v>
      </c>
      <c r="R157" s="973" t="s">
        <v>390</v>
      </c>
      <c r="S157" s="973" t="s">
        <v>391</v>
      </c>
      <c r="T157" s="973" t="s">
        <v>75</v>
      </c>
      <c r="U157" s="974" t="s">
        <v>102</v>
      </c>
      <c r="V157" s="973" t="s">
        <v>79</v>
      </c>
      <c r="X157" s="671" t="s">
        <v>5</v>
      </c>
      <c r="Y157" s="1006" t="s">
        <v>76</v>
      </c>
      <c r="Z157" s="1006" t="s">
        <v>77</v>
      </c>
      <c r="AA157" s="1006" t="s">
        <v>104</v>
      </c>
      <c r="AB157" s="704" t="s">
        <v>105</v>
      </c>
    </row>
    <row r="158" spans="10:28" x14ac:dyDescent="0.25">
      <c r="J158" s="707"/>
      <c r="K158" s="703"/>
      <c r="L158" s="703"/>
      <c r="M158" s="707"/>
      <c r="N158" s="707"/>
      <c r="O158" s="703"/>
      <c r="P158" s="703"/>
      <c r="Q158" s="703"/>
      <c r="R158" s="707"/>
      <c r="S158" s="707"/>
      <c r="T158" s="707"/>
      <c r="U158" s="703"/>
      <c r="V158" s="707"/>
      <c r="X158" s="671"/>
      <c r="Y158" s="1006"/>
      <c r="Z158" s="1006"/>
      <c r="AA158" s="1006"/>
      <c r="AB158" s="704"/>
    </row>
    <row r="159" spans="10:28" ht="15" customHeight="1" x14ac:dyDescent="0.25">
      <c r="J159" s="242">
        <v>6</v>
      </c>
      <c r="K159" s="197">
        <f>hstr6</f>
        <v>3</v>
      </c>
      <c r="L159" s="197">
        <f t="shared" ref="L159:L161" si="69">L160+K159</f>
        <v>17.75</v>
      </c>
      <c r="M159" s="243">
        <f>'Yield Mechanism'!$X$57</f>
        <v>0.1999780221407951</v>
      </c>
      <c r="N159" s="21">
        <f>M159-M160</f>
        <v>1.7463742266006499E-3</v>
      </c>
      <c r="O159" s="244">
        <f t="shared" ref="O159:O163" si="70">N159/K159</f>
        <v>5.8212474220021659E-4</v>
      </c>
      <c r="P159" s="243">
        <f>$C$26</f>
        <v>8.3125273614190701E-3</v>
      </c>
      <c r="Q159" s="243">
        <f>$D$26</f>
        <v>2.4571407410608624E-3</v>
      </c>
      <c r="R159" s="17">
        <f>O159/P159</f>
        <v>7.0029813664377452E-2</v>
      </c>
      <c r="S159" s="17">
        <f t="shared" ref="S159:S164" si="71">O159/Q159</f>
        <v>0.23691143631800518</v>
      </c>
      <c r="T159" s="611">
        <f>'Yield Mechanism'!$AI$57</f>
        <v>45.860346187851235</v>
      </c>
      <c r="U159" s="197">
        <f>T159*K159</f>
        <v>137.5810385635537</v>
      </c>
      <c r="V159" s="17">
        <f>U164/AB159</f>
        <v>235.33335573263852</v>
      </c>
      <c r="W159" s="186"/>
      <c r="X159" s="283">
        <v>6</v>
      </c>
      <c r="Y159" s="17">
        <f>mstr6</f>
        <v>63.074599999999997</v>
      </c>
      <c r="Z159" s="17">
        <f t="shared" ref="Z159:Z164" si="72">Y159*M159</f>
        <v>12.613533755321795</v>
      </c>
      <c r="AA159" s="17">
        <f t="shared" ref="AA159:AA164" si="73">Z159*L159</f>
        <v>223.89022415696186</v>
      </c>
      <c r="AB159" s="17">
        <f>AA165/Z165</f>
        <v>11.722127751615165</v>
      </c>
    </row>
    <row r="160" spans="10:28" x14ac:dyDescent="0.25">
      <c r="J160" s="242">
        <v>5</v>
      </c>
      <c r="K160" s="197">
        <f>hstr5</f>
        <v>3</v>
      </c>
      <c r="L160" s="197">
        <f t="shared" si="69"/>
        <v>14.75</v>
      </c>
      <c r="M160" s="243">
        <f>'Yield Mechanism'!$X$58</f>
        <v>0.19823164791419445</v>
      </c>
      <c r="N160" s="21">
        <f t="shared" ref="N160:N162" si="74">M160-M161</f>
        <v>3.278686908854328E-3</v>
      </c>
      <c r="O160" s="244">
        <f t="shared" si="70"/>
        <v>1.0928956362847759E-3</v>
      </c>
      <c r="P160" s="243">
        <f>$C$27</f>
        <v>9.5976000000000013E-3</v>
      </c>
      <c r="Q160" s="243">
        <f>$D$27</f>
        <v>2.2807165072368058E-3</v>
      </c>
      <c r="R160" s="17">
        <f t="shared" ref="R160:R164" si="75">O160/P160</f>
        <v>0.11387176338717761</v>
      </c>
      <c r="S160" s="17">
        <f t="shared" si="71"/>
        <v>0.47918960239774377</v>
      </c>
      <c r="T160" s="611">
        <f>'Yield Mechanism'!$AI$58</f>
        <v>94.35001311100973</v>
      </c>
      <c r="U160" s="197">
        <f>T160*K160+U159</f>
        <v>420.63107789658289</v>
      </c>
      <c r="V160" s="1035"/>
      <c r="W160" s="186"/>
      <c r="X160" s="283">
        <v>5</v>
      </c>
      <c r="Y160" s="17">
        <f>mstr5</f>
        <v>67.278400000000005</v>
      </c>
      <c r="Z160" s="17">
        <f t="shared" si="72"/>
        <v>13.336708101030341</v>
      </c>
      <c r="AA160" s="17">
        <f t="shared" si="73"/>
        <v>196.71644449019755</v>
      </c>
      <c r="AB160" s="474" t="s">
        <v>334</v>
      </c>
    </row>
    <row r="161" spans="10:28" x14ac:dyDescent="0.25">
      <c r="J161" s="242">
        <v>4</v>
      </c>
      <c r="K161" s="197">
        <f>hstr4</f>
        <v>3</v>
      </c>
      <c r="L161" s="197">
        <f t="shared" si="69"/>
        <v>11.75</v>
      </c>
      <c r="M161" s="243">
        <f>'Yield Mechanism'!$X$59</f>
        <v>0.19495296100534013</v>
      </c>
      <c r="N161" s="21">
        <f t="shared" si="74"/>
        <v>4.3949468688682936E-3</v>
      </c>
      <c r="O161" s="244">
        <f t="shared" si="70"/>
        <v>1.4649822896227644E-3</v>
      </c>
      <c r="P161" s="243">
        <f>$C$28</f>
        <v>8.8673064285714302E-3</v>
      </c>
      <c r="Q161" s="243">
        <f>$D$28</f>
        <v>2.1026318802204874E-3</v>
      </c>
      <c r="R161" s="17">
        <f t="shared" si="75"/>
        <v>0.16521164588407947</v>
      </c>
      <c r="S161" s="17">
        <f t="shared" si="71"/>
        <v>0.69673740962642616</v>
      </c>
      <c r="T161" s="611">
        <f>'Yield Mechanism'!$AI$59</f>
        <v>142.03767673233165</v>
      </c>
      <c r="U161" s="197">
        <f t="shared" ref="U161:U164" si="76">T161*K161+U160</f>
        <v>846.74410809357778</v>
      </c>
      <c r="V161" s="1036"/>
      <c r="W161" s="186"/>
      <c r="X161" s="283">
        <v>4</v>
      </c>
      <c r="Y161" s="17">
        <f>mstr4</f>
        <v>67.278400000000005</v>
      </c>
      <c r="Z161" s="17">
        <f t="shared" si="72"/>
        <v>13.116123291701676</v>
      </c>
      <c r="AA161" s="17">
        <f t="shared" si="73"/>
        <v>154.11444867749469</v>
      </c>
      <c r="AB161" s="196">
        <f>T164/M159</f>
        <v>1176.7960959577401</v>
      </c>
    </row>
    <row r="162" spans="10:28" x14ac:dyDescent="0.25">
      <c r="J162" s="242">
        <v>3</v>
      </c>
      <c r="K162" s="197">
        <f>hstr3</f>
        <v>3</v>
      </c>
      <c r="L162" s="197">
        <f>L163+K162</f>
        <v>8.75</v>
      </c>
      <c r="M162" s="243">
        <f>'Yield Mechanism'!$X$60</f>
        <v>0.19055801413647183</v>
      </c>
      <c r="N162" s="21">
        <f t="shared" si="74"/>
        <v>9.5971826993550557E-3</v>
      </c>
      <c r="O162" s="244">
        <f t="shared" si="70"/>
        <v>3.1990608997850187E-3</v>
      </c>
      <c r="P162" s="243">
        <f>$C$29</f>
        <v>8.3556867009551838E-3</v>
      </c>
      <c r="Q162" s="243">
        <f>$D$29</f>
        <v>1.9478666359322766E-3</v>
      </c>
      <c r="R162" s="17">
        <f t="shared" si="75"/>
        <v>0.38286032187148866</v>
      </c>
      <c r="S162" s="17">
        <f t="shared" si="71"/>
        <v>1.6423408259949495</v>
      </c>
      <c r="T162" s="611">
        <f>'Yield Mechanism'!$AI$60</f>
        <v>188.65028744429932</v>
      </c>
      <c r="U162" s="197">
        <f t="shared" si="76"/>
        <v>1412.6949704264757</v>
      </c>
      <c r="V162" s="1036"/>
      <c r="W162" s="186"/>
      <c r="X162" s="283">
        <v>3</v>
      </c>
      <c r="Y162" s="17">
        <f>mstr3</f>
        <v>67.278400000000005</v>
      </c>
      <c r="Z162" s="17">
        <f t="shared" si="72"/>
        <v>12.820438298279207</v>
      </c>
      <c r="AA162" s="17">
        <f t="shared" si="73"/>
        <v>112.17883510994307</v>
      </c>
      <c r="AB162" s="475" t="s">
        <v>336</v>
      </c>
    </row>
    <row r="163" spans="10:28" x14ac:dyDescent="0.25">
      <c r="J163" s="242">
        <v>2</v>
      </c>
      <c r="K163" s="197">
        <f>hstr2</f>
        <v>3</v>
      </c>
      <c r="L163" s="197">
        <f>L164+K163</f>
        <v>5.75</v>
      </c>
      <c r="M163" s="243">
        <f>'Yield Mechanism'!$X$61</f>
        <v>0.18096083143711678</v>
      </c>
      <c r="N163" s="21">
        <f>M163-M164</f>
        <v>0.17107560960780582</v>
      </c>
      <c r="O163" s="244">
        <f t="shared" si="70"/>
        <v>5.7025203202601939E-2</v>
      </c>
      <c r="P163" s="243">
        <f>$C$30</f>
        <v>6.4157970868129726E-3</v>
      </c>
      <c r="Q163" s="243">
        <f>$D$30</f>
        <v>1.8112309252701479E-3</v>
      </c>
      <c r="R163" s="17">
        <f t="shared" si="75"/>
        <v>8.8882491810427613</v>
      </c>
      <c r="S163" s="17">
        <f t="shared" si="71"/>
        <v>31.48422567602557</v>
      </c>
      <c r="T163" s="611">
        <f>'Yield Mechanism'!$AI$61</f>
        <v>232.91532047435166</v>
      </c>
      <c r="U163" s="197">
        <f t="shared" si="76"/>
        <v>2111.4409318495309</v>
      </c>
      <c r="V163" s="1036"/>
      <c r="W163" s="186"/>
      <c r="X163" s="283">
        <v>2</v>
      </c>
      <c r="Y163" s="17">
        <f>mstr2</f>
        <v>67.278400000000005</v>
      </c>
      <c r="Z163" s="17">
        <f t="shared" si="72"/>
        <v>12.174755201758918</v>
      </c>
      <c r="AA163" s="17">
        <f t="shared" si="73"/>
        <v>70.004842410113781</v>
      </c>
      <c r="AB163" s="17">
        <f>((Y164*M162+Y163*M163+Y162*M164+M161*Y161+M160*Y160+M159*Y159)^2)/(Y164*M162*M162+Y163*M163*M163+Y162*M164*M164+Y161*M161*M161+Y160*M160*M160+Y159*M159*M159)</f>
        <v>338.5215186058951</v>
      </c>
    </row>
    <row r="164" spans="10:28" x14ac:dyDescent="0.25">
      <c r="J164" s="242">
        <v>1</v>
      </c>
      <c r="K164" s="197">
        <f>hstr1</f>
        <v>2.75</v>
      </c>
      <c r="L164" s="197">
        <f>K164</f>
        <v>2.75</v>
      </c>
      <c r="M164" s="243">
        <f>'Yield Mechanism'!$X$62</f>
        <v>9.8852218293109598E-3</v>
      </c>
      <c r="N164" s="21">
        <f>M164</f>
        <v>9.8852218293109598E-3</v>
      </c>
      <c r="O164" s="244">
        <f>N164/K164</f>
        <v>3.59462611974944E-3</v>
      </c>
      <c r="P164" s="243">
        <f>$C$31</f>
        <v>4.8471720397440425E-3</v>
      </c>
      <c r="Q164" s="243">
        <f>$D$31</f>
        <v>1.7850281840739108E-3</v>
      </c>
      <c r="R164" s="17">
        <f t="shared" si="75"/>
        <v>0.74159243581114076</v>
      </c>
      <c r="S164" s="17">
        <f t="shared" si="71"/>
        <v>2.0137643493928166</v>
      </c>
      <c r="T164" s="611">
        <f>'Yield Mechanism'!$AI$62</f>
        <v>235.33335573263821</v>
      </c>
      <c r="U164" s="197">
        <f t="shared" si="76"/>
        <v>2758.6076601142859</v>
      </c>
      <c r="V164" s="1037"/>
      <c r="W164" s="186"/>
      <c r="X164" s="283">
        <v>1</v>
      </c>
      <c r="Y164" s="17">
        <f>mstr1</f>
        <v>67.278400000000005</v>
      </c>
      <c r="Z164" s="17">
        <f t="shared" si="72"/>
        <v>0.66506190832111456</v>
      </c>
      <c r="AA164" s="17">
        <f t="shared" si="73"/>
        <v>1.8289202478830651</v>
      </c>
      <c r="AB164" s="474" t="s">
        <v>335</v>
      </c>
    </row>
    <row r="165" spans="10:28" x14ac:dyDescent="0.25">
      <c r="X165" s="284"/>
      <c r="Y165" s="474" t="s">
        <v>78</v>
      </c>
      <c r="Z165" s="245">
        <f>SUM(Z159:Z164)</f>
        <v>64.726620556413053</v>
      </c>
      <c r="AA165" s="245">
        <f>SUM(AA159:AA164)</f>
        <v>758.73371509259403</v>
      </c>
      <c r="AB165" s="196">
        <f>2*PI()*SQRT(AB163/AB161)</f>
        <v>3.3699417890142915</v>
      </c>
    </row>
    <row r="167" spans="10:28" ht="15.75" x14ac:dyDescent="0.25">
      <c r="J167" s="1011" t="s">
        <v>342</v>
      </c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3"/>
      <c r="W167" s="258"/>
      <c r="X167" s="1011" t="s">
        <v>106</v>
      </c>
      <c r="Y167" s="1012"/>
      <c r="Z167" s="1012"/>
      <c r="AA167" s="1012"/>
      <c r="AB167" s="1013"/>
    </row>
    <row r="168" spans="10:28" ht="15" customHeight="1" x14ac:dyDescent="0.25">
      <c r="J168" s="973" t="s">
        <v>5</v>
      </c>
      <c r="K168" s="974" t="s">
        <v>3</v>
      </c>
      <c r="L168" s="974" t="s">
        <v>72</v>
      </c>
      <c r="M168" s="973" t="s">
        <v>74</v>
      </c>
      <c r="N168" s="973" t="s">
        <v>81</v>
      </c>
      <c r="O168" s="974" t="s">
        <v>101</v>
      </c>
      <c r="P168" s="974" t="s">
        <v>255</v>
      </c>
      <c r="Q168" s="974" t="s">
        <v>256</v>
      </c>
      <c r="R168" s="973" t="s">
        <v>390</v>
      </c>
      <c r="S168" s="973" t="s">
        <v>391</v>
      </c>
      <c r="T168" s="973" t="s">
        <v>75</v>
      </c>
      <c r="U168" s="974" t="s">
        <v>102</v>
      </c>
      <c r="V168" s="973" t="s">
        <v>79</v>
      </c>
      <c r="X168" s="671" t="s">
        <v>5</v>
      </c>
      <c r="Y168" s="1006" t="s">
        <v>76</v>
      </c>
      <c r="Z168" s="1006" t="s">
        <v>77</v>
      </c>
      <c r="AA168" s="1006" t="s">
        <v>104</v>
      </c>
      <c r="AB168" s="704" t="s">
        <v>105</v>
      </c>
    </row>
    <row r="169" spans="10:28" x14ac:dyDescent="0.25">
      <c r="J169" s="707"/>
      <c r="K169" s="703"/>
      <c r="L169" s="703"/>
      <c r="M169" s="707"/>
      <c r="N169" s="707"/>
      <c r="O169" s="703"/>
      <c r="P169" s="703"/>
      <c r="Q169" s="703"/>
      <c r="R169" s="707"/>
      <c r="S169" s="707"/>
      <c r="T169" s="707"/>
      <c r="U169" s="703"/>
      <c r="V169" s="707"/>
      <c r="X169" s="671"/>
      <c r="Y169" s="1006"/>
      <c r="Z169" s="1006"/>
      <c r="AA169" s="1006"/>
      <c r="AB169" s="704"/>
    </row>
    <row r="170" spans="10:28" x14ac:dyDescent="0.25">
      <c r="J170" s="242">
        <v>6</v>
      </c>
      <c r="K170" s="197">
        <f>hstr6</f>
        <v>3</v>
      </c>
      <c r="L170" s="197">
        <f t="shared" ref="L170:L172" si="77">L171+K170</f>
        <v>17.75</v>
      </c>
      <c r="M170" s="243">
        <f>'Yield Mechanism'!$X$57</f>
        <v>0.1999780221407951</v>
      </c>
      <c r="N170" s="21">
        <f>M170-M171</f>
        <v>1.7463742266006499E-3</v>
      </c>
      <c r="O170" s="244">
        <f t="shared" ref="O170:O174" si="78">N170/K170</f>
        <v>5.8212474220021659E-4</v>
      </c>
      <c r="P170" s="243">
        <f>$C$26</f>
        <v>8.3125273614190701E-3</v>
      </c>
      <c r="Q170" s="243">
        <f>$D$26</f>
        <v>2.4571407410608624E-3</v>
      </c>
      <c r="R170" s="17">
        <f>O170/P170</f>
        <v>7.0029813664377452E-2</v>
      </c>
      <c r="S170" s="17">
        <f t="shared" ref="S170:S175" si="79">O170/Q170</f>
        <v>0.23691143631800518</v>
      </c>
      <c r="T170" s="611">
        <f>'Yield Mechanism'!$AI$57</f>
        <v>45.860346187851235</v>
      </c>
      <c r="U170" s="197">
        <f>T170*K170</f>
        <v>137.5810385635537</v>
      </c>
      <c r="V170" s="17">
        <f>U175/AB170</f>
        <v>235.33335573263852</v>
      </c>
      <c r="W170" s="186"/>
      <c r="X170" s="283">
        <v>6</v>
      </c>
      <c r="Y170" s="17">
        <f>mstr6</f>
        <v>63.074599999999997</v>
      </c>
      <c r="Z170" s="17">
        <f t="shared" ref="Z170:Z175" si="80">Y170*M170</f>
        <v>12.613533755321795</v>
      </c>
      <c r="AA170" s="17">
        <f t="shared" ref="AA170:AA175" si="81">Z170*L170</f>
        <v>223.89022415696186</v>
      </c>
      <c r="AB170" s="17">
        <f>AA176/Z176</f>
        <v>11.722127751615165</v>
      </c>
    </row>
    <row r="171" spans="10:28" x14ac:dyDescent="0.25">
      <c r="J171" s="242">
        <v>5</v>
      </c>
      <c r="K171" s="197">
        <f>hstr5</f>
        <v>3</v>
      </c>
      <c r="L171" s="197">
        <f t="shared" si="77"/>
        <v>14.75</v>
      </c>
      <c r="M171" s="243">
        <f>'Yield Mechanism'!$X$58</f>
        <v>0.19823164791419445</v>
      </c>
      <c r="N171" s="21">
        <f t="shared" ref="N171:N173" si="82">M171-M172</f>
        <v>3.278686908854328E-3</v>
      </c>
      <c r="O171" s="244">
        <f t="shared" si="78"/>
        <v>1.0928956362847759E-3</v>
      </c>
      <c r="P171" s="243">
        <f>$C$27</f>
        <v>9.5976000000000013E-3</v>
      </c>
      <c r="Q171" s="243">
        <f>$D$27</f>
        <v>2.2807165072368058E-3</v>
      </c>
      <c r="R171" s="17">
        <f t="shared" ref="R171:R175" si="83">O171/P171</f>
        <v>0.11387176338717761</v>
      </c>
      <c r="S171" s="17">
        <f t="shared" si="79"/>
        <v>0.47918960239774377</v>
      </c>
      <c r="T171" s="611">
        <f>'Yield Mechanism'!$AI$58</f>
        <v>94.35001311100973</v>
      </c>
      <c r="U171" s="197">
        <f>T171*K171+U170</f>
        <v>420.63107789658289</v>
      </c>
      <c r="V171" s="1035"/>
      <c r="W171" s="186"/>
      <c r="X171" s="283">
        <v>5</v>
      </c>
      <c r="Y171" s="17">
        <f>mstr5</f>
        <v>67.278400000000005</v>
      </c>
      <c r="Z171" s="17">
        <f t="shared" si="80"/>
        <v>13.336708101030341</v>
      </c>
      <c r="AA171" s="17">
        <f t="shared" si="81"/>
        <v>196.71644449019755</v>
      </c>
      <c r="AB171" s="474" t="s">
        <v>334</v>
      </c>
    </row>
    <row r="172" spans="10:28" x14ac:dyDescent="0.25">
      <c r="J172" s="242">
        <v>4</v>
      </c>
      <c r="K172" s="197">
        <f>hstr4</f>
        <v>3</v>
      </c>
      <c r="L172" s="197">
        <f t="shared" si="77"/>
        <v>11.75</v>
      </c>
      <c r="M172" s="243">
        <f>'Yield Mechanism'!$X$59</f>
        <v>0.19495296100534013</v>
      </c>
      <c r="N172" s="21">
        <f t="shared" si="82"/>
        <v>4.3949468688682936E-3</v>
      </c>
      <c r="O172" s="244">
        <f t="shared" si="78"/>
        <v>1.4649822896227644E-3</v>
      </c>
      <c r="P172" s="243">
        <f>$C$28</f>
        <v>8.8673064285714302E-3</v>
      </c>
      <c r="Q172" s="243">
        <f>$D$28</f>
        <v>2.1026318802204874E-3</v>
      </c>
      <c r="R172" s="17">
        <f t="shared" si="83"/>
        <v>0.16521164588407947</v>
      </c>
      <c r="S172" s="17">
        <f t="shared" si="79"/>
        <v>0.69673740962642616</v>
      </c>
      <c r="T172" s="611">
        <f>'Yield Mechanism'!$AI$59</f>
        <v>142.03767673233165</v>
      </c>
      <c r="U172" s="197">
        <f t="shared" ref="U172:U175" si="84">T172*K172+U171</f>
        <v>846.74410809357778</v>
      </c>
      <c r="V172" s="1036"/>
      <c r="W172" s="186"/>
      <c r="X172" s="283">
        <v>4</v>
      </c>
      <c r="Y172" s="17">
        <f>mstr4</f>
        <v>67.278400000000005</v>
      </c>
      <c r="Z172" s="17">
        <f t="shared" si="80"/>
        <v>13.116123291701676</v>
      </c>
      <c r="AA172" s="17">
        <f t="shared" si="81"/>
        <v>154.11444867749469</v>
      </c>
      <c r="AB172" s="196">
        <f>T175/M170</f>
        <v>1176.7960959577401</v>
      </c>
    </row>
    <row r="173" spans="10:28" x14ac:dyDescent="0.25">
      <c r="J173" s="242">
        <v>3</v>
      </c>
      <c r="K173" s="197">
        <f>hstr3</f>
        <v>3</v>
      </c>
      <c r="L173" s="197">
        <f>L174+K173</f>
        <v>8.75</v>
      </c>
      <c r="M173" s="243">
        <f>'Yield Mechanism'!$X$60</f>
        <v>0.19055801413647183</v>
      </c>
      <c r="N173" s="21">
        <f t="shared" si="82"/>
        <v>9.5971826993550557E-3</v>
      </c>
      <c r="O173" s="244">
        <f t="shared" si="78"/>
        <v>3.1990608997850187E-3</v>
      </c>
      <c r="P173" s="243">
        <f>$C$29</f>
        <v>8.3556867009551838E-3</v>
      </c>
      <c r="Q173" s="243">
        <f>$D$29</f>
        <v>1.9478666359322766E-3</v>
      </c>
      <c r="R173" s="17">
        <f t="shared" si="83"/>
        <v>0.38286032187148866</v>
      </c>
      <c r="S173" s="17">
        <f t="shared" si="79"/>
        <v>1.6423408259949495</v>
      </c>
      <c r="T173" s="611">
        <f>'Yield Mechanism'!$AI$60</f>
        <v>188.65028744429932</v>
      </c>
      <c r="U173" s="197">
        <f t="shared" si="84"/>
        <v>1412.6949704264757</v>
      </c>
      <c r="V173" s="1036"/>
      <c r="W173" s="186"/>
      <c r="X173" s="283">
        <v>3</v>
      </c>
      <c r="Y173" s="17">
        <f>mstr3</f>
        <v>67.278400000000005</v>
      </c>
      <c r="Z173" s="17">
        <f t="shared" si="80"/>
        <v>12.820438298279207</v>
      </c>
      <c r="AA173" s="17">
        <f t="shared" si="81"/>
        <v>112.17883510994307</v>
      </c>
      <c r="AB173" s="475" t="s">
        <v>336</v>
      </c>
    </row>
    <row r="174" spans="10:28" x14ac:dyDescent="0.25">
      <c r="J174" s="242">
        <v>2</v>
      </c>
      <c r="K174" s="197">
        <f>hstr2</f>
        <v>3</v>
      </c>
      <c r="L174" s="197">
        <f>L175+K174</f>
        <v>5.75</v>
      </c>
      <c r="M174" s="243">
        <f>'Yield Mechanism'!$X$61</f>
        <v>0.18096083143711678</v>
      </c>
      <c r="N174" s="21">
        <f>M174-M175</f>
        <v>0.17107560960780582</v>
      </c>
      <c r="O174" s="244">
        <f t="shared" si="78"/>
        <v>5.7025203202601939E-2</v>
      </c>
      <c r="P174" s="243">
        <f>$C$30</f>
        <v>6.4157970868129726E-3</v>
      </c>
      <c r="Q174" s="243">
        <f>$D$30</f>
        <v>1.8112309252701479E-3</v>
      </c>
      <c r="R174" s="17">
        <f t="shared" si="83"/>
        <v>8.8882491810427613</v>
      </c>
      <c r="S174" s="17">
        <f t="shared" si="79"/>
        <v>31.48422567602557</v>
      </c>
      <c r="T174" s="611">
        <f>'Yield Mechanism'!$AI$61</f>
        <v>232.91532047435166</v>
      </c>
      <c r="U174" s="197">
        <f t="shared" si="84"/>
        <v>2111.4409318495309</v>
      </c>
      <c r="V174" s="1036"/>
      <c r="W174" s="186"/>
      <c r="X174" s="283">
        <v>2</v>
      </c>
      <c r="Y174" s="17">
        <f>mstr2</f>
        <v>67.278400000000005</v>
      </c>
      <c r="Z174" s="17">
        <f t="shared" si="80"/>
        <v>12.174755201758918</v>
      </c>
      <c r="AA174" s="17">
        <f t="shared" si="81"/>
        <v>70.004842410113781</v>
      </c>
      <c r="AB174" s="17">
        <f>((Y175*M173+Y174*M174+Y173*M175+M172*Y172+M171*Y171+M170*Y170)^2)/(Y175*M173*M173+Y174*M174*M174+Y173*M175*M175+Y172*M172*M172+Y171*M171*M171+Y170*M170*M170)</f>
        <v>338.5215186058951</v>
      </c>
    </row>
    <row r="175" spans="10:28" x14ac:dyDescent="0.25">
      <c r="J175" s="242">
        <v>1</v>
      </c>
      <c r="K175" s="197">
        <f>hstr1</f>
        <v>2.75</v>
      </c>
      <c r="L175" s="197">
        <f>K175</f>
        <v>2.75</v>
      </c>
      <c r="M175" s="243">
        <f>'Yield Mechanism'!$X$62</f>
        <v>9.8852218293109598E-3</v>
      </c>
      <c r="N175" s="21">
        <f>M175</f>
        <v>9.8852218293109598E-3</v>
      </c>
      <c r="O175" s="244">
        <f>N175/K175</f>
        <v>3.59462611974944E-3</v>
      </c>
      <c r="P175" s="243">
        <f>$C$31</f>
        <v>4.8471720397440425E-3</v>
      </c>
      <c r="Q175" s="243">
        <f>$D$31</f>
        <v>1.7850281840739108E-3</v>
      </c>
      <c r="R175" s="17">
        <f t="shared" si="83"/>
        <v>0.74159243581114076</v>
      </c>
      <c r="S175" s="17">
        <f t="shared" si="79"/>
        <v>2.0137643493928166</v>
      </c>
      <c r="T175" s="611">
        <f>'Yield Mechanism'!$AI$62</f>
        <v>235.33335573263821</v>
      </c>
      <c r="U175" s="197">
        <f t="shared" si="84"/>
        <v>2758.6076601142859</v>
      </c>
      <c r="V175" s="1037"/>
      <c r="W175" s="186"/>
      <c r="X175" s="283">
        <v>1</v>
      </c>
      <c r="Y175" s="17">
        <f>mstr1</f>
        <v>67.278400000000005</v>
      </c>
      <c r="Z175" s="17">
        <f t="shared" si="80"/>
        <v>0.66506190832111456</v>
      </c>
      <c r="AA175" s="17">
        <f t="shared" si="81"/>
        <v>1.8289202478830651</v>
      </c>
      <c r="AB175" s="474" t="s">
        <v>335</v>
      </c>
    </row>
    <row r="176" spans="10:28" x14ac:dyDescent="0.25">
      <c r="X176" s="284"/>
      <c r="Y176" s="474" t="s">
        <v>78</v>
      </c>
      <c r="Z176" s="245">
        <f>SUM(Z170:Z175)</f>
        <v>64.726620556413053</v>
      </c>
      <c r="AA176" s="245">
        <f>SUM(AA170:AA175)</f>
        <v>758.73371509259403</v>
      </c>
      <c r="AB176" s="196">
        <f>2*PI()*SQRT(AB174/AB172)</f>
        <v>3.3699417890142915</v>
      </c>
    </row>
    <row r="177" spans="3:28" x14ac:dyDescent="0.25">
      <c r="R177" s="259"/>
      <c r="S177" s="259"/>
    </row>
    <row r="178" spans="3:28" ht="15.75" x14ac:dyDescent="0.25">
      <c r="J178" s="1011" t="s">
        <v>343</v>
      </c>
      <c r="K178" s="1012"/>
      <c r="L178" s="1012"/>
      <c r="M178" s="1012"/>
      <c r="N178" s="1012"/>
      <c r="O178" s="1012"/>
      <c r="P178" s="1012"/>
      <c r="Q178" s="1012"/>
      <c r="R178" s="1012"/>
      <c r="S178" s="1012"/>
      <c r="T178" s="1012"/>
      <c r="U178" s="1012"/>
      <c r="V178" s="1013"/>
      <c r="W178" s="258"/>
      <c r="X178" s="1005" t="s">
        <v>106</v>
      </c>
      <c r="Y178" s="1005"/>
      <c r="Z178" s="1005"/>
      <c r="AA178" s="1005"/>
      <c r="AB178" s="1005"/>
    </row>
    <row r="179" spans="3:28" ht="15" customHeight="1" x14ac:dyDescent="0.25">
      <c r="J179" s="973" t="s">
        <v>5</v>
      </c>
      <c r="K179" s="974" t="s">
        <v>3</v>
      </c>
      <c r="L179" s="974" t="s">
        <v>72</v>
      </c>
      <c r="M179" s="973" t="s">
        <v>74</v>
      </c>
      <c r="N179" s="973" t="s">
        <v>81</v>
      </c>
      <c r="O179" s="974" t="s">
        <v>101</v>
      </c>
      <c r="P179" s="974" t="s">
        <v>255</v>
      </c>
      <c r="Q179" s="974" t="s">
        <v>256</v>
      </c>
      <c r="R179" s="973" t="s">
        <v>390</v>
      </c>
      <c r="S179" s="973" t="s">
        <v>391</v>
      </c>
      <c r="T179" s="973" t="s">
        <v>75</v>
      </c>
      <c r="U179" s="974" t="s">
        <v>102</v>
      </c>
      <c r="V179" s="973" t="s">
        <v>79</v>
      </c>
      <c r="X179" s="671" t="s">
        <v>5</v>
      </c>
      <c r="Y179" s="1006" t="s">
        <v>76</v>
      </c>
      <c r="Z179" s="1006" t="s">
        <v>77</v>
      </c>
      <c r="AA179" s="1006" t="s">
        <v>104</v>
      </c>
      <c r="AB179" s="704" t="s">
        <v>105</v>
      </c>
    </row>
    <row r="180" spans="3:28" x14ac:dyDescent="0.25">
      <c r="J180" s="707"/>
      <c r="K180" s="703"/>
      <c r="L180" s="703"/>
      <c r="M180" s="707"/>
      <c r="N180" s="707"/>
      <c r="O180" s="703"/>
      <c r="P180" s="703"/>
      <c r="Q180" s="703"/>
      <c r="R180" s="707"/>
      <c r="S180" s="707"/>
      <c r="T180" s="707"/>
      <c r="U180" s="703"/>
      <c r="V180" s="707"/>
      <c r="X180" s="671"/>
      <c r="Y180" s="1006"/>
      <c r="Z180" s="1006"/>
      <c r="AA180" s="1006"/>
      <c r="AB180" s="704"/>
    </row>
    <row r="181" spans="3:28" x14ac:dyDescent="0.25">
      <c r="J181" s="242">
        <v>6</v>
      </c>
      <c r="K181" s="197">
        <f>hstr6</f>
        <v>3</v>
      </c>
      <c r="L181" s="197">
        <f t="shared" ref="L181:L183" si="85">L182+K181</f>
        <v>17.75</v>
      </c>
      <c r="M181" s="243">
        <f>'Yield Mechanism'!$X$57</f>
        <v>0.1999780221407951</v>
      </c>
      <c r="N181" s="21">
        <f>M181-M182</f>
        <v>1.7463742266006499E-3</v>
      </c>
      <c r="O181" s="244">
        <f t="shared" ref="O181:O185" si="86">N181/K181</f>
        <v>5.8212474220021659E-4</v>
      </c>
      <c r="P181" s="243">
        <f>$C$26</f>
        <v>8.3125273614190701E-3</v>
      </c>
      <c r="Q181" s="243">
        <f>$D$26</f>
        <v>2.4571407410608624E-3</v>
      </c>
      <c r="R181" s="17">
        <f>O181/P181</f>
        <v>7.0029813664377452E-2</v>
      </c>
      <c r="S181" s="17">
        <f t="shared" ref="S181:S186" si="87">O181/Q181</f>
        <v>0.23691143631800518</v>
      </c>
      <c r="T181" s="611">
        <f>'Yield Mechanism'!$AI$57</f>
        <v>45.860346187851235</v>
      </c>
      <c r="U181" s="197">
        <f>T181*K181</f>
        <v>137.5810385635537</v>
      </c>
      <c r="V181" s="17">
        <f>U186/AB181</f>
        <v>235.33335573263852</v>
      </c>
      <c r="W181" s="186"/>
      <c r="X181" s="283">
        <v>6</v>
      </c>
      <c r="Y181" s="17">
        <f>mstr6</f>
        <v>63.074599999999997</v>
      </c>
      <c r="Z181" s="17">
        <f t="shared" ref="Z181:Z186" si="88">Y181*M181</f>
        <v>12.613533755321795</v>
      </c>
      <c r="AA181" s="17">
        <f t="shared" ref="AA181:AA186" si="89">Z181*L181</f>
        <v>223.89022415696186</v>
      </c>
      <c r="AB181" s="17">
        <f>AA187/Z187</f>
        <v>11.722127751615165</v>
      </c>
    </row>
    <row r="182" spans="3:28" x14ac:dyDescent="0.25">
      <c r="J182" s="242">
        <v>5</v>
      </c>
      <c r="K182" s="197">
        <f>hstr5</f>
        <v>3</v>
      </c>
      <c r="L182" s="197">
        <f t="shared" si="85"/>
        <v>14.75</v>
      </c>
      <c r="M182" s="243">
        <f>'Yield Mechanism'!$X$58</f>
        <v>0.19823164791419445</v>
      </c>
      <c r="N182" s="21">
        <f t="shared" ref="N182:N184" si="90">M182-M183</f>
        <v>3.278686908854328E-3</v>
      </c>
      <c r="O182" s="244">
        <f t="shared" si="86"/>
        <v>1.0928956362847759E-3</v>
      </c>
      <c r="P182" s="243">
        <f>$C$27</f>
        <v>9.5976000000000013E-3</v>
      </c>
      <c r="Q182" s="243">
        <f>$D$27</f>
        <v>2.2807165072368058E-3</v>
      </c>
      <c r="R182" s="17">
        <f t="shared" ref="R182:R186" si="91">O182/P182</f>
        <v>0.11387176338717761</v>
      </c>
      <c r="S182" s="17">
        <f t="shared" si="87"/>
        <v>0.47918960239774377</v>
      </c>
      <c r="T182" s="611">
        <f>'Yield Mechanism'!$AI$58</f>
        <v>94.35001311100973</v>
      </c>
      <c r="U182" s="197">
        <f>T182*K182+U181</f>
        <v>420.63107789658289</v>
      </c>
      <c r="V182" s="1035"/>
      <c r="W182" s="186"/>
      <c r="X182" s="283">
        <v>5</v>
      </c>
      <c r="Y182" s="17">
        <f>mstr5</f>
        <v>67.278400000000005</v>
      </c>
      <c r="Z182" s="17">
        <f t="shared" si="88"/>
        <v>13.336708101030341</v>
      </c>
      <c r="AA182" s="17">
        <f t="shared" si="89"/>
        <v>196.71644449019755</v>
      </c>
      <c r="AB182" s="474" t="s">
        <v>334</v>
      </c>
    </row>
    <row r="183" spans="3:28" x14ac:dyDescent="0.25">
      <c r="J183" s="242">
        <v>4</v>
      </c>
      <c r="K183" s="197">
        <f>hstr4</f>
        <v>3</v>
      </c>
      <c r="L183" s="197">
        <f t="shared" si="85"/>
        <v>11.75</v>
      </c>
      <c r="M183" s="243">
        <f>'Yield Mechanism'!$X$59</f>
        <v>0.19495296100534013</v>
      </c>
      <c r="N183" s="21">
        <f t="shared" si="90"/>
        <v>4.3949468688682936E-3</v>
      </c>
      <c r="O183" s="244">
        <f t="shared" si="86"/>
        <v>1.4649822896227644E-3</v>
      </c>
      <c r="P183" s="243">
        <f>$C$28</f>
        <v>8.8673064285714302E-3</v>
      </c>
      <c r="Q183" s="243">
        <f>$D$28</f>
        <v>2.1026318802204874E-3</v>
      </c>
      <c r="R183" s="17">
        <f t="shared" si="91"/>
        <v>0.16521164588407947</v>
      </c>
      <c r="S183" s="17">
        <f t="shared" si="87"/>
        <v>0.69673740962642616</v>
      </c>
      <c r="T183" s="611">
        <f>'Yield Mechanism'!$AI$59</f>
        <v>142.03767673233165</v>
      </c>
      <c r="U183" s="197">
        <f t="shared" ref="U183:U186" si="92">T183*K183+U182</f>
        <v>846.74410809357778</v>
      </c>
      <c r="V183" s="1036"/>
      <c r="W183" s="186"/>
      <c r="X183" s="283">
        <v>4</v>
      </c>
      <c r="Y183" s="17">
        <f>mstr4</f>
        <v>67.278400000000005</v>
      </c>
      <c r="Z183" s="17">
        <f t="shared" si="88"/>
        <v>13.116123291701676</v>
      </c>
      <c r="AA183" s="17">
        <f t="shared" si="89"/>
        <v>154.11444867749469</v>
      </c>
      <c r="AB183" s="196">
        <f>T186/M181</f>
        <v>1176.7960959577401</v>
      </c>
    </row>
    <row r="184" spans="3:28" x14ac:dyDescent="0.25">
      <c r="J184" s="242">
        <v>3</v>
      </c>
      <c r="K184" s="197">
        <f>hstr3</f>
        <v>3</v>
      </c>
      <c r="L184" s="197">
        <f>L185+K184</f>
        <v>8.75</v>
      </c>
      <c r="M184" s="243">
        <f>'Yield Mechanism'!$X$60</f>
        <v>0.19055801413647183</v>
      </c>
      <c r="N184" s="21">
        <f t="shared" si="90"/>
        <v>9.5971826993550557E-3</v>
      </c>
      <c r="O184" s="244">
        <f t="shared" si="86"/>
        <v>3.1990608997850187E-3</v>
      </c>
      <c r="P184" s="243">
        <f>$C$29</f>
        <v>8.3556867009551838E-3</v>
      </c>
      <c r="Q184" s="243">
        <f>$D$29</f>
        <v>1.9478666359322766E-3</v>
      </c>
      <c r="R184" s="17">
        <f t="shared" si="91"/>
        <v>0.38286032187148866</v>
      </c>
      <c r="S184" s="17">
        <f t="shared" si="87"/>
        <v>1.6423408259949495</v>
      </c>
      <c r="T184" s="611">
        <f>'Yield Mechanism'!$AI$60</f>
        <v>188.65028744429932</v>
      </c>
      <c r="U184" s="197">
        <f t="shared" si="92"/>
        <v>1412.6949704264757</v>
      </c>
      <c r="V184" s="1036"/>
      <c r="W184" s="186"/>
      <c r="X184" s="283">
        <v>3</v>
      </c>
      <c r="Y184" s="17">
        <f>mstr3</f>
        <v>67.278400000000005</v>
      </c>
      <c r="Z184" s="17">
        <f t="shared" si="88"/>
        <v>12.820438298279207</v>
      </c>
      <c r="AA184" s="17">
        <f t="shared" si="89"/>
        <v>112.17883510994307</v>
      </c>
      <c r="AB184" s="475" t="s">
        <v>336</v>
      </c>
    </row>
    <row r="185" spans="3:28" ht="15.75" x14ac:dyDescent="0.25">
      <c r="C185" s="1050" t="s">
        <v>288</v>
      </c>
      <c r="D185" s="1051"/>
      <c r="E185" s="1051"/>
      <c r="F185" s="1052"/>
      <c r="J185" s="242">
        <v>2</v>
      </c>
      <c r="K185" s="197">
        <f>hstr2</f>
        <v>3</v>
      </c>
      <c r="L185" s="197">
        <f>L186+K185</f>
        <v>5.75</v>
      </c>
      <c r="M185" s="243">
        <f>'Yield Mechanism'!$X$61</f>
        <v>0.18096083143711678</v>
      </c>
      <c r="N185" s="21">
        <f>M185-M186</f>
        <v>0.17107560960780582</v>
      </c>
      <c r="O185" s="244">
        <f t="shared" si="86"/>
        <v>5.7025203202601939E-2</v>
      </c>
      <c r="P185" s="243">
        <f>$C$30</f>
        <v>6.4157970868129726E-3</v>
      </c>
      <c r="Q185" s="243">
        <f>$D$30</f>
        <v>1.8112309252701479E-3</v>
      </c>
      <c r="R185" s="17">
        <f t="shared" si="91"/>
        <v>8.8882491810427613</v>
      </c>
      <c r="S185" s="17">
        <f t="shared" si="87"/>
        <v>31.48422567602557</v>
      </c>
      <c r="T185" s="611">
        <f>'Yield Mechanism'!$AI$61</f>
        <v>232.91532047435166</v>
      </c>
      <c r="U185" s="197">
        <f t="shared" si="92"/>
        <v>2111.4409318495309</v>
      </c>
      <c r="V185" s="1036"/>
      <c r="W185" s="186"/>
      <c r="X185" s="283">
        <v>2</v>
      </c>
      <c r="Y185" s="17">
        <f>mstr2</f>
        <v>67.278400000000005</v>
      </c>
      <c r="Z185" s="17">
        <f t="shared" si="88"/>
        <v>12.174755201758918</v>
      </c>
      <c r="AA185" s="17">
        <f t="shared" si="89"/>
        <v>70.004842410113781</v>
      </c>
      <c r="AB185" s="17">
        <f>((Y186*M184+Y185*M185+Y184*M186+M183*Y183+M182*Y182+M181*Y181)^2)/(Y186*M184*M184+Y185*M185*M185+Y184*M186*M186+Y183*M183*M183+Y182*M182*M182+Y181*M181*M181)</f>
        <v>338.5215186058951</v>
      </c>
    </row>
    <row r="186" spans="3:28" x14ac:dyDescent="0.25">
      <c r="C186" s="707" t="s">
        <v>5</v>
      </c>
      <c r="D186" s="1053" t="str">
        <f>H135</f>
        <v>LS6 Δi</v>
      </c>
      <c r="E186" s="1055">
        <f>D125</f>
        <v>0</v>
      </c>
      <c r="F186" s="707" t="s">
        <v>237</v>
      </c>
      <c r="J186" s="242">
        <v>1</v>
      </c>
      <c r="K186" s="197">
        <f>hstr1</f>
        <v>2.75</v>
      </c>
      <c r="L186" s="197">
        <f>K186</f>
        <v>2.75</v>
      </c>
      <c r="M186" s="243">
        <f>'Yield Mechanism'!$X$62</f>
        <v>9.8852218293109598E-3</v>
      </c>
      <c r="N186" s="21">
        <f>M186</f>
        <v>9.8852218293109598E-3</v>
      </c>
      <c r="O186" s="244">
        <f>N186/K186</f>
        <v>3.59462611974944E-3</v>
      </c>
      <c r="P186" s="243">
        <f>$C$31</f>
        <v>4.8471720397440425E-3</v>
      </c>
      <c r="Q186" s="243">
        <f>$D$31</f>
        <v>1.7850281840739108E-3</v>
      </c>
      <c r="R186" s="17">
        <f t="shared" si="91"/>
        <v>0.74159243581114076</v>
      </c>
      <c r="S186" s="17">
        <f t="shared" si="87"/>
        <v>2.0137643493928166</v>
      </c>
      <c r="T186" s="611">
        <f>'Yield Mechanism'!$AI$62</f>
        <v>235.33335573263821</v>
      </c>
      <c r="U186" s="197">
        <f t="shared" si="92"/>
        <v>2758.6076601142859</v>
      </c>
      <c r="V186" s="1037"/>
      <c r="W186" s="186"/>
      <c r="X186" s="283">
        <v>1</v>
      </c>
      <c r="Y186" s="17">
        <f>mstr1</f>
        <v>67.278400000000005</v>
      </c>
      <c r="Z186" s="17">
        <f t="shared" si="88"/>
        <v>0.66506190832111456</v>
      </c>
      <c r="AA186" s="17">
        <f t="shared" si="89"/>
        <v>1.8289202478830651</v>
      </c>
      <c r="AB186" s="474" t="s">
        <v>335</v>
      </c>
    </row>
    <row r="187" spans="3:28" x14ac:dyDescent="0.25">
      <c r="C187" s="671"/>
      <c r="D187" s="1054"/>
      <c r="E187" s="1056"/>
      <c r="F187" s="671"/>
      <c r="X187" s="284"/>
      <c r="Y187" s="474" t="s">
        <v>78</v>
      </c>
      <c r="Z187" s="245">
        <f>SUM(Z181:Z186)</f>
        <v>64.726620556413053</v>
      </c>
      <c r="AA187" s="245">
        <f>SUM(AA181:AA186)</f>
        <v>758.73371509259403</v>
      </c>
      <c r="AB187" s="196">
        <f>2*PI()*SQRT(AB185/AB183)</f>
        <v>3.3699417890142915</v>
      </c>
    </row>
    <row r="188" spans="3:28" x14ac:dyDescent="0.25">
      <c r="C188" s="282">
        <v>6</v>
      </c>
      <c r="D188" s="113">
        <f>H137/$H$137</f>
        <v>1</v>
      </c>
      <c r="E188" s="113" t="e">
        <f>D126/$D$126</f>
        <v>#DIV/0!</v>
      </c>
      <c r="F188" s="268" t="e">
        <f t="shared" ref="F188:F193" si="93">(E188-D188)/E188</f>
        <v>#DIV/0!</v>
      </c>
      <c r="Q188" s="72"/>
      <c r="T188" s="260"/>
    </row>
    <row r="189" spans="3:28" ht="15.75" x14ac:dyDescent="0.25">
      <c r="C189" s="282">
        <v>5</v>
      </c>
      <c r="D189" s="113">
        <f t="shared" ref="D189:D194" si="94">H138/$H$137</f>
        <v>0.99126716922237035</v>
      </c>
      <c r="E189" s="113" t="e">
        <f t="shared" ref="E189:E194" si="95">D127/$D$126</f>
        <v>#DIV/0!</v>
      </c>
      <c r="F189" s="268" t="e">
        <f t="shared" si="93"/>
        <v>#DIV/0!</v>
      </c>
      <c r="J189" s="1005" t="s">
        <v>344</v>
      </c>
      <c r="K189" s="1005"/>
      <c r="L189" s="1005"/>
      <c r="M189" s="1005"/>
      <c r="N189" s="1005"/>
      <c r="O189" s="1005"/>
      <c r="P189" s="1005"/>
      <c r="Q189" s="1005"/>
      <c r="R189" s="1005"/>
      <c r="S189" s="1005"/>
      <c r="T189" s="1005"/>
      <c r="U189" s="1005"/>
      <c r="V189" s="1005"/>
      <c r="W189" s="258"/>
      <c r="X189" s="1005" t="s">
        <v>106</v>
      </c>
      <c r="Y189" s="1005"/>
      <c r="Z189" s="1005"/>
      <c r="AA189" s="1005"/>
      <c r="AB189" s="1005"/>
    </row>
    <row r="190" spans="3:28" ht="15" customHeight="1" x14ac:dyDescent="0.25">
      <c r="C190" s="282">
        <v>4</v>
      </c>
      <c r="D190" s="113">
        <f t="shared" si="94"/>
        <v>0.97487193301713393</v>
      </c>
      <c r="E190" s="113" t="e">
        <f t="shared" si="95"/>
        <v>#DIV/0!</v>
      </c>
      <c r="F190" s="268" t="e">
        <f t="shared" si="93"/>
        <v>#DIV/0!</v>
      </c>
      <c r="J190" s="973" t="s">
        <v>5</v>
      </c>
      <c r="K190" s="974" t="s">
        <v>3</v>
      </c>
      <c r="L190" s="974" t="s">
        <v>72</v>
      </c>
      <c r="M190" s="973" t="s">
        <v>74</v>
      </c>
      <c r="N190" s="973" t="s">
        <v>81</v>
      </c>
      <c r="O190" s="974" t="s">
        <v>101</v>
      </c>
      <c r="P190" s="974" t="s">
        <v>255</v>
      </c>
      <c r="Q190" s="974" t="s">
        <v>256</v>
      </c>
      <c r="R190" s="973" t="s">
        <v>390</v>
      </c>
      <c r="S190" s="973" t="s">
        <v>391</v>
      </c>
      <c r="T190" s="973" t="s">
        <v>75</v>
      </c>
      <c r="U190" s="974" t="s">
        <v>102</v>
      </c>
      <c r="V190" s="973" t="s">
        <v>79</v>
      </c>
      <c r="X190" s="671" t="s">
        <v>5</v>
      </c>
      <c r="Y190" s="1006" t="s">
        <v>76</v>
      </c>
      <c r="Z190" s="1006" t="s">
        <v>77</v>
      </c>
      <c r="AA190" s="1006" t="s">
        <v>104</v>
      </c>
      <c r="AB190" s="704" t="s">
        <v>105</v>
      </c>
    </row>
    <row r="191" spans="3:28" x14ac:dyDescent="0.25">
      <c r="C191" s="282">
        <v>3</v>
      </c>
      <c r="D191" s="113">
        <f t="shared" si="94"/>
        <v>0.95289478361931645</v>
      </c>
      <c r="E191" s="113" t="e">
        <f t="shared" si="95"/>
        <v>#DIV/0!</v>
      </c>
      <c r="F191" s="268" t="e">
        <f t="shared" si="93"/>
        <v>#DIV/0!</v>
      </c>
      <c r="J191" s="707"/>
      <c r="K191" s="703"/>
      <c r="L191" s="703"/>
      <c r="M191" s="707"/>
      <c r="N191" s="707"/>
      <c r="O191" s="703"/>
      <c r="P191" s="703"/>
      <c r="Q191" s="703"/>
      <c r="R191" s="707"/>
      <c r="S191" s="707"/>
      <c r="T191" s="707"/>
      <c r="U191" s="703"/>
      <c r="V191" s="707"/>
      <c r="X191" s="671"/>
      <c r="Y191" s="1006"/>
      <c r="Z191" s="1006"/>
      <c r="AA191" s="1006"/>
      <c r="AB191" s="704"/>
    </row>
    <row r="192" spans="3:28" x14ac:dyDescent="0.25">
      <c r="C192" s="282">
        <v>2</v>
      </c>
      <c r="D192" s="113">
        <f t="shared" si="94"/>
        <v>0.90490359640476281</v>
      </c>
      <c r="E192" s="113" t="e">
        <f>D130/$D$126</f>
        <v>#DIV/0!</v>
      </c>
      <c r="F192" s="268" t="e">
        <f t="shared" si="93"/>
        <v>#DIV/0!</v>
      </c>
      <c r="J192" s="242">
        <v>6</v>
      </c>
      <c r="K192" s="197">
        <f>hstr6</f>
        <v>3</v>
      </c>
      <c r="L192" s="197">
        <f t="shared" ref="L192:L194" si="96">L193+K192</f>
        <v>17.75</v>
      </c>
      <c r="M192" s="243">
        <f>'Yield Mechanism'!$X$57</f>
        <v>0.1999780221407951</v>
      </c>
      <c r="N192" s="21">
        <f>M192-M193</f>
        <v>1.7463742266006499E-3</v>
      </c>
      <c r="O192" s="244">
        <f t="shared" ref="O192:O196" si="97">N192/K192</f>
        <v>5.8212474220021659E-4</v>
      </c>
      <c r="P192" s="243">
        <f>$C$26</f>
        <v>8.3125273614190701E-3</v>
      </c>
      <c r="Q192" s="243">
        <f>$D$26</f>
        <v>2.4571407410608624E-3</v>
      </c>
      <c r="R192" s="17">
        <f>O192/P192</f>
        <v>7.0029813664377452E-2</v>
      </c>
      <c r="S192" s="17">
        <f t="shared" ref="S192:S197" si="98">O192/Q192</f>
        <v>0.23691143631800518</v>
      </c>
      <c r="T192" s="611">
        <f>'Yield Mechanism'!$AI$57</f>
        <v>45.860346187851235</v>
      </c>
      <c r="U192" s="197">
        <f>T192*K192</f>
        <v>137.5810385635537</v>
      </c>
      <c r="V192" s="17">
        <f>U197/AB192</f>
        <v>235.33335573263852</v>
      </c>
      <c r="W192" s="186"/>
      <c r="X192" s="283">
        <v>6</v>
      </c>
      <c r="Y192" s="17">
        <f>mstr6</f>
        <v>63.074599999999997</v>
      </c>
      <c r="Z192" s="17">
        <f t="shared" ref="Z192:Z197" si="99">Y192*M192</f>
        <v>12.613533755321795</v>
      </c>
      <c r="AA192" s="17">
        <f t="shared" ref="AA192:AA197" si="100">Z192*L192</f>
        <v>223.89022415696186</v>
      </c>
      <c r="AB192" s="17">
        <f>AA198/Z198</f>
        <v>11.722127751615165</v>
      </c>
    </row>
    <row r="193" spans="3:28" x14ac:dyDescent="0.25">
      <c r="C193" s="282">
        <v>1</v>
      </c>
      <c r="D193" s="113">
        <f t="shared" si="94"/>
        <v>4.9431541143812499E-2</v>
      </c>
      <c r="E193" s="113" t="e">
        <f t="shared" si="95"/>
        <v>#DIV/0!</v>
      </c>
      <c r="F193" s="268" t="e">
        <f t="shared" si="93"/>
        <v>#DIV/0!</v>
      </c>
      <c r="J193" s="242">
        <v>5</v>
      </c>
      <c r="K193" s="197">
        <f>hstr5</f>
        <v>3</v>
      </c>
      <c r="L193" s="197">
        <f t="shared" si="96"/>
        <v>14.75</v>
      </c>
      <c r="M193" s="243">
        <f>'Yield Mechanism'!$X$58</f>
        <v>0.19823164791419445</v>
      </c>
      <c r="N193" s="21">
        <f t="shared" ref="N193:N195" si="101">M193-M194</f>
        <v>3.278686908854328E-3</v>
      </c>
      <c r="O193" s="244">
        <f t="shared" si="97"/>
        <v>1.0928956362847759E-3</v>
      </c>
      <c r="P193" s="243">
        <f>$C$27</f>
        <v>9.5976000000000013E-3</v>
      </c>
      <c r="Q193" s="243">
        <f>$D$27</f>
        <v>2.2807165072368058E-3</v>
      </c>
      <c r="R193" s="17">
        <f t="shared" ref="R193:R197" si="102">O193/P193</f>
        <v>0.11387176338717761</v>
      </c>
      <c r="S193" s="17">
        <f t="shared" si="98"/>
        <v>0.47918960239774377</v>
      </c>
      <c r="T193" s="611">
        <f>'Yield Mechanism'!$AI$58</f>
        <v>94.35001311100973</v>
      </c>
      <c r="U193" s="197">
        <f>T193*K193+U192</f>
        <v>420.63107789658289</v>
      </c>
      <c r="V193" s="1035"/>
      <c r="W193" s="186"/>
      <c r="X193" s="283">
        <v>5</v>
      </c>
      <c r="Y193" s="17">
        <f>mstr5</f>
        <v>67.278400000000005</v>
      </c>
      <c r="Z193" s="17">
        <f t="shared" si="99"/>
        <v>13.336708101030341</v>
      </c>
      <c r="AA193" s="17">
        <f t="shared" si="100"/>
        <v>196.71644449019755</v>
      </c>
      <c r="AB193" s="474" t="s">
        <v>334</v>
      </c>
    </row>
    <row r="194" spans="3:28" x14ac:dyDescent="0.25">
      <c r="C194" s="269">
        <v>0</v>
      </c>
      <c r="D194" s="270">
        <f t="shared" si="94"/>
        <v>0</v>
      </c>
      <c r="E194" s="270" t="e">
        <f t="shared" si="95"/>
        <v>#DIV/0!</v>
      </c>
      <c r="F194" s="271">
        <v>0</v>
      </c>
      <c r="J194" s="242">
        <v>4</v>
      </c>
      <c r="K194" s="197">
        <f>hstr4</f>
        <v>3</v>
      </c>
      <c r="L194" s="197">
        <f t="shared" si="96"/>
        <v>11.75</v>
      </c>
      <c r="M194" s="243">
        <f>'Yield Mechanism'!$X$59</f>
        <v>0.19495296100534013</v>
      </c>
      <c r="N194" s="21">
        <f t="shared" si="101"/>
        <v>4.3949468688682936E-3</v>
      </c>
      <c r="O194" s="244">
        <f t="shared" si="97"/>
        <v>1.4649822896227644E-3</v>
      </c>
      <c r="P194" s="243">
        <f>$C$28</f>
        <v>8.8673064285714302E-3</v>
      </c>
      <c r="Q194" s="243">
        <f>$D$28</f>
        <v>2.1026318802204874E-3</v>
      </c>
      <c r="R194" s="17">
        <f t="shared" si="102"/>
        <v>0.16521164588407947</v>
      </c>
      <c r="S194" s="17">
        <f t="shared" si="98"/>
        <v>0.69673740962642616</v>
      </c>
      <c r="T194" s="611">
        <f>'Yield Mechanism'!$AI$59</f>
        <v>142.03767673233165</v>
      </c>
      <c r="U194" s="197">
        <f t="shared" ref="U194:U197" si="103">T194*K194+U193</f>
        <v>846.74410809357778</v>
      </c>
      <c r="V194" s="1036"/>
      <c r="W194" s="186"/>
      <c r="X194" s="283">
        <v>4</v>
      </c>
      <c r="Y194" s="17">
        <f>mstr4</f>
        <v>67.278400000000005</v>
      </c>
      <c r="Z194" s="17">
        <f t="shared" si="99"/>
        <v>13.116123291701676</v>
      </c>
      <c r="AA194" s="17">
        <f t="shared" si="100"/>
        <v>154.11444867749469</v>
      </c>
      <c r="AB194" s="196">
        <f>T197/M192</f>
        <v>1176.7960959577401</v>
      </c>
    </row>
    <row r="195" spans="3:28" x14ac:dyDescent="0.25">
      <c r="J195" s="242">
        <v>3</v>
      </c>
      <c r="K195" s="197">
        <f>hstr3</f>
        <v>3</v>
      </c>
      <c r="L195" s="197">
        <f>L196+K195</f>
        <v>8.75</v>
      </c>
      <c r="M195" s="243">
        <f>'Yield Mechanism'!$X$60</f>
        <v>0.19055801413647183</v>
      </c>
      <c r="N195" s="21">
        <f t="shared" si="101"/>
        <v>9.5971826993550557E-3</v>
      </c>
      <c r="O195" s="244">
        <f t="shared" si="97"/>
        <v>3.1990608997850187E-3</v>
      </c>
      <c r="P195" s="243">
        <f>$C$29</f>
        <v>8.3556867009551838E-3</v>
      </c>
      <c r="Q195" s="243">
        <f>$D$29</f>
        <v>1.9478666359322766E-3</v>
      </c>
      <c r="R195" s="17">
        <f t="shared" si="102"/>
        <v>0.38286032187148866</v>
      </c>
      <c r="S195" s="17">
        <f t="shared" si="98"/>
        <v>1.6423408259949495</v>
      </c>
      <c r="T195" s="611">
        <f>'Yield Mechanism'!$AI$60</f>
        <v>188.65028744429932</v>
      </c>
      <c r="U195" s="197">
        <f t="shared" si="103"/>
        <v>1412.6949704264757</v>
      </c>
      <c r="V195" s="1036"/>
      <c r="W195" s="186"/>
      <c r="X195" s="283">
        <v>3</v>
      </c>
      <c r="Y195" s="17">
        <f>mstr3</f>
        <v>67.278400000000005</v>
      </c>
      <c r="Z195" s="17">
        <f t="shared" si="99"/>
        <v>12.820438298279207</v>
      </c>
      <c r="AA195" s="17">
        <f t="shared" si="100"/>
        <v>112.17883510994307</v>
      </c>
      <c r="AB195" s="475" t="s">
        <v>336</v>
      </c>
    </row>
    <row r="196" spans="3:28" x14ac:dyDescent="0.25">
      <c r="J196" s="242">
        <v>2</v>
      </c>
      <c r="K196" s="197">
        <f>hstr2</f>
        <v>3</v>
      </c>
      <c r="L196" s="197">
        <f>L197+K196</f>
        <v>5.75</v>
      </c>
      <c r="M196" s="243">
        <f>'Yield Mechanism'!$X$61</f>
        <v>0.18096083143711678</v>
      </c>
      <c r="N196" s="21">
        <f>M196-M197</f>
        <v>0.17107560960780582</v>
      </c>
      <c r="O196" s="244">
        <f t="shared" si="97"/>
        <v>5.7025203202601939E-2</v>
      </c>
      <c r="P196" s="243">
        <f>$C$30</f>
        <v>6.4157970868129726E-3</v>
      </c>
      <c r="Q196" s="243">
        <f>$D$30</f>
        <v>1.8112309252701479E-3</v>
      </c>
      <c r="R196" s="17">
        <f t="shared" si="102"/>
        <v>8.8882491810427613</v>
      </c>
      <c r="S196" s="17">
        <f t="shared" si="98"/>
        <v>31.48422567602557</v>
      </c>
      <c r="T196" s="611">
        <f>'Yield Mechanism'!$AI$61</f>
        <v>232.91532047435166</v>
      </c>
      <c r="U196" s="197">
        <f t="shared" si="103"/>
        <v>2111.4409318495309</v>
      </c>
      <c r="V196" s="1036"/>
      <c r="W196" s="186"/>
      <c r="X196" s="283">
        <v>2</v>
      </c>
      <c r="Y196" s="17">
        <f>mstr2</f>
        <v>67.278400000000005</v>
      </c>
      <c r="Z196" s="17">
        <f t="shared" si="99"/>
        <v>12.174755201758918</v>
      </c>
      <c r="AA196" s="17">
        <f t="shared" si="100"/>
        <v>70.004842410113781</v>
      </c>
      <c r="AB196" s="17">
        <f>((Y197*M195+Y196*M196+Y195*M197+M194*Y194+M193*Y193+M192*Y192)^2)/(Y197*M195*M195+Y196*M196*M196+Y195*M197*M197+Y194*M194*M194+Y193*M193*M193+Y192*M192*M192)</f>
        <v>338.5215186058951</v>
      </c>
    </row>
    <row r="197" spans="3:28" x14ac:dyDescent="0.25">
      <c r="J197" s="242">
        <v>1</v>
      </c>
      <c r="K197" s="197">
        <f>hstr1</f>
        <v>2.75</v>
      </c>
      <c r="L197" s="197">
        <f>K197</f>
        <v>2.75</v>
      </c>
      <c r="M197" s="243">
        <f>'Yield Mechanism'!$X$62</f>
        <v>9.8852218293109598E-3</v>
      </c>
      <c r="N197" s="21">
        <f>M197</f>
        <v>9.8852218293109598E-3</v>
      </c>
      <c r="O197" s="244">
        <f>N197/K197</f>
        <v>3.59462611974944E-3</v>
      </c>
      <c r="P197" s="243">
        <f>$C$31</f>
        <v>4.8471720397440425E-3</v>
      </c>
      <c r="Q197" s="243">
        <f>$D$31</f>
        <v>1.7850281840739108E-3</v>
      </c>
      <c r="R197" s="17">
        <f t="shared" si="102"/>
        <v>0.74159243581114076</v>
      </c>
      <c r="S197" s="17">
        <f t="shared" si="98"/>
        <v>2.0137643493928166</v>
      </c>
      <c r="T197" s="611">
        <f>'Yield Mechanism'!$AI$62</f>
        <v>235.33335573263821</v>
      </c>
      <c r="U197" s="197">
        <f t="shared" si="103"/>
        <v>2758.6076601142859</v>
      </c>
      <c r="V197" s="1037"/>
      <c r="W197" s="186"/>
      <c r="X197" s="283">
        <v>1</v>
      </c>
      <c r="Y197" s="17">
        <f>mstr1</f>
        <v>67.278400000000005</v>
      </c>
      <c r="Z197" s="17">
        <f t="shared" si="99"/>
        <v>0.66506190832111456</v>
      </c>
      <c r="AA197" s="17">
        <f t="shared" si="100"/>
        <v>1.8289202478830651</v>
      </c>
      <c r="AB197" s="474" t="s">
        <v>335</v>
      </c>
    </row>
    <row r="198" spans="3:28" x14ac:dyDescent="0.25">
      <c r="X198" s="284"/>
      <c r="Y198" s="474" t="s">
        <v>78</v>
      </c>
      <c r="Z198" s="245">
        <f>SUM(Z192:Z197)</f>
        <v>64.726620556413053</v>
      </c>
      <c r="AA198" s="245">
        <f>SUM(AA192:AA197)</f>
        <v>758.73371509259403</v>
      </c>
      <c r="AB198" s="196">
        <f>2*PI()*SQRT(AB196/AB194)</f>
        <v>3.3699417890142915</v>
      </c>
    </row>
    <row r="199" spans="3:28" x14ac:dyDescent="0.25">
      <c r="S199" s="72"/>
    </row>
    <row r="200" spans="3:28" ht="15.75" x14ac:dyDescent="0.25">
      <c r="J200" s="1005" t="s">
        <v>345</v>
      </c>
      <c r="K200" s="1005"/>
      <c r="L200" s="1005"/>
      <c r="M200" s="1005"/>
      <c r="N200" s="1005"/>
      <c r="O200" s="1005"/>
      <c r="P200" s="1005"/>
      <c r="Q200" s="1005"/>
      <c r="R200" s="1005"/>
      <c r="S200" s="1005"/>
      <c r="T200" s="1005"/>
      <c r="U200" s="1005"/>
      <c r="V200" s="1005"/>
      <c r="W200" s="258"/>
      <c r="X200" s="1005" t="s">
        <v>106</v>
      </c>
      <c r="Y200" s="1005"/>
      <c r="Z200" s="1005"/>
      <c r="AA200" s="1005"/>
      <c r="AB200" s="1005"/>
    </row>
    <row r="201" spans="3:28" ht="15" customHeight="1" x14ac:dyDescent="0.25">
      <c r="J201" s="973" t="s">
        <v>5</v>
      </c>
      <c r="K201" s="974" t="s">
        <v>3</v>
      </c>
      <c r="L201" s="974" t="s">
        <v>72</v>
      </c>
      <c r="M201" s="973" t="s">
        <v>74</v>
      </c>
      <c r="N201" s="973" t="s">
        <v>81</v>
      </c>
      <c r="O201" s="974" t="s">
        <v>101</v>
      </c>
      <c r="P201" s="974" t="s">
        <v>255</v>
      </c>
      <c r="Q201" s="974" t="s">
        <v>256</v>
      </c>
      <c r="R201" s="973" t="s">
        <v>390</v>
      </c>
      <c r="S201" s="973" t="s">
        <v>391</v>
      </c>
      <c r="T201" s="973" t="s">
        <v>75</v>
      </c>
      <c r="U201" s="974" t="s">
        <v>102</v>
      </c>
      <c r="V201" s="973" t="s">
        <v>79</v>
      </c>
      <c r="X201" s="671" t="s">
        <v>5</v>
      </c>
      <c r="Y201" s="1006" t="s">
        <v>76</v>
      </c>
      <c r="Z201" s="1006" t="s">
        <v>77</v>
      </c>
      <c r="AA201" s="1006" t="s">
        <v>104</v>
      </c>
      <c r="AB201" s="704" t="s">
        <v>105</v>
      </c>
    </row>
    <row r="202" spans="3:28" x14ac:dyDescent="0.25">
      <c r="J202" s="707"/>
      <c r="K202" s="703"/>
      <c r="L202" s="703"/>
      <c r="M202" s="707"/>
      <c r="N202" s="707"/>
      <c r="O202" s="703"/>
      <c r="P202" s="703"/>
      <c r="Q202" s="703"/>
      <c r="R202" s="707"/>
      <c r="S202" s="707"/>
      <c r="T202" s="707"/>
      <c r="U202" s="703"/>
      <c r="V202" s="707"/>
      <c r="X202" s="671"/>
      <c r="Y202" s="1006"/>
      <c r="Z202" s="1006"/>
      <c r="AA202" s="1006"/>
      <c r="AB202" s="704"/>
    </row>
    <row r="203" spans="3:28" x14ac:dyDescent="0.25">
      <c r="J203" s="242">
        <v>6</v>
      </c>
      <c r="K203" s="197">
        <f>hstr6</f>
        <v>3</v>
      </c>
      <c r="L203" s="197">
        <f t="shared" ref="L203:L205" si="104">L204+K203</f>
        <v>17.75</v>
      </c>
      <c r="M203" s="243">
        <f>'Yield Mechanism'!$X$57</f>
        <v>0.1999780221407951</v>
      </c>
      <c r="N203" s="21">
        <f>M203-M204</f>
        <v>1.7463742266006499E-3</v>
      </c>
      <c r="O203" s="244">
        <f t="shared" ref="O203:O207" si="105">N203/K203</f>
        <v>5.8212474220021659E-4</v>
      </c>
      <c r="P203" s="243">
        <f>$C$26</f>
        <v>8.3125273614190701E-3</v>
      </c>
      <c r="Q203" s="243">
        <f>$D$26</f>
        <v>2.4571407410608624E-3</v>
      </c>
      <c r="R203" s="17">
        <f>O203/P203</f>
        <v>7.0029813664377452E-2</v>
      </c>
      <c r="S203" s="17">
        <f t="shared" ref="S203:S208" si="106">O203/Q203</f>
        <v>0.23691143631800518</v>
      </c>
      <c r="T203" s="611">
        <f>'Yield Mechanism'!$AI$57</f>
        <v>45.860346187851235</v>
      </c>
      <c r="U203" s="197">
        <f>T203*K203</f>
        <v>137.5810385635537</v>
      </c>
      <c r="V203" s="17">
        <f>U208/AB203</f>
        <v>235.33335573263852</v>
      </c>
      <c r="W203" s="186"/>
      <c r="X203" s="283">
        <v>6</v>
      </c>
      <c r="Y203" s="17">
        <f>mstr6</f>
        <v>63.074599999999997</v>
      </c>
      <c r="Z203" s="17">
        <f t="shared" ref="Z203:Z208" si="107">Y203*M203</f>
        <v>12.613533755321795</v>
      </c>
      <c r="AA203" s="17">
        <f t="shared" ref="AA203:AA208" si="108">Z203*L203</f>
        <v>223.89022415696186</v>
      </c>
      <c r="AB203" s="17">
        <f>AA209/Z209</f>
        <v>11.722127751615165</v>
      </c>
    </row>
    <row r="204" spans="3:28" x14ac:dyDescent="0.25">
      <c r="J204" s="242">
        <v>5</v>
      </c>
      <c r="K204" s="197">
        <f>hstr5</f>
        <v>3</v>
      </c>
      <c r="L204" s="197">
        <f t="shared" si="104"/>
        <v>14.75</v>
      </c>
      <c r="M204" s="243">
        <f>'Yield Mechanism'!$X$58</f>
        <v>0.19823164791419445</v>
      </c>
      <c r="N204" s="21">
        <f t="shared" ref="N204:N206" si="109">M204-M205</f>
        <v>3.278686908854328E-3</v>
      </c>
      <c r="O204" s="244">
        <f t="shared" si="105"/>
        <v>1.0928956362847759E-3</v>
      </c>
      <c r="P204" s="243">
        <f>$C$27</f>
        <v>9.5976000000000013E-3</v>
      </c>
      <c r="Q204" s="243">
        <f>$D$27</f>
        <v>2.2807165072368058E-3</v>
      </c>
      <c r="R204" s="17">
        <f t="shared" ref="R204:R208" si="110">O204/P204</f>
        <v>0.11387176338717761</v>
      </c>
      <c r="S204" s="17">
        <f t="shared" si="106"/>
        <v>0.47918960239774377</v>
      </c>
      <c r="T204" s="611">
        <f>'Yield Mechanism'!$AI$58</f>
        <v>94.35001311100973</v>
      </c>
      <c r="U204" s="197">
        <f>T204*K204+U203</f>
        <v>420.63107789658289</v>
      </c>
      <c r="V204" s="1035"/>
      <c r="W204" s="186"/>
      <c r="X204" s="283">
        <v>5</v>
      </c>
      <c r="Y204" s="17">
        <f>mstr5</f>
        <v>67.278400000000005</v>
      </c>
      <c r="Z204" s="17">
        <f t="shared" si="107"/>
        <v>13.336708101030341</v>
      </c>
      <c r="AA204" s="17">
        <f t="shared" si="108"/>
        <v>196.71644449019755</v>
      </c>
      <c r="AB204" s="474" t="s">
        <v>334</v>
      </c>
    </row>
    <row r="205" spans="3:28" x14ac:dyDescent="0.25">
      <c r="J205" s="242">
        <v>4</v>
      </c>
      <c r="K205" s="197">
        <f>hstr4</f>
        <v>3</v>
      </c>
      <c r="L205" s="197">
        <f t="shared" si="104"/>
        <v>11.75</v>
      </c>
      <c r="M205" s="243">
        <f>'Yield Mechanism'!$X$59</f>
        <v>0.19495296100534013</v>
      </c>
      <c r="N205" s="21">
        <f t="shared" si="109"/>
        <v>4.3949468688682936E-3</v>
      </c>
      <c r="O205" s="244">
        <f t="shared" si="105"/>
        <v>1.4649822896227644E-3</v>
      </c>
      <c r="P205" s="243">
        <f>$C$28</f>
        <v>8.8673064285714302E-3</v>
      </c>
      <c r="Q205" s="243">
        <f>$D$28</f>
        <v>2.1026318802204874E-3</v>
      </c>
      <c r="R205" s="17">
        <f t="shared" si="110"/>
        <v>0.16521164588407947</v>
      </c>
      <c r="S205" s="17">
        <f t="shared" si="106"/>
        <v>0.69673740962642616</v>
      </c>
      <c r="T205" s="611">
        <f>'Yield Mechanism'!$AI$59</f>
        <v>142.03767673233165</v>
      </c>
      <c r="U205" s="197">
        <f t="shared" ref="U205:U208" si="111">T205*K205+U204</f>
        <v>846.74410809357778</v>
      </c>
      <c r="V205" s="1036"/>
      <c r="W205" s="186"/>
      <c r="X205" s="283">
        <v>4</v>
      </c>
      <c r="Y205" s="17">
        <f>mstr4</f>
        <v>67.278400000000005</v>
      </c>
      <c r="Z205" s="17">
        <f t="shared" si="107"/>
        <v>13.116123291701676</v>
      </c>
      <c r="AA205" s="17">
        <f t="shared" si="108"/>
        <v>154.11444867749469</v>
      </c>
      <c r="AB205" s="196">
        <f>T208/M203</f>
        <v>1176.7960959577401</v>
      </c>
    </row>
    <row r="206" spans="3:28" x14ac:dyDescent="0.25">
      <c r="J206" s="242">
        <v>3</v>
      </c>
      <c r="K206" s="197">
        <f>hstr3</f>
        <v>3</v>
      </c>
      <c r="L206" s="197">
        <f>L207+K206</f>
        <v>8.75</v>
      </c>
      <c r="M206" s="243">
        <f>'Yield Mechanism'!$X$60</f>
        <v>0.19055801413647183</v>
      </c>
      <c r="N206" s="21">
        <f t="shared" si="109"/>
        <v>9.5971826993550557E-3</v>
      </c>
      <c r="O206" s="244">
        <f t="shared" si="105"/>
        <v>3.1990608997850187E-3</v>
      </c>
      <c r="P206" s="243">
        <f>$C$29</f>
        <v>8.3556867009551838E-3</v>
      </c>
      <c r="Q206" s="243">
        <f>$D$29</f>
        <v>1.9478666359322766E-3</v>
      </c>
      <c r="R206" s="17">
        <f t="shared" si="110"/>
        <v>0.38286032187148866</v>
      </c>
      <c r="S206" s="17">
        <f t="shared" si="106"/>
        <v>1.6423408259949495</v>
      </c>
      <c r="T206" s="611">
        <f>'Yield Mechanism'!$AI$60</f>
        <v>188.65028744429932</v>
      </c>
      <c r="U206" s="197">
        <f t="shared" si="111"/>
        <v>1412.6949704264757</v>
      </c>
      <c r="V206" s="1036"/>
      <c r="W206" s="186"/>
      <c r="X206" s="283">
        <v>3</v>
      </c>
      <c r="Y206" s="17">
        <f>mstr3</f>
        <v>67.278400000000005</v>
      </c>
      <c r="Z206" s="17">
        <f t="shared" si="107"/>
        <v>12.820438298279207</v>
      </c>
      <c r="AA206" s="17">
        <f t="shared" si="108"/>
        <v>112.17883510994307</v>
      </c>
      <c r="AB206" s="475" t="s">
        <v>336</v>
      </c>
    </row>
    <row r="207" spans="3:28" x14ac:dyDescent="0.25">
      <c r="J207" s="242">
        <v>2</v>
      </c>
      <c r="K207" s="197">
        <f>hstr2</f>
        <v>3</v>
      </c>
      <c r="L207" s="197">
        <f>L208+K207</f>
        <v>5.75</v>
      </c>
      <c r="M207" s="243">
        <f>'Yield Mechanism'!$X$61</f>
        <v>0.18096083143711678</v>
      </c>
      <c r="N207" s="21">
        <f>M207-M208</f>
        <v>0.17107560960780582</v>
      </c>
      <c r="O207" s="244">
        <f t="shared" si="105"/>
        <v>5.7025203202601939E-2</v>
      </c>
      <c r="P207" s="243">
        <f>$C$30</f>
        <v>6.4157970868129726E-3</v>
      </c>
      <c r="Q207" s="243">
        <f>$D$30</f>
        <v>1.8112309252701479E-3</v>
      </c>
      <c r="R207" s="17">
        <f t="shared" si="110"/>
        <v>8.8882491810427613</v>
      </c>
      <c r="S207" s="17">
        <f t="shared" si="106"/>
        <v>31.48422567602557</v>
      </c>
      <c r="T207" s="611">
        <f>'Yield Mechanism'!$AI$61</f>
        <v>232.91532047435166</v>
      </c>
      <c r="U207" s="197">
        <f t="shared" si="111"/>
        <v>2111.4409318495309</v>
      </c>
      <c r="V207" s="1036"/>
      <c r="W207" s="186"/>
      <c r="X207" s="283">
        <v>2</v>
      </c>
      <c r="Y207" s="17">
        <f>mstr2</f>
        <v>67.278400000000005</v>
      </c>
      <c r="Z207" s="17">
        <f t="shared" si="107"/>
        <v>12.174755201758918</v>
      </c>
      <c r="AA207" s="17">
        <f t="shared" si="108"/>
        <v>70.004842410113781</v>
      </c>
      <c r="AB207" s="17">
        <f>((Y208*M206+Y207*M207+Y206*M208+M205*Y205+M204*Y204+M203*Y203)^2)/(Y208*M206*M206+Y207*M207*M207+Y206*M208*M208+Y205*M205*M205+Y204*M204*M204+Y203*M203*M203)</f>
        <v>338.5215186058951</v>
      </c>
    </row>
    <row r="208" spans="3:28" x14ac:dyDescent="0.25">
      <c r="J208" s="242">
        <v>1</v>
      </c>
      <c r="K208" s="197">
        <f>hstr1</f>
        <v>2.75</v>
      </c>
      <c r="L208" s="197">
        <f>K208</f>
        <v>2.75</v>
      </c>
      <c r="M208" s="243">
        <f>'Yield Mechanism'!$X$62</f>
        <v>9.8852218293109598E-3</v>
      </c>
      <c r="N208" s="21">
        <f>M208</f>
        <v>9.8852218293109598E-3</v>
      </c>
      <c r="O208" s="244">
        <f>N208/K208</f>
        <v>3.59462611974944E-3</v>
      </c>
      <c r="P208" s="243">
        <f>$C$31</f>
        <v>4.8471720397440425E-3</v>
      </c>
      <c r="Q208" s="243">
        <f>$D$31</f>
        <v>1.7850281840739108E-3</v>
      </c>
      <c r="R208" s="17">
        <f t="shared" si="110"/>
        <v>0.74159243581114076</v>
      </c>
      <c r="S208" s="17">
        <f t="shared" si="106"/>
        <v>2.0137643493928166</v>
      </c>
      <c r="T208" s="611">
        <f>'Yield Mechanism'!$AI$62</f>
        <v>235.33335573263821</v>
      </c>
      <c r="U208" s="197">
        <f t="shared" si="111"/>
        <v>2758.6076601142859</v>
      </c>
      <c r="V208" s="1037"/>
      <c r="W208" s="186"/>
      <c r="X208" s="283">
        <v>1</v>
      </c>
      <c r="Y208" s="17">
        <f>mstr1</f>
        <v>67.278400000000005</v>
      </c>
      <c r="Z208" s="17">
        <f t="shared" si="107"/>
        <v>0.66506190832111456</v>
      </c>
      <c r="AA208" s="17">
        <f t="shared" si="108"/>
        <v>1.8289202478830651</v>
      </c>
      <c r="AB208" s="474" t="s">
        <v>335</v>
      </c>
    </row>
    <row r="209" spans="10:28" x14ac:dyDescent="0.25">
      <c r="X209" s="284"/>
      <c r="Y209" s="474" t="s">
        <v>78</v>
      </c>
      <c r="Z209" s="245">
        <f>SUM(Z203:Z208)</f>
        <v>64.726620556413053</v>
      </c>
      <c r="AA209" s="245">
        <f>SUM(AA203:AA208)</f>
        <v>758.73371509259403</v>
      </c>
      <c r="AB209" s="196">
        <f>2*PI()*SQRT(AB207/AB205)</f>
        <v>3.3699417890142915</v>
      </c>
    </row>
    <row r="211" spans="10:28" ht="15.75" x14ac:dyDescent="0.25">
      <c r="J211" s="1005" t="s">
        <v>346</v>
      </c>
      <c r="K211" s="1005"/>
      <c r="L211" s="1005"/>
      <c r="M211" s="1005"/>
      <c r="N211" s="1005"/>
      <c r="O211" s="1005"/>
      <c r="P211" s="1005"/>
      <c r="Q211" s="1005"/>
      <c r="R211" s="1005"/>
      <c r="S211" s="1005"/>
      <c r="T211" s="1005"/>
      <c r="U211" s="1005"/>
      <c r="V211" s="1005"/>
      <c r="W211" s="258"/>
      <c r="X211" s="1005" t="s">
        <v>106</v>
      </c>
      <c r="Y211" s="1005"/>
      <c r="Z211" s="1005"/>
      <c r="AA211" s="1005"/>
      <c r="AB211" s="1005"/>
    </row>
    <row r="212" spans="10:28" ht="15" customHeight="1" x14ac:dyDescent="0.25">
      <c r="J212" s="973" t="s">
        <v>5</v>
      </c>
      <c r="K212" s="974" t="s">
        <v>3</v>
      </c>
      <c r="L212" s="974" t="s">
        <v>72</v>
      </c>
      <c r="M212" s="973" t="s">
        <v>74</v>
      </c>
      <c r="N212" s="973" t="s">
        <v>81</v>
      </c>
      <c r="O212" s="974" t="s">
        <v>101</v>
      </c>
      <c r="P212" s="974" t="s">
        <v>255</v>
      </c>
      <c r="Q212" s="974" t="s">
        <v>256</v>
      </c>
      <c r="R212" s="973" t="s">
        <v>390</v>
      </c>
      <c r="S212" s="973" t="s">
        <v>391</v>
      </c>
      <c r="T212" s="973" t="s">
        <v>75</v>
      </c>
      <c r="U212" s="974" t="s">
        <v>102</v>
      </c>
      <c r="V212" s="973" t="s">
        <v>79</v>
      </c>
      <c r="X212" s="671" t="s">
        <v>5</v>
      </c>
      <c r="Y212" s="1006" t="s">
        <v>76</v>
      </c>
      <c r="Z212" s="1006" t="s">
        <v>77</v>
      </c>
      <c r="AA212" s="1006" t="s">
        <v>104</v>
      </c>
      <c r="AB212" s="704" t="s">
        <v>105</v>
      </c>
    </row>
    <row r="213" spans="10:28" x14ac:dyDescent="0.25">
      <c r="J213" s="707"/>
      <c r="K213" s="703"/>
      <c r="L213" s="703"/>
      <c r="M213" s="707"/>
      <c r="N213" s="707"/>
      <c r="O213" s="703"/>
      <c r="P213" s="703"/>
      <c r="Q213" s="703"/>
      <c r="R213" s="707"/>
      <c r="S213" s="707"/>
      <c r="T213" s="707"/>
      <c r="U213" s="703"/>
      <c r="V213" s="707"/>
      <c r="X213" s="671"/>
      <c r="Y213" s="1006"/>
      <c r="Z213" s="1006"/>
      <c r="AA213" s="1006"/>
      <c r="AB213" s="704"/>
    </row>
    <row r="214" spans="10:28" x14ac:dyDescent="0.25">
      <c r="J214" s="242">
        <v>6</v>
      </c>
      <c r="K214" s="197">
        <f>hstr6</f>
        <v>3</v>
      </c>
      <c r="L214" s="197">
        <f t="shared" ref="L214:L216" si="112">L215+K214</f>
        <v>17.75</v>
      </c>
      <c r="M214" s="243">
        <f>'Yield Mechanism'!$X$57</f>
        <v>0.1999780221407951</v>
      </c>
      <c r="N214" s="21">
        <f>M214-M215</f>
        <v>1.7463742266006499E-3</v>
      </c>
      <c r="O214" s="244">
        <f t="shared" ref="O214:O218" si="113">N214/K214</f>
        <v>5.8212474220021659E-4</v>
      </c>
      <c r="P214" s="243">
        <f>$C$26</f>
        <v>8.3125273614190701E-3</v>
      </c>
      <c r="Q214" s="243">
        <f>$D$26</f>
        <v>2.4571407410608624E-3</v>
      </c>
      <c r="R214" s="17">
        <f>O214/P214</f>
        <v>7.0029813664377452E-2</v>
      </c>
      <c r="S214" s="17">
        <f t="shared" ref="S214:S219" si="114">O214/Q214</f>
        <v>0.23691143631800518</v>
      </c>
      <c r="T214" s="611">
        <f>'Yield Mechanism'!$AI$57</f>
        <v>45.860346187851235</v>
      </c>
      <c r="U214" s="197">
        <f>T214*K214</f>
        <v>137.5810385635537</v>
      </c>
      <c r="V214" s="17">
        <f>U219/AB214</f>
        <v>235.33335573263852</v>
      </c>
      <c r="W214" s="186"/>
      <c r="X214" s="283">
        <v>6</v>
      </c>
      <c r="Y214" s="17">
        <f>mstr6</f>
        <v>63.074599999999997</v>
      </c>
      <c r="Z214" s="17">
        <f t="shared" ref="Z214:Z219" si="115">Y214*M214</f>
        <v>12.613533755321795</v>
      </c>
      <c r="AA214" s="17">
        <f t="shared" ref="AA214:AA219" si="116">Z214*L214</f>
        <v>223.89022415696186</v>
      </c>
      <c r="AB214" s="17">
        <f>AA220/Z220</f>
        <v>11.722127751615165</v>
      </c>
    </row>
    <row r="215" spans="10:28" x14ac:dyDescent="0.25">
      <c r="J215" s="242">
        <v>5</v>
      </c>
      <c r="K215" s="197">
        <f>hstr5</f>
        <v>3</v>
      </c>
      <c r="L215" s="197">
        <f t="shared" si="112"/>
        <v>14.75</v>
      </c>
      <c r="M215" s="243">
        <f>'Yield Mechanism'!$X$58</f>
        <v>0.19823164791419445</v>
      </c>
      <c r="N215" s="21">
        <f t="shared" ref="N215:N217" si="117">M215-M216</f>
        <v>3.278686908854328E-3</v>
      </c>
      <c r="O215" s="244">
        <f t="shared" si="113"/>
        <v>1.0928956362847759E-3</v>
      </c>
      <c r="P215" s="243">
        <f>$C$27</f>
        <v>9.5976000000000013E-3</v>
      </c>
      <c r="Q215" s="243">
        <f>$D$27</f>
        <v>2.2807165072368058E-3</v>
      </c>
      <c r="R215" s="17">
        <f t="shared" ref="R215:R219" si="118">O215/P215</f>
        <v>0.11387176338717761</v>
      </c>
      <c r="S215" s="17">
        <f t="shared" si="114"/>
        <v>0.47918960239774377</v>
      </c>
      <c r="T215" s="611">
        <f>'Yield Mechanism'!$AI$58</f>
        <v>94.35001311100973</v>
      </c>
      <c r="U215" s="197">
        <f>T215*K215+U214</f>
        <v>420.63107789658289</v>
      </c>
      <c r="V215" s="1035"/>
      <c r="W215" s="186"/>
      <c r="X215" s="283">
        <v>5</v>
      </c>
      <c r="Y215" s="17">
        <f>mstr5</f>
        <v>67.278400000000005</v>
      </c>
      <c r="Z215" s="17">
        <f t="shared" si="115"/>
        <v>13.336708101030341</v>
      </c>
      <c r="AA215" s="17">
        <f t="shared" si="116"/>
        <v>196.71644449019755</v>
      </c>
      <c r="AB215" s="474" t="s">
        <v>334</v>
      </c>
    </row>
    <row r="216" spans="10:28" x14ac:dyDescent="0.25">
      <c r="J216" s="242">
        <v>4</v>
      </c>
      <c r="K216" s="197">
        <f>hstr4</f>
        <v>3</v>
      </c>
      <c r="L216" s="197">
        <f t="shared" si="112"/>
        <v>11.75</v>
      </c>
      <c r="M216" s="243">
        <f>'Yield Mechanism'!$X$59</f>
        <v>0.19495296100534013</v>
      </c>
      <c r="N216" s="21">
        <f t="shared" si="117"/>
        <v>4.3949468688682936E-3</v>
      </c>
      <c r="O216" s="244">
        <f t="shared" si="113"/>
        <v>1.4649822896227644E-3</v>
      </c>
      <c r="P216" s="243">
        <f>$C$28</f>
        <v>8.8673064285714302E-3</v>
      </c>
      <c r="Q216" s="243">
        <f>$D$28</f>
        <v>2.1026318802204874E-3</v>
      </c>
      <c r="R216" s="17">
        <f t="shared" si="118"/>
        <v>0.16521164588407947</v>
      </c>
      <c r="S216" s="17">
        <f t="shared" si="114"/>
        <v>0.69673740962642616</v>
      </c>
      <c r="T216" s="611">
        <f>'Yield Mechanism'!$AI$59</f>
        <v>142.03767673233165</v>
      </c>
      <c r="U216" s="197">
        <f t="shared" ref="U216:U219" si="119">T216*K216+U215</f>
        <v>846.74410809357778</v>
      </c>
      <c r="V216" s="1036"/>
      <c r="W216" s="186"/>
      <c r="X216" s="283">
        <v>4</v>
      </c>
      <c r="Y216" s="17">
        <f>mstr4</f>
        <v>67.278400000000005</v>
      </c>
      <c r="Z216" s="17">
        <f t="shared" si="115"/>
        <v>13.116123291701676</v>
      </c>
      <c r="AA216" s="17">
        <f t="shared" si="116"/>
        <v>154.11444867749469</v>
      </c>
      <c r="AB216" s="196">
        <f>T219/M214</f>
        <v>1176.7960959577401</v>
      </c>
    </row>
    <row r="217" spans="10:28" x14ac:dyDescent="0.25">
      <c r="J217" s="242">
        <v>3</v>
      </c>
      <c r="K217" s="197">
        <f>hstr3</f>
        <v>3</v>
      </c>
      <c r="L217" s="197">
        <f>L218+K217</f>
        <v>8.75</v>
      </c>
      <c r="M217" s="243">
        <f>'Yield Mechanism'!$X$60</f>
        <v>0.19055801413647183</v>
      </c>
      <c r="N217" s="21">
        <f t="shared" si="117"/>
        <v>9.5971826993550557E-3</v>
      </c>
      <c r="O217" s="244">
        <f t="shared" si="113"/>
        <v>3.1990608997850187E-3</v>
      </c>
      <c r="P217" s="243">
        <f>$C$29</f>
        <v>8.3556867009551838E-3</v>
      </c>
      <c r="Q217" s="243">
        <f>$D$29</f>
        <v>1.9478666359322766E-3</v>
      </c>
      <c r="R217" s="17">
        <f t="shared" si="118"/>
        <v>0.38286032187148866</v>
      </c>
      <c r="S217" s="17">
        <f t="shared" si="114"/>
        <v>1.6423408259949495</v>
      </c>
      <c r="T217" s="611">
        <f>'Yield Mechanism'!$AI$60</f>
        <v>188.65028744429932</v>
      </c>
      <c r="U217" s="197">
        <f t="shared" si="119"/>
        <v>1412.6949704264757</v>
      </c>
      <c r="V217" s="1036"/>
      <c r="W217" s="186"/>
      <c r="X217" s="283">
        <v>3</v>
      </c>
      <c r="Y217" s="17">
        <f>mstr3</f>
        <v>67.278400000000005</v>
      </c>
      <c r="Z217" s="17">
        <f t="shared" si="115"/>
        <v>12.820438298279207</v>
      </c>
      <c r="AA217" s="17">
        <f t="shared" si="116"/>
        <v>112.17883510994307</v>
      </c>
      <c r="AB217" s="475" t="s">
        <v>336</v>
      </c>
    </row>
    <row r="218" spans="10:28" x14ac:dyDescent="0.25">
      <c r="J218" s="242">
        <v>2</v>
      </c>
      <c r="K218" s="197">
        <f>hstr2</f>
        <v>3</v>
      </c>
      <c r="L218" s="197">
        <f>L219+K218</f>
        <v>5.75</v>
      </c>
      <c r="M218" s="243">
        <f>'Yield Mechanism'!$X$61</f>
        <v>0.18096083143711678</v>
      </c>
      <c r="N218" s="21">
        <f>M218-M219</f>
        <v>0.17107560960780582</v>
      </c>
      <c r="O218" s="244">
        <f t="shared" si="113"/>
        <v>5.7025203202601939E-2</v>
      </c>
      <c r="P218" s="243">
        <f>$C$30</f>
        <v>6.4157970868129726E-3</v>
      </c>
      <c r="Q218" s="243">
        <f>$D$30</f>
        <v>1.8112309252701479E-3</v>
      </c>
      <c r="R218" s="17">
        <f t="shared" si="118"/>
        <v>8.8882491810427613</v>
      </c>
      <c r="S218" s="17">
        <f t="shared" si="114"/>
        <v>31.48422567602557</v>
      </c>
      <c r="T218" s="611">
        <f>'Yield Mechanism'!$AI$61</f>
        <v>232.91532047435166</v>
      </c>
      <c r="U218" s="197">
        <f t="shared" si="119"/>
        <v>2111.4409318495309</v>
      </c>
      <c r="V218" s="1036"/>
      <c r="W218" s="186"/>
      <c r="X218" s="283">
        <v>2</v>
      </c>
      <c r="Y218" s="17">
        <f>mstr2</f>
        <v>67.278400000000005</v>
      </c>
      <c r="Z218" s="17">
        <f t="shared" si="115"/>
        <v>12.174755201758918</v>
      </c>
      <c r="AA218" s="17">
        <f t="shared" si="116"/>
        <v>70.004842410113781</v>
      </c>
      <c r="AB218" s="17">
        <f>((Y219*M217+Y218*M218+Y217*M219+M216*Y216+M215*Y215+M214*Y214)^2)/(Y219*M217*M217+Y218*M218*M218+Y217*M219*M219+Y216*M216*M216+Y215*M215*M215+Y214*M214*M214)</f>
        <v>338.5215186058951</v>
      </c>
    </row>
    <row r="219" spans="10:28" x14ac:dyDescent="0.25">
      <c r="J219" s="242">
        <v>1</v>
      </c>
      <c r="K219" s="197">
        <f>hstr1</f>
        <v>2.75</v>
      </c>
      <c r="L219" s="197">
        <f>K219</f>
        <v>2.75</v>
      </c>
      <c r="M219" s="243">
        <f>'Yield Mechanism'!$X$62</f>
        <v>9.8852218293109598E-3</v>
      </c>
      <c r="N219" s="21">
        <f>M219</f>
        <v>9.8852218293109598E-3</v>
      </c>
      <c r="O219" s="244">
        <f>N219/K219</f>
        <v>3.59462611974944E-3</v>
      </c>
      <c r="P219" s="243">
        <f>$C$31</f>
        <v>4.8471720397440425E-3</v>
      </c>
      <c r="Q219" s="243">
        <f>$D$31</f>
        <v>1.7850281840739108E-3</v>
      </c>
      <c r="R219" s="17">
        <f t="shared" si="118"/>
        <v>0.74159243581114076</v>
      </c>
      <c r="S219" s="17">
        <f t="shared" si="114"/>
        <v>2.0137643493928166</v>
      </c>
      <c r="T219" s="611">
        <f>'Yield Mechanism'!$AI$62</f>
        <v>235.33335573263821</v>
      </c>
      <c r="U219" s="197">
        <f t="shared" si="119"/>
        <v>2758.6076601142859</v>
      </c>
      <c r="V219" s="1037"/>
      <c r="W219" s="186"/>
      <c r="X219" s="283">
        <v>1</v>
      </c>
      <c r="Y219" s="17">
        <f>mstr1</f>
        <v>67.278400000000005</v>
      </c>
      <c r="Z219" s="17">
        <f t="shared" si="115"/>
        <v>0.66506190832111456</v>
      </c>
      <c r="AA219" s="17">
        <f t="shared" si="116"/>
        <v>1.8289202478830651</v>
      </c>
      <c r="AB219" s="474" t="s">
        <v>335</v>
      </c>
    </row>
    <row r="220" spans="10:28" x14ac:dyDescent="0.25">
      <c r="X220" s="284"/>
      <c r="Y220" s="474" t="s">
        <v>78</v>
      </c>
      <c r="Z220" s="245">
        <f>SUM(Z214:Z219)</f>
        <v>64.726620556413053</v>
      </c>
      <c r="AA220" s="245">
        <f>SUM(AA214:AA219)</f>
        <v>758.73371509259403</v>
      </c>
      <c r="AB220" s="196">
        <f>2*PI()*SQRT(AB218/AB216)</f>
        <v>3.3699417890142915</v>
      </c>
    </row>
    <row r="223" spans="10:28" ht="15.75" customHeight="1" x14ac:dyDescent="0.25">
      <c r="J223" s="1047" t="s">
        <v>484</v>
      </c>
      <c r="K223" s="1048"/>
      <c r="L223" s="1048"/>
      <c r="M223" s="1048"/>
      <c r="N223" s="1048"/>
      <c r="O223" s="1048"/>
      <c r="P223" s="1048"/>
      <c r="Q223" s="1049"/>
      <c r="R223" s="272" t="s">
        <v>236</v>
      </c>
      <c r="S223" s="1021" t="s">
        <v>219</v>
      </c>
    </row>
    <row r="224" spans="10:28" x14ac:dyDescent="0.25">
      <c r="J224" s="704" t="s">
        <v>5</v>
      </c>
      <c r="K224" s="704" t="s">
        <v>485</v>
      </c>
      <c r="L224" s="1046" t="s">
        <v>486</v>
      </c>
      <c r="M224" s="704" t="s">
        <v>260</v>
      </c>
      <c r="N224" s="1046" t="s">
        <v>261</v>
      </c>
      <c r="O224" s="704" t="s">
        <v>487</v>
      </c>
      <c r="P224" s="1019" t="s">
        <v>235</v>
      </c>
      <c r="Q224" s="1009" t="s">
        <v>234</v>
      </c>
      <c r="R224" s="1007" t="s">
        <v>234</v>
      </c>
      <c r="S224" s="1045"/>
    </row>
    <row r="225" spans="9:20" x14ac:dyDescent="0.25">
      <c r="J225" s="704">
        <v>0</v>
      </c>
      <c r="K225" s="704">
        <v>0</v>
      </c>
      <c r="L225" s="1046">
        <v>0</v>
      </c>
      <c r="M225" s="704">
        <v>0</v>
      </c>
      <c r="N225" s="1046">
        <v>0</v>
      </c>
      <c r="O225" s="704">
        <v>0</v>
      </c>
      <c r="P225" s="1020"/>
      <c r="Q225" s="1010"/>
      <c r="R225" s="1007"/>
      <c r="S225" s="1022"/>
      <c r="T225" s="114"/>
    </row>
    <row r="226" spans="9:20" x14ac:dyDescent="0.25">
      <c r="J226" s="147">
        <v>3</v>
      </c>
      <c r="K226" s="200">
        <v>0.5</v>
      </c>
      <c r="L226" s="200">
        <v>0.5</v>
      </c>
      <c r="M226" s="200">
        <v>2.0624500000000004E-3</v>
      </c>
      <c r="N226" s="196">
        <v>119.66753499999997</v>
      </c>
      <c r="O226" s="273">
        <v>58022.029624960582</v>
      </c>
      <c r="P226" s="196">
        <v>6055.3598359075004</v>
      </c>
      <c r="Q226" s="274">
        <f>O226-P226</f>
        <v>51966.669789053078</v>
      </c>
      <c r="R226" s="275">
        <f>'System Capacities'!J22</f>
        <v>428481.08007175609</v>
      </c>
      <c r="S226" s="276">
        <f>(Q226-R226)/Q226</f>
        <v>-7.2453057279036344</v>
      </c>
      <c r="T226" s="114"/>
    </row>
    <row r="227" spans="9:20" x14ac:dyDescent="0.25">
      <c r="J227" s="147">
        <v>2</v>
      </c>
      <c r="K227" s="200">
        <v>0.33333333333333331</v>
      </c>
      <c r="L227" s="200">
        <v>0.83333333333333326</v>
      </c>
      <c r="M227" s="200">
        <v>3.3359799999999988E-3</v>
      </c>
      <c r="N227" s="196">
        <v>199.4458916666666</v>
      </c>
      <c r="O227" s="273">
        <v>59786.297180039051</v>
      </c>
      <c r="P227" s="196">
        <v>6663.5282148109345</v>
      </c>
      <c r="Q227" s="274">
        <f>O227-P227</f>
        <v>53122.768965228119</v>
      </c>
      <c r="R227" s="275">
        <f>'System Capacities'!J23</f>
        <v>0</v>
      </c>
      <c r="S227" s="276">
        <f>(Q227-R227)/Q227</f>
        <v>1</v>
      </c>
      <c r="T227" s="114"/>
    </row>
    <row r="228" spans="9:20" x14ac:dyDescent="0.25">
      <c r="J228" s="147">
        <v>1</v>
      </c>
      <c r="K228" s="200">
        <v>0.16666666666666666</v>
      </c>
      <c r="L228" s="200">
        <v>0.99999999999999989</v>
      </c>
      <c r="M228" s="200">
        <v>3.2016200000000005E-3</v>
      </c>
      <c r="N228" s="196">
        <v>239.33506999999992</v>
      </c>
      <c r="O228" s="273">
        <v>74754.364977729987</v>
      </c>
      <c r="P228" s="196">
        <v>11304.968775209372</v>
      </c>
      <c r="Q228" s="274">
        <f>O228-P228</f>
        <v>63449.396202520613</v>
      </c>
      <c r="R228" s="275">
        <f>'System Capacities'!J24</f>
        <v>487898.17873482895</v>
      </c>
      <c r="S228" s="277">
        <f>(Q228-R228)/Q228</f>
        <v>-6.6895637773688783</v>
      </c>
      <c r="T228" s="114"/>
    </row>
    <row r="229" spans="9:20" x14ac:dyDescent="0.25">
      <c r="J229" s="1008" t="s">
        <v>488</v>
      </c>
      <c r="K229" s="1008">
        <v>0</v>
      </c>
      <c r="L229" s="1008">
        <v>0</v>
      </c>
      <c r="M229" s="200">
        <f>SUM(M226:M228)</f>
        <v>8.6000499999999997E-3</v>
      </c>
      <c r="N229" s="196">
        <f>N228</f>
        <v>239.33506999999992</v>
      </c>
      <c r="O229" s="273">
        <f>N229/M229</f>
        <v>27829.497502921487</v>
      </c>
      <c r="P229" s="6"/>
      <c r="Q229" s="6"/>
      <c r="R229" s="6"/>
      <c r="S229" s="278"/>
      <c r="T229" s="114"/>
    </row>
    <row r="230" spans="9:20" x14ac:dyDescent="0.25">
      <c r="J230" s="281"/>
      <c r="K230" s="6"/>
      <c r="L230" s="6"/>
      <c r="M230" s="6"/>
      <c r="N230" s="6"/>
      <c r="O230" s="6"/>
      <c r="P230" s="6"/>
      <c r="Q230" s="6"/>
      <c r="R230" s="6"/>
      <c r="S230" s="278"/>
      <c r="T230" s="114"/>
    </row>
    <row r="231" spans="9:20" x14ac:dyDescent="0.25">
      <c r="J231" s="281"/>
      <c r="K231" s="974" t="s">
        <v>260</v>
      </c>
      <c r="L231" s="1019" t="s">
        <v>261</v>
      </c>
      <c r="M231" s="974" t="s">
        <v>262</v>
      </c>
      <c r="N231" s="1009" t="s">
        <v>234</v>
      </c>
      <c r="O231" s="1021" t="s">
        <v>219</v>
      </c>
      <c r="P231" s="974" t="s">
        <v>260</v>
      </c>
      <c r="Q231" s="1019" t="s">
        <v>261</v>
      </c>
      <c r="R231" s="974" t="s">
        <v>263</v>
      </c>
      <c r="S231" s="1021" t="s">
        <v>219</v>
      </c>
      <c r="T231" s="114"/>
    </row>
    <row r="232" spans="9:20" x14ac:dyDescent="0.25">
      <c r="J232" s="281"/>
      <c r="K232" s="703"/>
      <c r="L232" s="1020"/>
      <c r="M232" s="703"/>
      <c r="N232" s="1010"/>
      <c r="O232" s="1022"/>
      <c r="P232" s="703"/>
      <c r="Q232" s="1020"/>
      <c r="R232" s="703"/>
      <c r="S232" s="1022"/>
      <c r="T232" s="114"/>
    </row>
    <row r="233" spans="9:20" x14ac:dyDescent="0.25">
      <c r="J233" s="281"/>
      <c r="K233" s="269">
        <v>8.5949999999999915E-4</v>
      </c>
      <c r="L233" s="286">
        <v>47.412350000000004</v>
      </c>
      <c r="M233" s="287">
        <v>55162.71087841774</v>
      </c>
      <c r="N233" s="288">
        <f>M233-P226</f>
        <v>49107.351042510243</v>
      </c>
      <c r="O233" s="276">
        <f>(N233-R226)/N233</f>
        <v>-7.725395912738958</v>
      </c>
      <c r="P233" s="269">
        <v>-1.3799999999999576E-4</v>
      </c>
      <c r="Q233" s="286">
        <v>-12.412849999999992</v>
      </c>
      <c r="R233" s="287">
        <v>89948.188405799796</v>
      </c>
      <c r="S233" s="326">
        <f>(R226-R233)/R226</f>
        <v>0.79007663911149473</v>
      </c>
      <c r="T233" s="114"/>
    </row>
    <row r="234" spans="9:20" x14ac:dyDescent="0.25">
      <c r="J234" s="281"/>
      <c r="K234" s="147">
        <v>5.0108300000000017E-3</v>
      </c>
      <c r="L234" s="196">
        <v>79.020583333333335</v>
      </c>
      <c r="M234" s="273">
        <v>15769.958935612125</v>
      </c>
      <c r="N234" s="288">
        <f t="shared" ref="N234:N235" si="120">M234-P227</f>
        <v>9106.4307208011905</v>
      </c>
      <c r="O234" s="276">
        <f>(N234-R227)/N234</f>
        <v>1</v>
      </c>
      <c r="P234" s="147">
        <v>1.476999999999954E-4</v>
      </c>
      <c r="Q234" s="196">
        <v>-20.688083333333317</v>
      </c>
      <c r="R234" s="273">
        <v>-140068.26901377089</v>
      </c>
      <c r="S234" s="276" t="e">
        <f>(R227-R234)/R227</f>
        <v>#DIV/0!</v>
      </c>
      <c r="T234" s="114"/>
    </row>
    <row r="235" spans="9:20" ht="15" customHeight="1" x14ac:dyDescent="0.25">
      <c r="J235" s="281"/>
      <c r="K235" s="147">
        <v>4.5296700000000004E-3</v>
      </c>
      <c r="L235" s="196">
        <v>94.824699999999993</v>
      </c>
      <c r="M235" s="273">
        <v>20934.129859349574</v>
      </c>
      <c r="N235" s="288">
        <f t="shared" si="120"/>
        <v>9629.1610841402016</v>
      </c>
      <c r="O235" s="277">
        <f>(N235-R228)/N235</f>
        <v>-49.668814704785255</v>
      </c>
      <c r="P235" s="147">
        <v>7.7903000000000017E-3</v>
      </c>
      <c r="Q235" s="196">
        <v>-24.82569999999998</v>
      </c>
      <c r="R235" s="273">
        <v>-3186.7450547475673</v>
      </c>
      <c r="S235" s="277">
        <f>(R228-R235)/R228</f>
        <v>1.0065315780907629</v>
      </c>
    </row>
    <row r="236" spans="9:20" x14ac:dyDescent="0.25">
      <c r="J236" s="1003" t="str">
        <f>J229</f>
        <v>Structure Stiffness (kN/m)</v>
      </c>
      <c r="K236" s="1004"/>
      <c r="L236" s="147">
        <f>SUM(K233:K235)</f>
        <v>1.0400000000000001E-2</v>
      </c>
      <c r="M236" s="196">
        <f>L235</f>
        <v>94.824699999999993</v>
      </c>
      <c r="N236" s="273">
        <f>M236/L236</f>
        <v>9117.7596153846134</v>
      </c>
      <c r="O236" s="279"/>
      <c r="P236" s="147">
        <f>SUM(P233:P235)</f>
        <v>7.8000000000000014E-3</v>
      </c>
      <c r="Q236" s="128">
        <f>Q235</f>
        <v>-24.82569999999998</v>
      </c>
      <c r="R236" s="273">
        <f>Q236/P236</f>
        <v>-3182.7820512820481</v>
      </c>
      <c r="S236" s="280"/>
    </row>
    <row r="238" spans="9:20" x14ac:dyDescent="0.25">
      <c r="I238" s="114"/>
      <c r="J238" s="114"/>
      <c r="K238" s="114"/>
      <c r="L238" s="114"/>
      <c r="M238" s="114"/>
      <c r="N238" s="114"/>
      <c r="O238" s="114"/>
      <c r="P238" s="114"/>
      <c r="Q238" s="114"/>
      <c r="R238" s="114"/>
      <c r="S238" s="114"/>
      <c r="T238" s="114"/>
    </row>
    <row r="239" spans="9:20" x14ac:dyDescent="0.25">
      <c r="I239" s="114"/>
      <c r="J239" s="114"/>
      <c r="K239" s="114"/>
      <c r="L239" s="114"/>
      <c r="M239" s="114"/>
      <c r="N239" s="114"/>
      <c r="O239" s="114"/>
      <c r="P239" s="114"/>
      <c r="Q239" s="114"/>
      <c r="R239" s="114"/>
      <c r="S239" s="114"/>
      <c r="T239" s="114"/>
    </row>
    <row r="240" spans="9:20" x14ac:dyDescent="0.25">
      <c r="I240" s="114"/>
      <c r="J240" s="114"/>
      <c r="K240" s="114"/>
      <c r="L240" s="114"/>
      <c r="M240" s="114"/>
      <c r="N240" s="114"/>
      <c r="O240" s="114"/>
      <c r="P240" s="114"/>
      <c r="Q240" s="114"/>
      <c r="R240" s="114"/>
      <c r="S240" s="114"/>
      <c r="T240" s="114"/>
    </row>
    <row r="241" spans="9:20" x14ac:dyDescent="0.25">
      <c r="I241" s="114"/>
      <c r="J241" s="114"/>
      <c r="K241" s="114"/>
      <c r="L241" s="114"/>
      <c r="M241" s="114"/>
      <c r="N241" s="114"/>
      <c r="O241" s="114"/>
      <c r="P241" s="114"/>
      <c r="Q241" s="114"/>
      <c r="R241" s="114"/>
      <c r="S241" s="114"/>
      <c r="T241" s="114"/>
    </row>
    <row r="242" spans="9:20" x14ac:dyDescent="0.25">
      <c r="I242" s="114"/>
      <c r="J242" s="114"/>
      <c r="K242" s="114"/>
      <c r="L242" s="114"/>
      <c r="M242" s="114"/>
      <c r="N242" s="114"/>
      <c r="O242" s="114"/>
      <c r="P242" s="114"/>
      <c r="Q242" s="114"/>
      <c r="R242" s="114"/>
      <c r="S242" s="114"/>
      <c r="T242" s="114"/>
    </row>
    <row r="243" spans="9:20" x14ac:dyDescent="0.25">
      <c r="I243" s="114"/>
      <c r="J243" s="114"/>
      <c r="K243" s="114"/>
      <c r="L243" s="114"/>
      <c r="M243" s="114"/>
      <c r="N243" s="114"/>
      <c r="O243" s="114"/>
      <c r="P243" s="114"/>
      <c r="Q243" s="114"/>
      <c r="R243" s="114"/>
      <c r="S243" s="114"/>
      <c r="T243" s="114"/>
    </row>
    <row r="244" spans="9:20" x14ac:dyDescent="0.25">
      <c r="I244" s="114"/>
      <c r="J244" s="114"/>
      <c r="K244" s="114"/>
      <c r="L244" s="114"/>
      <c r="M244" s="114"/>
      <c r="N244" s="114"/>
      <c r="O244" s="114"/>
      <c r="P244" s="114"/>
      <c r="Q244" s="114"/>
      <c r="R244" s="114"/>
      <c r="S244" s="114"/>
      <c r="T244" s="114"/>
    </row>
    <row r="245" spans="9:20" x14ac:dyDescent="0.25">
      <c r="I245" s="114"/>
      <c r="J245" s="114"/>
      <c r="K245" s="114"/>
      <c r="L245" s="114"/>
      <c r="M245" s="114"/>
      <c r="N245" s="114"/>
      <c r="O245" s="114"/>
      <c r="P245" s="114"/>
      <c r="Q245" s="114"/>
      <c r="R245" s="114"/>
      <c r="S245" s="114"/>
      <c r="T245" s="114"/>
    </row>
    <row r="246" spans="9:20" x14ac:dyDescent="0.25"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</row>
    <row r="247" spans="9:20" x14ac:dyDescent="0.25">
      <c r="I247" s="114"/>
      <c r="J247" s="114"/>
      <c r="K247" s="114"/>
      <c r="L247" s="114"/>
      <c r="M247" s="114"/>
      <c r="N247" s="114"/>
      <c r="O247" s="114"/>
      <c r="P247" s="114"/>
      <c r="Q247" s="114"/>
      <c r="R247" s="114"/>
      <c r="S247" s="114"/>
      <c r="T247" s="114"/>
    </row>
  </sheetData>
  <mergeCells count="477"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2021-03-01T09:19:06Z</dcterms:modified>
</cp:coreProperties>
</file>