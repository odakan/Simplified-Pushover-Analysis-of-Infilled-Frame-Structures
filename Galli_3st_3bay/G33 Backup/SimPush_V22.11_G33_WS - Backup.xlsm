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/>
  <xr:revisionPtr revIDLastSave="0" documentId="13_ncr:1_{6E9447E3-C605-496C-8339-339DC9EE3C8B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16" i="4" l="1"/>
  <c r="T215" i="4"/>
  <c r="T214" i="4"/>
  <c r="T205" i="4"/>
  <c r="T204" i="4"/>
  <c r="T203" i="4"/>
  <c r="T194" i="4"/>
  <c r="T193" i="4"/>
  <c r="T192" i="4"/>
  <c r="T183" i="4"/>
  <c r="T182" i="4"/>
  <c r="T181" i="4"/>
  <c r="T172" i="4"/>
  <c r="T171" i="4"/>
  <c r="T170" i="4"/>
  <c r="T161" i="4"/>
  <c r="T160" i="4"/>
  <c r="T159" i="4"/>
  <c r="T150" i="4"/>
  <c r="T149" i="4"/>
  <c r="T148" i="4"/>
  <c r="T139" i="4"/>
  <c r="T138" i="4"/>
  <c r="T137" i="4"/>
  <c r="T128" i="4"/>
  <c r="T127" i="4"/>
  <c r="T126" i="4"/>
  <c r="T117" i="4"/>
  <c r="T116" i="4"/>
  <c r="T115" i="4"/>
  <c r="T106" i="4"/>
  <c r="T105" i="4"/>
  <c r="T104" i="4"/>
  <c r="T95" i="4"/>
  <c r="T94" i="4"/>
  <c r="T93" i="4"/>
  <c r="T84" i="4"/>
  <c r="T83" i="4"/>
  <c r="T82" i="4"/>
  <c r="T73" i="4"/>
  <c r="T72" i="4"/>
  <c r="T71" i="4"/>
  <c r="T62" i="4"/>
  <c r="T61" i="4"/>
  <c r="T60" i="4"/>
  <c r="T51" i="4"/>
  <c r="T50" i="4"/>
  <c r="T49" i="4"/>
  <c r="T40" i="4"/>
  <c r="T39" i="4"/>
  <c r="T38" i="4"/>
  <c r="T29" i="4"/>
  <c r="T28" i="4"/>
  <c r="T27" i="4"/>
  <c r="T18" i="4"/>
  <c r="T17" i="4"/>
  <c r="T16" i="4"/>
  <c r="T7" i="4"/>
  <c r="T6" i="4"/>
  <c r="T5" i="4"/>
  <c r="Q7" i="4"/>
  <c r="P7" i="4"/>
  <c r="K7" i="4"/>
  <c r="L7" i="4" s="1"/>
  <c r="L6" i="4" s="1"/>
  <c r="L5" i="4" s="1"/>
  <c r="Q6" i="4"/>
  <c r="P6" i="4"/>
  <c r="K6" i="4"/>
  <c r="Q5" i="4"/>
  <c r="P5" i="4"/>
  <c r="K5" i="4"/>
  <c r="Q18" i="4"/>
  <c r="P18" i="4"/>
  <c r="K18" i="4"/>
  <c r="L18" i="4" s="1"/>
  <c r="L17" i="4" s="1"/>
  <c r="L16" i="4" s="1"/>
  <c r="Q17" i="4"/>
  <c r="P17" i="4"/>
  <c r="K17" i="4"/>
  <c r="Q16" i="4"/>
  <c r="P16" i="4"/>
  <c r="K16" i="4"/>
  <c r="Q29" i="4"/>
  <c r="P29" i="4"/>
  <c r="K29" i="4"/>
  <c r="L29" i="4" s="1"/>
  <c r="L28" i="4" s="1"/>
  <c r="L27" i="4" s="1"/>
  <c r="Q28" i="4"/>
  <c r="P28" i="4"/>
  <c r="K28" i="4"/>
  <c r="Q27" i="4"/>
  <c r="P27" i="4"/>
  <c r="K27" i="4"/>
  <c r="BC4" i="6" l="1"/>
  <c r="J19" i="7" l="1"/>
  <c r="AU6" i="5" l="1"/>
  <c r="AU5" i="5"/>
  <c r="BB4" i="6"/>
  <c r="O13" i="3" l="1"/>
  <c r="AN25" i="5"/>
  <c r="CS11" i="6" l="1"/>
  <c r="AJ12" i="6"/>
  <c r="Z12" i="6" l="1"/>
  <c r="Y12" i="6"/>
  <c r="AH32" i="1"/>
  <c r="AH26" i="1"/>
  <c r="AH20" i="1"/>
  <c r="BK4" i="6"/>
  <c r="J12" i="6"/>
  <c r="N10" i="6"/>
  <c r="N4" i="6"/>
  <c r="L4" i="6"/>
  <c r="K4" i="6"/>
  <c r="BA4" i="6" l="1"/>
  <c r="BN13" i="5" l="1"/>
  <c r="BM13" i="5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K40" i="4" l="1"/>
  <c r="L40" i="4" s="1"/>
  <c r="L39" i="4" s="1"/>
  <c r="L38" i="4" s="1"/>
  <c r="K39" i="4"/>
  <c r="K38" i="4"/>
  <c r="K51" i="4"/>
  <c r="L51" i="4" s="1"/>
  <c r="L50" i="4" s="1"/>
  <c r="L49" i="4" s="1"/>
  <c r="K50" i="4"/>
  <c r="K49" i="4"/>
  <c r="K62" i="4"/>
  <c r="L62" i="4" s="1"/>
  <c r="L61" i="4" s="1"/>
  <c r="L60" i="4" s="1"/>
  <c r="K61" i="4"/>
  <c r="K60" i="4"/>
  <c r="Z27" i="6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D52" i="7" s="1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K73" i="4"/>
  <c r="L73" i="4" s="1"/>
  <c r="L72" i="4" s="1"/>
  <c r="L71" i="4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K71" i="4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K72" i="4"/>
  <c r="E7" i="4"/>
  <c r="R236" i="4"/>
  <c r="E6" i="4"/>
  <c r="AR17" i="5"/>
  <c r="AO37" i="5" s="1"/>
  <c r="N6" i="6"/>
  <c r="M6" i="6"/>
  <c r="X6" i="6"/>
  <c r="Y6" i="6" s="1"/>
  <c r="Z6" i="6" s="1"/>
  <c r="AR6" i="5"/>
  <c r="Y58" i="3"/>
  <c r="Y32" i="3"/>
  <c r="Y6" i="3"/>
  <c r="Y6" i="4"/>
  <c r="Y45" i="3"/>
  <c r="Y19" i="3"/>
  <c r="E6" i="3"/>
  <c r="AR19" i="5"/>
  <c r="AO39" i="5" s="1"/>
  <c r="AR18" i="5"/>
  <c r="AR20" i="5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X4" i="6"/>
  <c r="Y4" i="6" s="1"/>
  <c r="Z4" i="6" s="1"/>
  <c r="AA4" i="6" s="1"/>
  <c r="AQ5" i="5"/>
  <c r="L204" i="4"/>
  <c r="L137" i="4"/>
  <c r="BJ11" i="6"/>
  <c r="BJ13" i="6"/>
  <c r="BJ9" i="6"/>
  <c r="BJ14" i="6"/>
  <c r="L83" i="4"/>
  <c r="L82" i="4" s="1"/>
  <c r="BJ10" i="6"/>
  <c r="BJ12" i="6"/>
  <c r="BJ5" i="6"/>
  <c r="BJ4" i="6"/>
  <c r="C7" i="3"/>
  <c r="BJ11" i="5"/>
  <c r="BI11" i="5"/>
  <c r="AR10" i="5"/>
  <c r="AO30" i="5" s="1"/>
  <c r="X9" i="6"/>
  <c r="Y9" i="6" s="1"/>
  <c r="Z9" i="6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X7" i="6"/>
  <c r="Y7" i="6" s="1"/>
  <c r="Z7" i="6" s="1"/>
  <c r="AW18" i="5"/>
  <c r="AT18" i="5"/>
  <c r="AZ18" i="5"/>
  <c r="AB6" i="6"/>
  <c r="AA6" i="6"/>
  <c r="X11" i="6"/>
  <c r="Y11" i="6" s="1"/>
  <c r="Z11" i="6" s="1"/>
  <c r="BJ13" i="5"/>
  <c r="BH13" i="5"/>
  <c r="BG13" i="5"/>
  <c r="BF13" i="5"/>
  <c r="G34" i="7" s="1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X5" i="6"/>
  <c r="Y5" i="6" s="1"/>
  <c r="Z5" i="6" s="1"/>
  <c r="BI12" i="5"/>
  <c r="AR7" i="5"/>
  <c r="L215" i="4"/>
  <c r="L214" i="4" s="1"/>
  <c r="L104" i="4"/>
  <c r="X10" i="6"/>
  <c r="Y10" i="6" s="1"/>
  <c r="Z10" i="6" s="1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X12" i="6"/>
  <c r="L203" i="4"/>
  <c r="BG11" i="5"/>
  <c r="AB4" i="6" l="1"/>
  <c r="AC4" i="6" s="1"/>
  <c r="AT8" i="5"/>
  <c r="BQ11" i="5"/>
  <c r="E55" i="7" s="1"/>
  <c r="BA5" i="5"/>
  <c r="BC5" i="5" s="1"/>
  <c r="AT11" i="5"/>
  <c r="AO31" i="5"/>
  <c r="AO27" i="5"/>
  <c r="AQ13" i="5"/>
  <c r="AZ5" i="5"/>
  <c r="AC6" i="6"/>
  <c r="AF6" i="6"/>
  <c r="AG6" i="6"/>
  <c r="AB9" i="6"/>
  <c r="AA9" i="6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B10" i="6"/>
  <c r="AA10" i="6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AB5" i="6"/>
  <c r="AA5" i="6"/>
  <c r="BX14" i="6"/>
  <c r="BR14" i="6"/>
  <c r="BQ14" i="6" s="1"/>
  <c r="BP14" i="6" s="1"/>
  <c r="BR6" i="6"/>
  <c r="BQ6" i="6" s="1"/>
  <c r="BP6" i="6" s="1"/>
  <c r="BX4" i="6"/>
  <c r="AZ9" i="5"/>
  <c r="AT9" i="5"/>
  <c r="AW9" i="5"/>
  <c r="AB7" i="6"/>
  <c r="AA7" i="6"/>
  <c r="AB12" i="6"/>
  <c r="AA12" i="6"/>
  <c r="AW5" i="5"/>
  <c r="AT5" i="5"/>
  <c r="BT11" i="5" s="1"/>
  <c r="AA11" i="6"/>
  <c r="AB11" i="6"/>
  <c r="X8" i="6"/>
  <c r="Y8" i="6" s="1"/>
  <c r="Z8" i="6" s="1"/>
  <c r="AF4" i="6" l="1"/>
  <c r="AG4" i="6"/>
  <c r="BU11" i="5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D53" i="7"/>
  <c r="AC10" i="6"/>
  <c r="AG10" i="6"/>
  <c r="AF10" i="6"/>
  <c r="E6" i="7"/>
  <c r="N6" i="7"/>
  <c r="AC7" i="6"/>
  <c r="AG7" i="6"/>
  <c r="AF7" i="6"/>
  <c r="BT12" i="5"/>
  <c r="I33" i="7" s="1"/>
  <c r="AC9" i="6"/>
  <c r="AG9" i="6"/>
  <c r="AF9" i="6"/>
  <c r="AA8" i="6"/>
  <c r="AB8" i="6"/>
  <c r="BV12" i="5"/>
  <c r="C6" i="3"/>
  <c r="F6" i="3"/>
  <c r="AD4" i="6"/>
  <c r="AE4" i="6"/>
  <c r="AC12" i="6"/>
  <c r="AF12" i="6"/>
  <c r="AG12" i="6"/>
  <c r="V5" i="3"/>
  <c r="D5" i="3"/>
  <c r="N8" i="7"/>
  <c r="BI6" i="5"/>
  <c r="E8" i="7"/>
  <c r="AC11" i="6"/>
  <c r="AG11" i="6"/>
  <c r="AF11" i="6"/>
  <c r="V45" i="3"/>
  <c r="V32" i="3"/>
  <c r="V58" i="3"/>
  <c r="F50" i="3" s="1"/>
  <c r="V19" i="3"/>
  <c r="C14" i="3"/>
  <c r="D17" i="4" s="1"/>
  <c r="F27" i="4"/>
  <c r="I32" i="7"/>
  <c r="AD6" i="6"/>
  <c r="AE6" i="6"/>
  <c r="AC5" i="6"/>
  <c r="AF5" i="6"/>
  <c r="AG5" i="6"/>
  <c r="I34" i="7"/>
  <c r="BU13" i="5" l="1"/>
  <c r="BO13" i="5" s="1"/>
  <c r="BO11" i="5"/>
  <c r="E53" i="7" s="1"/>
  <c r="L52" i="7"/>
  <c r="D49" i="7"/>
  <c r="C26" i="4"/>
  <c r="BX18" i="5"/>
  <c r="BT18" i="5"/>
  <c r="BM11" i="5"/>
  <c r="BR11" i="5" s="1"/>
  <c r="AD7" i="6"/>
  <c r="AE7" i="6"/>
  <c r="AH6" i="6"/>
  <c r="AI6" i="6" s="1"/>
  <c r="AD11" i="6"/>
  <c r="AE11" i="6"/>
  <c r="AH4" i="6"/>
  <c r="AI4" i="6" s="1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AD12" i="6"/>
  <c r="AE12" i="6"/>
  <c r="H51" i="7"/>
  <c r="BU19" i="5"/>
  <c r="BN12" i="5"/>
  <c r="I51" i="7" s="1"/>
  <c r="AD5" i="6"/>
  <c r="AE5" i="6"/>
  <c r="AD10" i="6"/>
  <c r="AE10" i="6"/>
  <c r="AC8" i="6"/>
  <c r="AF8" i="6"/>
  <c r="AG8" i="6"/>
  <c r="D51" i="7"/>
  <c r="BU18" i="5"/>
  <c r="AD9" i="6"/>
  <c r="AE9" i="6"/>
  <c r="BV20" i="5"/>
  <c r="M51" i="7" l="1"/>
  <c r="L51" i="7"/>
  <c r="BU20" i="5"/>
  <c r="BP12" i="5"/>
  <c r="BQ12" i="5"/>
  <c r="I55" i="7" s="1"/>
  <c r="BQ13" i="5"/>
  <c r="M55" i="7" s="1"/>
  <c r="BP13" i="5"/>
  <c r="P49" i="4"/>
  <c r="P60" i="4"/>
  <c r="P38" i="4"/>
  <c r="P51" i="4"/>
  <c r="P40" i="4"/>
  <c r="P62" i="4"/>
  <c r="P39" i="4"/>
  <c r="P61" i="4"/>
  <c r="P50" i="4"/>
  <c r="J33" i="7"/>
  <c r="BL5" i="5" s="1"/>
  <c r="J34" i="7"/>
  <c r="BL6" i="5" s="1"/>
  <c r="E52" i="7"/>
  <c r="J32" i="7"/>
  <c r="V32" i="7" s="1"/>
  <c r="P73" i="4"/>
  <c r="P72" i="4"/>
  <c r="P71" i="4"/>
  <c r="AH7" i="6"/>
  <c r="AI7" i="6" s="1"/>
  <c r="AK7" i="6" s="1"/>
  <c r="AZ7" i="6" s="1"/>
  <c r="AH12" i="6"/>
  <c r="AI12" i="6" s="1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AH5" i="6"/>
  <c r="AI5" i="6" s="1"/>
  <c r="AH9" i="6"/>
  <c r="AI9" i="6" s="1"/>
  <c r="M52" i="7"/>
  <c r="AU4" i="6"/>
  <c r="AJ4" i="6"/>
  <c r="AQ4" i="6" s="1"/>
  <c r="AS4" i="6" s="1"/>
  <c r="AT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AH11" i="6"/>
  <c r="AI11" i="6" s="1"/>
  <c r="AK11" i="6" s="1"/>
  <c r="AH10" i="6"/>
  <c r="AI10" i="6" s="1"/>
  <c r="AK10" i="6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K6" i="6"/>
  <c r="AZ6" i="6" s="1"/>
  <c r="AJ6" i="6"/>
  <c r="AQ6" i="6" s="1"/>
  <c r="AS6" i="6" s="1"/>
  <c r="AT6" i="6" s="1"/>
  <c r="BV15" i="6" s="1"/>
  <c r="AU6" i="6"/>
  <c r="F9" i="3"/>
  <c r="I52" i="7"/>
  <c r="AD8" i="6"/>
  <c r="AE8" i="6"/>
  <c r="AU7" i="6" l="1"/>
  <c r="BB7" i="6" s="1"/>
  <c r="BC7" i="6" s="1"/>
  <c r="BB6" i="6"/>
  <c r="BC6" i="6" s="1"/>
  <c r="AK12" i="6"/>
  <c r="AZ12" i="6" s="1"/>
  <c r="AX4" i="6"/>
  <c r="AY4" i="6" s="1"/>
  <c r="BV6" i="6" s="1"/>
  <c r="AW4" i="6"/>
  <c r="BV7" i="6"/>
  <c r="E54" i="7"/>
  <c r="V34" i="7"/>
  <c r="V33" i="7"/>
  <c r="K5" i="3"/>
  <c r="M5" i="3" s="1"/>
  <c r="BL4" i="5"/>
  <c r="AJ7" i="6"/>
  <c r="AQ7" i="6" s="1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J10" i="6"/>
  <c r="AQ10" i="6" s="1"/>
  <c r="AU10" i="6"/>
  <c r="AZ10" i="6"/>
  <c r="BV5" i="6"/>
  <c r="AJ11" i="6"/>
  <c r="AQ11" i="6" s="1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J9" i="6"/>
  <c r="AQ9" i="6" s="1"/>
  <c r="AS9" i="6" s="1"/>
  <c r="AT9" i="6" s="1"/>
  <c r="BW15" i="6" s="1"/>
  <c r="AK9" i="6"/>
  <c r="AZ9" i="6" s="1"/>
  <c r="BB9" i="6" s="1"/>
  <c r="BC9" i="6" s="1"/>
  <c r="AH8" i="6"/>
  <c r="AI8" i="6" s="1"/>
  <c r="AU5" i="6"/>
  <c r="CH11" i="6" s="1"/>
  <c r="AK5" i="6"/>
  <c r="AZ5" i="6" s="1"/>
  <c r="AJ5" i="6"/>
  <c r="AQ5" i="6" s="1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CG11" i="6"/>
  <c r="G19" i="7" s="1"/>
  <c r="BB11" i="6"/>
  <c r="BC11" i="6" s="1"/>
  <c r="BB12" i="6"/>
  <c r="BC12" i="6" s="1"/>
  <c r="BB10" i="6"/>
  <c r="BC10" i="6" s="1"/>
  <c r="BX7" i="6" s="1"/>
  <c r="BV17" i="6"/>
  <c r="BW18" i="5"/>
  <c r="D54" i="7"/>
  <c r="CM11" i="6"/>
  <c r="CQ11" i="6" s="1"/>
  <c r="CG13" i="6"/>
  <c r="CI11" i="6"/>
  <c r="AX12" i="6"/>
  <c r="AY12" i="6" s="1"/>
  <c r="BX16" i="6" s="1"/>
  <c r="CJ13" i="6"/>
  <c r="CI13" i="6"/>
  <c r="BV12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K8" i="6"/>
  <c r="AZ8" i="6" s="1"/>
  <c r="BB8" i="6" s="1"/>
  <c r="BC8" i="6" s="1"/>
  <c r="AJ8" i="6"/>
  <c r="AQ8" i="6" s="1"/>
  <c r="I6" i="3"/>
  <c r="J6" i="3" s="1"/>
  <c r="H54" i="7"/>
  <c r="BW19" i="5"/>
  <c r="AX9" i="6"/>
  <c r="AY9" i="6" s="1"/>
  <c r="BW16" i="6" s="1"/>
  <c r="AW9" i="6"/>
  <c r="CJ11" i="6"/>
  <c r="CD4" i="6" l="1"/>
  <c r="CO11" i="6" s="1"/>
  <c r="G21" i="7"/>
  <c r="AX8" i="6"/>
  <c r="AY8" i="6" s="1"/>
  <c r="E48" i="7"/>
  <c r="BX12" i="6"/>
  <c r="BW17" i="6"/>
  <c r="CM4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s="1"/>
  <c r="CB7" i="6" l="1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G47" i="7" s="1"/>
  <c r="I47" i="7"/>
  <c r="CD7" i="6"/>
  <c r="CO12" i="6" s="1"/>
  <c r="Q51" i="4"/>
  <c r="Q40" i="4"/>
  <c r="Q62" i="4"/>
  <c r="M50" i="7"/>
  <c r="CT12" i="6"/>
  <c r="Q60" i="4"/>
  <c r="Q49" i="4"/>
  <c r="Q38" i="4"/>
  <c r="S226" i="4"/>
  <c r="S233" i="4"/>
  <c r="Q71" i="4"/>
  <c r="Q7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S235" i="4"/>
  <c r="O235" i="4"/>
  <c r="S228" i="4"/>
  <c r="K47" i="7"/>
  <c r="V8" i="7"/>
  <c r="D27" i="4"/>
  <c r="CS19" i="6"/>
  <c r="CV19" i="6"/>
  <c r="R227" i="4" l="1"/>
  <c r="O234" i="4" s="1"/>
  <c r="CM5" i="6"/>
  <c r="I50" i="7"/>
  <c r="I49" i="7"/>
  <c r="CU12" i="6"/>
  <c r="L6" i="3" s="1"/>
  <c r="I20" i="7"/>
  <c r="CL5" i="6" s="1"/>
  <c r="Q50" i="4"/>
  <c r="Q39" i="4"/>
  <c r="Q61" i="4"/>
  <c r="F15" i="3"/>
  <c r="E28" i="4"/>
  <c r="P8" i="7"/>
  <c r="CL6" i="6"/>
  <c r="N7" i="3"/>
  <c r="Q72" i="4"/>
  <c r="K48" i="7"/>
  <c r="K49" i="7" s="1"/>
  <c r="L50" i="7"/>
  <c r="CU20" i="6"/>
  <c r="E26" i="4"/>
  <c r="V7" i="7"/>
  <c r="CT19" i="6"/>
  <c r="H48" i="7"/>
  <c r="G48" i="7" s="1"/>
  <c r="G49" i="7" s="1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C48" i="7"/>
  <c r="S227" i="4" l="1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W59" i="3" l="1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M7" i="4" l="1"/>
  <c r="N7" i="4" s="1"/>
  <c r="O7" i="4" s="1"/>
  <c r="M18" i="4"/>
  <c r="N18" i="4" s="1"/>
  <c r="O18" i="4" s="1"/>
  <c r="M29" i="4"/>
  <c r="N29" i="4" s="1"/>
  <c r="O29" i="4" s="1"/>
  <c r="M62" i="4"/>
  <c r="N62" i="4" s="1"/>
  <c r="O62" i="4" s="1"/>
  <c r="M40" i="4"/>
  <c r="N40" i="4" s="1"/>
  <c r="O40" i="4" s="1"/>
  <c r="M51" i="4"/>
  <c r="N51" i="4" s="1"/>
  <c r="O51" i="4" s="1"/>
  <c r="P50" i="3"/>
  <c r="M205" i="4"/>
  <c r="M73" i="4"/>
  <c r="M150" i="4"/>
  <c r="M117" i="4"/>
  <c r="K50" i="3"/>
  <c r="M106" i="4"/>
  <c r="M139" i="4"/>
  <c r="M194" i="4"/>
  <c r="M183" i="4"/>
  <c r="M216" i="4"/>
  <c r="M172" i="4"/>
  <c r="M161" i="4"/>
  <c r="M84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AG59" i="3"/>
  <c r="AI59" i="3"/>
  <c r="C18" i="4"/>
  <c r="E18" i="4" s="1"/>
  <c r="M6" i="4" l="1"/>
  <c r="N6" i="4" s="1"/>
  <c r="O6" i="4" s="1"/>
  <c r="M17" i="4"/>
  <c r="N17" i="4" s="1"/>
  <c r="O17" i="4" s="1"/>
  <c r="M28" i="4"/>
  <c r="N28" i="4" s="1"/>
  <c r="O28" i="4" s="1"/>
  <c r="S29" i="4"/>
  <c r="R29" i="4"/>
  <c r="R18" i="4"/>
  <c r="S18" i="4"/>
  <c r="R7" i="4"/>
  <c r="S7" i="4"/>
  <c r="S40" i="4"/>
  <c r="R40" i="4"/>
  <c r="M39" i="4"/>
  <c r="N39" i="4" s="1"/>
  <c r="O39" i="4" s="1"/>
  <c r="M50" i="4"/>
  <c r="N50" i="4" s="1"/>
  <c r="O50" i="4" s="1"/>
  <c r="M61" i="4"/>
  <c r="N61" i="4" s="1"/>
  <c r="O61" i="4" s="1"/>
  <c r="S51" i="4"/>
  <c r="R51" i="4"/>
  <c r="S62" i="4"/>
  <c r="R6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N84" i="4"/>
  <c r="O84" i="4" s="1"/>
  <c r="Z29" i="4"/>
  <c r="AA29" i="4" s="1"/>
  <c r="E139" i="4"/>
  <c r="S69" i="3"/>
  <c r="Z57" i="3"/>
  <c r="Z61" i="3" s="1"/>
  <c r="D139" i="4"/>
  <c r="Z18" i="4"/>
  <c r="AA18" i="4" s="1"/>
  <c r="M127" i="4"/>
  <c r="M72" i="4"/>
  <c r="M193" i="4"/>
  <c r="M182" i="4"/>
  <c r="M171" i="4"/>
  <c r="M204" i="4"/>
  <c r="M105" i="4"/>
  <c r="M160" i="4"/>
  <c r="M116" i="4"/>
  <c r="M83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N73" i="4"/>
  <c r="O73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28" i="4" l="1"/>
  <c r="R28" i="4"/>
  <c r="S17" i="4"/>
  <c r="R17" i="4"/>
  <c r="M5" i="4"/>
  <c r="N5" i="4" s="1"/>
  <c r="O5" i="4" s="1"/>
  <c r="M16" i="4"/>
  <c r="N16" i="4" s="1"/>
  <c r="O16" i="4" s="1"/>
  <c r="M27" i="4"/>
  <c r="N27" i="4" s="1"/>
  <c r="O27" i="4" s="1"/>
  <c r="S6" i="4"/>
  <c r="R6" i="4"/>
  <c r="R61" i="4"/>
  <c r="S61" i="4"/>
  <c r="R50" i="4"/>
  <c r="S50" i="4"/>
  <c r="S39" i="4"/>
  <c r="R39" i="4"/>
  <c r="M38" i="4"/>
  <c r="N38" i="4" s="1"/>
  <c r="O38" i="4" s="1"/>
  <c r="M49" i="4"/>
  <c r="N49" i="4" s="1"/>
  <c r="O49" i="4" s="1"/>
  <c r="M60" i="4"/>
  <c r="N60" i="4" s="1"/>
  <c r="O60" i="4" s="1"/>
  <c r="S161" i="4"/>
  <c r="R161" i="4"/>
  <c r="Z204" i="4"/>
  <c r="AA204" i="4" s="1"/>
  <c r="N204" i="4"/>
  <c r="O204" i="4" s="1"/>
  <c r="S73" i="4"/>
  <c r="R73" i="4"/>
  <c r="R216" i="4"/>
  <c r="S216" i="4"/>
  <c r="M192" i="4"/>
  <c r="M159" i="4"/>
  <c r="M203" i="4"/>
  <c r="M93" i="4"/>
  <c r="M104" i="4"/>
  <c r="M170" i="4"/>
  <c r="M82" i="4"/>
  <c r="M115" i="4"/>
  <c r="M214" i="4"/>
  <c r="M126" i="4"/>
  <c r="M71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R84" i="4"/>
  <c r="S84" i="4"/>
  <c r="S95" i="4"/>
  <c r="R95" i="4"/>
  <c r="N182" i="4"/>
  <c r="O182" i="4" s="1"/>
  <c r="Z182" i="4"/>
  <c r="AA182" i="4" s="1"/>
  <c r="S172" i="4"/>
  <c r="R172" i="4"/>
  <c r="Z50" i="4"/>
  <c r="AA50" i="4" s="1"/>
  <c r="G138" i="4"/>
  <c r="N72" i="4"/>
  <c r="O72" i="4" s="1"/>
  <c r="Z72" i="4"/>
  <c r="AA72" i="4" s="1"/>
  <c r="AA57" i="3"/>
  <c r="AC57" i="3" s="1"/>
  <c r="AA58" i="3"/>
  <c r="AA59" i="3"/>
  <c r="S205" i="4"/>
  <c r="R205" i="4"/>
  <c r="Z83" i="4"/>
  <c r="AA83" i="4" s="1"/>
  <c r="N83" i="4"/>
  <c r="O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U27" i="4" l="1"/>
  <c r="U28" i="4" s="1"/>
  <c r="U29" i="4" s="1"/>
  <c r="S27" i="4"/>
  <c r="R27" i="4"/>
  <c r="U16" i="4"/>
  <c r="U17" i="4" s="1"/>
  <c r="U18" i="4" s="1"/>
  <c r="R16" i="4"/>
  <c r="S16" i="4"/>
  <c r="R5" i="4"/>
  <c r="U5" i="4"/>
  <c r="U6" i="4" s="1"/>
  <c r="U7" i="4" s="1"/>
  <c r="S5" i="4"/>
  <c r="S60" i="4"/>
  <c r="R60" i="4"/>
  <c r="U60" i="4"/>
  <c r="U61" i="4" s="1"/>
  <c r="U62" i="4" s="1"/>
  <c r="R38" i="4"/>
  <c r="U38" i="4"/>
  <c r="U39" i="4" s="1"/>
  <c r="U40" i="4" s="1"/>
  <c r="S38" i="4"/>
  <c r="R49" i="4"/>
  <c r="U49" i="4"/>
  <c r="U50" i="4" s="1"/>
  <c r="U51" i="4" s="1"/>
  <c r="S49" i="4"/>
  <c r="AB7" i="4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R72" i="4"/>
  <c r="S72" i="4"/>
  <c r="S193" i="4"/>
  <c r="R193" i="4"/>
  <c r="N82" i="4"/>
  <c r="O82" i="4" s="1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R83" i="4"/>
  <c r="S83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AB11" i="4" s="1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N71" i="4"/>
  <c r="O71" i="4" s="1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43" i="4" l="1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82" i="4"/>
  <c r="U83" i="4" s="1"/>
  <c r="U84" i="4" s="1"/>
  <c r="S82" i="4"/>
  <c r="R82" i="4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71" i="4"/>
  <c r="U72" i="4" s="1"/>
  <c r="U73" i="4" s="1"/>
  <c r="R71" i="4"/>
  <c r="S71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V16" i="4" s="1"/>
  <c r="AB104" i="4"/>
  <c r="V104" i="4" s="1"/>
  <c r="C47" i="4" s="1"/>
  <c r="AB159" i="4"/>
  <c r="V159" i="4" s="1"/>
  <c r="C52" i="4" s="1"/>
  <c r="AB5" i="4"/>
  <c r="V5" i="4" s="1"/>
  <c r="AB27" i="4"/>
  <c r="V27" i="4" s="1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V82" i="4" s="1"/>
  <c r="C45" i="4" s="1"/>
  <c r="AB192" i="4"/>
  <c r="V192" i="4" s="1"/>
  <c r="C55" i="4" s="1"/>
  <c r="AB71" i="4"/>
  <c r="V71" i="4" s="1"/>
  <c r="C44" i="4" s="1"/>
  <c r="AB148" i="4"/>
  <c r="V148" i="4" s="1"/>
  <c r="C51" i="4" s="1"/>
  <c r="AB38" i="4"/>
  <c r="V38" i="4" s="1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V49" i="4" s="1"/>
  <c r="V60" i="4" l="1"/>
  <c r="C43" i="4" s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<sst xmlns="http://schemas.openxmlformats.org/spreadsheetml/2006/main" count="1504" uniqueCount="434">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</sst>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69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0" xfId="0" applyNumberFormat="1" applyFont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1" fontId="16" fillId="0" borderId="60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43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1.7443905747548439E-3</c:v>
                </c:pt>
                <c:pt idx="2">
                  <c:v>4.7504278680878037E-3</c:v>
                </c:pt>
                <c:pt idx="3">
                  <c:v>8.1000948897978157E-3</c:v>
                </c:pt>
                <c:pt idx="4">
                  <c:v>1.4127677725404499E-2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244.17848343237631</c:v>
                </c:pt>
                <c:pt idx="2">
                  <c:v>346.03015280246001</c:v>
                </c:pt>
                <c:pt idx="3">
                  <c:v>312.22274937476266</c:v>
                </c:pt>
                <c:pt idx="4">
                  <c:v>159.31889173839335</c:v>
                </c:pt>
                <c:pt idx="5">
                  <c:v>165.55090909090907</c:v>
                </c:pt>
                <c:pt idx="6">
                  <c:v>137.87818181818182</c:v>
                </c:pt>
                <c:pt idx="7">
                  <c:v>97.888939193605097</c:v>
                </c:pt>
                <c:pt idx="8">
                  <c:v>40.878181818181822</c:v>
                </c:pt>
                <c:pt idx="9">
                  <c:v>40.878181818181822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3.7757468071337341E-4</c:v>
                </c:pt>
                <c:pt idx="2">
                  <c:v>1.9645769001200064E-4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3.7757468071337324E-4</c:v>
                </c:pt>
                <c:pt idx="2">
                  <c:v>1.9645769001200034E-4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0.44172072334350693</c:v>
                </c:pt>
                <c:pt idx="1">
                  <c:v>0.36721294892499129</c:v>
                </c:pt>
                <c:pt idx="2">
                  <c:v>0.19106632773150181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4.8445696783228933E-4</c:v>
                </c:pt>
                <c:pt idx="2">
                  <c:v>4.8445696783228933E-4</c:v>
                </c:pt>
                <c:pt idx="3">
                  <c:v>4.8445696783228933E-4</c:v>
                </c:pt>
                <c:pt idx="4">
                  <c:v>4.8445696783228933E-4</c:v>
                </c:pt>
                <c:pt idx="5">
                  <c:v>4.8445696783228933E-4</c:v>
                </c:pt>
                <c:pt idx="6">
                  <c:v>4.8445696783228933E-4</c:v>
                </c:pt>
                <c:pt idx="7">
                  <c:v>4.8445696783228933E-4</c:v>
                </c:pt>
                <c:pt idx="8">
                  <c:v>4.8445696783228933E-4</c:v>
                </c:pt>
                <c:pt idx="9">
                  <c:v>4.8445696783228933E-4</c:v>
                </c:pt>
                <c:pt idx="10">
                  <c:v>4.8445696783228933E-4</c:v>
                </c:pt>
                <c:pt idx="11">
                  <c:v>4.8445696783228933E-4</c:v>
                </c:pt>
                <c:pt idx="12">
                  <c:v>4.8445696783228933E-4</c:v>
                </c:pt>
                <c:pt idx="13">
                  <c:v>4.8445696783228933E-4</c:v>
                </c:pt>
                <c:pt idx="14">
                  <c:v>4.8445696783228933E-4</c:v>
                </c:pt>
                <c:pt idx="15">
                  <c:v>4.8445696783228933E-4</c:v>
                </c:pt>
                <c:pt idx="16">
                  <c:v>4.8445696783228933E-4</c:v>
                </c:pt>
                <c:pt idx="17">
                  <c:v>4.8445696783228933E-4</c:v>
                </c:pt>
                <c:pt idx="18">
                  <c:v>4.8445696783228933E-4</c:v>
                </c:pt>
                <c:pt idx="19">
                  <c:v>4.8445696783228933E-4</c:v>
                </c:pt>
                <c:pt idx="20">
                  <c:v>4.8445696783228933E-4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-9.9999999999999982</c:v>
                </c:pt>
                <c:pt idx="2">
                  <c:v>-9.9999999999999982</c:v>
                </c:pt>
                <c:pt idx="3">
                  <c:v>-9.9999999999999982</c:v>
                </c:pt>
                <c:pt idx="4">
                  <c:v>-9.9999999999999982</c:v>
                </c:pt>
                <c:pt idx="5">
                  <c:v>-9.9999999999999982</c:v>
                </c:pt>
                <c:pt idx="6">
                  <c:v>-9.9999999999999982</c:v>
                </c:pt>
                <c:pt idx="7">
                  <c:v>-9.9999999999999982</c:v>
                </c:pt>
                <c:pt idx="8">
                  <c:v>-9.9999999999999982</c:v>
                </c:pt>
                <c:pt idx="9">
                  <c:v>-9.9999999999999982</c:v>
                </c:pt>
                <c:pt idx="10">
                  <c:v>-9.9999999999999982</c:v>
                </c:pt>
                <c:pt idx="11">
                  <c:v>-9.9999999999999982</c:v>
                </c:pt>
                <c:pt idx="12">
                  <c:v>-9.9999999999999982</c:v>
                </c:pt>
                <c:pt idx="13">
                  <c:v>-9.9999999999999982</c:v>
                </c:pt>
                <c:pt idx="14">
                  <c:v>-9.9999999999999982</c:v>
                </c:pt>
                <c:pt idx="15">
                  <c:v>-9.9999999999999982</c:v>
                </c:pt>
                <c:pt idx="16">
                  <c:v>-9.9999999999999982</c:v>
                </c:pt>
                <c:pt idx="17">
                  <c:v>-9.9999999999999982</c:v>
                </c:pt>
                <c:pt idx="18">
                  <c:v>-9.9999999999999982</c:v>
                </c:pt>
                <c:pt idx="19">
                  <c:v>-9.9999999999999982</c:v>
                </c:pt>
                <c:pt idx="20">
                  <c:v>-9.9999999999999982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1.1191186002380133E-4</c:v>
                </c:pt>
                <c:pt idx="1">
                  <c:v>-5.8334722510233988E-5</c:v>
                </c:pt>
                <c:pt idx="2">
                  <c:v>-7.0858153737813338E-5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-0.5212559464012787</c:v>
                </c:pt>
                <c:pt idx="2">
                  <c:v>-0.63316036140176102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7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image" Target="../media/image9.emf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11" t="s">
        <v>4</v>
      </c>
      <c r="K2" s="611"/>
      <c r="L2" s="611"/>
      <c r="M2" s="611"/>
      <c r="N2" s="611"/>
      <c r="O2" s="611"/>
      <c r="P2" s="611"/>
      <c r="Q2" s="255"/>
      <c r="S2" s="636" t="s">
        <v>31</v>
      </c>
      <c r="T2" s="637"/>
      <c r="U2" s="637"/>
      <c r="V2" s="637"/>
      <c r="W2" s="637"/>
      <c r="X2" s="637"/>
      <c r="Y2" s="637"/>
      <c r="Z2" s="637"/>
      <c r="AA2" s="637"/>
      <c r="AB2" s="637"/>
      <c r="AC2" s="638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12"/>
      <c r="K3" s="612"/>
      <c r="L3" s="612"/>
      <c r="M3" s="612"/>
      <c r="N3" s="612"/>
      <c r="O3" s="612"/>
      <c r="P3" s="612"/>
      <c r="Q3" s="162"/>
      <c r="S3" s="639"/>
      <c r="T3" s="621"/>
      <c r="U3" s="621"/>
      <c r="V3" s="621"/>
      <c r="W3" s="621"/>
      <c r="X3" s="621"/>
      <c r="Y3" s="621"/>
      <c r="Z3" s="621"/>
      <c r="AA3" s="621"/>
      <c r="AB3" s="621"/>
      <c r="AC3" s="640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55" t="s">
        <v>0</v>
      </c>
      <c r="T4" s="656" t="s">
        <v>2</v>
      </c>
      <c r="U4" s="656" t="s">
        <v>3</v>
      </c>
      <c r="V4" s="619" t="s">
        <v>10</v>
      </c>
      <c r="W4" s="619"/>
      <c r="X4" s="619"/>
      <c r="Y4" s="619"/>
      <c r="Z4" s="622"/>
      <c r="AA4" s="627"/>
      <c r="AB4" s="653" t="s">
        <v>24</v>
      </c>
      <c r="AC4" s="654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55"/>
      <c r="T5" s="656"/>
      <c r="U5" s="656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28"/>
      <c r="AB5" s="653"/>
      <c r="AC5" s="654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15"/>
      <c r="K6" s="612"/>
      <c r="L6" s="615"/>
      <c r="M6" s="612"/>
      <c r="N6" s="615"/>
      <c r="O6" s="612"/>
      <c r="P6" s="615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28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15"/>
      <c r="K7" s="612"/>
      <c r="L7" s="615"/>
      <c r="M7" s="612"/>
      <c r="N7" s="615"/>
      <c r="O7" s="612"/>
      <c r="P7" s="615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28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28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15"/>
      <c r="K9" s="612"/>
      <c r="L9" s="615"/>
      <c r="M9" s="612"/>
      <c r="N9" s="615"/>
      <c r="O9" s="612"/>
      <c r="P9" s="615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29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15"/>
      <c r="K10" s="612"/>
      <c r="L10" s="615"/>
      <c r="M10" s="612"/>
      <c r="N10" s="615"/>
      <c r="O10" s="612"/>
      <c r="P10" s="615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16">
        <v>7113</v>
      </c>
      <c r="K13" s="613"/>
      <c r="L13" s="616">
        <v>7213</v>
      </c>
      <c r="M13" s="613"/>
      <c r="N13" s="616">
        <v>7313</v>
      </c>
      <c r="O13" s="613"/>
      <c r="P13" s="616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17"/>
      <c r="K14" s="614"/>
      <c r="L14" s="617"/>
      <c r="M14" s="614"/>
      <c r="N14" s="617"/>
      <c r="O14" s="614"/>
      <c r="P14" s="617"/>
      <c r="Q14" s="162"/>
      <c r="S14" s="621" t="s">
        <v>11</v>
      </c>
      <c r="T14" s="621"/>
      <c r="U14" s="621"/>
      <c r="V14" s="621"/>
      <c r="W14" s="621"/>
      <c r="X14" s="621"/>
      <c r="Y14" s="621"/>
      <c r="Z14" s="621"/>
      <c r="AA14" s="621"/>
      <c r="AB14" s="621"/>
      <c r="AC14" s="621"/>
      <c r="AD14" s="621"/>
      <c r="AE14" s="621"/>
      <c r="AG14" s="630" t="s">
        <v>200</v>
      </c>
      <c r="AH14" s="631"/>
      <c r="AI14" s="631"/>
      <c r="AJ14" s="631"/>
      <c r="AK14" s="631"/>
      <c r="AL14" s="632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  <c r="AD15" s="621"/>
      <c r="AE15" s="621"/>
      <c r="AG15" s="633"/>
      <c r="AH15" s="634"/>
      <c r="AI15" s="634"/>
      <c r="AJ15" s="634"/>
      <c r="AK15" s="634"/>
      <c r="AL15" s="635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16">
        <v>7112</v>
      </c>
      <c r="K16" s="613"/>
      <c r="L16" s="616">
        <v>7212</v>
      </c>
      <c r="M16" s="613"/>
      <c r="N16" s="616">
        <v>7312</v>
      </c>
      <c r="O16" s="613"/>
      <c r="P16" s="616">
        <v>7412</v>
      </c>
      <c r="Q16" s="162"/>
      <c r="S16" s="620" t="s">
        <v>12</v>
      </c>
      <c r="T16" s="620"/>
      <c r="U16" s="620"/>
      <c r="V16" s="620"/>
      <c r="W16" s="620"/>
      <c r="X16" s="620"/>
      <c r="Y16" s="620"/>
      <c r="Z16" s="620"/>
      <c r="AA16" s="620"/>
      <c r="AB16" s="620"/>
      <c r="AC16" s="620"/>
      <c r="AD16" s="620"/>
      <c r="AE16" s="620"/>
      <c r="AG16" s="647" t="s">
        <v>135</v>
      </c>
      <c r="AH16" s="648"/>
      <c r="AI16" s="648"/>
      <c r="AJ16" s="648"/>
      <c r="AK16" s="648"/>
      <c r="AL16" s="649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17"/>
      <c r="K17" s="614"/>
      <c r="L17" s="617"/>
      <c r="M17" s="614"/>
      <c r="N17" s="617"/>
      <c r="O17" s="614"/>
      <c r="P17" s="617"/>
      <c r="Q17" s="162"/>
      <c r="S17" s="622" t="s">
        <v>22</v>
      </c>
      <c r="T17" s="623"/>
      <c r="U17" s="619" t="s">
        <v>16</v>
      </c>
      <c r="V17" s="619"/>
      <c r="W17" s="619"/>
      <c r="X17" s="619"/>
      <c r="Y17" s="619" t="s">
        <v>17</v>
      </c>
      <c r="Z17" s="619"/>
      <c r="AA17" s="619"/>
      <c r="AB17" s="619" t="s">
        <v>33</v>
      </c>
      <c r="AC17" s="619"/>
      <c r="AD17" s="619" t="s">
        <v>36</v>
      </c>
      <c r="AE17" s="619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353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16">
        <v>7111</v>
      </c>
      <c r="K19" s="613"/>
      <c r="L19" s="616">
        <v>7211</v>
      </c>
      <c r="M19" s="613"/>
      <c r="N19" s="616">
        <v>-1</v>
      </c>
      <c r="O19" s="613">
        <v>7311</v>
      </c>
      <c r="P19" s="616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17"/>
      <c r="K20" s="614"/>
      <c r="L20" s="617"/>
      <c r="M20" s="614"/>
      <c r="N20" s="617"/>
      <c r="O20" s="614"/>
      <c r="P20" s="617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24" t="s">
        <v>27</v>
      </c>
      <c r="T21" s="624"/>
      <c r="U21" s="624"/>
      <c r="V21" s="624"/>
      <c r="W21" s="624"/>
      <c r="X21" s="624"/>
      <c r="Y21" s="624"/>
      <c r="Z21" s="624"/>
      <c r="AA21" s="624"/>
      <c r="AB21" s="624"/>
      <c r="AC21" s="624"/>
      <c r="AD21" s="624"/>
      <c r="AE21" s="624"/>
      <c r="AG21" s="650"/>
      <c r="AH21" s="651"/>
      <c r="AI21" s="651"/>
      <c r="AJ21" s="651"/>
      <c r="AK21" s="651"/>
      <c r="AL21" s="652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22" t="s">
        <v>22</v>
      </c>
      <c r="T22" s="623"/>
      <c r="U22" s="619" t="s">
        <v>16</v>
      </c>
      <c r="V22" s="619"/>
      <c r="W22" s="619"/>
      <c r="X22" s="619"/>
      <c r="Y22" s="619" t="s">
        <v>17</v>
      </c>
      <c r="Z22" s="619"/>
      <c r="AA22" s="619"/>
      <c r="AB22" s="619" t="s">
        <v>33</v>
      </c>
      <c r="AC22" s="619"/>
      <c r="AD22" s="619" t="s">
        <v>36</v>
      </c>
      <c r="AE22" s="619"/>
      <c r="AG22" s="644" t="s">
        <v>136</v>
      </c>
      <c r="AH22" s="645"/>
      <c r="AI22" s="645"/>
      <c r="AJ22" s="645"/>
      <c r="AK22" s="645"/>
      <c r="AL22" s="646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353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25" t="s">
        <v>28</v>
      </c>
      <c r="T26" s="625"/>
      <c r="U26" s="625"/>
      <c r="V26" s="625"/>
      <c r="W26" s="625"/>
      <c r="X26" s="625"/>
      <c r="Y26" s="625"/>
      <c r="Z26" s="625"/>
      <c r="AA26" s="625"/>
      <c r="AB26" s="625"/>
      <c r="AC26" s="625"/>
      <c r="AD26" s="625"/>
      <c r="AE26" s="625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22" t="s">
        <v>22</v>
      </c>
      <c r="T27" s="623"/>
      <c r="U27" s="619" t="s">
        <v>16</v>
      </c>
      <c r="V27" s="619"/>
      <c r="W27" s="619"/>
      <c r="X27" s="619"/>
      <c r="Y27" s="619" t="s">
        <v>17</v>
      </c>
      <c r="Z27" s="619"/>
      <c r="AA27" s="619"/>
      <c r="AB27" s="619" t="s">
        <v>33</v>
      </c>
      <c r="AC27" s="619"/>
      <c r="AD27" s="619" t="s">
        <v>36</v>
      </c>
      <c r="AE27" s="619"/>
      <c r="AG27" s="650"/>
      <c r="AH27" s="651"/>
      <c r="AI27" s="651"/>
      <c r="AJ27" s="651"/>
      <c r="AK27" s="651"/>
      <c r="AL27" s="652"/>
    </row>
    <row r="28" spans="2:38" x14ac:dyDescent="0.25">
      <c r="B28" s="618" t="s">
        <v>385</v>
      </c>
      <c r="C28" s="612"/>
      <c r="D28" s="612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353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41" t="s">
        <v>137</v>
      </c>
      <c r="AH28" s="642"/>
      <c r="AI28" s="642"/>
      <c r="AJ28" s="642"/>
      <c r="AK28" s="642"/>
      <c r="AL28" s="643"/>
    </row>
    <row r="29" spans="2:38" x14ac:dyDescent="0.25">
      <c r="B29" s="618"/>
      <c r="C29" s="612"/>
      <c r="D29" s="612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26" t="s">
        <v>29</v>
      </c>
      <c r="T31" s="626"/>
      <c r="U31" s="626"/>
      <c r="V31" s="626"/>
      <c r="W31" s="626"/>
      <c r="X31" s="626"/>
      <c r="Y31" s="626"/>
      <c r="Z31" s="626"/>
      <c r="AA31" s="626"/>
      <c r="AB31" s="626"/>
      <c r="AC31" s="626"/>
      <c r="AD31" s="626"/>
      <c r="AE31" s="626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22" t="s">
        <v>22</v>
      </c>
      <c r="T32" s="623"/>
      <c r="U32" s="619" t="s">
        <v>16</v>
      </c>
      <c r="V32" s="619"/>
      <c r="W32" s="619"/>
      <c r="X32" s="619"/>
      <c r="Y32" s="619" t="s">
        <v>17</v>
      </c>
      <c r="Z32" s="619"/>
      <c r="AA32" s="619"/>
      <c r="AB32" s="619" t="s">
        <v>33</v>
      </c>
      <c r="AC32" s="619"/>
      <c r="AD32" s="619" t="s">
        <v>36</v>
      </c>
      <c r="AE32" s="619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353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37" t="s">
        <v>281</v>
      </c>
      <c r="C2" s="738"/>
      <c r="D2" s="738"/>
      <c r="E2" s="738"/>
      <c r="F2" s="738"/>
      <c r="G2" s="738"/>
      <c r="H2" s="738"/>
      <c r="I2" s="738"/>
      <c r="J2" s="738"/>
      <c r="K2" s="738"/>
      <c r="L2" s="739"/>
      <c r="M2" s="4"/>
      <c r="N2" s="4"/>
      <c r="O2" s="4"/>
      <c r="Q2" s="740" t="s">
        <v>208</v>
      </c>
      <c r="R2" s="741"/>
      <c r="S2" s="741"/>
      <c r="T2" s="741"/>
      <c r="U2" s="741"/>
      <c r="V2" s="741"/>
      <c r="W2" s="741"/>
      <c r="X2" s="741"/>
      <c r="Y2" s="741"/>
      <c r="Z2" s="741"/>
      <c r="AA2" s="741"/>
      <c r="AB2" s="741"/>
      <c r="AC2" s="741"/>
      <c r="AD2" s="741"/>
      <c r="AE2" s="741"/>
      <c r="AF2" s="741"/>
      <c r="AG2" s="742"/>
      <c r="AI2" s="769" t="s">
        <v>68</v>
      </c>
      <c r="AJ2" s="770"/>
      <c r="AK2" s="770"/>
      <c r="AL2" s="770"/>
      <c r="AM2" s="770"/>
      <c r="AN2" s="770"/>
      <c r="AO2" s="770"/>
      <c r="AP2" s="770"/>
      <c r="AQ2" s="770"/>
      <c r="AR2" s="770"/>
      <c r="AS2" s="770"/>
      <c r="AT2" s="770"/>
      <c r="AU2" s="770"/>
      <c r="AV2" s="770"/>
      <c r="AW2" s="770"/>
      <c r="AX2" s="770"/>
      <c r="AY2" s="770"/>
      <c r="AZ2" s="770"/>
      <c r="BA2" s="770"/>
      <c r="BB2" s="770"/>
      <c r="BC2" s="771"/>
      <c r="BE2" s="749" t="s">
        <v>179</v>
      </c>
      <c r="BF2" s="750"/>
      <c r="BG2" s="750"/>
      <c r="BH2" s="750"/>
      <c r="BI2" s="750"/>
      <c r="BJ2" s="750"/>
      <c r="BK2" s="750"/>
      <c r="BL2" s="751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694" t="s">
        <v>59</v>
      </c>
      <c r="C3" s="683" t="s">
        <v>32</v>
      </c>
      <c r="D3" s="683" t="s">
        <v>30</v>
      </c>
      <c r="E3" s="679" t="s">
        <v>202</v>
      </c>
      <c r="F3" s="660" t="s">
        <v>203</v>
      </c>
      <c r="G3" s="683" t="s">
        <v>206</v>
      </c>
      <c r="H3" s="683" t="s">
        <v>207</v>
      </c>
      <c r="I3" s="679" t="s">
        <v>204</v>
      </c>
      <c r="J3" s="660" t="s">
        <v>205</v>
      </c>
      <c r="K3" s="679" t="s">
        <v>284</v>
      </c>
      <c r="L3" s="692" t="s">
        <v>285</v>
      </c>
      <c r="M3" s="4"/>
      <c r="N3" s="4"/>
      <c r="O3" s="4"/>
      <c r="Q3" s="670" t="s">
        <v>9</v>
      </c>
      <c r="R3" s="671"/>
      <c r="S3" s="671">
        <v>1</v>
      </c>
      <c r="T3" s="671"/>
      <c r="U3" s="671"/>
      <c r="V3" s="671"/>
      <c r="W3" s="671"/>
      <c r="X3" s="671">
        <v>2</v>
      </c>
      <c r="Y3" s="671"/>
      <c r="Z3" s="671"/>
      <c r="AA3" s="671"/>
      <c r="AB3" s="671"/>
      <c r="AC3" s="671">
        <v>3</v>
      </c>
      <c r="AD3" s="671"/>
      <c r="AE3" s="671"/>
      <c r="AF3" s="671"/>
      <c r="AG3" s="676"/>
      <c r="AI3" s="674" t="s">
        <v>61</v>
      </c>
      <c r="AJ3" s="705" t="s">
        <v>62</v>
      </c>
      <c r="AK3" s="705"/>
      <c r="AL3" s="705" t="s">
        <v>63</v>
      </c>
      <c r="AM3" s="705" t="s">
        <v>64</v>
      </c>
      <c r="AN3" s="705" t="s">
        <v>65</v>
      </c>
      <c r="AO3" s="705" t="s">
        <v>66</v>
      </c>
      <c r="AP3" s="671" t="s">
        <v>69</v>
      </c>
      <c r="AQ3" s="705" t="s">
        <v>314</v>
      </c>
      <c r="AR3" s="672" t="s">
        <v>67</v>
      </c>
      <c r="AS3" s="672" t="s">
        <v>55</v>
      </c>
      <c r="AT3" s="672" t="s">
        <v>389</v>
      </c>
      <c r="AU3" s="664" t="s">
        <v>291</v>
      </c>
      <c r="AV3" s="664" t="s">
        <v>55</v>
      </c>
      <c r="AW3" s="664" t="s">
        <v>390</v>
      </c>
      <c r="AX3" s="701" t="s">
        <v>292</v>
      </c>
      <c r="AY3" s="701" t="s">
        <v>55</v>
      </c>
      <c r="AZ3" s="701" t="s">
        <v>391</v>
      </c>
      <c r="BA3" s="763" t="s">
        <v>429</v>
      </c>
      <c r="BB3" s="765" t="s">
        <v>55</v>
      </c>
      <c r="BC3" s="767" t="s">
        <v>391</v>
      </c>
      <c r="BE3" s="531" t="str">
        <f>'System Capacities'!C31</f>
        <v>Storey</v>
      </c>
      <c r="BF3" s="703" t="str">
        <f>'System Capacities'!D31</f>
        <v>Sway Mechanism at Storey i</v>
      </c>
      <c r="BG3" s="667"/>
      <c r="BH3" s="667"/>
      <c r="BI3" s="531" t="str">
        <f>'System Capacities'!G31</f>
        <v>VR,i [kN]</v>
      </c>
      <c r="BJ3" s="531" t="str">
        <f>'System Capacities'!H31</f>
        <v>hs,i [m]</v>
      </c>
      <c r="BK3" s="531" t="str">
        <f>'System Capacities'!I31</f>
        <v>θsys,i [rad]</v>
      </c>
      <c r="BL3" s="531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659"/>
      <c r="C4" s="678"/>
      <c r="D4" s="678"/>
      <c r="E4" s="680"/>
      <c r="F4" s="661"/>
      <c r="G4" s="678"/>
      <c r="H4" s="678"/>
      <c r="I4" s="680"/>
      <c r="J4" s="661"/>
      <c r="K4" s="680"/>
      <c r="L4" s="693"/>
      <c r="M4" s="4"/>
      <c r="N4" s="4"/>
      <c r="O4" s="4"/>
      <c r="Q4" s="666" t="s">
        <v>42</v>
      </c>
      <c r="R4" s="667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675"/>
      <c r="AJ4" s="706"/>
      <c r="AK4" s="706"/>
      <c r="AL4" s="706"/>
      <c r="AM4" s="706"/>
      <c r="AN4" s="706"/>
      <c r="AO4" s="706"/>
      <c r="AP4" s="667"/>
      <c r="AQ4" s="706"/>
      <c r="AR4" s="673"/>
      <c r="AS4" s="673"/>
      <c r="AT4" s="673"/>
      <c r="AU4" s="665"/>
      <c r="AV4" s="665"/>
      <c r="AW4" s="665"/>
      <c r="AX4" s="702"/>
      <c r="AY4" s="702"/>
      <c r="AZ4" s="702"/>
      <c r="BA4" s="764"/>
      <c r="BB4" s="766"/>
      <c r="BC4" s="768"/>
      <c r="BE4" s="116">
        <f>'System Capacities'!C32</f>
        <v>3</v>
      </c>
      <c r="BF4" s="704" t="str">
        <f>'System Capacities'!D32</f>
        <v>Column</v>
      </c>
      <c r="BG4" s="704"/>
      <c r="BH4" s="704"/>
      <c r="BI4" s="2">
        <f>'System Capacities'!G32</f>
        <v>89.066666666666663</v>
      </c>
      <c r="BJ4" s="2">
        <f>'Structural Information'!U6</f>
        <v>3</v>
      </c>
      <c r="BK4" s="31">
        <f>'System Capacities'!I32</f>
        <v>9.5976000000000013E-3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658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668" t="s">
        <v>57</v>
      </c>
      <c r="R5" s="669"/>
      <c r="S5" s="496">
        <v>30.8</v>
      </c>
      <c r="T5" s="495">
        <v>49.6</v>
      </c>
      <c r="U5" s="495">
        <v>49.6</v>
      </c>
      <c r="V5" s="495">
        <v>41.5</v>
      </c>
      <c r="W5" s="16">
        <f>S5+T5+U5+V5</f>
        <v>171.5</v>
      </c>
      <c r="X5" s="496">
        <v>30.8</v>
      </c>
      <c r="Y5" s="495">
        <v>44.7</v>
      </c>
      <c r="Z5" s="495">
        <v>44.7</v>
      </c>
      <c r="AA5" s="495">
        <v>36.4</v>
      </c>
      <c r="AB5" s="16">
        <f>X5+Y5+Z5+AA5</f>
        <v>156.6</v>
      </c>
      <c r="AC5" s="494">
        <v>30.8</v>
      </c>
      <c r="AD5" s="495">
        <v>36</v>
      </c>
      <c r="AE5" s="495">
        <v>36</v>
      </c>
      <c r="AF5" s="495">
        <v>30.8</v>
      </c>
      <c r="AG5" s="17">
        <f>AC5+AD5+AE5+AF5</f>
        <v>133.6</v>
      </c>
      <c r="AI5" s="666">
        <v>3</v>
      </c>
      <c r="AJ5" s="725" t="s">
        <v>42</v>
      </c>
      <c r="AK5" s="726"/>
      <c r="AL5" s="60">
        <v>1113</v>
      </c>
      <c r="AM5" s="568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04" t="str">
        <f>'System Capacities'!D33</f>
        <v>Column</v>
      </c>
      <c r="BG5" s="704"/>
      <c r="BH5" s="704"/>
      <c r="BI5" s="2">
        <f>'System Capacities'!G33</f>
        <v>104.39999999999999</v>
      </c>
      <c r="BJ5" s="2">
        <f>'Structural Information'!U7</f>
        <v>3</v>
      </c>
      <c r="BK5" s="31">
        <f>'System Capacities'!I33</f>
        <v>9.1744770034843208E-3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658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677" t="s">
        <v>56</v>
      </c>
      <c r="R6" s="678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7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666"/>
      <c r="AJ6" s="727"/>
      <c r="AK6" s="728"/>
      <c r="AL6" s="64">
        <v>1213</v>
      </c>
      <c r="AM6" s="569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62" t="str">
        <f>'System Capacities'!D34</f>
        <v>Column</v>
      </c>
      <c r="BG6" s="762"/>
      <c r="BH6" s="762"/>
      <c r="BI6" s="126">
        <f>'System Capacities'!G34</f>
        <v>128.61818181818182</v>
      </c>
      <c r="BJ6" s="126">
        <f>'Structural Information'!U8</f>
        <v>2.75</v>
      </c>
      <c r="BK6" s="51">
        <f>'System Capacities'!I34</f>
        <v>8.1000948897978157E-3</v>
      </c>
      <c r="BL6" s="110">
        <f>'System Capacities'!J34</f>
        <v>5774.0370415650423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684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666"/>
      <c r="AJ7" s="727"/>
      <c r="AK7" s="728"/>
      <c r="AL7" s="64">
        <v>1313</v>
      </c>
      <c r="AM7" s="569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657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07" t="s">
        <v>209</v>
      </c>
      <c r="R8" s="708"/>
      <c r="S8" s="708"/>
      <c r="T8" s="708"/>
      <c r="U8" s="708"/>
      <c r="V8" s="708"/>
      <c r="W8" s="708"/>
      <c r="X8" s="708"/>
      <c r="Y8" s="708"/>
      <c r="Z8" s="708"/>
      <c r="AA8" s="708"/>
      <c r="AB8" s="708"/>
      <c r="AC8" s="708"/>
      <c r="AD8" s="708"/>
      <c r="AE8" s="708"/>
      <c r="AF8" s="708"/>
      <c r="AG8" s="709"/>
      <c r="AI8" s="666"/>
      <c r="AJ8" s="729"/>
      <c r="AK8" s="730"/>
      <c r="AL8" s="571">
        <v>1413</v>
      </c>
      <c r="AM8" s="570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5">
        <f>AQ8*K58</f>
        <v>0.22112559360000003</v>
      </c>
      <c r="BB8" s="575">
        <v>3.3</v>
      </c>
      <c r="BC8" s="52">
        <f t="shared" si="4"/>
        <v>0.72971445888000008</v>
      </c>
      <c r="BE8" s="756" t="s">
        <v>298</v>
      </c>
      <c r="BF8" s="757"/>
      <c r="BG8" s="757"/>
      <c r="BH8" s="757"/>
      <c r="BI8" s="757"/>
      <c r="BJ8" s="757"/>
      <c r="BK8" s="758"/>
      <c r="BL8" s="759" t="s">
        <v>299</v>
      </c>
      <c r="BM8" s="760"/>
      <c r="BN8" s="760"/>
      <c r="BO8" s="760"/>
      <c r="BP8" s="760"/>
      <c r="BQ8" s="760"/>
      <c r="BR8" s="761"/>
      <c r="BS8" s="779" t="s">
        <v>297</v>
      </c>
      <c r="BT8" s="780"/>
      <c r="BU8" s="780"/>
      <c r="BV8" s="780"/>
      <c r="BW8" s="780"/>
      <c r="BX8" s="780"/>
      <c r="BY8" s="781"/>
      <c r="BZ8" s="3"/>
    </row>
    <row r="9" spans="2:78" ht="15.75" customHeight="1" x14ac:dyDescent="0.25">
      <c r="B9" s="658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70" t="s">
        <v>9</v>
      </c>
      <c r="R9" s="671"/>
      <c r="S9" s="671">
        <v>1</v>
      </c>
      <c r="T9" s="671"/>
      <c r="U9" s="671"/>
      <c r="V9" s="671"/>
      <c r="W9" s="671"/>
      <c r="X9" s="671">
        <v>2</v>
      </c>
      <c r="Y9" s="671"/>
      <c r="Z9" s="671"/>
      <c r="AA9" s="671"/>
      <c r="AB9" s="671"/>
      <c r="AC9" s="671">
        <v>3</v>
      </c>
      <c r="AD9" s="671"/>
      <c r="AE9" s="671"/>
      <c r="AF9" s="671"/>
      <c r="AG9" s="676"/>
      <c r="AI9" s="666">
        <v>2</v>
      </c>
      <c r="AJ9" s="725" t="s">
        <v>42</v>
      </c>
      <c r="AK9" s="726"/>
      <c r="AL9" s="60">
        <v>1112</v>
      </c>
      <c r="AM9" s="568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75" t="s">
        <v>197</v>
      </c>
      <c r="BF9" s="777" t="s">
        <v>193</v>
      </c>
      <c r="BG9" s="721" t="s">
        <v>194</v>
      </c>
      <c r="BH9" s="721" t="s">
        <v>195</v>
      </c>
      <c r="BI9" s="721" t="s">
        <v>196</v>
      </c>
      <c r="BJ9" s="721" t="s">
        <v>400</v>
      </c>
      <c r="BK9" s="752" t="s">
        <v>426</v>
      </c>
      <c r="BL9" s="733" t="s">
        <v>227</v>
      </c>
      <c r="BM9" s="735" t="s">
        <v>193</v>
      </c>
      <c r="BN9" s="731" t="s">
        <v>194</v>
      </c>
      <c r="BO9" s="731" t="s">
        <v>195</v>
      </c>
      <c r="BP9" s="731" t="s">
        <v>196</v>
      </c>
      <c r="BQ9" s="723" t="s">
        <v>400</v>
      </c>
      <c r="BR9" s="754" t="s">
        <v>426</v>
      </c>
      <c r="BS9" s="790" t="s">
        <v>300</v>
      </c>
      <c r="BT9" s="790" t="s">
        <v>193</v>
      </c>
      <c r="BU9" s="784" t="s">
        <v>194</v>
      </c>
      <c r="BV9" s="784" t="s">
        <v>195</v>
      </c>
      <c r="BW9" s="784" t="s">
        <v>196</v>
      </c>
      <c r="BX9" s="784" t="s">
        <v>400</v>
      </c>
      <c r="BY9" s="782" t="s">
        <v>426</v>
      </c>
      <c r="BZ9" s="3"/>
    </row>
    <row r="10" spans="2:78" ht="15.75" customHeight="1" x14ac:dyDescent="0.25">
      <c r="B10" s="684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666" t="s">
        <v>42</v>
      </c>
      <c r="R10" s="667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666"/>
      <c r="AJ10" s="727"/>
      <c r="AK10" s="728"/>
      <c r="AL10" s="64">
        <v>1212</v>
      </c>
      <c r="AM10" s="569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76"/>
      <c r="BF10" s="778"/>
      <c r="BG10" s="722"/>
      <c r="BH10" s="722"/>
      <c r="BI10" s="722"/>
      <c r="BJ10" s="722"/>
      <c r="BK10" s="753"/>
      <c r="BL10" s="734"/>
      <c r="BM10" s="736"/>
      <c r="BN10" s="732"/>
      <c r="BO10" s="732"/>
      <c r="BP10" s="732"/>
      <c r="BQ10" s="724"/>
      <c r="BR10" s="755"/>
      <c r="BS10" s="791"/>
      <c r="BT10" s="791"/>
      <c r="BU10" s="785"/>
      <c r="BV10" s="785"/>
      <c r="BW10" s="785"/>
      <c r="BX10" s="785"/>
      <c r="BY10" s="783"/>
      <c r="BZ10" s="3"/>
    </row>
    <row r="11" spans="2:78" ht="15.75" x14ac:dyDescent="0.25">
      <c r="B11" s="657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668" t="s">
        <v>57</v>
      </c>
      <c r="R11" s="669"/>
      <c r="S11" s="496">
        <v>33.15</v>
      </c>
      <c r="T11" s="499">
        <v>53.4</v>
      </c>
      <c r="U11" s="499">
        <v>53.4</v>
      </c>
      <c r="V11" s="499">
        <v>44.7</v>
      </c>
      <c r="W11" s="16">
        <f>S11+T11+U11+V11</f>
        <v>184.64999999999998</v>
      </c>
      <c r="X11" s="496">
        <v>33.200000000000003</v>
      </c>
      <c r="Y11" s="499">
        <v>48.1</v>
      </c>
      <c r="Z11" s="499">
        <v>48.1</v>
      </c>
      <c r="AA11" s="499">
        <v>39.200000000000003</v>
      </c>
      <c r="AB11" s="16">
        <f>X11+Y11+Z11+AA11</f>
        <v>168.60000000000002</v>
      </c>
      <c r="AC11" s="498">
        <v>33.1</v>
      </c>
      <c r="AD11" s="499">
        <v>38.799999999999997</v>
      </c>
      <c r="AE11" s="499">
        <v>38.799999999999997</v>
      </c>
      <c r="AF11" s="499">
        <v>33.1</v>
      </c>
      <c r="AG11" s="17">
        <f>AC11+AD11+AE11+AF11</f>
        <v>143.80000000000001</v>
      </c>
      <c r="AI11" s="666"/>
      <c r="AJ11" s="727"/>
      <c r="AK11" s="728"/>
      <c r="AL11" s="64">
        <v>1312</v>
      </c>
      <c r="AM11" s="569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5" t="s">
        <v>315</v>
      </c>
      <c r="BF11" s="553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4">
        <f>(AG23+AG24)/$BJ4</f>
        <v>9.6</v>
      </c>
      <c r="BK11" s="563">
        <v>0</v>
      </c>
      <c r="BL11" s="555" t="s">
        <v>386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8">
        <f>BM11</f>
        <v>3093.365934076111</v>
      </c>
      <c r="BS11" s="576" t="s">
        <v>318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0</v>
      </c>
      <c r="BZ11" s="3"/>
    </row>
    <row r="12" spans="2:78" ht="15.75" customHeight="1" thickBot="1" x14ac:dyDescent="0.3">
      <c r="B12" s="658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677" t="s">
        <v>56</v>
      </c>
      <c r="R12" s="678"/>
      <c r="S12" s="488">
        <v>44.7</v>
      </c>
      <c r="T12" s="489">
        <v>53.4</v>
      </c>
      <c r="U12" s="489">
        <v>53.4</v>
      </c>
      <c r="V12" s="489">
        <v>44.7</v>
      </c>
      <c r="W12" s="25">
        <f>S12+T12+U12+V12</f>
        <v>196.2</v>
      </c>
      <c r="X12" s="497">
        <v>33.15</v>
      </c>
      <c r="Y12" s="489">
        <v>48.1</v>
      </c>
      <c r="Z12" s="489">
        <v>48.1</v>
      </c>
      <c r="AA12" s="489">
        <v>39.200000000000003</v>
      </c>
      <c r="AB12" s="25">
        <f>X12+Y12+Z12+AA12</f>
        <v>168.55</v>
      </c>
      <c r="AC12" s="488">
        <v>33.1</v>
      </c>
      <c r="AD12" s="489">
        <v>38.799999999999997</v>
      </c>
      <c r="AE12" s="489">
        <v>38.799999999999997</v>
      </c>
      <c r="AF12" s="489">
        <v>33.1</v>
      </c>
      <c r="AG12" s="26">
        <f>AC12+AD12+AE12+AF12</f>
        <v>143.80000000000001</v>
      </c>
      <c r="AI12" s="666"/>
      <c r="AJ12" s="729"/>
      <c r="AK12" s="730"/>
      <c r="AL12" s="571">
        <v>1412</v>
      </c>
      <c r="AM12" s="570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5">
        <f>AQ12*K57</f>
        <v>0.21503784960000003</v>
      </c>
      <c r="BB12" s="575">
        <v>3.9</v>
      </c>
      <c r="BC12" s="52">
        <f t="shared" si="4"/>
        <v>0.83864761344000005</v>
      </c>
      <c r="BE12" s="555" t="s">
        <v>316</v>
      </c>
      <c r="BF12" s="553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4">
        <f>(AB23+AB24)/$BJ5</f>
        <v>11.199999999999998</v>
      </c>
      <c r="BK12" s="563">
        <v>0</v>
      </c>
      <c r="BL12" s="555" t="s">
        <v>387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8">
        <f>BM12</f>
        <v>3793.1317487398474</v>
      </c>
      <c r="BS12" s="576" t="s">
        <v>319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0</v>
      </c>
      <c r="BZ12" s="3"/>
    </row>
    <row r="13" spans="2:78" ht="15.75" customHeight="1" thickBot="1" x14ac:dyDescent="0.3">
      <c r="B13" s="659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666">
        <v>1</v>
      </c>
      <c r="AJ13" s="725" t="s">
        <v>42</v>
      </c>
      <c r="AK13" s="726"/>
      <c r="AL13" s="60">
        <v>1111</v>
      </c>
      <c r="AM13" s="568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6" t="s">
        <v>317</v>
      </c>
      <c r="BF13" s="557">
        <f>(W5+W6)/$BJ6</f>
        <v>128.61818181818182</v>
      </c>
      <c r="BG13" s="558">
        <f>(W11+W12)/$BJ6</f>
        <v>138.49090909090907</v>
      </c>
      <c r="BH13" s="558">
        <f>(W17+W18)/$BJ6</f>
        <v>110.81818181818181</v>
      </c>
      <c r="BI13" s="558">
        <f>(W23+W24)/$BJ6</f>
        <v>13.818181818181818</v>
      </c>
      <c r="BJ13" s="559">
        <f>(W23+W24)/$BJ6</f>
        <v>13.818181818181818</v>
      </c>
      <c r="BK13" s="564">
        <v>0</v>
      </c>
      <c r="BL13" s="556" t="s">
        <v>388</v>
      </c>
      <c r="BM13" s="558">
        <f>BF13/(BT13*BJ6)</f>
        <v>5774.0370415650423</v>
      </c>
      <c r="BN13" s="558">
        <f>((BG13-BF13)/((BU13-BT13)*$BJ6))</f>
        <v>219.63937328574283</v>
      </c>
      <c r="BO13" s="558">
        <f t="shared" si="6"/>
        <v>-443.18584279317622</v>
      </c>
      <c r="BP13" s="558">
        <f t="shared" si="6"/>
        <v>-442.67930564394453</v>
      </c>
      <c r="BQ13" s="558">
        <f t="shared" si="6"/>
        <v>0</v>
      </c>
      <c r="BR13" s="579">
        <f>BM13</f>
        <v>5774.0370415650423</v>
      </c>
      <c r="BS13" s="577" t="s">
        <v>320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60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746" t="s">
        <v>210</v>
      </c>
      <c r="R14" s="747"/>
      <c r="S14" s="747"/>
      <c r="T14" s="747"/>
      <c r="U14" s="747"/>
      <c r="V14" s="747"/>
      <c r="W14" s="747"/>
      <c r="X14" s="747"/>
      <c r="Y14" s="747"/>
      <c r="Z14" s="747"/>
      <c r="AA14" s="747"/>
      <c r="AB14" s="747"/>
      <c r="AC14" s="747"/>
      <c r="AD14" s="747"/>
      <c r="AE14" s="747"/>
      <c r="AF14" s="747"/>
      <c r="AG14" s="748"/>
      <c r="AI14" s="666"/>
      <c r="AJ14" s="727"/>
      <c r="AK14" s="728"/>
      <c r="AL14" s="64">
        <v>1211</v>
      </c>
      <c r="AM14" s="569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10" t="s">
        <v>282</v>
      </c>
      <c r="C15" s="711"/>
      <c r="D15" s="711"/>
      <c r="E15" s="711"/>
      <c r="F15" s="711"/>
      <c r="G15" s="711"/>
      <c r="H15" s="711"/>
      <c r="I15" s="711"/>
      <c r="J15" s="711"/>
      <c r="K15" s="711"/>
      <c r="L15" s="711"/>
      <c r="M15" s="711"/>
      <c r="N15" s="711"/>
      <c r="O15" s="712"/>
      <c r="Q15" s="670" t="s">
        <v>9</v>
      </c>
      <c r="R15" s="671"/>
      <c r="S15" s="671">
        <v>1</v>
      </c>
      <c r="T15" s="671"/>
      <c r="U15" s="671"/>
      <c r="V15" s="671"/>
      <c r="W15" s="671"/>
      <c r="X15" s="671">
        <v>2</v>
      </c>
      <c r="Y15" s="671"/>
      <c r="Z15" s="671"/>
      <c r="AA15" s="671"/>
      <c r="AB15" s="671"/>
      <c r="AC15" s="671">
        <v>3</v>
      </c>
      <c r="AD15" s="671"/>
      <c r="AE15" s="671"/>
      <c r="AF15" s="671"/>
      <c r="AG15" s="676"/>
      <c r="AI15" s="666"/>
      <c r="AJ15" s="727"/>
      <c r="AK15" s="728"/>
      <c r="AL15" s="64">
        <v>1311</v>
      </c>
      <c r="AM15" s="569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787" t="s">
        <v>304</v>
      </c>
      <c r="BT15" s="788"/>
      <c r="BU15" s="788"/>
      <c r="BV15" s="788"/>
      <c r="BW15" s="788"/>
      <c r="BX15" s="789"/>
      <c r="BY15" s="3"/>
      <c r="BZ15" s="3"/>
    </row>
    <row r="16" spans="2:78" x14ac:dyDescent="0.25">
      <c r="B16" s="713" t="s">
        <v>59</v>
      </c>
      <c r="C16" s="715" t="s">
        <v>32</v>
      </c>
      <c r="D16" s="717" t="s">
        <v>30</v>
      </c>
      <c r="E16" s="681" t="s">
        <v>367</v>
      </c>
      <c r="F16" s="681" t="s">
        <v>366</v>
      </c>
      <c r="G16" s="681" t="s">
        <v>365</v>
      </c>
      <c r="H16" s="681" t="s">
        <v>364</v>
      </c>
      <c r="I16" s="681" t="s">
        <v>363</v>
      </c>
      <c r="J16" s="681" t="s">
        <v>362</v>
      </c>
      <c r="K16" s="681" t="s">
        <v>361</v>
      </c>
      <c r="L16" s="681" t="s">
        <v>360</v>
      </c>
      <c r="M16" s="697" t="s">
        <v>302</v>
      </c>
      <c r="N16" s="699" t="s">
        <v>359</v>
      </c>
      <c r="O16" s="719" t="s">
        <v>358</v>
      </c>
      <c r="Q16" s="666" t="s">
        <v>42</v>
      </c>
      <c r="R16" s="667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666"/>
      <c r="AJ16" s="729"/>
      <c r="AK16" s="730"/>
      <c r="AL16" s="571">
        <v>1411</v>
      </c>
      <c r="AM16" s="570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5">
        <f>AQ16*K56</f>
        <v>0.1553095984</v>
      </c>
      <c r="BB16" s="575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792" t="s">
        <v>303</v>
      </c>
      <c r="BT16" s="793" t="s">
        <v>193</v>
      </c>
      <c r="BU16" s="786" t="s">
        <v>194</v>
      </c>
      <c r="BV16" s="786" t="s">
        <v>195</v>
      </c>
      <c r="BW16" s="786" t="s">
        <v>196</v>
      </c>
      <c r="BX16" s="786" t="s">
        <v>196</v>
      </c>
      <c r="BY16" s="3"/>
      <c r="BZ16" s="3"/>
    </row>
    <row r="17" spans="2:78" ht="15.75" thickBot="1" x14ac:dyDescent="0.3">
      <c r="B17" s="714"/>
      <c r="C17" s="716"/>
      <c r="D17" s="718"/>
      <c r="E17" s="682"/>
      <c r="F17" s="682"/>
      <c r="G17" s="682"/>
      <c r="H17" s="682"/>
      <c r="I17" s="682"/>
      <c r="J17" s="682"/>
      <c r="K17" s="682"/>
      <c r="L17" s="682"/>
      <c r="M17" s="698"/>
      <c r="N17" s="700"/>
      <c r="O17" s="720"/>
      <c r="Q17" s="668" t="s">
        <v>57</v>
      </c>
      <c r="R17" s="669"/>
      <c r="S17" s="496">
        <v>26.55</v>
      </c>
      <c r="T17" s="501">
        <v>42.7</v>
      </c>
      <c r="U17" s="501">
        <v>42.7</v>
      </c>
      <c r="V17" s="501">
        <v>35.799999999999997</v>
      </c>
      <c r="W17" s="16">
        <f>S17+T17+U17+V17</f>
        <v>147.75</v>
      </c>
      <c r="X17" s="496">
        <v>26.55</v>
      </c>
      <c r="Y17" s="501">
        <v>38.5</v>
      </c>
      <c r="Z17" s="501">
        <v>38.5</v>
      </c>
      <c r="AA17" s="501">
        <v>31.3</v>
      </c>
      <c r="AB17" s="16">
        <f>X17+Y17+Z17+AA17</f>
        <v>134.85</v>
      </c>
      <c r="AC17" s="500">
        <v>26.5</v>
      </c>
      <c r="AD17" s="501">
        <v>31</v>
      </c>
      <c r="AE17" s="501">
        <v>31</v>
      </c>
      <c r="AF17" s="501">
        <v>26.5</v>
      </c>
      <c r="AG17" s="17">
        <f>AC17+AD17+AE17+AF17</f>
        <v>115</v>
      </c>
      <c r="AI17" s="666">
        <v>0</v>
      </c>
      <c r="AJ17" s="725" t="s">
        <v>42</v>
      </c>
      <c r="AK17" s="726"/>
      <c r="AL17" s="60">
        <v>1110</v>
      </c>
      <c r="AM17" s="568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792"/>
      <c r="BT17" s="793"/>
      <c r="BU17" s="786"/>
      <c r="BV17" s="786"/>
      <c r="BW17" s="786"/>
      <c r="BX17" s="786"/>
      <c r="BY17" s="3"/>
      <c r="BZ17" s="3"/>
    </row>
    <row r="18" spans="2:78" ht="15.75" thickBot="1" x14ac:dyDescent="0.3">
      <c r="B18" s="658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677" t="s">
        <v>56</v>
      </c>
      <c r="R18" s="678"/>
      <c r="S18" s="490">
        <v>35.799999999999997</v>
      </c>
      <c r="T18" s="491">
        <v>42.7</v>
      </c>
      <c r="U18" s="491">
        <v>42.7</v>
      </c>
      <c r="V18" s="491">
        <v>35.799999999999997</v>
      </c>
      <c r="W18" s="25">
        <f>S18+T18+U18+V18</f>
        <v>157</v>
      </c>
      <c r="X18" s="497">
        <v>26.55</v>
      </c>
      <c r="Y18" s="491">
        <v>38.5</v>
      </c>
      <c r="Z18" s="491">
        <v>38.5</v>
      </c>
      <c r="AA18" s="491">
        <v>31.3</v>
      </c>
      <c r="AB18" s="25">
        <f>X18+Y18+Z18+AA18</f>
        <v>134.85</v>
      </c>
      <c r="AC18" s="490">
        <v>26.5</v>
      </c>
      <c r="AD18" s="491">
        <v>31</v>
      </c>
      <c r="AE18" s="491">
        <v>31</v>
      </c>
      <c r="AF18" s="491">
        <v>26.5</v>
      </c>
      <c r="AG18" s="26">
        <f>AC18+AD18+AE18+AF18</f>
        <v>115</v>
      </c>
      <c r="AI18" s="666"/>
      <c r="AJ18" s="727"/>
      <c r="AK18" s="728"/>
      <c r="AL18" s="64">
        <v>1210</v>
      </c>
      <c r="AM18" s="569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392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658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666"/>
      <c r="AJ19" s="727"/>
      <c r="AK19" s="728"/>
      <c r="AL19" s="64">
        <v>1310</v>
      </c>
      <c r="AM19" s="569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9"/>
      <c r="BG19" s="569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393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684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743" t="s">
        <v>290</v>
      </c>
      <c r="R20" s="744"/>
      <c r="S20" s="744"/>
      <c r="T20" s="744"/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5"/>
      <c r="AI20" s="772"/>
      <c r="AJ20" s="773"/>
      <c r="AK20" s="774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9"/>
      <c r="BG20" s="569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394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657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70" t="s">
        <v>9</v>
      </c>
      <c r="R21" s="671"/>
      <c r="S21" s="671">
        <v>1</v>
      </c>
      <c r="T21" s="671"/>
      <c r="U21" s="671"/>
      <c r="V21" s="671"/>
      <c r="W21" s="671"/>
      <c r="X21" s="671">
        <v>2</v>
      </c>
      <c r="Y21" s="671"/>
      <c r="Z21" s="671"/>
      <c r="AA21" s="671"/>
      <c r="AB21" s="671"/>
      <c r="AC21" s="671">
        <v>3</v>
      </c>
      <c r="AD21" s="671"/>
      <c r="AE21" s="671"/>
      <c r="AF21" s="671"/>
      <c r="AG21" s="676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658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666" t="s">
        <v>42</v>
      </c>
      <c r="R22" s="667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798" t="s">
        <v>433</v>
      </c>
      <c r="AM22" s="799"/>
      <c r="AN22" s="799"/>
      <c r="AO22" s="800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684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668" t="s">
        <v>57</v>
      </c>
      <c r="R23" s="669"/>
      <c r="S23" s="496">
        <v>3.3</v>
      </c>
      <c r="T23" s="503">
        <v>5.3</v>
      </c>
      <c r="U23" s="503">
        <v>5.3</v>
      </c>
      <c r="V23" s="503">
        <v>4.5</v>
      </c>
      <c r="W23" s="16">
        <f>S23+T23+U23+V23</f>
        <v>18.399999999999999</v>
      </c>
      <c r="X23" s="496">
        <v>3.3</v>
      </c>
      <c r="Y23" s="503">
        <v>4.8</v>
      </c>
      <c r="Z23" s="503">
        <v>4.8</v>
      </c>
      <c r="AA23" s="503">
        <v>3.9</v>
      </c>
      <c r="AB23" s="16">
        <f>X23+Y23+Z23+AA23</f>
        <v>16.799999999999997</v>
      </c>
      <c r="AC23" s="502">
        <v>3.3</v>
      </c>
      <c r="AD23" s="503">
        <v>3.9</v>
      </c>
      <c r="AE23" s="503">
        <v>3.9</v>
      </c>
      <c r="AF23" s="503">
        <v>3.3</v>
      </c>
      <c r="AG23" s="17">
        <f>AC23+AD23+AE23+AF23</f>
        <v>14.399999999999999</v>
      </c>
      <c r="AL23" s="801" t="s">
        <v>61</v>
      </c>
      <c r="AM23" s="807" t="s">
        <v>64</v>
      </c>
      <c r="AN23" s="794" t="s">
        <v>431</v>
      </c>
      <c r="AO23" s="796" t="s">
        <v>432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657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677" t="s">
        <v>56</v>
      </c>
      <c r="R24" s="678"/>
      <c r="S24" s="492">
        <v>4.5</v>
      </c>
      <c r="T24" s="493">
        <v>5.3</v>
      </c>
      <c r="U24" s="493">
        <v>5.3</v>
      </c>
      <c r="V24" s="493">
        <v>4.5</v>
      </c>
      <c r="W24" s="25">
        <f>S24+T24+U24+V24</f>
        <v>19.600000000000001</v>
      </c>
      <c r="X24" s="497">
        <v>3.3</v>
      </c>
      <c r="Y24" s="493">
        <v>4.8</v>
      </c>
      <c r="Z24" s="493">
        <v>4.8</v>
      </c>
      <c r="AA24" s="493">
        <v>3.9</v>
      </c>
      <c r="AB24" s="25">
        <f>X24+Y24+Z24+AA24</f>
        <v>16.799999999999997</v>
      </c>
      <c r="AC24" s="492">
        <v>3.3</v>
      </c>
      <c r="AD24" s="493">
        <v>3.9</v>
      </c>
      <c r="AE24" s="493">
        <v>3.9</v>
      </c>
      <c r="AF24" s="493">
        <v>3.3</v>
      </c>
      <c r="AG24" s="26">
        <f>AC24+AD24+AE24+AF24</f>
        <v>14.399999999999999</v>
      </c>
      <c r="AL24" s="802"/>
      <c r="AM24" s="808"/>
      <c r="AN24" s="795"/>
      <c r="AO24" s="797"/>
      <c r="BF24" s="129"/>
      <c r="BG24" s="31"/>
    </row>
    <row r="25" spans="2:78" x14ac:dyDescent="0.25">
      <c r="B25" s="658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803">
        <v>3</v>
      </c>
      <c r="AM25" s="19">
        <v>7113</v>
      </c>
      <c r="AN25" s="605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659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803"/>
      <c r="AM26" s="27">
        <v>7213</v>
      </c>
      <c r="AN26" s="606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803"/>
      <c r="AM27" s="27">
        <v>7313</v>
      </c>
      <c r="AN27" s="606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689" t="s">
        <v>280</v>
      </c>
      <c r="C28" s="690"/>
      <c r="D28" s="690"/>
      <c r="E28" s="690"/>
      <c r="F28" s="690"/>
      <c r="G28" s="690"/>
      <c r="H28" s="690"/>
      <c r="I28" s="690"/>
      <c r="J28" s="690"/>
      <c r="K28" s="690"/>
      <c r="L28" s="691"/>
      <c r="M28" s="89"/>
      <c r="N28" s="89"/>
      <c r="O28" s="89"/>
      <c r="AL28" s="803"/>
      <c r="AM28" s="47">
        <v>7413</v>
      </c>
      <c r="AN28" s="607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687" t="s">
        <v>60</v>
      </c>
      <c r="C29" s="669" t="s">
        <v>32</v>
      </c>
      <c r="D29" s="669" t="s">
        <v>30</v>
      </c>
      <c r="E29" s="679" t="s">
        <v>202</v>
      </c>
      <c r="F29" s="660" t="s">
        <v>203</v>
      </c>
      <c r="G29" s="683" t="s">
        <v>206</v>
      </c>
      <c r="H29" s="683" t="s">
        <v>207</v>
      </c>
      <c r="I29" s="679" t="s">
        <v>204</v>
      </c>
      <c r="J29" s="660" t="s">
        <v>205</v>
      </c>
      <c r="K29" s="679" t="s">
        <v>284</v>
      </c>
      <c r="L29" s="692" t="s">
        <v>285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804">
        <v>2</v>
      </c>
      <c r="AM29" s="27">
        <v>7112</v>
      </c>
      <c r="AN29" s="606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688"/>
      <c r="C30" s="678"/>
      <c r="D30" s="678"/>
      <c r="E30" s="680"/>
      <c r="F30" s="661"/>
      <c r="G30" s="678"/>
      <c r="H30" s="678"/>
      <c r="I30" s="680"/>
      <c r="J30" s="661"/>
      <c r="K30" s="680"/>
      <c r="L30" s="693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803"/>
      <c r="AM30" s="27">
        <v>7212</v>
      </c>
      <c r="AN30" s="606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694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803"/>
      <c r="AM31" s="27">
        <v>7312</v>
      </c>
      <c r="AN31" s="606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658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805"/>
      <c r="AM32" s="27">
        <v>7412</v>
      </c>
      <c r="AN32" s="606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684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803">
        <v>1</v>
      </c>
      <c r="AM33" s="19">
        <v>7111</v>
      </c>
      <c r="AN33" s="605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657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803"/>
      <c r="AM34" s="27">
        <v>7211</v>
      </c>
      <c r="AN34" s="606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658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803"/>
      <c r="AM35" s="27">
        <v>7311</v>
      </c>
      <c r="AN35" s="606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684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803"/>
      <c r="AM36" s="47">
        <v>7411</v>
      </c>
      <c r="AN36" s="607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657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804">
        <v>0</v>
      </c>
      <c r="AM37" s="27">
        <v>7111</v>
      </c>
      <c r="AN37" s="606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658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803"/>
      <c r="AM38" s="27">
        <v>7211</v>
      </c>
      <c r="AN38" s="606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684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803"/>
      <c r="AM39" s="27">
        <v>7311</v>
      </c>
      <c r="AN39" s="606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657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806"/>
      <c r="AM40" s="609">
        <v>7411</v>
      </c>
      <c r="AN40" s="608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658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659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689" t="s">
        <v>283</v>
      </c>
      <c r="C44" s="690"/>
      <c r="D44" s="690"/>
      <c r="E44" s="690"/>
      <c r="F44" s="690"/>
      <c r="G44" s="690"/>
      <c r="H44" s="690"/>
      <c r="I44" s="690"/>
      <c r="J44" s="690"/>
      <c r="K44" s="690"/>
      <c r="L44" s="690"/>
      <c r="M44" s="690"/>
      <c r="N44" s="690"/>
      <c r="O44" s="691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687" t="s">
        <v>60</v>
      </c>
      <c r="C45" s="669" t="s">
        <v>32</v>
      </c>
      <c r="D45" s="669" t="s">
        <v>30</v>
      </c>
      <c r="E45" s="679" t="s">
        <v>367</v>
      </c>
      <c r="F45" s="660" t="s">
        <v>366</v>
      </c>
      <c r="G45" s="679" t="s">
        <v>365</v>
      </c>
      <c r="H45" s="660" t="s">
        <v>364</v>
      </c>
      <c r="I45" s="679" t="s">
        <v>363</v>
      </c>
      <c r="J45" s="660" t="s">
        <v>362</v>
      </c>
      <c r="K45" s="679" t="s">
        <v>361</v>
      </c>
      <c r="L45" s="660" t="s">
        <v>360</v>
      </c>
      <c r="M45" s="685" t="s">
        <v>302</v>
      </c>
      <c r="N45" s="695" t="s">
        <v>359</v>
      </c>
      <c r="O45" s="662" t="s">
        <v>358</v>
      </c>
    </row>
    <row r="46" spans="2:41" ht="15.75" thickBot="1" x14ac:dyDescent="0.3">
      <c r="B46" s="688"/>
      <c r="C46" s="678"/>
      <c r="D46" s="678"/>
      <c r="E46" s="680"/>
      <c r="F46" s="661"/>
      <c r="G46" s="680"/>
      <c r="H46" s="661"/>
      <c r="I46" s="680"/>
      <c r="J46" s="661"/>
      <c r="K46" s="680"/>
      <c r="L46" s="661"/>
      <c r="M46" s="686"/>
      <c r="N46" s="696"/>
      <c r="O46" s="663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694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658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684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657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658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684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657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658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684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657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658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659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BF1" zoomScale="80" zoomScaleNormal="80" zoomScaleSheetLayoutView="50" workbookViewId="0">
      <selection activeCell="BA19" sqref="BA19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25" t="s">
        <v>140</v>
      </c>
      <c r="C2" s="826"/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7"/>
      <c r="P2" s="832" t="s">
        <v>154</v>
      </c>
      <c r="Q2" s="832"/>
      <c r="R2" s="832"/>
      <c r="S2" s="832"/>
      <c r="U2" s="856" t="s">
        <v>180</v>
      </c>
      <c r="V2" s="857"/>
      <c r="W2" s="857"/>
      <c r="X2" s="857"/>
      <c r="Y2" s="857"/>
      <c r="Z2" s="857"/>
      <c r="AA2" s="857"/>
      <c r="AB2" s="857"/>
      <c r="AC2" s="857"/>
      <c r="AD2" s="857"/>
      <c r="AE2" s="857"/>
      <c r="AF2" s="857"/>
      <c r="AG2" s="857"/>
      <c r="AH2" s="857"/>
      <c r="AI2" s="857"/>
      <c r="AJ2" s="857"/>
      <c r="AK2" s="858"/>
      <c r="AM2" s="828" t="s">
        <v>201</v>
      </c>
      <c r="AN2" s="829"/>
      <c r="AO2" s="829"/>
      <c r="AP2" s="829"/>
      <c r="AQ2" s="829"/>
      <c r="AR2" s="829"/>
      <c r="AS2" s="829"/>
      <c r="AT2" s="829"/>
      <c r="AU2" s="829"/>
      <c r="AV2" s="829"/>
      <c r="AW2" s="829"/>
      <c r="AX2" s="829"/>
      <c r="AY2" s="829"/>
      <c r="AZ2" s="829"/>
      <c r="BA2" s="829"/>
      <c r="BB2" s="829"/>
      <c r="BC2" s="830"/>
      <c r="BE2" s="822" t="s">
        <v>368</v>
      </c>
      <c r="BF2" s="823"/>
      <c r="BG2" s="823"/>
      <c r="BH2" s="823"/>
      <c r="BI2" s="823"/>
      <c r="BJ2" s="823"/>
      <c r="BK2" s="824"/>
      <c r="BM2" s="859" t="s">
        <v>371</v>
      </c>
      <c r="BN2" s="860"/>
      <c r="BO2" s="860"/>
      <c r="BP2" s="860"/>
      <c r="BQ2" s="860"/>
      <c r="BR2" s="861"/>
      <c r="BS2" s="4"/>
      <c r="BT2" s="845" t="s">
        <v>260</v>
      </c>
      <c r="BU2" s="846"/>
      <c r="BV2" s="846"/>
      <c r="BW2" s="846"/>
      <c r="BX2" s="847"/>
      <c r="BZ2" s="838" t="s">
        <v>289</v>
      </c>
      <c r="CA2" s="839"/>
      <c r="CB2" s="839"/>
      <c r="CC2" s="839"/>
      <c r="CD2" s="840"/>
      <c r="CF2" s="835" t="s">
        <v>383</v>
      </c>
      <c r="CG2" s="836"/>
      <c r="CH2" s="836"/>
      <c r="CI2" s="836"/>
      <c r="CJ2" s="836"/>
      <c r="CK2" s="836"/>
      <c r="CL2" s="836"/>
      <c r="CM2" s="837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281" t="s">
        <v>9</v>
      </c>
      <c r="V3" s="278" t="s">
        <v>59</v>
      </c>
      <c r="W3" s="163" t="s">
        <v>32</v>
      </c>
      <c r="X3" s="163" t="s">
        <v>155</v>
      </c>
      <c r="Y3" s="163" t="s">
        <v>156</v>
      </c>
      <c r="Z3" s="163" t="s">
        <v>153</v>
      </c>
      <c r="AA3" s="163" t="s">
        <v>148</v>
      </c>
      <c r="AB3" s="163" t="s">
        <v>149</v>
      </c>
      <c r="AC3" s="163" t="s">
        <v>157</v>
      </c>
      <c r="AD3" s="163" t="s">
        <v>174</v>
      </c>
      <c r="AE3" s="163" t="s">
        <v>175</v>
      </c>
      <c r="AF3" s="163" t="s">
        <v>176</v>
      </c>
      <c r="AG3" s="163" t="s">
        <v>177</v>
      </c>
      <c r="AH3" s="163" t="s">
        <v>178</v>
      </c>
      <c r="AI3" s="163" t="s">
        <v>162</v>
      </c>
      <c r="AJ3" s="163" t="s">
        <v>163</v>
      </c>
      <c r="AK3" s="279" t="s">
        <v>164</v>
      </c>
      <c r="AM3" s="582" t="s">
        <v>9</v>
      </c>
      <c r="AN3" s="108" t="s">
        <v>59</v>
      </c>
      <c r="AO3" s="583" t="s">
        <v>32</v>
      </c>
      <c r="AP3" s="583" t="s">
        <v>73</v>
      </c>
      <c r="AQ3" s="282" t="s">
        <v>163</v>
      </c>
      <c r="AR3" s="283" t="s">
        <v>244</v>
      </c>
      <c r="AS3" s="283" t="s">
        <v>225</v>
      </c>
      <c r="AT3" s="282" t="s">
        <v>235</v>
      </c>
      <c r="AU3" s="284" t="s">
        <v>162</v>
      </c>
      <c r="AV3" s="285" t="s">
        <v>245</v>
      </c>
      <c r="AW3" s="284" t="s">
        <v>233</v>
      </c>
      <c r="AX3" s="285" t="s">
        <v>370</v>
      </c>
      <c r="AY3" s="285" t="s">
        <v>369</v>
      </c>
      <c r="AZ3" s="584" t="s">
        <v>164</v>
      </c>
      <c r="BA3" s="286" t="s">
        <v>246</v>
      </c>
      <c r="BB3" s="584" t="s">
        <v>237</v>
      </c>
      <c r="BC3" s="287" t="s">
        <v>236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8" t="s">
        <v>73</v>
      </c>
      <c r="BJ3" s="289" t="s">
        <v>401</v>
      </c>
      <c r="BK3" s="290" t="s">
        <v>271</v>
      </c>
      <c r="BM3" s="813" t="s">
        <v>372</v>
      </c>
      <c r="BN3" s="814"/>
      <c r="BO3" s="248" t="s">
        <v>373</v>
      </c>
      <c r="BP3" s="258">
        <v>3</v>
      </c>
      <c r="BQ3" s="258">
        <v>2</v>
      </c>
      <c r="BR3" s="291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243</v>
      </c>
      <c r="CC3" s="163" t="s">
        <v>194</v>
      </c>
      <c r="CD3" s="279" t="s">
        <v>195</v>
      </c>
      <c r="CF3" s="292" t="str">
        <f>'System Capacities'!C18</f>
        <v>Storey</v>
      </c>
      <c r="CG3" s="910" t="str">
        <f>'System Capacities'!D18</f>
        <v>Mode of Failure</v>
      </c>
      <c r="CH3" s="911"/>
      <c r="CI3" s="911"/>
      <c r="CJ3" s="293" t="str">
        <f>'System Capacities'!G18</f>
        <v>VR,i [kN]</v>
      </c>
      <c r="CK3" s="532" t="str">
        <f>'System Capacities'!H18</f>
        <v>hs,i [m]</v>
      </c>
      <c r="CL3" s="293" t="str">
        <f>'System Capacities'!I18</f>
        <v>θsys,i [rad]</v>
      </c>
      <c r="CM3" s="294" t="str">
        <f>'System Capacities'!J18</f>
        <v>ky,i [kN/m]</v>
      </c>
      <c r="CT3" s="230"/>
    </row>
    <row r="4" spans="2:107" x14ac:dyDescent="0.25">
      <c r="B4" s="809">
        <v>3</v>
      </c>
      <c r="C4" s="295">
        <v>1</v>
      </c>
      <c r="D4" s="296">
        <v>113</v>
      </c>
      <c r="E4" s="297">
        <f>'Structural Information'!$U$6</f>
        <v>3</v>
      </c>
      <c r="F4" s="298">
        <f>'Structural Information'!$AC$8</f>
        <v>4.5</v>
      </c>
      <c r="G4" s="298">
        <v>0.5</v>
      </c>
      <c r="H4" s="298">
        <v>0.25</v>
      </c>
      <c r="I4" s="299">
        <v>0.25</v>
      </c>
      <c r="J4" s="300">
        <f>I4*(H4^3)/12</f>
        <v>3.2552083333333332E-4</v>
      </c>
      <c r="K4" s="298">
        <f>F4-H4</f>
        <v>4.25</v>
      </c>
      <c r="L4" s="298">
        <f>E4-G4</f>
        <v>2.5</v>
      </c>
      <c r="M4" s="298">
        <f t="shared" ref="M4:M12" si="0">SQRT(K4^2+L4^2)</f>
        <v>4.9307707308290052</v>
      </c>
      <c r="N4" s="301">
        <f>ATAN(E4/F4)</f>
        <v>0.5880026035475675</v>
      </c>
      <c r="P4" s="246" t="s">
        <v>148</v>
      </c>
      <c r="Q4" s="302">
        <v>1.3</v>
      </c>
      <c r="R4" s="302">
        <v>0.70699999999999996</v>
      </c>
      <c r="S4" s="302">
        <v>0.47</v>
      </c>
      <c r="U4" s="809">
        <v>3</v>
      </c>
      <c r="V4" s="295">
        <v>1</v>
      </c>
      <c r="W4" s="296">
        <v>113</v>
      </c>
      <c r="X4" s="297">
        <f>1/((((COS(N4))^4)/'Structural Information'!$AH$17)+(((SIN(N4))^4)/'Structural Information'!$AH$18)+(((SIN(N4))^2)*((COS(N4))^2)*((1/'Structural Information'!$AH$19)-(2*'Structural Information'!$AL$19/'Structural Information'!$AH$18))))</f>
        <v>1461.3345194381332</v>
      </c>
      <c r="Y4" s="298">
        <f>((X4*('Structural Information'!$AL$17/1000)*SIN(2*N4))/(4*'Structural Information'!$AH$20*J4*L4))^(1/4)</f>
        <v>1.1234874111185109</v>
      </c>
      <c r="Z4" s="298">
        <f t="shared" ref="Z4:Z11" si="1">Y4*E4</f>
        <v>3.370462233355533</v>
      </c>
      <c r="AA4" s="303">
        <f t="shared" ref="AA4:AA12" si="2">IF(Z4&lt;3.14,$Q$4,0)+IF(Z4&gt;3.14,1,0)*IF(Z4&lt;7.85,$R$4,0)+IF(Z4&gt;7.85,$S$4,0)</f>
        <v>0.70699999999999996</v>
      </c>
      <c r="AB4" s="303">
        <f t="shared" ref="AB4:AB12" si="3">IF(Z4&lt;3.14,$Q$5,0)+IF(Z4&gt;3.14,1,0)*IF(Z4&lt;7.85,$R$5,0)+IF(Z4&gt;7.85,$S$5,0)</f>
        <v>0.01</v>
      </c>
      <c r="AC4" s="299">
        <f t="shared" ref="AC4:AC12" si="4">((AA4/Z4)+AB4)*M4</f>
        <v>1.0836034997953321</v>
      </c>
      <c r="AD4" s="297">
        <f>((0.6*'Structural Information'!$AJ$17)+(0.3*'Structural Information'!$AL$18))/(AC4/M4)</f>
        <v>1.501614143439832</v>
      </c>
      <c r="AE4" s="298">
        <f>(((1.2*SIN(N4)+0.45*COS(N4))*'Structural Information'!$AJ$18)+(0.3*'Structural Information'!$AL$18))/(AC4/M4)</f>
        <v>2.0823641500516352</v>
      </c>
      <c r="AF4" s="298">
        <f>(1.12*'Structural Information'!$AJ$19*COS(N4)*SIN(N4))/((AA4*(Z4^(-0.12)))+(AB4*(Z4^(0.88))))</f>
        <v>1.6310037935140254</v>
      </c>
      <c r="AG4" s="298">
        <f>(1.16*'Structural Information'!$AJ$19*TAN(N4))/((AA4)+(AB4*Z4))</f>
        <v>2.108982833685991</v>
      </c>
      <c r="AH4" s="299">
        <f t="shared" ref="AH4:AH12" si="5">MIN(AD4:AG4)</f>
        <v>1.501614143439832</v>
      </c>
      <c r="AI4" s="297">
        <f>AH4*AC4*'Structural Information'!$AL$17</f>
        <v>130.17234729388574</v>
      </c>
      <c r="AJ4" s="298">
        <f t="shared" ref="AJ4:AJ11" si="6">0.8*AI4</f>
        <v>104.1378778351086</v>
      </c>
      <c r="AK4" s="301">
        <f>0.1*AI4</f>
        <v>13.017234729388575</v>
      </c>
      <c r="AM4" s="818">
        <v>3</v>
      </c>
      <c r="AN4" s="295">
        <v>1</v>
      </c>
      <c r="AO4" s="295">
        <v>113</v>
      </c>
      <c r="AP4" s="299">
        <v>3</v>
      </c>
      <c r="AQ4" s="297">
        <f t="shared" ref="AQ4:AQ12" si="7">AJ4</f>
        <v>104.1378778351086</v>
      </c>
      <c r="AR4" s="341">
        <f t="shared" ref="AR4:AR12" si="8">0.08/100</f>
        <v>8.0000000000000004E-4</v>
      </c>
      <c r="AS4" s="573">
        <f>AQ4/(AR4*(SQRT(($F$4^2)+($E$4^2))))</f>
        <v>24068.875529005698</v>
      </c>
      <c r="AT4" s="342">
        <f>AS4*((COS($N$4))^2)</f>
        <v>16663.067673927024</v>
      </c>
      <c r="AU4" s="297">
        <f t="shared" ref="AU4:AU12" si="9">AI4</f>
        <v>130.17234729388574</v>
      </c>
      <c r="AV4" s="341">
        <f t="shared" ref="AV4:AV12" si="10">0.22/100</f>
        <v>2.2000000000000001E-3</v>
      </c>
      <c r="AW4" s="573">
        <f>AU4/(AV4*(SQRT(($F$4^2)+($E$4^2))))</f>
        <v>10940.397967729861</v>
      </c>
      <c r="AX4" s="343">
        <f>(AU4-AQ4)/((AV4-AR4)*(SQRT(($F$4^2)+($E$4^2))))</f>
        <v>3438.410789857955</v>
      </c>
      <c r="AY4" s="342">
        <f>AX4*((COS($N$4))^2)</f>
        <v>2380.4382391324307</v>
      </c>
      <c r="AZ4" s="297">
        <f>AK4</f>
        <v>13.017234729388575</v>
      </c>
      <c r="BA4" s="341">
        <f>0.89/100</f>
        <v>8.8999999999999999E-3</v>
      </c>
      <c r="BB4" s="573">
        <f>((AZ4*COS(N4))-(AU4*COS(N4)))/((BA4-AV4)*AP4)</f>
        <v>-4849.6988006205511</v>
      </c>
      <c r="BC4" s="301">
        <f>BB4*((COS(N4))^2)</f>
        <v>-3357.4837850449971</v>
      </c>
      <c r="BE4" s="818">
        <v>3</v>
      </c>
      <c r="BF4" s="295">
        <v>1</v>
      </c>
      <c r="BG4" s="295">
        <v>7113</v>
      </c>
      <c r="BH4" s="295" t="s">
        <v>27</v>
      </c>
      <c r="BI4" s="298">
        <f>'Structural Information'!$U$6</f>
        <v>3</v>
      </c>
      <c r="BJ4" s="598">
        <f>('Structural Information'!$X$24)*(200)/$BI4</f>
        <v>53616.514621265807</v>
      </c>
      <c r="BK4" s="587">
        <f>'Structural Information'!$T$23*'Structural Information'!$T$24*(4700*SQRT('Structural Information'!$AC$23))/(BI4*1000)</f>
        <v>433495.56258141535</v>
      </c>
      <c r="BM4" s="243" t="s">
        <v>374</v>
      </c>
      <c r="BN4" s="246" t="s">
        <v>375</v>
      </c>
      <c r="BO4" s="246" t="s">
        <v>376</v>
      </c>
      <c r="BP4" s="311">
        <f>'Structural Information'!U6</f>
        <v>3</v>
      </c>
      <c r="BQ4" s="311">
        <f>'Structural Information'!U7</f>
        <v>3</v>
      </c>
      <c r="BR4" s="312">
        <f>'Structural Information'!U8</f>
        <v>2.75</v>
      </c>
      <c r="BT4" s="813">
        <v>1</v>
      </c>
      <c r="BU4" s="313" t="s">
        <v>27</v>
      </c>
      <c r="BV4" s="314">
        <f>(BP5*BP5)/$BK$4</f>
        <v>1.0252571947861007E-6</v>
      </c>
      <c r="BW4" s="314">
        <f>((BQ5*BQ5)/$BK$8)</f>
        <v>1.0252571947861007E-6</v>
      </c>
      <c r="BX4" s="315">
        <f>(BR5*BR5)/$BK$12</f>
        <v>7.8970910084508108E-7</v>
      </c>
      <c r="BZ4" s="813">
        <v>3</v>
      </c>
      <c r="CA4" s="316">
        <v>1</v>
      </c>
      <c r="CB4" s="841">
        <f>1/(BV5+BV4+BW4+BX4+BW8+BX8)+1/(BV10+BV9+BW9+BX9+BW13+BX13)+1/(BV15+BV14+BW14+BX14+BW18+BX18)</f>
        <v>38234.410187710455</v>
      </c>
      <c r="CC4" s="841">
        <f>1/(BV6+BV4+BW4+BX4+BW8+BX8)+1/(BV11+BV9+BW9+BX9+BW13+BX13)+1/(BV16+BV14+BW14+BX14+BW18+BX18)</f>
        <v>5903.2157871274012</v>
      </c>
      <c r="CD4" s="843">
        <f>(1/(BV7+BV4+BW4+BX4+BW8+BX8)+1/(BV12+BV9+BW9+BX9+BW13+BX13)+1/(BV17+BV14+BW14+BX14+BW18+BX18))</f>
        <v>-7900.5662604712015</v>
      </c>
      <c r="CF4" s="317">
        <f>'System Capacities'!C19</f>
        <v>3</v>
      </c>
      <c r="CG4" s="907" t="str">
        <f>'System Capacities'!D19</f>
        <v>Diagonal failure / Column</v>
      </c>
      <c r="CH4" s="831"/>
      <c r="CI4" s="831"/>
      <c r="CJ4" s="318">
        <f>'System Capacities'!G19</f>
        <v>213.36795190442052</v>
      </c>
      <c r="CK4" s="139">
        <f>'Structural Information'!U6</f>
        <v>3</v>
      </c>
      <c r="CL4" s="319">
        <f>'System Capacities'!I19</f>
        <v>1.8601738665676483E-3</v>
      </c>
      <c r="CM4" s="269">
        <f>'System Capacities'!J19</f>
        <v>38234.410187710455</v>
      </c>
      <c r="CT4" s="230"/>
    </row>
    <row r="5" spans="2:107" x14ac:dyDescent="0.25">
      <c r="B5" s="810"/>
      <c r="C5" s="304">
        <v>2</v>
      </c>
      <c r="D5" s="320">
        <v>213</v>
      </c>
      <c r="E5" s="306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5">
        <v>0.25</v>
      </c>
      <c r="J5" s="321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10">
        <f t="shared" ref="N5:N12" si="14">ATAN(L5/K5)</f>
        <v>0.96007036240568799</v>
      </c>
      <c r="P5" s="246" t="s">
        <v>149</v>
      </c>
      <c r="Q5" s="302">
        <v>-0.17799999999999999</v>
      </c>
      <c r="R5" s="302">
        <v>0.01</v>
      </c>
      <c r="S5" s="302">
        <v>0.04</v>
      </c>
      <c r="U5" s="810"/>
      <c r="V5" s="304">
        <v>2</v>
      </c>
      <c r="W5" s="320">
        <v>213</v>
      </c>
      <c r="X5" s="306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257">
        <f>((X5*('Structural Information'!$AL$17/1000)*SIN(2*N5))/(4*'Structural Information'!$AH$20*J5*L5))^(1/4)</f>
        <v>1.2174490921283836</v>
      </c>
      <c r="Z5" s="257">
        <f t="shared" si="1"/>
        <v>3.652347276385151</v>
      </c>
      <c r="AA5" s="322">
        <f t="shared" si="2"/>
        <v>0.70699999999999996</v>
      </c>
      <c r="AB5" s="322">
        <f t="shared" si="3"/>
        <v>0.01</v>
      </c>
      <c r="AC5" s="305">
        <f t="shared" si="4"/>
        <v>0.62123477965641971</v>
      </c>
      <c r="AD5" s="306">
        <f>((0.6*'Structural Information'!$AJ$17)+(0.3*'Structural Information'!$AL$18))/(AC5/M5)</f>
        <v>1.6210310035361908</v>
      </c>
      <c r="AE5" s="257">
        <f>(((1.2*SIN(N5)+0.45*COS(N5))*'Structural Information'!$AJ$18)+(0.3*'Structural Information'!$AL$18))/(AC5/M5)</f>
        <v>2.6825606913406794</v>
      </c>
      <c r="AF5" s="257">
        <f>(1.12*'Structural Information'!$AJ$19*COS(N5)*SIN(N5))/((AA5*(Z5^(-0.12)))+(AB5*(Z5^(0.88))))</f>
        <v>1.6699179305072875</v>
      </c>
      <c r="AG5" s="257">
        <f>(1.16*'Structural Information'!$AJ$19*TAN(N5))/((AA5)+(AB5*Z5))</f>
        <v>4.5021155270127426</v>
      </c>
      <c r="AH5" s="305">
        <f t="shared" si="5"/>
        <v>1.6210310035361908</v>
      </c>
      <c r="AI5" s="306">
        <f>AH5*AC5*'Structural Information'!$AL$17</f>
        <v>80.563267063842432</v>
      </c>
      <c r="AJ5" s="257">
        <f t="shared" si="6"/>
        <v>64.450613651073951</v>
      </c>
      <c r="AK5" s="310">
        <f t="shared" ref="AK5:AK9" si="15">0.1*AI5</f>
        <v>8.0563267063842439</v>
      </c>
      <c r="AM5" s="819"/>
      <c r="AN5" s="304">
        <v>2</v>
      </c>
      <c r="AO5" s="304">
        <v>213</v>
      </c>
      <c r="AP5" s="586">
        <v>3</v>
      </c>
      <c r="AQ5" s="585">
        <f t="shared" si="7"/>
        <v>64.450613651073951</v>
      </c>
      <c r="AR5" s="307">
        <f t="shared" si="8"/>
        <v>8.0000000000000004E-4</v>
      </c>
      <c r="AS5" s="257">
        <f>AQ5/(AR5*(SQRT(($F$5^2)+($E$5^2))))</f>
        <v>22344.230024429471</v>
      </c>
      <c r="AT5" s="308">
        <f>AS5*((COS($N$5))^2)</f>
        <v>7348.1024912553303</v>
      </c>
      <c r="AU5" s="585">
        <f t="shared" si="9"/>
        <v>80.563267063842432</v>
      </c>
      <c r="AV5" s="307">
        <f t="shared" si="10"/>
        <v>2.2000000000000001E-3</v>
      </c>
      <c r="AW5" s="257">
        <f>AU5/(AV5*(SQRT(($F$5^2)+($E$5^2))))</f>
        <v>10156.468192922484</v>
      </c>
      <c r="AX5" s="309">
        <f>(AU5-AQ5)/((AV5-AR5)*(SQRT(($F$5^2)+($E$5^2))))</f>
        <v>3192.0328606327794</v>
      </c>
      <c r="AY5" s="308">
        <f>AX5*((COS($N$5))^2)</f>
        <v>1049.7289273221893</v>
      </c>
      <c r="AZ5" s="585">
        <f t="shared" ref="AZ5:AZ12" si="16">AK5</f>
        <v>8.0563267063842439</v>
      </c>
      <c r="BA5" s="307">
        <f t="shared" ref="BA5:BA12" si="17">0.89/100</f>
        <v>8.8999999999999999E-3</v>
      </c>
      <c r="BB5" s="257">
        <f t="shared" ref="BB5:BB11" si="18">((AZ5*COS(N5))-(AU5*COS(N5)))/((BA5-AV5)*AP5)</f>
        <v>-2068.6567164179105</v>
      </c>
      <c r="BC5" s="310">
        <f t="shared" ref="BC5:BC11" si="19">BB5*((COS(N5))^2)</f>
        <v>-680.29650405689677</v>
      </c>
      <c r="BE5" s="819"/>
      <c r="BF5" s="304">
        <v>2</v>
      </c>
      <c r="BG5" s="304">
        <v>7213</v>
      </c>
      <c r="BH5" s="304" t="s">
        <v>27</v>
      </c>
      <c r="BI5" s="257">
        <f>'Structural Information'!$U$6</f>
        <v>3</v>
      </c>
      <c r="BJ5" s="598">
        <f>('Structural Information'!$X$24)*(200)/$BI5</f>
        <v>53616.514621265807</v>
      </c>
      <c r="BK5" s="587">
        <f>'Structural Information'!$T$23*'Structural Information'!$T$24*(4700*SQRT('Structural Information'!$AC$23))/(BI5*1000)</f>
        <v>433495.56258141535</v>
      </c>
      <c r="BM5" s="815">
        <v>1</v>
      </c>
      <c r="BN5" s="323">
        <v>1</v>
      </c>
      <c r="BO5" s="324">
        <f>'Structural Information'!$AC$8</f>
        <v>4.5</v>
      </c>
      <c r="BP5" s="298">
        <f>(BP$4/$BO5)</f>
        <v>0.66666666666666663</v>
      </c>
      <c r="BQ5" s="298">
        <f>(BQ$4/$BO5)</f>
        <v>0.66666666666666663</v>
      </c>
      <c r="BR5" s="301">
        <f>(BR$4/$BO5)</f>
        <v>0.61111111111111116</v>
      </c>
      <c r="BT5" s="815"/>
      <c r="BU5" s="252" t="s">
        <v>253</v>
      </c>
      <c r="BV5" s="314">
        <f>1/($AT$4)</f>
        <v>6.0012959172260729E-5</v>
      </c>
      <c r="BW5" s="314">
        <f>1/($AT$7)</f>
        <v>5.5923707762066768E-5</v>
      </c>
      <c r="BX5" s="315">
        <f>1/($AT$10)</f>
        <v>5.3183767341075516E-5</v>
      </c>
      <c r="BZ5" s="815"/>
      <c r="CA5" s="316">
        <v>2</v>
      </c>
      <c r="CB5" s="841"/>
      <c r="CC5" s="841"/>
      <c r="CD5" s="843"/>
      <c r="CF5" s="317">
        <f>'System Capacities'!C20</f>
        <v>2</v>
      </c>
      <c r="CG5" s="907" t="str">
        <f>'System Capacities'!D20</f>
        <v>Diagonal failure / Mixed</v>
      </c>
      <c r="CH5" s="831"/>
      <c r="CI5" s="831"/>
      <c r="CJ5" s="318">
        <f>'System Capacities'!G20</f>
        <v>216.48000000000002</v>
      </c>
      <c r="CK5" s="139">
        <f>'Structural Information'!U7</f>
        <v>3</v>
      </c>
      <c r="CL5" s="319">
        <f>'System Capacities'!I20</f>
        <v>1.7655780345468453E-3</v>
      </c>
      <c r="CM5" s="269">
        <f>'System Capacities'!J20</f>
        <v>40870.467681435926</v>
      </c>
      <c r="CT5" s="230"/>
    </row>
    <row r="6" spans="2:107" ht="16.5" thickBot="1" x14ac:dyDescent="0.3">
      <c r="B6" s="811"/>
      <c r="C6" s="325">
        <v>3</v>
      </c>
      <c r="D6" s="326">
        <v>313</v>
      </c>
      <c r="E6" s="327">
        <f>'Structural Information'!$U$6</f>
        <v>3</v>
      </c>
      <c r="F6" s="328">
        <f>'Structural Information'!$AC$6</f>
        <v>4.5</v>
      </c>
      <c r="G6" s="328">
        <v>0.5</v>
      </c>
      <c r="H6" s="328">
        <v>0.25</v>
      </c>
      <c r="I6" s="329">
        <v>0.25</v>
      </c>
      <c r="J6" s="330">
        <f t="shared" si="11"/>
        <v>3.2552083333333332E-4</v>
      </c>
      <c r="K6" s="328">
        <f t="shared" si="12"/>
        <v>4.25</v>
      </c>
      <c r="L6" s="328">
        <f t="shared" si="13"/>
        <v>2.5</v>
      </c>
      <c r="M6" s="328">
        <f t="shared" si="0"/>
        <v>4.9307707308290052</v>
      </c>
      <c r="N6" s="331">
        <f t="shared" si="14"/>
        <v>0.53172406725880561</v>
      </c>
      <c r="U6" s="811"/>
      <c r="V6" s="325">
        <v>3</v>
      </c>
      <c r="W6" s="326">
        <v>313</v>
      </c>
      <c r="X6" s="327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328">
        <f>((X6*('Structural Information'!$AL$17/1000)*SIN(2*N6))/(4*'Structural Information'!$AH$20*J6*L6))^(1/4)</f>
        <v>1.0916799951703688</v>
      </c>
      <c r="Z6" s="328">
        <f t="shared" si="1"/>
        <v>3.2750399855111065</v>
      </c>
      <c r="AA6" s="332">
        <f t="shared" si="2"/>
        <v>0.70699999999999996</v>
      </c>
      <c r="AB6" s="332">
        <f t="shared" si="3"/>
        <v>0.01</v>
      </c>
      <c r="AC6" s="329">
        <f t="shared" si="4"/>
        <v>1.113738957649824</v>
      </c>
      <c r="AD6" s="327">
        <f>((0.6*'Structural Information'!$AJ$17)+(0.3*'Structural Information'!$AL$18))/(AC6/M6)</f>
        <v>1.4609835904520574</v>
      </c>
      <c r="AE6" s="328">
        <f>(((1.2*SIN(N6)+0.45*COS(N6))*'Structural Information'!$AJ$18)+(0.3*'Structural Information'!$AL$18))/(AC6/M6)</f>
        <v>1.9407599825376745</v>
      </c>
      <c r="AF6" s="328">
        <f>(1.12*'Structural Information'!$AJ$19*COS(N6)*SIN(N6))/((AA6*(Z6^(-0.12)))+(AB6*(Z6^(0.88))))</f>
        <v>1.5410243331800975</v>
      </c>
      <c r="AG6" s="328">
        <f>(1.16*'Structural Information'!$AJ$19*TAN(N6))/((AA6)+(AB6*Z6))</f>
        <v>1.8632675851833773</v>
      </c>
      <c r="AH6" s="329">
        <f t="shared" si="5"/>
        <v>1.4609835904520574</v>
      </c>
      <c r="AI6" s="327">
        <f>AH6*AC6*'Structural Information'!$AL$17</f>
        <v>130.17234729388574</v>
      </c>
      <c r="AJ6" s="328">
        <f t="shared" si="6"/>
        <v>104.1378778351086</v>
      </c>
      <c r="AK6" s="331">
        <f t="shared" si="15"/>
        <v>13.017234729388575</v>
      </c>
      <c r="AM6" s="820"/>
      <c r="AN6" s="325">
        <v>3</v>
      </c>
      <c r="AO6" s="325">
        <v>313</v>
      </c>
      <c r="AP6" s="329">
        <v>3</v>
      </c>
      <c r="AQ6" s="327">
        <f t="shared" si="7"/>
        <v>104.1378778351086</v>
      </c>
      <c r="AR6" s="356">
        <f t="shared" si="8"/>
        <v>8.0000000000000004E-4</v>
      </c>
      <c r="AS6" s="574">
        <f>AQ6/(AR6*(SQRT(($F$6^2)+($E$6^2))))</f>
        <v>24068.875529005698</v>
      </c>
      <c r="AT6" s="357">
        <f>AS6*((COS($N$6))^2)</f>
        <v>17881.503927718884</v>
      </c>
      <c r="AU6" s="327">
        <f t="shared" si="9"/>
        <v>130.17234729388574</v>
      </c>
      <c r="AV6" s="356">
        <f t="shared" si="10"/>
        <v>2.2000000000000001E-3</v>
      </c>
      <c r="AW6" s="574">
        <f>AU6/(AV6*(SQRT(($F$6^2)+($E$6^2))))</f>
        <v>10940.397967729861</v>
      </c>
      <c r="AX6" s="358">
        <f>(AU6-AQ6)/((AV6-AR6)*(SQRT(($F$6^2)+($E$6^2))))</f>
        <v>3438.410789857955</v>
      </c>
      <c r="AY6" s="357">
        <f>AX6*((COS($N$6))^2)</f>
        <v>2554.5005611026963</v>
      </c>
      <c r="AZ6" s="327">
        <f t="shared" si="16"/>
        <v>13.017234729388575</v>
      </c>
      <c r="BA6" s="356">
        <f t="shared" si="17"/>
        <v>8.8999999999999999E-3</v>
      </c>
      <c r="BB6" s="574">
        <f t="shared" si="18"/>
        <v>-5023.880597014926</v>
      </c>
      <c r="BC6" s="331">
        <f t="shared" si="19"/>
        <v>-3732.3945823581321</v>
      </c>
      <c r="BE6" s="819"/>
      <c r="BF6" s="304">
        <v>3</v>
      </c>
      <c r="BG6" s="304">
        <v>7313</v>
      </c>
      <c r="BH6" s="304" t="s">
        <v>27</v>
      </c>
      <c r="BI6" s="257">
        <f>'Structural Information'!$U$6</f>
        <v>3</v>
      </c>
      <c r="BJ6" s="598">
        <f>('Structural Information'!$X$24)*(200)/$BI6</f>
        <v>53616.514621265807</v>
      </c>
      <c r="BK6" s="587">
        <f>'Structural Information'!$T$23*'Structural Information'!$T$24*(4700*SQRT('Structural Information'!$AC$23))/(BI6*1000)</f>
        <v>433495.56258141535</v>
      </c>
      <c r="BM6" s="815"/>
      <c r="BN6" s="333" t="s">
        <v>377</v>
      </c>
      <c r="BO6" s="334">
        <f>'Structural Information'!$AC$8</f>
        <v>4.5</v>
      </c>
      <c r="BP6" s="335">
        <f>BQ6+BP5</f>
        <v>1.9444444444444442</v>
      </c>
      <c r="BQ6" s="335">
        <f>BR6+BQ5</f>
        <v>1.2777777777777777</v>
      </c>
      <c r="BR6" s="336">
        <f>BR5</f>
        <v>0.61111111111111116</v>
      </c>
      <c r="BT6" s="815"/>
      <c r="BU6" s="337" t="s">
        <v>253</v>
      </c>
      <c r="BV6" s="314">
        <f>1/($AY$4)</f>
        <v>4.2009071420582531E-4</v>
      </c>
      <c r="BW6" s="314">
        <f>1/($AY$7)</f>
        <v>3.9146595433446759E-4</v>
      </c>
      <c r="BX6" s="315">
        <f>1/($AY$10)</f>
        <v>3.7228637138752869E-4</v>
      </c>
      <c r="BZ6" s="862"/>
      <c r="CA6" s="316">
        <v>3</v>
      </c>
      <c r="CB6" s="841"/>
      <c r="CC6" s="841"/>
      <c r="CD6" s="843"/>
      <c r="CF6" s="338">
        <f>'System Capacities'!C21</f>
        <v>1</v>
      </c>
      <c r="CG6" s="908" t="str">
        <f>'System Capacities'!D21</f>
        <v>Diagonal failure / Mixed</v>
      </c>
      <c r="CH6" s="909"/>
      <c r="CI6" s="909"/>
      <c r="CJ6" s="339">
        <f>'System Capacities'!G21</f>
        <v>216.47999999999996</v>
      </c>
      <c r="CK6" s="274">
        <f>'Structural Information'!U8</f>
        <v>2.75</v>
      </c>
      <c r="CL6" s="340">
        <f>'System Capacities'!I21</f>
        <v>1.7443905747548439E-3</v>
      </c>
      <c r="CM6" s="276">
        <f>'System Capacities'!J21</f>
        <v>45127.508219346615</v>
      </c>
      <c r="CT6" s="230"/>
    </row>
    <row r="7" spans="2:107" ht="16.5" thickBot="1" x14ac:dyDescent="0.3">
      <c r="B7" s="809">
        <v>2</v>
      </c>
      <c r="C7" s="295">
        <v>1</v>
      </c>
      <c r="D7" s="296">
        <v>112</v>
      </c>
      <c r="E7" s="297">
        <f>'Structural Information'!$U$7</f>
        <v>3</v>
      </c>
      <c r="F7" s="298">
        <f>'Structural Information'!$AC$8</f>
        <v>4.5</v>
      </c>
      <c r="G7" s="298">
        <v>0.5</v>
      </c>
      <c r="H7" s="298">
        <v>0.25</v>
      </c>
      <c r="I7" s="299">
        <v>0.25</v>
      </c>
      <c r="J7" s="300">
        <f t="shared" si="11"/>
        <v>3.2552083333333332E-4</v>
      </c>
      <c r="K7" s="298">
        <f t="shared" si="12"/>
        <v>4.25</v>
      </c>
      <c r="L7" s="298">
        <f t="shared" si="13"/>
        <v>2.5</v>
      </c>
      <c r="M7" s="298">
        <f t="shared" si="0"/>
        <v>4.9307707308290052</v>
      </c>
      <c r="N7" s="301">
        <f t="shared" si="14"/>
        <v>0.53172406725880561</v>
      </c>
      <c r="P7" s="833" t="s">
        <v>173</v>
      </c>
      <c r="Q7" s="833"/>
      <c r="R7" s="833"/>
      <c r="S7" s="833"/>
      <c r="U7" s="809">
        <v>2</v>
      </c>
      <c r="V7" s="295">
        <v>1</v>
      </c>
      <c r="W7" s="296">
        <v>112</v>
      </c>
      <c r="X7" s="297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8">
        <f>((X7*('Structural Information'!$AL$17/1000)*SIN(2*N7))/(4*'Structural Information'!$AH$20*J7*L7))^(1/4)</f>
        <v>1.0916799951703688</v>
      </c>
      <c r="Z7" s="298">
        <f t="shared" si="1"/>
        <v>3.2750399855111065</v>
      </c>
      <c r="AA7" s="303">
        <f t="shared" si="2"/>
        <v>0.70699999999999996</v>
      </c>
      <c r="AB7" s="303">
        <f t="shared" si="3"/>
        <v>0.01</v>
      </c>
      <c r="AC7" s="299">
        <f t="shared" si="4"/>
        <v>1.113738957649824</v>
      </c>
      <c r="AD7" s="297">
        <f>((0.6*'Structural Information'!$AJ$17)+(0.3*'Structural Information'!$AL$18))/(AC7/M7)</f>
        <v>1.4609835904520574</v>
      </c>
      <c r="AE7" s="298">
        <f>(((1.2*SIN(N7)+0.45*COS(N7))*'Structural Information'!$AJ$18)+(0.3*'Structural Information'!$AL$18))/(AC7/M7)</f>
        <v>1.9407599825376745</v>
      </c>
      <c r="AF7" s="298">
        <f>(1.12*'Structural Information'!$AJ$19*COS(N7)*SIN(N7))/((AA7*(Z7^(-0.12)))+(AB7*(Z7^(0.88))))</f>
        <v>1.5410243331800975</v>
      </c>
      <c r="AG7" s="298">
        <f>(1.16*'Structural Information'!$AJ$19*TAN(N7))/((AA7)+(AB7*Z7))</f>
        <v>1.8632675851833773</v>
      </c>
      <c r="AH7" s="299">
        <f t="shared" si="5"/>
        <v>1.4609835904520574</v>
      </c>
      <c r="AI7" s="297">
        <f>AH7*AC7*'Structural Information'!$AL$17</f>
        <v>130.17234729388574</v>
      </c>
      <c r="AJ7" s="298">
        <f t="shared" si="6"/>
        <v>104.1378778351086</v>
      </c>
      <c r="AK7" s="301">
        <f t="shared" si="15"/>
        <v>13.017234729388575</v>
      </c>
      <c r="AM7" s="819">
        <v>2</v>
      </c>
      <c r="AN7" s="304">
        <v>1</v>
      </c>
      <c r="AO7" s="304">
        <v>112</v>
      </c>
      <c r="AP7" s="586">
        <v>3</v>
      </c>
      <c r="AQ7" s="585">
        <f t="shared" si="7"/>
        <v>104.1378778351086</v>
      </c>
      <c r="AR7" s="307">
        <f t="shared" si="8"/>
        <v>8.0000000000000004E-4</v>
      </c>
      <c r="AS7" s="257">
        <f>AQ7/(AR7*(SQRT(($F$7^2)+($E$7^2))))</f>
        <v>24068.875529005698</v>
      </c>
      <c r="AT7" s="308">
        <f>AS7*((COS($N$7))^2)</f>
        <v>17881.503927718884</v>
      </c>
      <c r="AU7" s="585">
        <f t="shared" si="9"/>
        <v>130.17234729388574</v>
      </c>
      <c r="AV7" s="307">
        <f t="shared" si="10"/>
        <v>2.2000000000000001E-3</v>
      </c>
      <c r="AW7" s="257">
        <f>AU7/(AV7*(SQRT(($F$7^2)+($E$7^2))))</f>
        <v>10940.397967729861</v>
      </c>
      <c r="AX7" s="309">
        <f>(AU7-AQ7)/((AV7-AR7)*(SQRT(($F$7^2)+($E$7^2))))</f>
        <v>3438.410789857955</v>
      </c>
      <c r="AY7" s="308">
        <f>AX7*((COS($N$7))^2)</f>
        <v>2554.5005611026963</v>
      </c>
      <c r="AZ7" s="585">
        <f t="shared" si="16"/>
        <v>13.017234729388575</v>
      </c>
      <c r="BA7" s="307">
        <f t="shared" si="17"/>
        <v>8.8999999999999999E-3</v>
      </c>
      <c r="BB7" s="257">
        <f t="shared" si="18"/>
        <v>-5023.880597014926</v>
      </c>
      <c r="BC7" s="310">
        <f t="shared" si="19"/>
        <v>-3732.3945823581321</v>
      </c>
      <c r="BE7" s="820"/>
      <c r="BF7" s="325">
        <v>4</v>
      </c>
      <c r="BG7" s="325">
        <v>7413</v>
      </c>
      <c r="BH7" s="325" t="s">
        <v>27</v>
      </c>
      <c r="BI7" s="328">
        <f>'Structural Information'!$U$6</f>
        <v>3</v>
      </c>
      <c r="BJ7" s="599">
        <f>('Structural Information'!$X$24)*(200)/$BI7</f>
        <v>53616.514621265807</v>
      </c>
      <c r="BK7" s="600">
        <f>'Structural Information'!$T$23*'Structural Information'!$T$24*(4700*SQRT('Structural Information'!$AC$23))/(BI7*1000)</f>
        <v>433495.56258141535</v>
      </c>
      <c r="BM7" s="815"/>
      <c r="BN7" s="344" t="s">
        <v>378</v>
      </c>
      <c r="BO7" s="345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10">
        <f>(BR$4/$BO7)</f>
        <v>0.61111111111111116</v>
      </c>
      <c r="BT7" s="815"/>
      <c r="BU7" s="346" t="s">
        <v>253</v>
      </c>
      <c r="BV7" s="314">
        <f>1/($BC$4)</f>
        <v>-2.9784209366973845E-4</v>
      </c>
      <c r="BW7" s="314">
        <f>1/($BC$7)</f>
        <v>-2.679245127850868E-4</v>
      </c>
      <c r="BX7" s="315">
        <f>1/($BC$10)</f>
        <v>-2.3360170673421233E-4</v>
      </c>
      <c r="BZ7" s="815">
        <v>2</v>
      </c>
      <c r="CA7" s="347">
        <v>1</v>
      </c>
      <c r="CB7" s="848">
        <f>(1/(BW5+BW4+BX8+BX4)+1/(BW10+BW9+BX13+BX9)+1/(BW15+BW14+BX18+BX14))</f>
        <v>40870.467681435926</v>
      </c>
      <c r="CC7" s="848">
        <f>(1/(BW6+BW4+BX8+BX4)+1/(BW11+BW9+BX13+BX9)+1/(BW16+BW14+BX18+BX14))</f>
        <v>6110.6293905825751</v>
      </c>
      <c r="CD7" s="854">
        <f>((1/(BW7+BW4+BX8+BX4)+1/(BW12+BW9+BX13+BX9)+1/(BW17+BW14+BX18+BX14)))</f>
        <v>-8224.5262056187294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10"/>
      <c r="C8" s="304">
        <v>2</v>
      </c>
      <c r="D8" s="320">
        <v>212</v>
      </c>
      <c r="E8" s="306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5">
        <v>0.25</v>
      </c>
      <c r="J8" s="321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10">
        <f t="shared" si="14"/>
        <v>0.96007036240568799</v>
      </c>
      <c r="P8" s="834" t="s">
        <v>171</v>
      </c>
      <c r="Q8" s="834"/>
      <c r="R8" s="834"/>
      <c r="S8" s="160" t="s">
        <v>172</v>
      </c>
      <c r="U8" s="810"/>
      <c r="V8" s="304">
        <v>2</v>
      </c>
      <c r="W8" s="320">
        <v>212</v>
      </c>
      <c r="X8" s="306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257">
        <f>((X8*('Structural Information'!$AL$17/1000)*SIN(2*N8))/(4*'Structural Information'!$AH$20*J8*L8))^(1/4)</f>
        <v>1.2174490921283836</v>
      </c>
      <c r="Z8" s="257">
        <f t="shared" si="1"/>
        <v>3.652347276385151</v>
      </c>
      <c r="AA8" s="322">
        <f t="shared" si="2"/>
        <v>0.70699999999999996</v>
      </c>
      <c r="AB8" s="322">
        <f t="shared" si="3"/>
        <v>0.01</v>
      </c>
      <c r="AC8" s="305">
        <f t="shared" si="4"/>
        <v>0.62123477965641971</v>
      </c>
      <c r="AD8" s="306">
        <f>((0.6*'Structural Information'!$AJ$17)+(0.3*'Structural Information'!$AL$18))/(AC8/M8)</f>
        <v>1.6210310035361908</v>
      </c>
      <c r="AE8" s="257">
        <f>(((1.2*SIN(N8)+0.45*COS(N8))*'Structural Information'!$AJ$18)+(0.3*'Structural Information'!$AL$18))/(AC8/M8)</f>
        <v>2.6825606913406794</v>
      </c>
      <c r="AF8" s="257">
        <f>(1.12*'Structural Information'!$AJ$19*COS(N8)*SIN(N8))/((AA8*(Z8^(-0.12)))+(AB8*(Z8^(0.88))))</f>
        <v>1.6699179305072875</v>
      </c>
      <c r="AG8" s="257">
        <f>(1.16*'Structural Information'!$AJ$19*TAN(N8))/((AA8)+(AB8*Z8))</f>
        <v>4.5021155270127426</v>
      </c>
      <c r="AH8" s="305">
        <f t="shared" si="5"/>
        <v>1.6210310035361908</v>
      </c>
      <c r="AI8" s="306">
        <f>AH8*AC8*'Structural Information'!$AL$17</f>
        <v>80.563267063842432</v>
      </c>
      <c r="AJ8" s="257">
        <f t="shared" si="6"/>
        <v>64.450613651073951</v>
      </c>
      <c r="AK8" s="310">
        <f t="shared" si="15"/>
        <v>8.0563267063842439</v>
      </c>
      <c r="AM8" s="819"/>
      <c r="AN8" s="304">
        <v>2</v>
      </c>
      <c r="AO8" s="304">
        <v>212</v>
      </c>
      <c r="AP8" s="586">
        <v>3</v>
      </c>
      <c r="AQ8" s="585">
        <f t="shared" si="7"/>
        <v>64.450613651073951</v>
      </c>
      <c r="AR8" s="307">
        <f t="shared" si="8"/>
        <v>8.0000000000000004E-4</v>
      </c>
      <c r="AS8" s="257">
        <f>AQ8/(AR8*(SQRT(($F$8^2)+($E$8^2))))</f>
        <v>22344.230024429471</v>
      </c>
      <c r="AT8" s="308">
        <f>AS8*((COS($N$8))^2)</f>
        <v>7348.1024912553303</v>
      </c>
      <c r="AU8" s="585">
        <f t="shared" si="9"/>
        <v>80.563267063842432</v>
      </c>
      <c r="AV8" s="307">
        <f t="shared" si="10"/>
        <v>2.2000000000000001E-3</v>
      </c>
      <c r="AW8" s="257">
        <f>AU8/(AV8*(SQRT(($F$8^2)+($E$8^2))))</f>
        <v>10156.468192922484</v>
      </c>
      <c r="AX8" s="309">
        <f>(AU8-AQ8)/((AV8-AR8)*(SQRT(($F$8^2)+($E$8^2))))</f>
        <v>3192.0328606327794</v>
      </c>
      <c r="AY8" s="308">
        <f>AX8*((COS($N$8))^2)</f>
        <v>1049.7289273221893</v>
      </c>
      <c r="AZ8" s="585">
        <f t="shared" si="16"/>
        <v>8.0563267063842439</v>
      </c>
      <c r="BA8" s="307">
        <f t="shared" si="17"/>
        <v>8.8999999999999999E-3</v>
      </c>
      <c r="BB8" s="257">
        <f t="shared" si="18"/>
        <v>-2068.6567164179105</v>
      </c>
      <c r="BC8" s="310">
        <f t="shared" si="19"/>
        <v>-680.29650405689677</v>
      </c>
      <c r="BE8" s="818">
        <v>2</v>
      </c>
      <c r="BF8" s="295">
        <v>1</v>
      </c>
      <c r="BG8" s="295">
        <v>7112</v>
      </c>
      <c r="BH8" s="295" t="s">
        <v>27</v>
      </c>
      <c r="BI8" s="298">
        <f>'Structural Information'!$U$7</f>
        <v>3</v>
      </c>
      <c r="BJ8" s="601">
        <f>('Structural Information'!$X$24)*(200)/$BI8</f>
        <v>53616.514621265807</v>
      </c>
      <c r="BK8" s="602">
        <f>'Structural Information'!$T$23*'Structural Information'!$T$24*(4700*SQRT('Structural Information'!$AC$23))/(BI8*1000)</f>
        <v>433495.56258141535</v>
      </c>
      <c r="BM8" s="815"/>
      <c r="BN8" s="348" t="s">
        <v>377</v>
      </c>
      <c r="BO8" s="349">
        <f>'Structural Information'!$AC$8</f>
        <v>4.5</v>
      </c>
      <c r="BP8" s="350">
        <f>BQ8+BP7</f>
        <v>1.9444444444444442</v>
      </c>
      <c r="BQ8" s="350">
        <f>BR8+BQ7</f>
        <v>1.2777777777777777</v>
      </c>
      <c r="BR8" s="351">
        <f>BR7</f>
        <v>0.61111111111111116</v>
      </c>
      <c r="BT8" s="815"/>
      <c r="BU8" s="352" t="s">
        <v>256</v>
      </c>
      <c r="BV8" s="353">
        <f>(BP7*BP7)/$BK$5</f>
        <v>1.0252571947861007E-6</v>
      </c>
      <c r="BW8" s="353">
        <f>(BQ7*BQ7)/$BK$9</f>
        <v>1.0252571947861007E-6</v>
      </c>
      <c r="BX8" s="354">
        <f>(BR7*BR7)/$BK$13</f>
        <v>7.8970910084508108E-7</v>
      </c>
      <c r="BZ8" s="815"/>
      <c r="CA8" s="316">
        <v>2</v>
      </c>
      <c r="CB8" s="841"/>
      <c r="CC8" s="841"/>
      <c r="CD8" s="843"/>
      <c r="CF8" s="878" t="s">
        <v>294</v>
      </c>
      <c r="CG8" s="879"/>
      <c r="CH8" s="879"/>
      <c r="CI8" s="879"/>
      <c r="CJ8" s="879"/>
      <c r="CK8" s="880"/>
      <c r="CL8" s="881" t="s">
        <v>295</v>
      </c>
      <c r="CM8" s="882"/>
      <c r="CN8" s="882"/>
      <c r="CO8" s="882"/>
      <c r="CP8" s="882"/>
      <c r="CQ8" s="883"/>
      <c r="CR8" s="884" t="s">
        <v>296</v>
      </c>
      <c r="CS8" s="885"/>
      <c r="CT8" s="885"/>
      <c r="CU8" s="885"/>
      <c r="CV8" s="885"/>
      <c r="CW8" s="886"/>
      <c r="CX8" s="180"/>
    </row>
    <row r="9" spans="2:107" x14ac:dyDescent="0.25">
      <c r="B9" s="811"/>
      <c r="C9" s="325">
        <v>3</v>
      </c>
      <c r="D9" s="326">
        <v>312</v>
      </c>
      <c r="E9" s="327">
        <f>'Structural Information'!$U$7</f>
        <v>3</v>
      </c>
      <c r="F9" s="328">
        <f>'Structural Information'!$AC$6</f>
        <v>4.5</v>
      </c>
      <c r="G9" s="328">
        <v>0.5</v>
      </c>
      <c r="H9" s="328">
        <v>0.25</v>
      </c>
      <c r="I9" s="329">
        <v>0.25</v>
      </c>
      <c r="J9" s="330">
        <f t="shared" si="11"/>
        <v>3.2552083333333332E-4</v>
      </c>
      <c r="K9" s="328">
        <f t="shared" si="12"/>
        <v>4.25</v>
      </c>
      <c r="L9" s="328">
        <f t="shared" si="13"/>
        <v>2.5</v>
      </c>
      <c r="M9" s="328">
        <f t="shared" si="0"/>
        <v>4.9307707308290052</v>
      </c>
      <c r="N9" s="331">
        <f t="shared" si="14"/>
        <v>0.53172406725880561</v>
      </c>
      <c r="P9" s="831" t="s">
        <v>167</v>
      </c>
      <c r="Q9" s="831"/>
      <c r="R9" s="831"/>
      <c r="S9" s="355" t="s">
        <v>158</v>
      </c>
      <c r="U9" s="811"/>
      <c r="V9" s="325">
        <v>3</v>
      </c>
      <c r="W9" s="326">
        <v>312</v>
      </c>
      <c r="X9" s="327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328">
        <f>((X9*('Structural Information'!$AL$17/1000)*SIN(2*N9))/(4*'Structural Information'!$AH$20*J9*L9))^(1/4)</f>
        <v>1.0916799951703688</v>
      </c>
      <c r="Z9" s="328">
        <f t="shared" si="1"/>
        <v>3.2750399855111065</v>
      </c>
      <c r="AA9" s="332">
        <f t="shared" si="2"/>
        <v>0.70699999999999996</v>
      </c>
      <c r="AB9" s="332">
        <f t="shared" si="3"/>
        <v>0.01</v>
      </c>
      <c r="AC9" s="329">
        <f t="shared" si="4"/>
        <v>1.113738957649824</v>
      </c>
      <c r="AD9" s="327">
        <f>((0.6*'Structural Information'!$AJ$17)+(0.3*'Structural Information'!$AL$18))/(AC9/M9)</f>
        <v>1.4609835904520574</v>
      </c>
      <c r="AE9" s="328">
        <f>(((1.2*SIN(N9)+0.45*COS(N9))*'Structural Information'!$AJ$18)+(0.3*'Structural Information'!$AL$18))/(AC9/M9)</f>
        <v>1.9407599825376745</v>
      </c>
      <c r="AF9" s="328">
        <f>(1.12*'Structural Information'!$AJ$19*COS(N9)*SIN(N9))/((AA9*(Z9^(-0.12)))+(AB9*(Z9^(0.88))))</f>
        <v>1.5410243331800975</v>
      </c>
      <c r="AG9" s="328">
        <f>(1.16*'Structural Information'!$AJ$19*TAN(N9))/((AA9)+(AB9*Z9))</f>
        <v>1.8632675851833773</v>
      </c>
      <c r="AH9" s="329">
        <f t="shared" si="5"/>
        <v>1.4609835904520574</v>
      </c>
      <c r="AI9" s="327">
        <f>AH9*AC9*'Structural Information'!$AL$17</f>
        <v>130.17234729388574</v>
      </c>
      <c r="AJ9" s="328">
        <f t="shared" si="6"/>
        <v>104.1378778351086</v>
      </c>
      <c r="AK9" s="331">
        <f t="shared" si="15"/>
        <v>13.017234729388575</v>
      </c>
      <c r="AM9" s="819"/>
      <c r="AN9" s="304">
        <v>3</v>
      </c>
      <c r="AO9" s="304">
        <v>312</v>
      </c>
      <c r="AP9" s="586">
        <v>3</v>
      </c>
      <c r="AQ9" s="585">
        <f t="shared" si="7"/>
        <v>104.1378778351086</v>
      </c>
      <c r="AR9" s="307">
        <f t="shared" si="8"/>
        <v>8.0000000000000004E-4</v>
      </c>
      <c r="AS9" s="257">
        <f>AQ9/(AR9*(SQRT(($F$9^2)+($E$9^2))))</f>
        <v>24068.875529005698</v>
      </c>
      <c r="AT9" s="308">
        <f>AS9*((COS($N$9))^2)</f>
        <v>17881.503927718884</v>
      </c>
      <c r="AU9" s="585">
        <f t="shared" si="9"/>
        <v>130.17234729388574</v>
      </c>
      <c r="AV9" s="307">
        <f t="shared" si="10"/>
        <v>2.2000000000000001E-3</v>
      </c>
      <c r="AW9" s="257">
        <f>AU9/(AV9*(SQRT(($F$9^2)+($E$9^2))))</f>
        <v>10940.397967729861</v>
      </c>
      <c r="AX9" s="309">
        <f>(AU9-AQ9)/((AV9-AR9)*(SQRT(($F$9^2)+($E$9^2))))</f>
        <v>3438.410789857955</v>
      </c>
      <c r="AY9" s="308">
        <f>AX9*((COS($N$9))^2)</f>
        <v>2554.5005611026963</v>
      </c>
      <c r="AZ9" s="585">
        <f t="shared" si="16"/>
        <v>13.017234729388575</v>
      </c>
      <c r="BA9" s="307">
        <f t="shared" si="17"/>
        <v>8.8999999999999999E-3</v>
      </c>
      <c r="BB9" s="257">
        <f t="shared" si="18"/>
        <v>-5023.880597014926</v>
      </c>
      <c r="BC9" s="310">
        <f t="shared" si="19"/>
        <v>-3732.3945823581321</v>
      </c>
      <c r="BE9" s="819"/>
      <c r="BF9" s="304">
        <v>2</v>
      </c>
      <c r="BG9" s="304">
        <v>7212</v>
      </c>
      <c r="BH9" s="304" t="s">
        <v>27</v>
      </c>
      <c r="BI9" s="257">
        <f>'Structural Information'!$U$7</f>
        <v>3</v>
      </c>
      <c r="BJ9" s="598">
        <f>('Structural Information'!$X$24)*(200)/$BI9</f>
        <v>53616.514621265807</v>
      </c>
      <c r="BK9" s="587">
        <f>'Structural Information'!$T$23*'Structural Information'!$T$24*(4700*SQRT('Structural Information'!$AC$23))/(BI9*1000)</f>
        <v>433495.56258141535</v>
      </c>
      <c r="BM9" s="816">
        <v>2</v>
      </c>
      <c r="BN9" s="323" t="s">
        <v>379</v>
      </c>
      <c r="BO9" s="324">
        <f>'Structural Information'!$AC$7</f>
        <v>2</v>
      </c>
      <c r="BP9" s="298">
        <f>(BP$4/$BO9)</f>
        <v>1.5</v>
      </c>
      <c r="BQ9" s="298">
        <f>(BQ$4/$BO9)</f>
        <v>1.5</v>
      </c>
      <c r="BR9" s="301">
        <f>(BR$4/$BO9)</f>
        <v>1.375</v>
      </c>
      <c r="BT9" s="815">
        <v>2</v>
      </c>
      <c r="BU9" s="247" t="s">
        <v>257</v>
      </c>
      <c r="BV9" s="359">
        <f>(BP9*BP9)/$BK$5</f>
        <v>5.190364548604635E-6</v>
      </c>
      <c r="BW9" s="359">
        <f>(BQ9*BQ9)/$BK$9</f>
        <v>5.190364548604635E-6</v>
      </c>
      <c r="BX9" s="360">
        <f>(BR9*BR9)/$BK$13</f>
        <v>3.9979023230282226E-6</v>
      </c>
      <c r="BZ9" s="815"/>
      <c r="CA9" s="361">
        <v>3</v>
      </c>
      <c r="CB9" s="849"/>
      <c r="CC9" s="849"/>
      <c r="CD9" s="855"/>
      <c r="CF9" s="850" t="s">
        <v>197</v>
      </c>
      <c r="CG9" s="852" t="s">
        <v>193</v>
      </c>
      <c r="CH9" s="912" t="s">
        <v>194</v>
      </c>
      <c r="CI9" s="912" t="s">
        <v>195</v>
      </c>
      <c r="CJ9" s="897" t="s">
        <v>196</v>
      </c>
      <c r="CK9" s="905" t="s">
        <v>426</v>
      </c>
      <c r="CL9" s="899" t="s">
        <v>227</v>
      </c>
      <c r="CM9" s="903" t="s">
        <v>193</v>
      </c>
      <c r="CN9" s="887" t="s">
        <v>194</v>
      </c>
      <c r="CO9" s="887" t="s">
        <v>195</v>
      </c>
      <c r="CP9" s="901" t="s">
        <v>196</v>
      </c>
      <c r="CQ9" s="863" t="s">
        <v>426</v>
      </c>
      <c r="CR9" s="893" t="s">
        <v>300</v>
      </c>
      <c r="CS9" s="895" t="s">
        <v>193</v>
      </c>
      <c r="CT9" s="891" t="s">
        <v>194</v>
      </c>
      <c r="CU9" s="891" t="s">
        <v>195</v>
      </c>
      <c r="CV9" s="889" t="s">
        <v>196</v>
      </c>
      <c r="CW9" s="876" t="s">
        <v>426</v>
      </c>
      <c r="CX9" s="180"/>
    </row>
    <row r="10" spans="2:107" x14ac:dyDescent="0.25">
      <c r="B10" s="809">
        <v>1</v>
      </c>
      <c r="C10" s="295">
        <v>1</v>
      </c>
      <c r="D10" s="296">
        <v>111</v>
      </c>
      <c r="E10" s="297">
        <f>'Structural Information'!$U$8</f>
        <v>2.75</v>
      </c>
      <c r="F10" s="298">
        <f>'Structural Information'!$AC$8</f>
        <v>4.5</v>
      </c>
      <c r="G10" s="298">
        <v>0.5</v>
      </c>
      <c r="H10" s="298">
        <v>0.25</v>
      </c>
      <c r="I10" s="299">
        <v>0.25</v>
      </c>
      <c r="J10" s="300">
        <f t="shared" si="11"/>
        <v>3.2552083333333332E-4</v>
      </c>
      <c r="K10" s="298">
        <f t="shared" si="12"/>
        <v>4.25</v>
      </c>
      <c r="L10" s="298">
        <f t="shared" si="13"/>
        <v>2.25</v>
      </c>
      <c r="M10" s="298">
        <f t="shared" si="0"/>
        <v>4.8088460154178359</v>
      </c>
      <c r="N10" s="301">
        <f>ATAN(L10/K10)</f>
        <v>0.48689923181126904</v>
      </c>
      <c r="P10" s="831" t="s">
        <v>169</v>
      </c>
      <c r="Q10" s="831"/>
      <c r="R10" s="831"/>
      <c r="S10" s="355" t="s">
        <v>159</v>
      </c>
      <c r="U10" s="809">
        <v>1</v>
      </c>
      <c r="V10" s="295">
        <v>1</v>
      </c>
      <c r="W10" s="296">
        <v>111</v>
      </c>
      <c r="X10" s="297">
        <f>1/((((COS(N10))^4)/'Structural Information'!$AH$17)+(((SIN(N10))^4)/'Structural Information'!$AH$18)+(((SIN(N10))^2)*((COS(N10))^2)*((1/'Structural Information'!$AH$19)-(2*'Structural Information'!$AL$19/'Structural Information'!$AH$18))))</f>
        <v>1312.8234025636375</v>
      </c>
      <c r="Y10" s="298">
        <f>((X10*('Structural Information'!$AL$17/1000)*SIN(2*N10))/(4*'Structural Information'!$AH$20*J10*L10))^(1/4)</f>
        <v>1.0925522151650997</v>
      </c>
      <c r="Z10" s="298">
        <f t="shared" si="1"/>
        <v>3.004518591704024</v>
      </c>
      <c r="AA10" s="303">
        <f t="shared" si="2"/>
        <v>1.3</v>
      </c>
      <c r="AB10" s="303">
        <f t="shared" si="3"/>
        <v>-0.17799999999999999</v>
      </c>
      <c r="AC10" s="299">
        <f t="shared" si="4"/>
        <v>1.2247247390266636</v>
      </c>
      <c r="AD10" s="297">
        <f>((0.6*'Structural Information'!$AJ$17)+(0.3*'Structural Information'!$AL$18))/(AC10/M10)</f>
        <v>1.2957353881404177</v>
      </c>
      <c r="AE10" s="298">
        <f>(((1.2*SIN(N10)+0.45*COS(N10))*'Structural Information'!$AJ$18)+(0.3*'Structural Information'!$AL$18))/(AC10/M10)</f>
        <v>1.6571070505303276</v>
      </c>
      <c r="AF10" s="298">
        <f>(1.12*'Structural Information'!$AJ$19*COS(N10)*SIN(N10))/((AA10*(Z10^(-0.12)))+(AB10*(Z10^(0.88))))</f>
        <v>1.3951457189732182</v>
      </c>
      <c r="AG10" s="298">
        <f>(1.16*'Structural Information'!$AJ$19*TAN(N10))/((AA10)+(AB10*Z10))</f>
        <v>1.6211769906359499</v>
      </c>
      <c r="AH10" s="299">
        <f t="shared" si="5"/>
        <v>1.2957353881404177</v>
      </c>
      <c r="AI10" s="297">
        <f>AH10*AC10*'Structural Information'!$AL$17</f>
        <v>126.95353480703085</v>
      </c>
      <c r="AJ10" s="298">
        <f t="shared" si="6"/>
        <v>101.56282784562468</v>
      </c>
      <c r="AK10" s="301">
        <f>0.1*AI10</f>
        <v>12.695353480703085</v>
      </c>
      <c r="AM10" s="818">
        <v>1</v>
      </c>
      <c r="AN10" s="295">
        <v>1</v>
      </c>
      <c r="AO10" s="295">
        <v>111</v>
      </c>
      <c r="AP10" s="299">
        <v>2.75</v>
      </c>
      <c r="AQ10" s="297">
        <f t="shared" si="7"/>
        <v>101.56282784562468</v>
      </c>
      <c r="AR10" s="341">
        <f t="shared" si="8"/>
        <v>8.0000000000000004E-4</v>
      </c>
      <c r="AS10" s="573">
        <f>AQ10/(AR10*(SQRT(($F$10^2)+($E$10^2))))</f>
        <v>24072.698881942459</v>
      </c>
      <c r="AT10" s="342">
        <f>AS10*((COS($N$10))^2)</f>
        <v>18802.729667246949</v>
      </c>
      <c r="AU10" s="297">
        <f t="shared" si="9"/>
        <v>126.95353480703085</v>
      </c>
      <c r="AV10" s="341">
        <f t="shared" si="10"/>
        <v>2.2000000000000001E-3</v>
      </c>
      <c r="AW10" s="573">
        <f>AU10/(AV10*(SQRT(($F$10^2)+($E$10^2))))</f>
        <v>10942.135855428392</v>
      </c>
      <c r="AX10" s="343">
        <f>(AU10-AQ10)/((AV10-AR10)*(SQRT(($F$10^2)+($E$10^2))))</f>
        <v>3438.9569831346362</v>
      </c>
      <c r="AY10" s="342">
        <f>AX10*((COS($N$10))^2)</f>
        <v>2686.1042381781349</v>
      </c>
      <c r="AZ10" s="297">
        <f t="shared" si="16"/>
        <v>12.695353480703085</v>
      </c>
      <c r="BA10" s="341">
        <f t="shared" si="17"/>
        <v>8.8999999999999999E-3</v>
      </c>
      <c r="BB10" s="573">
        <f t="shared" si="18"/>
        <v>-5480.5970149253726</v>
      </c>
      <c r="BC10" s="301">
        <f>BB10*((COS(N10))^2)</f>
        <v>-4280.7906413876563</v>
      </c>
      <c r="BE10" s="819"/>
      <c r="BF10" s="304">
        <v>3</v>
      </c>
      <c r="BG10" s="304">
        <v>7312</v>
      </c>
      <c r="BH10" s="304" t="s">
        <v>27</v>
      </c>
      <c r="BI10" s="257">
        <f>'Structural Information'!$U$7</f>
        <v>3</v>
      </c>
      <c r="BJ10" s="598">
        <f>('Structural Information'!$X$24)*(200)/$BI10</f>
        <v>53616.514621265807</v>
      </c>
      <c r="BK10" s="587">
        <f>'Structural Information'!$T$23*'Structural Information'!$T$24*(4700*SQRT('Structural Information'!$AC$23))/(BI10*1000)</f>
        <v>433495.56258141535</v>
      </c>
      <c r="BM10" s="816"/>
      <c r="BN10" s="333" t="s">
        <v>377</v>
      </c>
      <c r="BO10" s="334">
        <f>'Structural Information'!$AC$8</f>
        <v>4.5</v>
      </c>
      <c r="BP10" s="335">
        <f>BQ10+BP9</f>
        <v>4.375</v>
      </c>
      <c r="BQ10" s="335">
        <f>BR10+BQ9</f>
        <v>2.875</v>
      </c>
      <c r="BR10" s="336">
        <f>BR9</f>
        <v>1.375</v>
      </c>
      <c r="BT10" s="815"/>
      <c r="BU10" s="252" t="s">
        <v>254</v>
      </c>
      <c r="BV10" s="314">
        <f>1/($AT$5)</f>
        <v>1.3608955525457874E-4</v>
      </c>
      <c r="BW10" s="314">
        <f>1/($AT$8)</f>
        <v>1.3608955525457874E-4</v>
      </c>
      <c r="BX10" s="315">
        <f>1/($AT$11)</f>
        <v>1.198829809776656E-4</v>
      </c>
      <c r="BZ10" s="813">
        <v>1</v>
      </c>
      <c r="CA10" s="316">
        <v>1</v>
      </c>
      <c r="CB10" s="841">
        <f>1/(BX5+BX4)+1/(BX10+BX9)+1/(BX15+BX14)</f>
        <v>45127.508219346615</v>
      </c>
      <c r="CC10" s="841">
        <f>1/(BX6+BX4)+1/(BX11+BX9)+1/(BX16+BX14)</f>
        <v>6546.8249657607212</v>
      </c>
      <c r="CD10" s="843">
        <f>(1/(BX7+BX4)+1/(BX12+BX9)+1/(BX17+BX14))</f>
        <v>-9444.1335516830823</v>
      </c>
      <c r="CF10" s="851"/>
      <c r="CG10" s="853"/>
      <c r="CH10" s="913"/>
      <c r="CI10" s="913"/>
      <c r="CJ10" s="898"/>
      <c r="CK10" s="906"/>
      <c r="CL10" s="900"/>
      <c r="CM10" s="904"/>
      <c r="CN10" s="888"/>
      <c r="CO10" s="888"/>
      <c r="CP10" s="902"/>
      <c r="CQ10" s="864"/>
      <c r="CR10" s="894"/>
      <c r="CS10" s="896"/>
      <c r="CT10" s="892"/>
      <c r="CU10" s="892"/>
      <c r="CV10" s="890"/>
      <c r="CW10" s="877"/>
      <c r="CX10" s="180"/>
    </row>
    <row r="11" spans="2:107" ht="15" customHeight="1" x14ac:dyDescent="0.25">
      <c r="B11" s="810"/>
      <c r="C11" s="304">
        <v>2</v>
      </c>
      <c r="D11" s="320">
        <v>211</v>
      </c>
      <c r="E11" s="306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5">
        <v>0.25</v>
      </c>
      <c r="J11" s="321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10">
        <f t="shared" si="14"/>
        <v>0.90975315794420974</v>
      </c>
      <c r="P11" s="831" t="s">
        <v>168</v>
      </c>
      <c r="Q11" s="831"/>
      <c r="R11" s="831"/>
      <c r="S11" s="355" t="s">
        <v>160</v>
      </c>
      <c r="U11" s="810"/>
      <c r="V11" s="304">
        <v>2</v>
      </c>
      <c r="W11" s="320">
        <v>211</v>
      </c>
      <c r="X11" s="306">
        <f>1/((((COS(N11))^4)/'Structural Information'!$AH$17)+(((SIN(N11))^4)/'Structural Information'!$AH$18)+(((SIN(N11))^2)*((COS(N11))^2)*((1/'Structural Information'!$AH$19)-(2*'Structural Information'!$AL$19/'Structural Information'!$AH$18))))</f>
        <v>1937.4633424901383</v>
      </c>
      <c r="Y11" s="257">
        <f>((X11*('Structural Information'!$AL$17/1000)*SIN(2*N11))/(4*'Structural Information'!$AH$20*J11*L11))^(1/4)</f>
        <v>1.2529272954343871</v>
      </c>
      <c r="Z11" s="257">
        <f t="shared" si="1"/>
        <v>3.4455500624445645</v>
      </c>
      <c r="AA11" s="322">
        <f t="shared" si="2"/>
        <v>0.70699999999999996</v>
      </c>
      <c r="AB11" s="322">
        <f t="shared" si="3"/>
        <v>0.01</v>
      </c>
      <c r="AC11" s="305">
        <f t="shared" si="4"/>
        <v>0.6133921473316083</v>
      </c>
      <c r="AD11" s="306">
        <f>((0.6*'Structural Information'!$AJ$17)+(0.3*'Structural Information'!$AL$18))/(AC11/M11)</f>
        <v>1.533512826662033</v>
      </c>
      <c r="AE11" s="257">
        <f>(((1.2*SIN(N11)+0.45*COS(N11))*'Structural Information'!$AJ$18)+(0.3*'Structural Information'!$AL$18))/(AC11/M11)</f>
        <v>2.5016622835414752</v>
      </c>
      <c r="AF11" s="257">
        <f>(1.12*'Structural Information'!$AJ$19*COS(N11)*SIN(N11))/((AA11*(Z11^(-0.12)))+(AB11*(Z11^(0.88))))</f>
        <v>1.7153491259576139</v>
      </c>
      <c r="AG11" s="257">
        <f>(1.16*'Structural Information'!$AJ$19*TAN(N11))/((AA11)+(AB11*Z11))</f>
        <v>4.063205022753845</v>
      </c>
      <c r="AH11" s="305">
        <f t="shared" si="5"/>
        <v>1.533512826662033</v>
      </c>
      <c r="AI11" s="306">
        <f>AH11*AC11*'Structural Information'!$AL$17</f>
        <v>75.25157805654311</v>
      </c>
      <c r="AJ11" s="257">
        <f t="shared" si="6"/>
        <v>60.201262445234491</v>
      </c>
      <c r="AK11" s="310">
        <f>0.1*AI11</f>
        <v>7.5251578056543114</v>
      </c>
      <c r="AM11" s="819"/>
      <c r="AN11" s="304">
        <v>2</v>
      </c>
      <c r="AO11" s="304">
        <v>211</v>
      </c>
      <c r="AP11" s="586">
        <v>2.75</v>
      </c>
      <c r="AQ11" s="585">
        <f t="shared" si="7"/>
        <v>60.201262445234491</v>
      </c>
      <c r="AR11" s="307">
        <f t="shared" si="8"/>
        <v>8.0000000000000004E-4</v>
      </c>
      <c r="AS11" s="257">
        <f>AQ11/(AR11*(SQRT(($F$11^2)+($E$11^2))))</f>
        <v>22130.424209121607</v>
      </c>
      <c r="AT11" s="308">
        <f>AS11*((COS($N$11))^2)</f>
        <v>8341.4675865150675</v>
      </c>
      <c r="AU11" s="585">
        <f t="shared" si="9"/>
        <v>75.25157805654311</v>
      </c>
      <c r="AV11" s="307">
        <f t="shared" si="10"/>
        <v>2.2000000000000001E-3</v>
      </c>
      <c r="AW11" s="257">
        <f>AU11/(AV11*(SQRT(($F$11^2)+($E$11^2))))</f>
        <v>10059.283731418911</v>
      </c>
      <c r="AX11" s="309">
        <f>(AU11-AQ11)/((AV11-AR11)*(SQRT(($F$11^2)+($E$11^2))))</f>
        <v>3161.4891727316572</v>
      </c>
      <c r="AY11" s="308">
        <f>AX11*((COS($N$11))^2)</f>
        <v>1191.6382266450091</v>
      </c>
      <c r="AZ11" s="585">
        <f t="shared" si="16"/>
        <v>7.5251578056543114</v>
      </c>
      <c r="BA11" s="307">
        <f t="shared" si="17"/>
        <v>8.8999999999999999E-3</v>
      </c>
      <c r="BB11" s="257">
        <f t="shared" si="18"/>
        <v>-2256.7164179104484</v>
      </c>
      <c r="BC11" s="310">
        <f t="shared" si="19"/>
        <v>-850.60849598163054</v>
      </c>
      <c r="BE11" s="820"/>
      <c r="BF11" s="325">
        <v>4</v>
      </c>
      <c r="BG11" s="325">
        <v>7412</v>
      </c>
      <c r="BH11" s="325" t="s">
        <v>27</v>
      </c>
      <c r="BI11" s="328">
        <f>'Structural Information'!$U$7</f>
        <v>3</v>
      </c>
      <c r="BJ11" s="599">
        <f>('Structural Information'!$X$24)*(200)/$BI11</f>
        <v>53616.514621265807</v>
      </c>
      <c r="BK11" s="600">
        <f>'Structural Information'!$T$23*'Structural Information'!$T$24*(4700*SQRT('Structural Information'!$AC$23))/(BI11*1000)</f>
        <v>433495.56258141535</v>
      </c>
      <c r="BM11" s="816"/>
      <c r="BN11" s="344" t="s">
        <v>380</v>
      </c>
      <c r="BO11" s="345">
        <f>'Structural Information'!$AC$7</f>
        <v>2</v>
      </c>
      <c r="BP11" s="257">
        <f>(BP$4/$BO11)</f>
        <v>1.5</v>
      </c>
      <c r="BQ11" s="257">
        <f>(BQ$4/$BO11)</f>
        <v>1.5</v>
      </c>
      <c r="BR11" s="310">
        <f>(BR$4/$BO11)</f>
        <v>1.375</v>
      </c>
      <c r="BT11" s="815"/>
      <c r="BU11" s="337" t="s">
        <v>254</v>
      </c>
      <c r="BV11" s="314">
        <f>1/($AY$5)</f>
        <v>9.5262688678205191E-4</v>
      </c>
      <c r="BW11" s="314">
        <f>1/($AY$8)</f>
        <v>9.5262688678205191E-4</v>
      </c>
      <c r="BX11" s="315">
        <f>1/($AY$11)</f>
        <v>8.391808668436596E-4</v>
      </c>
      <c r="BZ11" s="815"/>
      <c r="CA11" s="316">
        <v>2</v>
      </c>
      <c r="CB11" s="841"/>
      <c r="CC11" s="841"/>
      <c r="CD11" s="843"/>
      <c r="CF11" s="549" t="s">
        <v>184</v>
      </c>
      <c r="CG11" s="487">
        <f>AQ4*COS($N4)+AQ5*COS($N5)+AQ6*COS($N6)</f>
        <v>213.36795190442052</v>
      </c>
      <c r="CH11" s="487">
        <f>AU4*COS($N4)+AU5*COS($N5)+AU6*COS($N6)</f>
        <v>266.70993988052567</v>
      </c>
      <c r="CI11" s="487">
        <f>AZ4*COS($N4)+AZ5*COS($N5)+AZ6*COS($N6)</f>
        <v>26.670993988052565</v>
      </c>
      <c r="CJ11" s="548">
        <f>AZ4*COS($N4)+AZ5*COS($N5)+AZ6*COS($N6)</f>
        <v>26.670993988052565</v>
      </c>
      <c r="CK11" s="565">
        <v>0</v>
      </c>
      <c r="CL11" s="549" t="s">
        <v>228</v>
      </c>
      <c r="CM11" s="487">
        <f>CB4</f>
        <v>38234.410187710455</v>
      </c>
      <c r="CN11" s="487">
        <f>CC4</f>
        <v>5903.2157871274012</v>
      </c>
      <c r="CO11" s="487">
        <f>CD4</f>
        <v>-7900.5662604712015</v>
      </c>
      <c r="CP11" s="487">
        <v>0</v>
      </c>
      <c r="CQ11" s="551">
        <f>CM11</f>
        <v>38234.410187710455</v>
      </c>
      <c r="CR11" s="549" t="s">
        <v>308</v>
      </c>
      <c r="CS11" s="307">
        <f>CG11/(CM11*'Structural Information'!$U$6)</f>
        <v>1.8601738665676483E-3</v>
      </c>
      <c r="CT11" s="307">
        <f>CS11+(((1/CN11)*(CH11-CG11))/'Structural Information'!$U$6)</f>
        <v>4.8722038007391836E-3</v>
      </c>
      <c r="CU11" s="307">
        <f>CT11+(((1/CO11)*(CI11-CH11))/'Structural Information'!$U$6)</f>
        <v>1.4999703441427674E-2</v>
      </c>
      <c r="CV11" s="307">
        <f>0.08</f>
        <v>0.08</v>
      </c>
      <c r="CW11" s="580">
        <v>0</v>
      </c>
      <c r="CX11" s="180"/>
    </row>
    <row r="12" spans="2:107" ht="16.5" thickBot="1" x14ac:dyDescent="0.3">
      <c r="B12" s="812"/>
      <c r="C12" s="363">
        <v>3</v>
      </c>
      <c r="D12" s="364">
        <v>311</v>
      </c>
      <c r="E12" s="365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6">
        <v>0.25</v>
      </c>
      <c r="J12" s="367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8">
        <f t="shared" si="14"/>
        <v>0.48689923181126904</v>
      </c>
      <c r="P12" s="831" t="s">
        <v>170</v>
      </c>
      <c r="Q12" s="831"/>
      <c r="R12" s="831"/>
      <c r="S12" s="355" t="s">
        <v>161</v>
      </c>
      <c r="U12" s="812"/>
      <c r="V12" s="363">
        <v>3</v>
      </c>
      <c r="W12" s="364">
        <v>311</v>
      </c>
      <c r="X12" s="365">
        <f>1/((((COS(N12))^4)/'Structural Information'!$AH$17)+(((SIN(N12))^4)/'Structural Information'!$AH$18)+(((SIN(N12))^2)*((COS(N12))^2)*((1/'Structural Information'!$AH$19)-(2*'Structural Information'!$AL$19/'Structural Information'!$AH$18))))</f>
        <v>1312.8234025636375</v>
      </c>
      <c r="Y12" s="261">
        <f>(((X12)*('Structural Information'!$AL$17/1000)*SIN(2*N12))/(4*'Structural Information'!$AH$20*J12*L12))^(0.25)</f>
        <v>1.0925522151650997</v>
      </c>
      <c r="Z12" s="261">
        <f>Y12*E12</f>
        <v>3.004518591704024</v>
      </c>
      <c r="AA12" s="369">
        <f t="shared" si="2"/>
        <v>1.3</v>
      </c>
      <c r="AB12" s="369">
        <f t="shared" si="3"/>
        <v>-0.17799999999999999</v>
      </c>
      <c r="AC12" s="366">
        <f t="shared" si="4"/>
        <v>1.2247247390266636</v>
      </c>
      <c r="AD12" s="365">
        <f>((0.6*'Structural Information'!$AJ$17)+(0.3*'Structural Information'!$AL$18))/(AC12/M12)</f>
        <v>1.2957353881404177</v>
      </c>
      <c r="AE12" s="261">
        <f>(((1.2*SIN(N12)+0.45*COS(N12))*'Structural Information'!$AJ$18)+(0.3*'Structural Information'!$AL$18))/(AC12/M12)</f>
        <v>1.6571070505303276</v>
      </c>
      <c r="AF12" s="261">
        <f>(1.12*'Structural Information'!$AJ$19*COS(N12)*SIN(N12))/((AA12*(Z12^(-0.12)))+(AB12*(Z12^(0.88))))</f>
        <v>1.3951457189732182</v>
      </c>
      <c r="AG12" s="261">
        <f>(1.16*'Structural Information'!$AJ$19*TAN(N12))/((AA12)+(AB12*Z12))</f>
        <v>1.6211769906359499</v>
      </c>
      <c r="AH12" s="366">
        <f t="shared" si="5"/>
        <v>1.2957353881404177</v>
      </c>
      <c r="AI12" s="365">
        <f>AH12*AC12*'Structural Information'!$AL$17</f>
        <v>126.95353480703085</v>
      </c>
      <c r="AJ12" s="261">
        <f>0.8*AI12</f>
        <v>101.56282784562468</v>
      </c>
      <c r="AK12" s="368">
        <f>0.1*AI12</f>
        <v>12.695353480703085</v>
      </c>
      <c r="AM12" s="821"/>
      <c r="AN12" s="363">
        <v>3</v>
      </c>
      <c r="AO12" s="363">
        <v>311</v>
      </c>
      <c r="AP12" s="366">
        <v>2.75</v>
      </c>
      <c r="AQ12" s="365">
        <f t="shared" si="7"/>
        <v>101.56282784562468</v>
      </c>
      <c r="AR12" s="370">
        <f t="shared" si="8"/>
        <v>8.0000000000000004E-4</v>
      </c>
      <c r="AS12" s="572">
        <f>AQ12/(AR12*(SQRT(($F$12^2)+($E$12^2))))</f>
        <v>24072.698881942459</v>
      </c>
      <c r="AT12" s="371">
        <f>AS12*((COS($N$12))^2)</f>
        <v>18802.729667246949</v>
      </c>
      <c r="AU12" s="365">
        <f t="shared" si="9"/>
        <v>126.95353480703085</v>
      </c>
      <c r="AV12" s="370">
        <f t="shared" si="10"/>
        <v>2.2000000000000001E-3</v>
      </c>
      <c r="AW12" s="572">
        <f>AU12/(AV12*(SQRT(($F$12^2)+($E$12^2))))</f>
        <v>10942.135855428392</v>
      </c>
      <c r="AX12" s="372">
        <f>(AU12-AQ12)/((AV12-AR12)*(SQRT(($F$12^2)+($E$12^2))))</f>
        <v>3438.9569831346362</v>
      </c>
      <c r="AY12" s="371">
        <f>AX12*((COS($N$12))^2)</f>
        <v>2686.1042381781349</v>
      </c>
      <c r="AZ12" s="365">
        <f t="shared" si="16"/>
        <v>12.695353480703085</v>
      </c>
      <c r="BA12" s="370">
        <f t="shared" si="17"/>
        <v>8.8999999999999999E-3</v>
      </c>
      <c r="BB12" s="572">
        <f>((AZ12*COS(N12))-(AU12*COS(N12)))/((BA12-AV12)*AP12)</f>
        <v>-5480.5970149253726</v>
      </c>
      <c r="BC12" s="368">
        <f>BB12*((COS(N12))^2)</f>
        <v>-4280.7906413876563</v>
      </c>
      <c r="BE12" s="818">
        <v>1</v>
      </c>
      <c r="BF12" s="295">
        <v>1</v>
      </c>
      <c r="BG12" s="295">
        <v>7111</v>
      </c>
      <c r="BH12" s="295" t="s">
        <v>27</v>
      </c>
      <c r="BI12" s="298">
        <f>'Structural Information'!$U$8</f>
        <v>2.75</v>
      </c>
      <c r="BJ12" s="601">
        <f>('Structural Information'!$X$24)*(200)/$BI12</f>
        <v>58490.743223199061</v>
      </c>
      <c r="BK12" s="602">
        <f>'Structural Information'!$T$23*'Structural Information'!$T$24*(4700*SQRT('Structural Information'!$AC$23))/(BI12*1000)</f>
        <v>472904.25008881674</v>
      </c>
      <c r="BM12" s="816"/>
      <c r="BN12" s="348" t="s">
        <v>377</v>
      </c>
      <c r="BO12" s="349">
        <f>'Structural Information'!$AC$8</f>
        <v>4.5</v>
      </c>
      <c r="BP12" s="350">
        <f>BQ12+BP11</f>
        <v>4.375</v>
      </c>
      <c r="BQ12" s="350">
        <f>BR12+BQ11</f>
        <v>2.875</v>
      </c>
      <c r="BR12" s="351">
        <f>BR11</f>
        <v>1.375</v>
      </c>
      <c r="BT12" s="815"/>
      <c r="BU12" s="346" t="s">
        <v>254</v>
      </c>
      <c r="BV12" s="314">
        <f>1/($BC$5)</f>
        <v>-1.4699472862738168E-3</v>
      </c>
      <c r="BW12" s="314">
        <f>1/($BC$8)</f>
        <v>-1.4699472862738168E-3</v>
      </c>
      <c r="BX12" s="315">
        <f>1/($BC$11)</f>
        <v>-1.1756289817514303E-3</v>
      </c>
      <c r="BZ12" s="817"/>
      <c r="CA12" s="373">
        <v>3</v>
      </c>
      <c r="CB12" s="842"/>
      <c r="CC12" s="842"/>
      <c r="CD12" s="844"/>
      <c r="CF12" s="549" t="s">
        <v>185</v>
      </c>
      <c r="CG12" s="487">
        <f>AQ7*COS($N7)+AQ8*COS($N8)+AQ9*COS($N9)</f>
        <v>216.48000000000002</v>
      </c>
      <c r="CH12" s="487">
        <f>AU7*COS($N7)+AU8*COS($N8)+AU9*COS($N9)</f>
        <v>270.60000000000002</v>
      </c>
      <c r="CI12" s="487">
        <f>AZ7*COS($N7)+AZ8*COS($N8)+AZ9*COS($N9)</f>
        <v>27.060000000000002</v>
      </c>
      <c r="CJ12" s="548">
        <f>AZ7*COS($N7)+AZ8*COS($N8)+AZ9*COS($N9)</f>
        <v>27.060000000000002</v>
      </c>
      <c r="CK12" s="565">
        <v>0</v>
      </c>
      <c r="CL12" s="549" t="s">
        <v>229</v>
      </c>
      <c r="CM12" s="487">
        <f>CB7</f>
        <v>40870.467681435926</v>
      </c>
      <c r="CN12" s="487">
        <f>CC7</f>
        <v>6110.6293905825751</v>
      </c>
      <c r="CO12" s="487">
        <f>CD7</f>
        <v>-8224.5262056187294</v>
      </c>
      <c r="CP12" s="487">
        <v>0</v>
      </c>
      <c r="CQ12" s="551">
        <f>CM12</f>
        <v>40870.467681435926</v>
      </c>
      <c r="CR12" s="549" t="s">
        <v>307</v>
      </c>
      <c r="CS12" s="307">
        <f>CG12/(CM12*'Structural Information'!$U$7)</f>
        <v>1.7655780345468453E-3</v>
      </c>
      <c r="CT12" s="307">
        <f>CS12+(((1/CN12)*(CH12-CG12))/'Structural Information'!$U$7)</f>
        <v>4.7178107501820677E-3</v>
      </c>
      <c r="CU12" s="307">
        <f>CT12+(((1/CO12)*(CI12-CH12))/'Structural Information'!$U$7)</f>
        <v>1.4588288145529225E-2</v>
      </c>
      <c r="CV12" s="307">
        <f>0.08</f>
        <v>0.08</v>
      </c>
      <c r="CW12" s="580">
        <v>0</v>
      </c>
      <c r="CX12" s="180"/>
      <c r="DC12" s="239"/>
    </row>
    <row r="13" spans="2:107" ht="16.5" thickBot="1" x14ac:dyDescent="0.3">
      <c r="BE13" s="819"/>
      <c r="BF13" s="304">
        <v>2</v>
      </c>
      <c r="BG13" s="304">
        <v>7211</v>
      </c>
      <c r="BH13" s="304" t="s">
        <v>27</v>
      </c>
      <c r="BI13" s="257">
        <f>'Structural Information'!$U$8</f>
        <v>2.75</v>
      </c>
      <c r="BJ13" s="598">
        <f>('Structural Information'!$X$24)*(200)/$BI13</f>
        <v>58490.743223199061</v>
      </c>
      <c r="BK13" s="587">
        <f>'Structural Information'!$T$23*'Structural Information'!$T$24*(4700*SQRT('Structural Information'!$AC$23))/(BI13*1000)</f>
        <v>472904.25008881674</v>
      </c>
      <c r="BM13" s="815">
        <v>3</v>
      </c>
      <c r="BN13" s="323" t="s">
        <v>381</v>
      </c>
      <c r="BO13" s="324">
        <f>'Structural Information'!$AC$6</f>
        <v>4.5</v>
      </c>
      <c r="BP13" s="298">
        <f>(BP$4/$BO13)</f>
        <v>0.66666666666666663</v>
      </c>
      <c r="BQ13" s="298">
        <f>(BQ$4/$BO13)</f>
        <v>0.66666666666666663</v>
      </c>
      <c r="BR13" s="301">
        <f>(BR$4/$BO13)</f>
        <v>0.61111111111111116</v>
      </c>
      <c r="BT13" s="815"/>
      <c r="BU13" s="247" t="s">
        <v>258</v>
      </c>
      <c r="BV13" s="353">
        <f>(BP11*BP11)/$BK$6</f>
        <v>5.190364548604635E-6</v>
      </c>
      <c r="BW13" s="353">
        <f>(BQ11*BQ11)/$BK$10</f>
        <v>5.190364548604635E-6</v>
      </c>
      <c r="BX13" s="354">
        <f>(BR11*BR11)/$BK$14</f>
        <v>3.9979023230282226E-6</v>
      </c>
      <c r="CF13" s="550" t="s">
        <v>186</v>
      </c>
      <c r="CG13" s="485">
        <f>AQ10*COS($N10)+AQ11*COS($N11)+AQ12*COS($N12)</f>
        <v>216.47999999999996</v>
      </c>
      <c r="CH13" s="485">
        <f>AU10*COS($N10)+AU11*COS($N11)+AU12*COS($N12)</f>
        <v>270.59999999999997</v>
      </c>
      <c r="CI13" s="485">
        <f>AZ10*COS($N10)+AZ11*COS($N11)+AZ12*COS($N12)</f>
        <v>27.059999999999995</v>
      </c>
      <c r="CJ13" s="486">
        <f>AZ10*COS($N10)+AZ11*COS($N11)+AZ12*COS($N12)</f>
        <v>27.059999999999995</v>
      </c>
      <c r="CK13" s="566">
        <v>0</v>
      </c>
      <c r="CL13" s="550" t="s">
        <v>230</v>
      </c>
      <c r="CM13" s="485">
        <f>CB10</f>
        <v>45127.508219346615</v>
      </c>
      <c r="CN13" s="485">
        <f>CC10</f>
        <v>6546.8249657607212</v>
      </c>
      <c r="CO13" s="485">
        <f>CD10</f>
        <v>-9444.1335516830823</v>
      </c>
      <c r="CP13" s="485">
        <v>0</v>
      </c>
      <c r="CQ13" s="552">
        <f>CM13</f>
        <v>45127.508219346615</v>
      </c>
      <c r="CR13" s="550" t="s">
        <v>306</v>
      </c>
      <c r="CS13" s="370">
        <f>CG13/(CM13*'Structural Information'!$U$8)</f>
        <v>1.7443905747548439E-3</v>
      </c>
      <c r="CT13" s="370">
        <f>CS13+(((1/CN13)*(CH13-CG13))/'Structural Information'!$U$8)</f>
        <v>4.7504278680878037E-3</v>
      </c>
      <c r="CU13" s="370">
        <f>CT13+(((1/CO13)*(CI13-CH13))/'Structural Information'!$U$8)</f>
        <v>1.4127677725404499E-2</v>
      </c>
      <c r="CV13" s="370">
        <f>0.08</f>
        <v>0.08</v>
      </c>
      <c r="CW13" s="581">
        <v>0</v>
      </c>
      <c r="CX13" s="180"/>
      <c r="DC13" s="233"/>
    </row>
    <row r="14" spans="2:107" ht="16.5" thickBot="1" x14ac:dyDescent="0.3">
      <c r="BE14" s="819"/>
      <c r="BF14" s="304">
        <v>3</v>
      </c>
      <c r="BG14" s="304">
        <v>7311</v>
      </c>
      <c r="BH14" s="304" t="s">
        <v>27</v>
      </c>
      <c r="BI14" s="257">
        <f>'Structural Information'!$U$8</f>
        <v>2.75</v>
      </c>
      <c r="BJ14" s="598">
        <f>('Structural Information'!$X$24)*(200)/$BI14</f>
        <v>58490.743223199061</v>
      </c>
      <c r="BK14" s="587">
        <f>'Structural Information'!$T$23*'Structural Information'!$T$24*(4700*SQRT('Structural Information'!$AC$23))/(BI14*1000)</f>
        <v>472904.25008881674</v>
      </c>
      <c r="BM14" s="815"/>
      <c r="BN14" s="333" t="s">
        <v>377</v>
      </c>
      <c r="BO14" s="334">
        <f>'Structural Information'!$AC$8</f>
        <v>4.5</v>
      </c>
      <c r="BP14" s="335">
        <f>BQ14+BP13</f>
        <v>1.9444444444444442</v>
      </c>
      <c r="BQ14" s="335">
        <f>BR14+BQ13</f>
        <v>1.2777777777777777</v>
      </c>
      <c r="BR14" s="336">
        <f>BR13</f>
        <v>0.61111111111111116</v>
      </c>
      <c r="BT14" s="815">
        <v>3</v>
      </c>
      <c r="BU14" s="375" t="s">
        <v>259</v>
      </c>
      <c r="BV14" s="359">
        <f>(BP13*BP13)/$BK$6</f>
        <v>1.0252571947861007E-6</v>
      </c>
      <c r="BW14" s="359">
        <f>(BQ13*BQ13)/$BK$10</f>
        <v>1.0252571947861007E-6</v>
      </c>
      <c r="BX14" s="360">
        <f>(BR13*BR13)/$BK$14</f>
        <v>7.8970910084508108E-7</v>
      </c>
      <c r="DC14" s="233"/>
    </row>
    <row r="15" spans="2:107" ht="16.5" thickBot="1" x14ac:dyDescent="0.3">
      <c r="BE15" s="821"/>
      <c r="BF15" s="363">
        <v>4</v>
      </c>
      <c r="BG15" s="363">
        <v>7411</v>
      </c>
      <c r="BH15" s="363" t="s">
        <v>27</v>
      </c>
      <c r="BI15" s="261">
        <f>'Structural Information'!$U$8</f>
        <v>2.75</v>
      </c>
      <c r="BJ15" s="603">
        <f>('Structural Information'!$X$24)*(200)/$BI15</f>
        <v>58490.743223199061</v>
      </c>
      <c r="BK15" s="604">
        <f>'Structural Information'!$T$23*'Structural Information'!$T$24*(4700*SQRT('Structural Information'!$AC$23))/(BI15*1000)</f>
        <v>472904.25008881674</v>
      </c>
      <c r="BM15" s="815"/>
      <c r="BN15" s="344">
        <v>4</v>
      </c>
      <c r="BO15" s="345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10">
        <f>(BR$4/$BO15)</f>
        <v>0.61111111111111116</v>
      </c>
      <c r="BT15" s="815"/>
      <c r="BU15" s="252" t="s">
        <v>255</v>
      </c>
      <c r="BV15" s="314">
        <f>1/($AT$6)</f>
        <v>5.5923707762066768E-5</v>
      </c>
      <c r="BW15" s="314">
        <f>1/($AT$9)</f>
        <v>5.5923707762066768E-5</v>
      </c>
      <c r="BX15" s="315">
        <f>1/($AT$12)</f>
        <v>5.3183767341075516E-5</v>
      </c>
      <c r="CR15" s="865" t="s">
        <v>305</v>
      </c>
      <c r="CS15" s="866"/>
      <c r="CT15" s="866"/>
      <c r="CU15" s="866"/>
      <c r="CV15" s="867"/>
      <c r="DC15" s="233"/>
    </row>
    <row r="16" spans="2:107" ht="16.5" thickBot="1" x14ac:dyDescent="0.3">
      <c r="BM16" s="817"/>
      <c r="BN16" s="376" t="s">
        <v>377</v>
      </c>
      <c r="BO16" s="377">
        <f>'Structural Information'!$AC$8</f>
        <v>4.5</v>
      </c>
      <c r="BP16" s="378">
        <f>BQ16+BP15</f>
        <v>1.9444444444444442</v>
      </c>
      <c r="BQ16" s="378">
        <f>BR16+BQ15</f>
        <v>1.2777777777777777</v>
      </c>
      <c r="BR16" s="379">
        <f>BR15</f>
        <v>0.61111111111111116</v>
      </c>
      <c r="BT16" s="815"/>
      <c r="BU16" s="337" t="s">
        <v>255</v>
      </c>
      <c r="BV16" s="314">
        <f>1/($AY$6)</f>
        <v>3.9146595433446759E-4</v>
      </c>
      <c r="BW16" s="314">
        <f>1/($AY$9)</f>
        <v>3.9146595433446759E-4</v>
      </c>
      <c r="BX16" s="315">
        <f>1/($AY$12)</f>
        <v>3.7228637138752869E-4</v>
      </c>
      <c r="CR16" s="868" t="s">
        <v>303</v>
      </c>
      <c r="CS16" s="870" t="s">
        <v>193</v>
      </c>
      <c r="CT16" s="872" t="s">
        <v>194</v>
      </c>
      <c r="CU16" s="872" t="s">
        <v>195</v>
      </c>
      <c r="CV16" s="874" t="s">
        <v>196</v>
      </c>
      <c r="DC16" s="233"/>
    </row>
    <row r="17" spans="1:107" ht="16.5" thickBot="1" x14ac:dyDescent="0.3">
      <c r="U17" s="822" t="s">
        <v>232</v>
      </c>
      <c r="V17" s="823"/>
      <c r="W17" s="823"/>
      <c r="X17" s="823"/>
      <c r="Y17" s="823"/>
      <c r="Z17" s="824"/>
      <c r="AA17" s="89"/>
      <c r="AR17" s="235"/>
      <c r="AS17" s="459"/>
      <c r="AT17" s="459"/>
      <c r="AU17" s="459"/>
      <c r="AV17" s="235"/>
      <c r="AW17" s="459"/>
      <c r="AX17" s="459"/>
      <c r="AY17" s="459"/>
      <c r="AZ17" s="459"/>
      <c r="BA17" s="235"/>
      <c r="BC17" s="388"/>
      <c r="BT17" s="815"/>
      <c r="BU17" s="346" t="s">
        <v>255</v>
      </c>
      <c r="BV17" s="314">
        <f>1/($BC$6)</f>
        <v>-2.679245127850868E-4</v>
      </c>
      <c r="BW17" s="314">
        <f>1/($BC$9)</f>
        <v>-2.679245127850868E-4</v>
      </c>
      <c r="BX17" s="315">
        <f>1/($BC$12)</f>
        <v>-2.3360170673421233E-4</v>
      </c>
      <c r="CR17" s="869"/>
      <c r="CS17" s="871"/>
      <c r="CT17" s="873"/>
      <c r="CU17" s="873"/>
      <c r="CV17" s="875"/>
      <c r="DC17" s="233"/>
    </row>
    <row r="18" spans="1:107" ht="16.5" thickBot="1" x14ac:dyDescent="0.3">
      <c r="U18" s="380" t="s">
        <v>9</v>
      </c>
      <c r="V18" s="590" t="s">
        <v>59</v>
      </c>
      <c r="W18" s="591" t="s">
        <v>32</v>
      </c>
      <c r="X18" s="591" t="s">
        <v>30</v>
      </c>
      <c r="Y18" s="592" t="s">
        <v>231</v>
      </c>
      <c r="Z18" s="593" t="s">
        <v>226</v>
      </c>
      <c r="AA18" s="382"/>
      <c r="AR18" s="235"/>
      <c r="AS18" s="459"/>
      <c r="AT18" s="459"/>
      <c r="AU18" s="459"/>
      <c r="AV18" s="235"/>
      <c r="AW18" s="459"/>
      <c r="AX18" s="459"/>
      <c r="AY18" s="459"/>
      <c r="AZ18" s="459"/>
      <c r="BA18" s="235"/>
      <c r="BT18" s="817"/>
      <c r="BU18" s="383" t="s">
        <v>252</v>
      </c>
      <c r="BV18" s="384">
        <f>(BP15*BP15)/$BK$7</f>
        <v>1.0252571947861007E-6</v>
      </c>
      <c r="BW18" s="384">
        <f>(BQ15*BQ15)/$BK$11</f>
        <v>1.0252571947861007E-6</v>
      </c>
      <c r="BX18" s="385">
        <f>(BR15*BR15)/$BK$15</f>
        <v>7.8970910084508108E-7</v>
      </c>
      <c r="CR18" s="386" t="s">
        <v>395</v>
      </c>
      <c r="CS18" s="230">
        <f t="shared" ref="CS18:CV20" si="20">CS11/$CS11</f>
        <v>1</v>
      </c>
      <c r="CT18" s="230">
        <f t="shared" si="20"/>
        <v>2.6192195731301537</v>
      </c>
      <c r="CU18" s="230">
        <f t="shared" si="20"/>
        <v>8.063602930356609</v>
      </c>
      <c r="CV18" s="310">
        <f t="shared" si="20"/>
        <v>43.006732562915872</v>
      </c>
      <c r="DC18" s="233"/>
    </row>
    <row r="19" spans="1:107" x14ac:dyDescent="0.25">
      <c r="U19" s="809">
        <v>3</v>
      </c>
      <c r="V19" s="594">
        <v>1</v>
      </c>
      <c r="W19" s="295">
        <v>7113</v>
      </c>
      <c r="X19" s="296" t="s">
        <v>12</v>
      </c>
      <c r="Y19" s="573">
        <f>'Structural Information'!$AC$8</f>
        <v>4.5</v>
      </c>
      <c r="Z19" s="589">
        <f>'Structural Information'!$T$18*'Structural Information'!$T$19*(4700*SQRT('Structural Information'!$AC$23))/(Y19*1000)</f>
        <v>809191.71681864199</v>
      </c>
      <c r="AA19" s="387"/>
      <c r="AL19" s="388"/>
      <c r="AR19" s="235"/>
      <c r="AS19" s="459"/>
      <c r="AT19" s="459"/>
      <c r="AU19" s="459"/>
      <c r="AV19" s="235"/>
      <c r="AW19" s="459"/>
      <c r="AX19" s="459"/>
      <c r="AY19" s="459"/>
      <c r="AZ19" s="459"/>
      <c r="BA19" s="235"/>
      <c r="BC19" s="388"/>
      <c r="CR19" s="386" t="s">
        <v>396</v>
      </c>
      <c r="CS19" s="230">
        <f t="shared" si="20"/>
        <v>1</v>
      </c>
      <c r="CT19" s="230">
        <f t="shared" si="20"/>
        <v>2.6721054849285917</v>
      </c>
      <c r="CU19" s="230">
        <f t="shared" si="20"/>
        <v>8.2626130706669496</v>
      </c>
      <c r="CV19" s="310">
        <f t="shared" si="20"/>
        <v>45.310939779862444</v>
      </c>
    </row>
    <row r="20" spans="1:107" ht="16.5" thickBot="1" x14ac:dyDescent="0.3">
      <c r="U20" s="810"/>
      <c r="V20" s="595">
        <v>2</v>
      </c>
      <c r="W20" s="304">
        <v>7213</v>
      </c>
      <c r="X20" s="320" t="s">
        <v>12</v>
      </c>
      <c r="Y20" s="257">
        <f>'Structural Information'!$AC$7</f>
        <v>2</v>
      </c>
      <c r="Z20" s="551">
        <f>'Structural Information'!$T$18*'Structural Information'!$T$19*(4700*SQRT('Structural Information'!$AC$23))/(Y20*1000)</f>
        <v>1820681.3628419444</v>
      </c>
      <c r="AA20" s="387"/>
      <c r="AL20" s="388"/>
      <c r="AR20" s="235"/>
      <c r="AS20" s="459"/>
      <c r="AT20" s="459"/>
      <c r="AU20" s="459"/>
      <c r="AV20" s="235"/>
      <c r="AW20" s="459"/>
      <c r="AX20" s="459"/>
      <c r="AY20" s="459"/>
      <c r="AZ20" s="459"/>
      <c r="BA20" s="235"/>
      <c r="BX20" s="389"/>
      <c r="BY20" s="390"/>
      <c r="BZ20" s="390"/>
      <c r="CA20" s="390"/>
      <c r="CB20" s="390"/>
      <c r="CC20" s="390"/>
      <c r="CD20" s="390"/>
      <c r="CJ20" s="391"/>
      <c r="CK20" s="391"/>
      <c r="CR20" s="392" t="s">
        <v>397</v>
      </c>
      <c r="CS20" s="261">
        <f t="shared" si="20"/>
        <v>1</v>
      </c>
      <c r="CT20" s="261">
        <f t="shared" si="20"/>
        <v>2.723259307196972</v>
      </c>
      <c r="CU20" s="261">
        <f t="shared" si="20"/>
        <v>8.098918860181298</v>
      </c>
      <c r="CV20" s="368">
        <f t="shared" si="20"/>
        <v>45.861288840799418</v>
      </c>
    </row>
    <row r="21" spans="1:107" x14ac:dyDescent="0.25">
      <c r="U21" s="811"/>
      <c r="V21" s="596">
        <v>3</v>
      </c>
      <c r="W21" s="325">
        <v>7313</v>
      </c>
      <c r="X21" s="326" t="s">
        <v>12</v>
      </c>
      <c r="Y21" s="574">
        <f>'Structural Information'!$AC$6</f>
        <v>4.5</v>
      </c>
      <c r="Z21" s="588">
        <f>'Structural Information'!$T$18*'Structural Information'!$T$19*(4700*SQRT('Structural Information'!$AC$23))/(Y21*1000)</f>
        <v>809191.71681864199</v>
      </c>
      <c r="AA21" s="387"/>
      <c r="AL21" s="388"/>
      <c r="AR21" s="235"/>
      <c r="AS21" s="459"/>
      <c r="AT21" s="459"/>
      <c r="AU21" s="459"/>
      <c r="AV21" s="235"/>
      <c r="AW21" s="459"/>
      <c r="AX21" s="459"/>
      <c r="AY21" s="459"/>
      <c r="AZ21" s="459"/>
      <c r="BA21" s="235"/>
      <c r="BC21" s="459"/>
      <c r="BX21" s="390"/>
      <c r="BY21" s="390"/>
      <c r="BZ21" s="390"/>
      <c r="CA21" s="390"/>
      <c r="CB21" s="390"/>
      <c r="CC21" s="390"/>
      <c r="CD21" s="237"/>
    </row>
    <row r="22" spans="1:107" x14ac:dyDescent="0.25">
      <c r="B22" s="304"/>
      <c r="C22" s="304"/>
      <c r="D22" s="304"/>
      <c r="E22" s="257"/>
      <c r="F22" s="257"/>
      <c r="G22" s="257"/>
      <c r="H22" s="257"/>
      <c r="I22" s="257"/>
      <c r="J22" s="393"/>
      <c r="K22" s="257"/>
      <c r="L22" s="257"/>
      <c r="M22" s="257"/>
      <c r="N22" s="257"/>
      <c r="U22" s="809">
        <v>2</v>
      </c>
      <c r="V22" s="594">
        <v>1</v>
      </c>
      <c r="W22" s="295">
        <v>7112</v>
      </c>
      <c r="X22" s="296" t="s">
        <v>12</v>
      </c>
      <c r="Y22" s="573">
        <f>'Structural Information'!$AC$8</f>
        <v>4.5</v>
      </c>
      <c r="Z22" s="551">
        <f>'Structural Information'!$T$18*'Structural Information'!$T$19*(4700*SQRT('Structural Information'!$AC$23))/(Y22*1000)</f>
        <v>809191.71681864199</v>
      </c>
      <c r="AA22" s="387"/>
      <c r="AB22" s="322"/>
      <c r="AC22" s="257"/>
      <c r="AD22" s="257"/>
      <c r="AE22" s="257"/>
      <c r="AF22" s="257"/>
      <c r="AG22" s="257"/>
      <c r="AH22" s="257"/>
      <c r="AI22" s="257"/>
      <c r="AJ22" s="257"/>
      <c r="AK22" s="257"/>
      <c r="AL22" s="388"/>
      <c r="AM22" s="304"/>
      <c r="AN22" s="304"/>
      <c r="AO22" s="304"/>
      <c r="AP22" s="257"/>
      <c r="AQ22" s="257"/>
      <c r="AR22" s="235"/>
      <c r="AS22" s="610"/>
      <c r="AT22" s="307"/>
      <c r="AU22" s="307"/>
      <c r="AV22" s="235"/>
      <c r="AW22" s="307"/>
      <c r="AX22" s="610"/>
      <c r="AY22" s="307"/>
      <c r="AZ22" s="307"/>
      <c r="BA22" s="235"/>
      <c r="BB22" s="307"/>
      <c r="BC22" s="257"/>
      <c r="BX22" s="390"/>
      <c r="BY22" s="390"/>
      <c r="BZ22" s="390"/>
      <c r="CA22" s="390"/>
      <c r="CB22" s="390"/>
      <c r="CC22" s="390"/>
      <c r="CD22" s="237"/>
      <c r="CF22" s="258"/>
      <c r="CG22" s="304"/>
      <c r="CH22" s="257"/>
      <c r="CI22" s="257"/>
      <c r="CJ22" s="257"/>
      <c r="CK22" s="257"/>
    </row>
    <row r="23" spans="1:107" x14ac:dyDescent="0.25">
      <c r="B23" s="304"/>
      <c r="C23" s="304"/>
      <c r="D23" s="304"/>
      <c r="E23" s="257"/>
      <c r="F23" s="257"/>
      <c r="G23" s="257"/>
      <c r="H23" s="257"/>
      <c r="I23" s="257"/>
      <c r="J23" s="393"/>
      <c r="K23" s="257"/>
      <c r="L23" s="257"/>
      <c r="M23" s="257"/>
      <c r="N23" s="257"/>
      <c r="U23" s="810"/>
      <c r="V23" s="595">
        <v>2</v>
      </c>
      <c r="W23" s="304">
        <v>7212</v>
      </c>
      <c r="X23" s="320" t="s">
        <v>12</v>
      </c>
      <c r="Y23" s="257">
        <f>'Structural Information'!$AC$7</f>
        <v>2</v>
      </c>
      <c r="Z23" s="551">
        <f>'Structural Information'!$T$18*'Structural Information'!$T$19*(4700*SQRT('Structural Information'!$AC$23))/(Y23*1000)</f>
        <v>1820681.3628419444</v>
      </c>
      <c r="AA23" s="387"/>
      <c r="AB23" s="322"/>
      <c r="AC23" s="257"/>
      <c r="AD23" s="257"/>
      <c r="AE23" s="257"/>
      <c r="AF23" s="257"/>
      <c r="AG23" s="257"/>
      <c r="AH23" s="257"/>
      <c r="AI23" s="257"/>
      <c r="AJ23" s="257"/>
      <c r="AK23" s="257"/>
      <c r="AL23" s="388"/>
      <c r="AM23" s="304"/>
      <c r="AN23" s="304"/>
      <c r="AO23" s="304"/>
      <c r="AP23" s="257"/>
      <c r="AQ23" s="257"/>
      <c r="AR23" s="235"/>
      <c r="AS23" s="610"/>
      <c r="AT23" s="307"/>
      <c r="AU23" s="307"/>
      <c r="AV23" s="235"/>
      <c r="AW23" s="307"/>
      <c r="AX23" s="610"/>
      <c r="AY23" s="307"/>
      <c r="AZ23" s="307"/>
      <c r="BA23" s="235"/>
      <c r="BB23" s="307"/>
      <c r="BC23" s="257"/>
      <c r="CB23" s="390"/>
      <c r="CC23" s="390"/>
      <c r="CD23" s="237"/>
      <c r="CF23" s="258"/>
      <c r="CG23" s="304"/>
      <c r="CH23" s="257"/>
      <c r="CI23" s="257"/>
      <c r="CJ23" s="257"/>
      <c r="CK23" s="257"/>
    </row>
    <row r="24" spans="1:107" x14ac:dyDescent="0.25">
      <c r="B24" s="304"/>
      <c r="C24" s="304"/>
      <c r="D24" s="304"/>
      <c r="E24" s="257"/>
      <c r="F24" s="257"/>
      <c r="G24" s="257"/>
      <c r="H24" s="257"/>
      <c r="I24" s="257"/>
      <c r="J24" s="393"/>
      <c r="K24" s="257"/>
      <c r="L24" s="257"/>
      <c r="M24" s="257"/>
      <c r="N24" s="257"/>
      <c r="U24" s="811"/>
      <c r="V24" s="596">
        <v>3</v>
      </c>
      <c r="W24" s="325">
        <v>7312</v>
      </c>
      <c r="X24" s="326" t="s">
        <v>12</v>
      </c>
      <c r="Y24" s="574">
        <f>'Structural Information'!$AC$6</f>
        <v>4.5</v>
      </c>
      <c r="Z24" s="588">
        <f>'Structural Information'!$T$18*'Structural Information'!$T$19*(4700*SQRT('Structural Information'!$AC$23))/(Y24*1000)</f>
        <v>809191.71681864199</v>
      </c>
      <c r="AA24" s="387"/>
      <c r="AB24" s="322"/>
      <c r="AC24" s="257"/>
      <c r="AD24" s="257"/>
      <c r="AE24" s="257"/>
      <c r="AF24" s="257"/>
      <c r="AG24" s="257"/>
      <c r="AH24" s="257"/>
      <c r="AI24" s="257"/>
      <c r="AJ24" s="257"/>
      <c r="AK24" s="257"/>
      <c r="AL24" s="388"/>
      <c r="AM24" s="304"/>
      <c r="AN24" s="304"/>
      <c r="AO24" s="304"/>
      <c r="AP24" s="257"/>
      <c r="AQ24" s="257"/>
      <c r="AR24" s="235"/>
      <c r="AS24" s="610"/>
      <c r="AT24" s="307"/>
      <c r="AU24" s="307"/>
      <c r="AV24" s="235"/>
      <c r="AW24" s="307"/>
      <c r="AX24" s="610"/>
      <c r="AY24" s="307"/>
      <c r="AZ24" s="307"/>
      <c r="BA24" s="235"/>
      <c r="BB24" s="307"/>
      <c r="BC24" s="257"/>
      <c r="CB24" s="390"/>
      <c r="CC24" s="390"/>
      <c r="CD24" s="237"/>
      <c r="CF24" s="258"/>
      <c r="CG24" s="304"/>
      <c r="CH24" s="257"/>
      <c r="CI24" s="257"/>
      <c r="CJ24" s="257"/>
      <c r="CK24" s="257"/>
    </row>
    <row r="25" spans="1:107" x14ac:dyDescent="0.25">
      <c r="A25" s="180"/>
      <c r="B25" s="304"/>
      <c r="C25" s="304"/>
      <c r="D25" s="304"/>
      <c r="E25" s="257"/>
      <c r="F25" s="257"/>
      <c r="G25" s="257"/>
      <c r="H25" s="257"/>
      <c r="I25" s="257"/>
      <c r="J25" s="393"/>
      <c r="K25" s="257"/>
      <c r="L25" s="257"/>
      <c r="M25" s="257"/>
      <c r="N25" s="257"/>
      <c r="O25" s="180"/>
      <c r="P25" s="180"/>
      <c r="Q25" s="180"/>
      <c r="R25" s="180"/>
      <c r="U25" s="809">
        <v>1</v>
      </c>
      <c r="V25" s="594">
        <v>1</v>
      </c>
      <c r="W25" s="295">
        <v>7111</v>
      </c>
      <c r="X25" s="296" t="s">
        <v>12</v>
      </c>
      <c r="Y25" s="573">
        <f>'Structural Information'!$AC$8</f>
        <v>4.5</v>
      </c>
      <c r="Z25" s="551">
        <f>'Structural Information'!$T$18*'Structural Information'!$T$19*(4700*SQRT('Structural Information'!$AC$23))/(Y25*1000)</f>
        <v>809191.71681864199</v>
      </c>
      <c r="AA25" s="387"/>
      <c r="AB25" s="322"/>
      <c r="AC25" s="257"/>
      <c r="AD25" s="257"/>
      <c r="AE25" s="257"/>
      <c r="AF25" s="257"/>
      <c r="AG25" s="257"/>
      <c r="AH25" s="257"/>
      <c r="AI25" s="257"/>
      <c r="AJ25" s="257"/>
      <c r="AK25" s="257"/>
      <c r="AL25" s="388"/>
      <c r="AM25" s="304"/>
      <c r="AN25" s="304"/>
      <c r="AO25" s="304"/>
      <c r="AP25" s="257"/>
      <c r="AQ25" s="257"/>
      <c r="AR25" s="235"/>
      <c r="AS25" s="610"/>
      <c r="AT25" s="307"/>
      <c r="AU25" s="307"/>
      <c r="AV25" s="235"/>
      <c r="AW25" s="307"/>
      <c r="AX25" s="610"/>
      <c r="AY25" s="307"/>
      <c r="AZ25" s="307"/>
      <c r="BA25" s="235"/>
      <c r="BB25" s="307"/>
      <c r="BC25" s="257"/>
      <c r="CB25" s="390"/>
      <c r="CC25" s="390"/>
      <c r="CD25" s="237"/>
      <c r="CF25" s="258"/>
      <c r="CG25" s="304"/>
      <c r="CH25" s="257"/>
      <c r="CI25" s="257"/>
      <c r="CJ25" s="257"/>
      <c r="CK25" s="257"/>
    </row>
    <row r="26" spans="1:107" x14ac:dyDescent="0.25">
      <c r="A26" s="180"/>
      <c r="B26" s="304"/>
      <c r="C26" s="304"/>
      <c r="D26" s="304"/>
      <c r="E26" s="257"/>
      <c r="F26" s="257"/>
      <c r="G26" s="257"/>
      <c r="H26" s="257"/>
      <c r="I26" s="257"/>
      <c r="J26" s="393"/>
      <c r="K26" s="257"/>
      <c r="L26" s="257"/>
      <c r="M26" s="257"/>
      <c r="N26" s="257"/>
      <c r="O26" s="180"/>
      <c r="P26" s="180"/>
      <c r="Q26" s="180"/>
      <c r="R26" s="180"/>
      <c r="U26" s="810"/>
      <c r="V26" s="595">
        <v>2</v>
      </c>
      <c r="W26" s="304">
        <v>7211</v>
      </c>
      <c r="X26" s="320" t="s">
        <v>12</v>
      </c>
      <c r="Y26" s="257">
        <f>'Structural Information'!$AC$7</f>
        <v>2</v>
      </c>
      <c r="Z26" s="551">
        <f>'Structural Information'!$T$18*'Structural Information'!$T$19*(4700*SQRT('Structural Information'!$AC$23))/(Y26*1000)</f>
        <v>1820681.3628419444</v>
      </c>
      <c r="AA26" s="387"/>
      <c r="AB26" s="322"/>
      <c r="AC26" s="257"/>
      <c r="AD26" s="257"/>
      <c r="AE26" s="257"/>
      <c r="AF26" s="257"/>
      <c r="AG26" s="257"/>
      <c r="AH26" s="257"/>
      <c r="AI26" s="257"/>
      <c r="AJ26" s="257"/>
      <c r="AK26" s="257"/>
      <c r="AL26" s="388"/>
      <c r="AM26" s="304"/>
      <c r="AN26" s="304"/>
      <c r="AO26" s="304"/>
      <c r="AP26" s="257"/>
      <c r="AQ26" s="257"/>
      <c r="AS26" s="394"/>
      <c r="AT26" s="257"/>
      <c r="AU26" s="257"/>
      <c r="AV26" s="307"/>
      <c r="AW26" s="307"/>
      <c r="AX26" s="394"/>
      <c r="AY26" s="257"/>
      <c r="AZ26" s="257"/>
      <c r="BA26" s="307"/>
      <c r="BB26" s="307"/>
      <c r="BC26" s="257"/>
      <c r="CB26" s="390"/>
      <c r="CC26" s="390"/>
      <c r="CD26" s="237"/>
      <c r="CF26" s="258"/>
      <c r="CG26" s="304"/>
      <c r="CH26" s="257"/>
      <c r="CI26" s="257"/>
      <c r="CJ26" s="257"/>
      <c r="CK26" s="257"/>
    </row>
    <row r="27" spans="1:107" ht="16.5" thickBot="1" x14ac:dyDescent="0.3">
      <c r="A27" s="180"/>
      <c r="B27" s="304"/>
      <c r="C27" s="304"/>
      <c r="D27" s="304"/>
      <c r="E27" s="257"/>
      <c r="F27" s="257"/>
      <c r="G27" s="257"/>
      <c r="H27" s="257"/>
      <c r="I27" s="257"/>
      <c r="J27" s="393"/>
      <c r="K27" s="257"/>
      <c r="L27" s="257"/>
      <c r="M27" s="257"/>
      <c r="N27" s="257"/>
      <c r="O27" s="180"/>
      <c r="P27" s="180"/>
      <c r="Q27" s="180"/>
      <c r="R27" s="180"/>
      <c r="U27" s="812"/>
      <c r="V27" s="597">
        <v>3</v>
      </c>
      <c r="W27" s="363">
        <v>7311</v>
      </c>
      <c r="X27" s="364" t="s">
        <v>12</v>
      </c>
      <c r="Y27" s="572">
        <f>'Structural Information'!$AC$6</f>
        <v>4.5</v>
      </c>
      <c r="Z27" s="552">
        <f>'Structural Information'!$T$18*'Structural Information'!$T$19*(4700*SQRT('Structural Information'!$AC$23))/(Y27*1000)</f>
        <v>809191.71681864199</v>
      </c>
      <c r="AA27" s="387"/>
      <c r="AB27" s="322"/>
      <c r="AC27" s="257"/>
      <c r="AD27" s="257"/>
      <c r="AE27" s="257"/>
      <c r="AF27" s="257"/>
      <c r="AG27" s="257"/>
      <c r="AH27" s="257"/>
      <c r="AI27" s="257"/>
      <c r="AJ27" s="257"/>
      <c r="AK27" s="257"/>
      <c r="AL27" s="388"/>
      <c r="AM27" s="304"/>
      <c r="AN27" s="304"/>
      <c r="AO27" s="304"/>
      <c r="AP27" s="257"/>
      <c r="AQ27" s="257"/>
      <c r="AS27" s="394"/>
      <c r="AT27" s="257"/>
      <c r="AU27" s="257"/>
      <c r="AV27" s="307"/>
      <c r="AW27" s="307"/>
      <c r="AX27" s="394"/>
      <c r="AY27" s="257"/>
      <c r="AZ27" s="257"/>
      <c r="BA27" s="307"/>
      <c r="BB27" s="307"/>
      <c r="BC27" s="257"/>
      <c r="CB27" s="390"/>
      <c r="CC27" s="390"/>
      <c r="CD27" s="237"/>
      <c r="CF27" s="258"/>
      <c r="CG27" s="304"/>
      <c r="CH27" s="257"/>
      <c r="CI27" s="257"/>
      <c r="CJ27" s="257"/>
      <c r="CK27" s="257"/>
    </row>
    <row r="28" spans="1:107" x14ac:dyDescent="0.25">
      <c r="A28" s="180"/>
      <c r="B28" s="304"/>
      <c r="C28" s="304"/>
      <c r="D28" s="304"/>
      <c r="E28" s="257"/>
      <c r="F28" s="257"/>
      <c r="G28" s="257"/>
      <c r="H28" s="257"/>
      <c r="I28" s="257"/>
      <c r="J28" s="393"/>
      <c r="K28" s="257"/>
      <c r="L28" s="257"/>
      <c r="M28" s="257"/>
      <c r="N28" s="257"/>
      <c r="O28" s="180"/>
      <c r="P28" s="180"/>
      <c r="Q28" s="180"/>
      <c r="R28" s="180"/>
      <c r="AA28" s="395"/>
      <c r="AB28" s="322"/>
      <c r="AC28" s="257"/>
      <c r="AD28" s="257"/>
      <c r="AE28" s="257"/>
      <c r="AF28" s="257"/>
      <c r="AG28" s="257"/>
      <c r="AH28" s="257"/>
      <c r="AI28" s="257"/>
      <c r="AJ28" s="257"/>
      <c r="AK28" s="257"/>
      <c r="AL28" s="388"/>
      <c r="AM28" s="304"/>
      <c r="AN28" s="304"/>
      <c r="AO28" s="304"/>
      <c r="AP28" s="257"/>
      <c r="AQ28" s="257"/>
      <c r="AS28" s="394"/>
      <c r="AT28" s="257"/>
      <c r="AU28" s="257"/>
      <c r="AV28" s="307"/>
      <c r="AW28" s="307"/>
      <c r="AX28" s="394"/>
      <c r="AY28" s="257"/>
      <c r="AZ28" s="257"/>
      <c r="BA28" s="307"/>
      <c r="BB28" s="307"/>
      <c r="BC28" s="257"/>
      <c r="CB28" s="390"/>
      <c r="CC28" s="390"/>
      <c r="CD28" s="237"/>
      <c r="CF28" s="258"/>
      <c r="CG28" s="304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90"/>
      <c r="CC29" s="390"/>
      <c r="CD29" s="237"/>
      <c r="CH29" s="388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CG5:CI5"/>
    <mergeCell ref="CG6:CI6"/>
    <mergeCell ref="CG3:CI3"/>
    <mergeCell ref="CG4:CI4"/>
    <mergeCell ref="CH9:CH10"/>
    <mergeCell ref="CI9:CI10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Q9:CQ10"/>
    <mergeCell ref="CR15:CV15"/>
    <mergeCell ref="CR16:CR17"/>
    <mergeCell ref="CS16:CS17"/>
    <mergeCell ref="CT16:CT17"/>
    <mergeCell ref="CU16:CU17"/>
    <mergeCell ref="CV16:CV17"/>
    <mergeCell ref="CC7:CC9"/>
    <mergeCell ref="CD7:CD9"/>
    <mergeCell ref="U2:AK2"/>
    <mergeCell ref="BE2:BK2"/>
    <mergeCell ref="BM2:BR2"/>
    <mergeCell ref="BZ7:BZ9"/>
    <mergeCell ref="U7:U9"/>
    <mergeCell ref="BZ4:BZ6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</mergeCells>
  <phoneticPr fontId="12" type="noConversion"/>
  <conditionalFormatting sqref="AD10:AG10">
    <cfRule type="cellIs" dxfId="16" priority="105" operator="equal">
      <formula>$AH$10</formula>
    </cfRule>
  </conditionalFormatting>
  <conditionalFormatting sqref="AD11:AG11">
    <cfRule type="cellIs" dxfId="15" priority="104" operator="equal">
      <formula>$AH$11</formula>
    </cfRule>
  </conditionalFormatting>
  <conditionalFormatting sqref="AD7:AG7">
    <cfRule type="cellIs" dxfId="14" priority="102" operator="equal">
      <formula>$AH$7</formula>
    </cfRule>
  </conditionalFormatting>
  <conditionalFormatting sqref="AD8:AG8">
    <cfRule type="cellIs" dxfId="13" priority="101" operator="equal">
      <formula>$AH$8</formula>
    </cfRule>
  </conditionalFormatting>
  <conditionalFormatting sqref="AD9:AG9">
    <cfRule type="cellIs" dxfId="12" priority="100" operator="equal">
      <formula>$AH$9</formula>
    </cfRule>
  </conditionalFormatting>
  <conditionalFormatting sqref="AD4:AG4">
    <cfRule type="cellIs" dxfId="11" priority="99" operator="equal">
      <formula>$AH$4</formula>
    </cfRule>
  </conditionalFormatting>
  <conditionalFormatting sqref="AD5:AG5">
    <cfRule type="cellIs" dxfId="10" priority="98" operator="equal">
      <formula>$AH$5</formula>
    </cfRule>
  </conditionalFormatting>
  <conditionalFormatting sqref="AD6:AG6">
    <cfRule type="cellIs" dxfId="9" priority="97" operator="equal">
      <formula>$AH$6</formula>
    </cfRule>
  </conditionalFormatting>
  <conditionalFormatting sqref="AD22:AG28 AD12:AG12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A7" zoomScale="80" zoomScaleNormal="80" workbookViewId="0">
      <selection activeCell="N24" sqref="N24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15" t="s">
        <v>288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7"/>
    </row>
    <row r="3" spans="2:22" ht="15.75" customHeight="1" thickBot="1" x14ac:dyDescent="0.3">
      <c r="B3" s="918"/>
      <c r="C3" s="919"/>
      <c r="D3" s="919"/>
      <c r="E3" s="919"/>
      <c r="F3" s="919"/>
      <c r="G3" s="919"/>
      <c r="H3" s="919"/>
      <c r="I3" s="919"/>
      <c r="J3" s="919"/>
      <c r="K3" s="919"/>
      <c r="L3" s="919"/>
      <c r="M3" s="919"/>
      <c r="N3" s="919"/>
      <c r="O3" s="919"/>
      <c r="P3" s="919"/>
      <c r="Q3" s="919"/>
      <c r="R3" s="919"/>
      <c r="S3" s="920"/>
    </row>
    <row r="4" spans="2:22" ht="16.5" thickBot="1" x14ac:dyDescent="0.3">
      <c r="B4" s="158"/>
      <c r="C4" s="933" t="s">
        <v>234</v>
      </c>
      <c r="D4" s="934"/>
      <c r="E4" s="934"/>
      <c r="F4" s="934"/>
      <c r="G4" s="934"/>
      <c r="H4" s="934"/>
      <c r="I4" s="934"/>
      <c r="J4" s="935"/>
      <c r="K4" s="114"/>
      <c r="L4" s="114"/>
      <c r="M4" s="933" t="s">
        <v>238</v>
      </c>
      <c r="N4" s="934"/>
      <c r="O4" s="934"/>
      <c r="P4" s="934"/>
      <c r="Q4" s="934"/>
      <c r="R4" s="935"/>
      <c r="S4" s="162"/>
      <c r="U4" s="932" t="s">
        <v>301</v>
      </c>
      <c r="V4" s="932"/>
    </row>
    <row r="5" spans="2:22" x14ac:dyDescent="0.25">
      <c r="B5" s="158"/>
      <c r="C5" s="245" t="s">
        <v>9</v>
      </c>
      <c r="D5" s="381" t="s">
        <v>73</v>
      </c>
      <c r="E5" s="248" t="s">
        <v>215</v>
      </c>
      <c r="F5" s="248" t="s">
        <v>214</v>
      </c>
      <c r="G5" s="248" t="s">
        <v>213</v>
      </c>
      <c r="H5" s="248" t="s">
        <v>216</v>
      </c>
      <c r="I5" s="248" t="s">
        <v>217</v>
      </c>
      <c r="J5" s="109" t="s">
        <v>218</v>
      </c>
      <c r="K5" s="218"/>
      <c r="L5" s="218"/>
      <c r="M5" s="245" t="s">
        <v>9</v>
      </c>
      <c r="N5" s="248" t="s">
        <v>191</v>
      </c>
      <c r="O5" s="396" t="s">
        <v>192</v>
      </c>
      <c r="P5" s="108" t="s">
        <v>219</v>
      </c>
      <c r="Q5" s="248" t="s">
        <v>74</v>
      </c>
      <c r="R5" s="109" t="s">
        <v>181</v>
      </c>
      <c r="S5" s="162"/>
      <c r="U5" s="229" t="s">
        <v>325</v>
      </c>
      <c r="V5" s="397" t="s">
        <v>242</v>
      </c>
    </row>
    <row r="6" spans="2:22" x14ac:dyDescent="0.25">
      <c r="B6" s="158"/>
      <c r="C6" s="398">
        <v>3</v>
      </c>
      <c r="D6" s="230">
        <f>'Structural Information'!U6</f>
        <v>3</v>
      </c>
      <c r="E6" s="306">
        <f>G32*H32</f>
        <v>267.2</v>
      </c>
      <c r="F6" s="230">
        <f>G32*H32*I32</f>
        <v>2.5644787200000003</v>
      </c>
      <c r="G6" s="399">
        <f>F6/E6</f>
        <v>9.5976000000000013E-3</v>
      </c>
      <c r="H6" s="306">
        <f>G19*H19</f>
        <v>640.10385571326151</v>
      </c>
      <c r="I6" s="230">
        <f>'System Capacities'!G19*'System Capacities'!H19*'System Capacities'!I19</f>
        <v>1.1907044642869977</v>
      </c>
      <c r="J6" s="400">
        <f>I6/H6</f>
        <v>1.8601738665676483E-3</v>
      </c>
      <c r="K6" s="401"/>
      <c r="L6" s="219"/>
      <c r="M6" s="398">
        <v>3</v>
      </c>
      <c r="N6" s="306">
        <f>'System Capacities'!G32</f>
        <v>89.066666666666663</v>
      </c>
      <c r="O6" s="402">
        <f>'System Capacities'!G19</f>
        <v>213.36795190442052</v>
      </c>
      <c r="P6" s="233">
        <f>_xlfn.IFS((($N$19+$N$32)=2),(C$47),(($N$19+$N$32)=3),(C$48),(($N$19+$N$32)=4),(C$49),(($N$19+$N$32)=5),(C$50),(($N$19+$N$32)=6),(C$51),(($N$19+$N$32)=7),(C$52),(($N$19+$N$32)=8),(C$53),(($N$19+$N$32)=9),(C$54),(($N$19+$N$32)=10),(C$55))</f>
        <v>230.6305473153175</v>
      </c>
      <c r="Q6" s="235">
        <f>_xlfn.IFS((($N$19+$N$32)=2),(D$47),(($N$19+$N$32)=3),(D$48),(($N$19+$N$32)=4),(D$49),(($N$19+$N$32)=5),(D$50),(($N$19+$N$32)=6),(D$51),(($N$19+$N$32)=7),(D$52),(($N$19+$N$32)=8),(D$53),(($N$19+$N$32)=9),(D$54),(($N$19+$N$32)=10),(D$55))</f>
        <v>1.8601738665676483E-3</v>
      </c>
      <c r="R6" s="403">
        <f>_xlfn.IFS((($N$19+$N$32)=2),(E$47),(($N$19+$N$32)=3),(E$48),(($N$19+$N$32)=4),(E$49),(($N$19+$N$32)=5),(E$50),(($N$19+$N$32)=6),(E$51),(($N$19+$N$32)=7),(E$52),(($N$19+$N$32)=8),(E$53),(($N$19+$N$32)=9),(E$54),(($N$19+$N$32)=10),(E$55))</f>
        <v>41327.776121786563</v>
      </c>
      <c r="S6" s="162"/>
      <c r="U6" s="230">
        <f>'Post-yield Mechanism'!O226</f>
        <v>36161.060177179243</v>
      </c>
      <c r="V6" s="404">
        <f>((U6-R6)/U6)</f>
        <v>-0.14288065447450474</v>
      </c>
    </row>
    <row r="7" spans="2:22" x14ac:dyDescent="0.25">
      <c r="B7" s="158"/>
      <c r="C7" s="405">
        <v>2</v>
      </c>
      <c r="D7" s="230">
        <f>'Structural Information'!U7</f>
        <v>3</v>
      </c>
      <c r="E7" s="306">
        <f>G33*H33</f>
        <v>313.2</v>
      </c>
      <c r="F7" s="230">
        <f>G33*H33*I33</f>
        <v>2.873446197491289</v>
      </c>
      <c r="G7" s="399">
        <f>F7/E7</f>
        <v>9.1744770034843208E-3</v>
      </c>
      <c r="H7" s="306">
        <f>G20*H20</f>
        <v>649.44000000000005</v>
      </c>
      <c r="I7" s="230">
        <f>'System Capacities'!G20*'System Capacities'!H20*'System Capacities'!I20</f>
        <v>1.1466369987561034</v>
      </c>
      <c r="J7" s="400">
        <f>I7/H7</f>
        <v>1.7655780345468455E-3</v>
      </c>
      <c r="K7" s="401"/>
      <c r="L7" s="219"/>
      <c r="M7" s="405">
        <v>2</v>
      </c>
      <c r="N7" s="306">
        <f>'System Capacities'!G33</f>
        <v>104.39999999999999</v>
      </c>
      <c r="O7" s="402">
        <f>'System Capacities'!G20</f>
        <v>216.48000000000002</v>
      </c>
      <c r="P7" s="233">
        <f>_xlfn.IFS((($N$20+$N$33)=2),(G$47),(($N$20+$N$33)=3),(G$48),(($N$20+$N$33)=4),(G$49),(($N$20+$N$33)=5),(G$50),(($N$20+$N$33)=6),(G$51),(($N$20+$N$33)=7),(G$52),(($N$20+$N$33)=8),(G$53),(($N$20+$N$33)=9),(G$54),(($N$20+$N$33)=10),(G$55))</f>
        <v>236.57121029315203</v>
      </c>
      <c r="Q7" s="235">
        <f>_xlfn.IFS((($N$20+$N$33)=2),(H$47),(($N$20+$N$33)=3),(H$48),(($N$20+$N$33)=4),(H$49),(($N$20+$N$33)=5),(H$50),(($N$20+$N$33)=6),(H$51),(($N$20+$N$33)=7),(H$52),(($N$20+$N$33)=8),(H$53),(($N$20+$N$33)=9),(H$54),(($N$20+$N$33)=10),(H$55))</f>
        <v>1.7655780345468453E-3</v>
      </c>
      <c r="R7" s="403">
        <f>_xlfn.IFS((($N$20+$N$33)=2),(I$47),(($N$20+$N$33)=3),(I$48),(($N$20+$N$33)=4),(I$49),(($N$20+$N$33)=5),(I$50),(($N$20+$N$33)=6),(I$51),(($N$20+$N$33)=7),(I$52),(($N$20+$N$33)=8),(I$53),(($N$20+$N$33)=9),(I$54),(($N$20+$N$33)=10),(I$55))</f>
        <v>44663.599430175775</v>
      </c>
      <c r="S7" s="162"/>
      <c r="U7" s="230">
        <f>'Post-yield Mechanism'!O227</f>
        <v>37366.927022499607</v>
      </c>
      <c r="V7" s="404">
        <f>((U7-R7)/U7)</f>
        <v>-0.19527087157267842</v>
      </c>
    </row>
    <row r="8" spans="2:22" ht="16.5" thickBot="1" x14ac:dyDescent="0.3">
      <c r="B8" s="158"/>
      <c r="C8" s="406">
        <v>1</v>
      </c>
      <c r="D8" s="261">
        <f>'Structural Information'!U8</f>
        <v>2.75</v>
      </c>
      <c r="E8" s="365">
        <f>G34*H34</f>
        <v>353.70000000000005</v>
      </c>
      <c r="F8" s="261">
        <f>G34*H34*I34</f>
        <v>2.8650035625214878</v>
      </c>
      <c r="G8" s="407">
        <f>F8/E8</f>
        <v>8.1000948897978157E-3</v>
      </c>
      <c r="H8" s="365">
        <f>G21*H21</f>
        <v>595.31999999999994</v>
      </c>
      <c r="I8" s="261">
        <f>'System Capacities'!G21*'System Capacities'!H21*'System Capacities'!I21</f>
        <v>1.0384705969630537</v>
      </c>
      <c r="J8" s="408">
        <f>I8/H8</f>
        <v>1.7443905747548442E-3</v>
      </c>
      <c r="K8" s="401"/>
      <c r="L8" s="219"/>
      <c r="M8" s="406">
        <v>1</v>
      </c>
      <c r="N8" s="365">
        <f>'System Capacities'!G34</f>
        <v>128.61818181818182</v>
      </c>
      <c r="O8" s="409">
        <f>'System Capacities'!G21</f>
        <v>216.47999999999996</v>
      </c>
      <c r="P8" s="372">
        <f>_xlfn.IFS((($N$21+$N$34)=2),(K$47),(($N$21+$N$34)=3),(K$48),(($N$21+$N$34)=4),(K$49),(($N$21+$N$34)=5),(K$50),(($N$21+$N$34)=6),(K$51),(($N$21+$N$34)=7),(K$52),(($N$21+$N$34)=8),(K$53),(($N$21+$N$34)=9),(K$54),(($N$21+$N$34)=10),(K$55))</f>
        <v>244.17848343237631</v>
      </c>
      <c r="Q8" s="410">
        <f>_xlfn.IFS((($N$21+$N$34)=2),(L$47),(($N$21+$N$34)=3),(L$48),(($N$21+$N$34)=4),(L$49),(($N$21+$N$34)=5),(L$50),(($N$21+$N$34)=6),(L$51),(($N$21+$N$34)=7),(L$52),(($N$21+$N$34)=8),(L$53),(($N$21+$N$34)=9),(L$54),(($N$21+$N$34)=10),(L$55))</f>
        <v>1.7443905747548439E-3</v>
      </c>
      <c r="R8" s="411">
        <f>_xlfn.IFS((($N$21+$N$34)=2),(M$47),(($N$21+$N$34)=3),(M$48),(($N$21+$N$34)=4),(M$49),(($N$21+$N$34)=5),(M$50),(($N$21+$N$34)=6),(M$51),(($N$21+$N$34)=7),(M$52),(($N$21+$N$34)=8),(M$53),(($N$21+$N$34)=9),(M$54),(($N$21+$N$34)=10),(M$55))</f>
        <v>50901.545260911655</v>
      </c>
      <c r="S8" s="162"/>
      <c r="U8" s="230">
        <f>'Post-yield Mechanism'!O228</f>
        <v>46703.693305883076</v>
      </c>
      <c r="V8" s="404">
        <f>((U8-R8)/U8)</f>
        <v>-8.9882655051175403E-2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4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4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4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15" t="s">
        <v>286</v>
      </c>
      <c r="C15" s="916"/>
      <c r="D15" s="916"/>
      <c r="E15" s="916"/>
      <c r="F15" s="916"/>
      <c r="G15" s="916"/>
      <c r="H15" s="916"/>
      <c r="I15" s="916"/>
      <c r="J15" s="916"/>
      <c r="K15" s="916"/>
      <c r="L15" s="916"/>
      <c r="M15" s="916"/>
      <c r="N15" s="916"/>
      <c r="O15" s="916"/>
      <c r="P15" s="916"/>
      <c r="Q15" s="916"/>
      <c r="R15" s="916"/>
      <c r="S15" s="917"/>
    </row>
    <row r="16" spans="2:22" ht="16.5" thickBot="1" x14ac:dyDescent="0.3">
      <c r="B16" s="918"/>
      <c r="C16" s="919"/>
      <c r="D16" s="919"/>
      <c r="E16" s="919"/>
      <c r="F16" s="919"/>
      <c r="G16" s="919"/>
      <c r="H16" s="919"/>
      <c r="I16" s="919"/>
      <c r="J16" s="919"/>
      <c r="K16" s="919"/>
      <c r="L16" s="919"/>
      <c r="M16" s="919"/>
      <c r="N16" s="919"/>
      <c r="O16" s="919"/>
      <c r="P16" s="919"/>
      <c r="Q16" s="919"/>
      <c r="R16" s="919"/>
      <c r="S16" s="920"/>
    </row>
    <row r="17" spans="2:42" ht="16.5" thickBot="1" x14ac:dyDescent="0.3">
      <c r="B17" s="158"/>
      <c r="C17" s="924" t="s">
        <v>382</v>
      </c>
      <c r="D17" s="925"/>
      <c r="E17" s="925"/>
      <c r="F17" s="925"/>
      <c r="G17" s="925"/>
      <c r="H17" s="925"/>
      <c r="I17" s="925"/>
      <c r="J17" s="925"/>
      <c r="K17" s="925"/>
      <c r="L17" s="925"/>
      <c r="M17" s="925"/>
      <c r="N17" s="926"/>
      <c r="O17" s="137"/>
      <c r="P17" s="927" t="s">
        <v>398</v>
      </c>
      <c r="Q17" s="928"/>
      <c r="R17" s="928"/>
      <c r="S17" s="162"/>
      <c r="U17" s="932" t="s">
        <v>301</v>
      </c>
      <c r="V17" s="932"/>
    </row>
    <row r="18" spans="2:42" ht="16.5" customHeight="1" x14ac:dyDescent="0.25">
      <c r="B18" s="158"/>
      <c r="C18" s="245" t="s">
        <v>9</v>
      </c>
      <c r="D18" s="814" t="s">
        <v>171</v>
      </c>
      <c r="E18" s="814"/>
      <c r="F18" s="814"/>
      <c r="G18" s="412" t="s">
        <v>72</v>
      </c>
      <c r="H18" s="248" t="s">
        <v>73</v>
      </c>
      <c r="I18" s="413" t="s">
        <v>74</v>
      </c>
      <c r="J18" s="414" t="s">
        <v>75</v>
      </c>
      <c r="K18" s="936" t="s">
        <v>199</v>
      </c>
      <c r="L18" s="937"/>
      <c r="M18" s="938"/>
      <c r="N18" s="115" t="s">
        <v>198</v>
      </c>
      <c r="O18" s="137"/>
      <c r="P18" s="928"/>
      <c r="Q18" s="928"/>
      <c r="R18" s="928"/>
      <c r="S18" s="162"/>
      <c r="U18" s="229" t="s">
        <v>325</v>
      </c>
      <c r="V18" s="397" t="s">
        <v>242</v>
      </c>
      <c r="AK18" s="415"/>
      <c r="AL18" s="415"/>
      <c r="AM18" s="415"/>
      <c r="AN18" s="415"/>
      <c r="AO18" s="415"/>
      <c r="AP18" s="415"/>
    </row>
    <row r="19" spans="2:42" ht="15" customHeight="1" x14ac:dyDescent="0.25">
      <c r="B19" s="158"/>
      <c r="C19" s="362">
        <v>3</v>
      </c>
      <c r="D19" s="921" t="s">
        <v>182</v>
      </c>
      <c r="E19" s="922"/>
      <c r="F19" s="923"/>
      <c r="G19" s="230">
        <f>_xlfn.IFS(N19=1,'Infill Capacities'!CG11,N19=2,'Infill Capacities'!CH11,N19=3,'Infill Capacities'!CI11,N19=4,'Infill Capacities'!CJ11,N19=-1,'Infill Capacities'!CK11)</f>
        <v>213.36795190442052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1.8601738665676483E-3</v>
      </c>
      <c r="J19" s="230">
        <f>_xlfn.IFS((N19=1),('Infill Capacities'!CM11),(N19=2),('Infill Capacities'!CN11),(N19=3),('Infill Capacities'!CO11),(N19=4),'Infill Capacities'!CP11,(N19=-1),'Infill Capacities'!CQ11)</f>
        <v>38234.410187710455</v>
      </c>
      <c r="K19" s="939"/>
      <c r="L19" s="940"/>
      <c r="M19" s="941"/>
      <c r="N19" s="416">
        <v>1</v>
      </c>
      <c r="O19"/>
      <c r="P19" s="928"/>
      <c r="Q19" s="928"/>
      <c r="R19" s="928"/>
      <c r="S19" s="162"/>
      <c r="U19" s="230">
        <f>'Post-yield Mechanism'!Q226</f>
        <v>32354.935297247317</v>
      </c>
      <c r="V19" s="404">
        <f>((U19-J19)/U19)</f>
        <v>-0.18171802343129242</v>
      </c>
    </row>
    <row r="20" spans="2:42" x14ac:dyDescent="0.25">
      <c r="B20" s="158"/>
      <c r="C20" s="362">
        <v>2</v>
      </c>
      <c r="D20" s="921" t="s">
        <v>183</v>
      </c>
      <c r="E20" s="922"/>
      <c r="F20" s="923"/>
      <c r="G20" s="230">
        <f>_xlfn.IFS(N20=1,'Infill Capacities'!CG12,N20=2,'Infill Capacities'!CH12,N20=3,'Infill Capacities'!CI12,N20=4,'Infill Capacities'!CJ12,N20=-1,'Infill Capacities'!CK12)</f>
        <v>216.48000000000002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1.7655780345468453E-3</v>
      </c>
      <c r="J20" s="230">
        <f>_xlfn.IFS((N20=1),('Infill Capacities'!CM12),(N20=2),('Infill Capacities'!CN12),(N20=3),('Infill Capacities'!CO12),(N20=4),'Infill Capacities'!CP12,(N20=-1),'Infill Capacities'!CQ12)</f>
        <v>40870.467681435926</v>
      </c>
      <c r="K20" s="939"/>
      <c r="L20" s="940"/>
      <c r="M20" s="941"/>
      <c r="N20" s="416">
        <v>1</v>
      </c>
      <c r="O20"/>
      <c r="P20" s="928"/>
      <c r="Q20" s="928"/>
      <c r="R20" s="928"/>
      <c r="S20" s="162"/>
      <c r="U20" s="230">
        <f>'Post-yield Mechanism'!Q227</f>
        <v>33199.936204887592</v>
      </c>
      <c r="V20" s="404">
        <f>((U20-J20)/U20)</f>
        <v>-0.23104054866885868</v>
      </c>
    </row>
    <row r="21" spans="2:42" ht="16.5" thickBot="1" x14ac:dyDescent="0.3">
      <c r="B21" s="158"/>
      <c r="C21" s="374">
        <v>1</v>
      </c>
      <c r="D21" s="929" t="s">
        <v>183</v>
      </c>
      <c r="E21" s="930"/>
      <c r="F21" s="931"/>
      <c r="G21" s="261">
        <f>_xlfn.IFS(N21=1,'Infill Capacities'!CG13,N21=2,'Infill Capacities'!CH13,N21=3,'Infill Capacities'!CI13,N21=4,'Infill Capacities'!CJ13,N21=-1,'Infill Capacities'!CK13)</f>
        <v>216.47999999999996</v>
      </c>
      <c r="H21" s="261">
        <f>'Structural Information'!$U$8</f>
        <v>2.75</v>
      </c>
      <c r="I21" s="410">
        <f>_xlfn.IFS(N21=1,'Infill Capacities'!CS13,N21=2,'Infill Capacities'!CT13,N21=3,'Infill Capacities'!CU13,N21=4,'Infill Capacities'!CV13,N21=-1,'Infill Capacities'!CW13)</f>
        <v>1.7443905747548439E-3</v>
      </c>
      <c r="J21" s="261">
        <f>_xlfn.IFS((N21=1),('Infill Capacities'!CM13),(N21=2),('Infill Capacities'!CN13),(N21=3),('Infill Capacities'!CO13),(N21=4),'Infill Capacities'!CP13,(N21=-1),'Infill Capacities'!CQ13)</f>
        <v>45127.508219346615</v>
      </c>
      <c r="K21" s="942"/>
      <c r="L21" s="943"/>
      <c r="M21" s="944"/>
      <c r="N21" s="417">
        <v>1</v>
      </c>
      <c r="O21"/>
      <c r="P21" s="928"/>
      <c r="Q21" s="928"/>
      <c r="R21" s="928"/>
      <c r="S21" s="162"/>
      <c r="U21" s="230">
        <f>'Post-yield Mechanism'!Q228</f>
        <v>39424.033164850196</v>
      </c>
      <c r="V21" s="404">
        <f>((U21-J21)/U21)</f>
        <v>-0.14467000447791681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28"/>
      <c r="Q22" s="928"/>
      <c r="R22" s="928"/>
      <c r="S22" s="162"/>
      <c r="U22" s="230"/>
      <c r="V22" s="404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28"/>
      <c r="Q23" s="928"/>
      <c r="R23" s="928"/>
      <c r="S23" s="162"/>
      <c r="U23" s="230"/>
      <c r="V23" s="404"/>
      <c r="Y23" s="418"/>
      <c r="Z23" s="419"/>
      <c r="AA23" s="420"/>
      <c r="AB23" s="419"/>
      <c r="AC23" s="418"/>
      <c r="AD23" s="419"/>
      <c r="AE23" s="420"/>
      <c r="AF23" s="419"/>
      <c r="AG23" s="418"/>
      <c r="AH23" s="419"/>
      <c r="AI23" s="420"/>
      <c r="AJ23" s="419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28"/>
      <c r="Q24" s="928"/>
      <c r="R24" s="928"/>
      <c r="S24" s="162"/>
      <c r="U24" s="230"/>
      <c r="V24" s="404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8"/>
    </row>
    <row r="28" spans="2:42" x14ac:dyDescent="0.25">
      <c r="B28" s="915" t="s">
        <v>287</v>
      </c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916"/>
      <c r="R28" s="916"/>
      <c r="S28" s="917"/>
      <c r="AD28" s="230"/>
      <c r="AE28" s="227"/>
    </row>
    <row r="29" spans="2:42" ht="16.5" thickBot="1" x14ac:dyDescent="0.3">
      <c r="B29" s="918"/>
      <c r="C29" s="919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19"/>
      <c r="O29" s="919"/>
      <c r="P29" s="919"/>
      <c r="Q29" s="919"/>
      <c r="R29" s="919"/>
      <c r="S29" s="920"/>
      <c r="X29" s="388"/>
      <c r="AD29" s="230"/>
      <c r="AE29" s="227"/>
    </row>
    <row r="30" spans="2:42" ht="16.5" thickBot="1" x14ac:dyDescent="0.3">
      <c r="B30" s="158"/>
      <c r="C30" s="945" t="s">
        <v>179</v>
      </c>
      <c r="D30" s="946"/>
      <c r="E30" s="946"/>
      <c r="F30" s="946"/>
      <c r="G30" s="946"/>
      <c r="H30" s="946"/>
      <c r="I30" s="946"/>
      <c r="J30" s="946"/>
      <c r="K30" s="946"/>
      <c r="L30" s="946"/>
      <c r="M30" s="946"/>
      <c r="N30" s="947"/>
      <c r="O30" s="137"/>
      <c r="P30" s="927" t="s">
        <v>399</v>
      </c>
      <c r="Q30" s="928"/>
      <c r="R30" s="928"/>
      <c r="S30" s="162"/>
      <c r="U30" s="932" t="s">
        <v>301</v>
      </c>
      <c r="V30" s="932"/>
      <c r="AD30" s="419"/>
      <c r="AE30" s="420"/>
    </row>
    <row r="31" spans="2:42" ht="15.75" customHeight="1" x14ac:dyDescent="0.25">
      <c r="B31" s="158"/>
      <c r="C31" s="245" t="s">
        <v>9</v>
      </c>
      <c r="D31" s="814" t="s">
        <v>71</v>
      </c>
      <c r="E31" s="814"/>
      <c r="F31" s="814"/>
      <c r="G31" s="108" t="s">
        <v>72</v>
      </c>
      <c r="H31" s="248" t="s">
        <v>73</v>
      </c>
      <c r="I31" s="248" t="s">
        <v>74</v>
      </c>
      <c r="J31" s="288" t="s">
        <v>75</v>
      </c>
      <c r="K31" s="936" t="s">
        <v>199</v>
      </c>
      <c r="L31" s="937"/>
      <c r="M31" s="938"/>
      <c r="N31" s="115" t="s">
        <v>198</v>
      </c>
      <c r="O31" s="137"/>
      <c r="P31" s="928"/>
      <c r="Q31" s="928"/>
      <c r="R31" s="928"/>
      <c r="S31" s="162"/>
      <c r="U31" s="229" t="s">
        <v>325</v>
      </c>
      <c r="V31" s="397" t="s">
        <v>242</v>
      </c>
      <c r="AD31" s="419"/>
      <c r="AE31" s="420"/>
    </row>
    <row r="32" spans="2:42" x14ac:dyDescent="0.25">
      <c r="B32" s="158"/>
      <c r="C32" s="362">
        <v>3</v>
      </c>
      <c r="D32" s="921" t="s">
        <v>42</v>
      </c>
      <c r="E32" s="922"/>
      <c r="F32" s="923"/>
      <c r="G32" s="230">
        <f>_xlfn.IFS(N32=1,'Frame Capacities'!BF11,N32=2,'Frame Capacities'!BG11,N32=3,'Frame Capacities'!BH11,N32=4,'Frame Capacities'!BI11,N32=5,'Frame Capacities'!BJ11,N32=-1,'Frame Capacities'!BK11)</f>
        <v>89.066666666666663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9.5976000000000013E-3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39"/>
      <c r="L32" s="940"/>
      <c r="M32" s="941"/>
      <c r="N32" s="416">
        <v>1</v>
      </c>
      <c r="O32"/>
      <c r="P32" s="928"/>
      <c r="Q32" s="928"/>
      <c r="R32" s="928"/>
      <c r="S32" s="162"/>
      <c r="U32" s="230">
        <f>'Post-yield Mechanism'!P226</f>
        <v>3806.1248799319242</v>
      </c>
      <c r="V32" s="404">
        <f>((U32-J32)/U32)</f>
        <v>0.18726630584663356</v>
      </c>
      <c r="AD32" s="230"/>
      <c r="AE32" s="227"/>
    </row>
    <row r="33" spans="1:31" x14ac:dyDescent="0.25">
      <c r="B33" s="158"/>
      <c r="C33" s="362">
        <v>2</v>
      </c>
      <c r="D33" s="921" t="s">
        <v>42</v>
      </c>
      <c r="E33" s="922"/>
      <c r="F33" s="923"/>
      <c r="G33" s="230">
        <f>_xlfn.IFS(N33=1,'Frame Capacities'!BF12,N33=2,'Frame Capacities'!BG12,N33=3,'Frame Capacities'!BH12,N33=4,'Frame Capacities'!BI12,N33=5,'Frame Capacities'!BJ12,N33=-1,'Frame Capacities'!BK12)</f>
        <v>104.39999999999999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9.1744770034843208E-3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39"/>
      <c r="L33" s="940"/>
      <c r="M33" s="941"/>
      <c r="N33" s="416">
        <v>1</v>
      </c>
      <c r="O33"/>
      <c r="P33" s="928"/>
      <c r="Q33" s="928"/>
      <c r="R33" s="928"/>
      <c r="S33" s="162"/>
      <c r="U33" s="230">
        <f>'Post-yield Mechanism'!P227</f>
        <v>4166.9908176120125</v>
      </c>
      <c r="V33" s="404">
        <f>((U33-J33)/U33)</f>
        <v>8.9719196714336286E-2</v>
      </c>
      <c r="AD33" s="419"/>
      <c r="AE33" s="420"/>
    </row>
    <row r="34" spans="1:31" ht="16.5" thickBot="1" x14ac:dyDescent="0.3">
      <c r="B34" s="158"/>
      <c r="C34" s="374">
        <v>1</v>
      </c>
      <c r="D34" s="929" t="s">
        <v>42</v>
      </c>
      <c r="E34" s="930"/>
      <c r="F34" s="931"/>
      <c r="G34" s="261">
        <f>_xlfn.IFS(N34=1,'Frame Capacities'!BF13,N34=2,'Frame Capacities'!BG13,N34=3,'Frame Capacities'!BH13,N34=4,'Frame Capacities'!BI13,N34=5,'Frame Capacities'!BJ13,N34=-1,'Frame Capacities'!BK13)</f>
        <v>128.61818181818182</v>
      </c>
      <c r="H34" s="261">
        <f>'Structural Information'!$U$8</f>
        <v>2.75</v>
      </c>
      <c r="I34" s="410">
        <f>_xlfn.IFS(N34=1,'Frame Capacities'!BT13,N34=2,'Frame Capacities'!BU13,N34=3,'Frame Capacities'!BV13,N34=4,'Frame Capacities'!BW13,N34=4,'Frame Capacities'!BX13,N34=-1,'Frame Capacities'!BY13)</f>
        <v>8.1000948897978157E-3</v>
      </c>
      <c r="J34" s="261">
        <f>_xlfn.IFS((N34=1),('Frame Capacities'!BM13),(N34=2),('Frame Capacities'!BN13),(N34=3),('Frame Capacities'!BO13),(N34=4),'Frame Capacities'!BP13,(N34=5),'Frame Capacities'!BQ13,(N34=-1),'Frame Capacities'!BR13)</f>
        <v>5774.0370415650423</v>
      </c>
      <c r="K34" s="942"/>
      <c r="L34" s="943"/>
      <c r="M34" s="944"/>
      <c r="N34" s="417">
        <v>1</v>
      </c>
      <c r="O34"/>
      <c r="P34" s="928"/>
      <c r="Q34" s="928"/>
      <c r="R34" s="928"/>
      <c r="S34" s="162"/>
      <c r="U34" s="230">
        <f>'Post-yield Mechanism'!P228</f>
        <v>7279.6601410328813</v>
      </c>
      <c r="V34" s="404">
        <f>((U34-J34)/U34)</f>
        <v>0.20682601526700012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28"/>
      <c r="Q35" s="928"/>
      <c r="R35" s="928"/>
      <c r="S35" s="162"/>
      <c r="U35" s="230"/>
      <c r="V35" s="404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28"/>
      <c r="Q36" s="928"/>
      <c r="R36" s="928"/>
      <c r="S36" s="162"/>
      <c r="U36" s="230"/>
      <c r="V36" s="404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28"/>
      <c r="Q37" s="928"/>
      <c r="R37" s="928"/>
      <c r="S37" s="162"/>
      <c r="U37" s="230"/>
      <c r="V37" s="404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14" t="s">
        <v>338</v>
      </c>
      <c r="C43" s="914"/>
      <c r="D43" s="914"/>
      <c r="E43" s="914"/>
      <c r="F43" s="914"/>
      <c r="G43" s="914"/>
      <c r="H43" s="914"/>
      <c r="I43" s="914"/>
      <c r="J43" s="914"/>
      <c r="K43" s="914"/>
      <c r="L43" s="914"/>
      <c r="M43" s="914"/>
      <c r="N43" s="180"/>
    </row>
    <row r="44" spans="1:31" x14ac:dyDescent="0.25">
      <c r="A44" s="180"/>
      <c r="B44" s="619" t="s">
        <v>337</v>
      </c>
      <c r="C44" s="619"/>
      <c r="D44" s="619"/>
      <c r="E44" s="619"/>
      <c r="F44" s="623" t="s">
        <v>336</v>
      </c>
      <c r="G44" s="619"/>
      <c r="H44" s="619"/>
      <c r="I44" s="622"/>
      <c r="J44" s="619" t="s">
        <v>335</v>
      </c>
      <c r="K44" s="619"/>
      <c r="L44" s="619"/>
      <c r="M44" s="619"/>
      <c r="N44" s="180"/>
    </row>
    <row r="45" spans="1:31" x14ac:dyDescent="0.25">
      <c r="A45" s="180"/>
      <c r="B45" s="527" t="s">
        <v>334</v>
      </c>
      <c r="C45" s="527" t="s">
        <v>79</v>
      </c>
      <c r="D45" s="527" t="s">
        <v>104</v>
      </c>
      <c r="E45" s="527" t="s">
        <v>326</v>
      </c>
      <c r="F45" s="529" t="s">
        <v>334</v>
      </c>
      <c r="G45" s="246" t="s">
        <v>79</v>
      </c>
      <c r="H45" s="246" t="s">
        <v>104</v>
      </c>
      <c r="I45" s="528" t="s">
        <v>326</v>
      </c>
      <c r="J45" s="527" t="s">
        <v>334</v>
      </c>
      <c r="K45" s="527" t="s">
        <v>79</v>
      </c>
      <c r="L45" s="527" t="s">
        <v>104</v>
      </c>
      <c r="M45" s="527" t="s">
        <v>326</v>
      </c>
      <c r="N45" s="180"/>
    </row>
    <row r="46" spans="1:31" x14ac:dyDescent="0.25">
      <c r="A46" s="180"/>
      <c r="B46" s="534" t="s">
        <v>403</v>
      </c>
      <c r="C46" s="535">
        <v>0</v>
      </c>
      <c r="D46" s="535">
        <v>0</v>
      </c>
      <c r="E46" s="536" t="s">
        <v>70</v>
      </c>
      <c r="F46" s="535" t="s">
        <v>403</v>
      </c>
      <c r="G46" s="535">
        <v>0</v>
      </c>
      <c r="H46" s="535">
        <v>0</v>
      </c>
      <c r="I46" s="535" t="s">
        <v>70</v>
      </c>
      <c r="J46" s="534" t="s">
        <v>403</v>
      </c>
      <c r="K46" s="535">
        <v>0</v>
      </c>
      <c r="L46" s="535">
        <v>0</v>
      </c>
      <c r="M46" s="536" t="s">
        <v>70</v>
      </c>
      <c r="N46" s="180"/>
    </row>
    <row r="47" spans="1:31" x14ac:dyDescent="0.25">
      <c r="A47" s="180"/>
      <c r="B47" s="421" t="s">
        <v>327</v>
      </c>
      <c r="C47" s="257">
        <f>E47*D47*$D$6</f>
        <v>230.6305473153175</v>
      </c>
      <c r="D47" s="307">
        <f>'Infill Capacities'!$CS$11</f>
        <v>1.8601738665676483E-3</v>
      </c>
      <c r="E47" s="530">
        <f>'Infill Capacities'!$CM$11+'Frame Capacities'!$BM$11</f>
        <v>41327.776121786563</v>
      </c>
      <c r="F47" s="304" t="s">
        <v>327</v>
      </c>
      <c r="G47" s="257">
        <f>G46+I47*(H47-H46)*$D$7</f>
        <v>236.57121029315203</v>
      </c>
      <c r="H47" s="307">
        <f>'Infill Capacities'!$CS$12</f>
        <v>1.7655780345468453E-3</v>
      </c>
      <c r="I47" s="257">
        <f>'Infill Capacities'!$CM$12+'Frame Capacities'!$BM$12</f>
        <v>44663.599430175775</v>
      </c>
      <c r="J47" s="421" t="s">
        <v>327</v>
      </c>
      <c r="K47" s="257">
        <f>M47*L47*$D$8</f>
        <v>244.17848343237631</v>
      </c>
      <c r="L47" s="307">
        <f>'Infill Capacities'!$CS$13</f>
        <v>1.7443905747548439E-3</v>
      </c>
      <c r="M47" s="530">
        <f>'Infill Capacities'!$CM$13+'Frame Capacities'!$BM$13</f>
        <v>50901.545260911655</v>
      </c>
      <c r="N47" s="180"/>
    </row>
    <row r="48" spans="1:31" x14ac:dyDescent="0.25">
      <c r="A48" s="180"/>
      <c r="B48" s="421" t="s">
        <v>328</v>
      </c>
      <c r="C48" s="257">
        <f>C47+E48*(D48-D47)*$D$6</f>
        <v>311.92446766377384</v>
      </c>
      <c r="D48" s="307">
        <f>'Infill Capacities'!$CT$11</f>
        <v>4.8722038007391836E-3</v>
      </c>
      <c r="E48" s="530">
        <f>'Infill Capacities'!$CN$11+'Frame Capacities'!$BM$11</f>
        <v>8996.5817212035126</v>
      </c>
      <c r="F48" s="304" t="s">
        <v>328</v>
      </c>
      <c r="G48" s="422">
        <f>G47+I48*(H48-H47)*$D$7</f>
        <v>324.28583322318525</v>
      </c>
      <c r="H48" s="307">
        <f>'Infill Capacities'!$CT$12</f>
        <v>4.7178107501820677E-3</v>
      </c>
      <c r="I48" s="257">
        <f>'Infill Capacities'!$CN$12+'Frame Capacities'!$BM$12</f>
        <v>9903.7611393224215</v>
      </c>
      <c r="J48" s="421" t="s">
        <v>328</v>
      </c>
      <c r="K48" s="257">
        <f t="shared" ref="K48:K53" si="0">K47+M48*(L48-L47)*$D$8</f>
        <v>346.03015280246001</v>
      </c>
      <c r="L48" s="307">
        <f>'Infill Capacities'!$CT$13</f>
        <v>4.7504278680878037E-3</v>
      </c>
      <c r="M48" s="530">
        <f>'Infill Capacities'!$CN$13+'Frame Capacities'!$BM$13</f>
        <v>12320.862007325763</v>
      </c>
      <c r="N48" s="180"/>
    </row>
    <row r="49" spans="1:14" x14ac:dyDescent="0.25">
      <c r="A49" s="180"/>
      <c r="B49" s="423" t="s">
        <v>329</v>
      </c>
      <c r="C49" s="422">
        <f t="shared" ref="C49:C55" si="1">C48+E49*(D49-D48)*$D$6</f>
        <v>243.77668920947568</v>
      </c>
      <c r="D49" s="424">
        <f>'Frame Capacities'!$BT$11</f>
        <v>9.5976000000000013E-3</v>
      </c>
      <c r="E49" s="425">
        <f>'Infill Capacities'!$CO$11+'Frame Capacities'!$BM$11</f>
        <v>-4807.2003263950901</v>
      </c>
      <c r="F49" s="541" t="s">
        <v>329</v>
      </c>
      <c r="G49" s="422">
        <f>G48+I49*(H49-H48)*$D$7</f>
        <v>265.03809483005693</v>
      </c>
      <c r="H49" s="424">
        <f>'Frame Capacities'!$BT$12</f>
        <v>9.1744770034843208E-3</v>
      </c>
      <c r="I49" s="422">
        <f>'Infill Capacities'!$CO$12+'Frame Capacities'!$BM$12</f>
        <v>-4431.394456878882</v>
      </c>
      <c r="J49" s="423" t="s">
        <v>329</v>
      </c>
      <c r="K49" s="422">
        <f t="shared" si="0"/>
        <v>312.22274937476266</v>
      </c>
      <c r="L49" s="424">
        <f>'Frame Capacities'!$BT$13</f>
        <v>8.1000948897978157E-3</v>
      </c>
      <c r="M49" s="425">
        <f>'Infill Capacities'!$CO$13+'Frame Capacities'!$BM$13</f>
        <v>-3670.09651011804</v>
      </c>
      <c r="N49" s="180"/>
    </row>
    <row r="50" spans="1:14" x14ac:dyDescent="0.25">
      <c r="A50" s="180"/>
      <c r="B50" s="421" t="s">
        <v>331</v>
      </c>
      <c r="C50" s="257">
        <f t="shared" si="1"/>
        <v>118.68832583815092</v>
      </c>
      <c r="D50" s="307">
        <f>'Infill Capacities'!$CU$11</f>
        <v>1.4999703441427674E-2</v>
      </c>
      <c r="E50" s="530">
        <f>'Infill Capacities'!$CO$11+'Frame Capacities'!$BN$11</f>
        <v>-7718.4973549405859</v>
      </c>
      <c r="F50" s="304" t="s">
        <v>331</v>
      </c>
      <c r="G50" s="257">
        <f t="shared" ref="G50:G53" si="2">G49+I50*(H50-H49)*$D$7</f>
        <v>134.57230470654031</v>
      </c>
      <c r="H50" s="307">
        <f>'Infill Capacities'!$CU$12</f>
        <v>1.4588288145529225E-2</v>
      </c>
      <c r="I50" s="257">
        <f>'Infill Capacities'!$CO$12+'Frame Capacities'!$BN$12</f>
        <v>-8032.8987411652415</v>
      </c>
      <c r="J50" s="421" t="s">
        <v>331</v>
      </c>
      <c r="K50" s="257">
        <f t="shared" si="0"/>
        <v>159.31889173839335</v>
      </c>
      <c r="L50" s="307">
        <f>'Infill Capacities'!$CU$13</f>
        <v>1.4127677725404499E-2</v>
      </c>
      <c r="M50" s="530">
        <f>'Infill Capacities'!$CO$13+'Frame Capacities'!$BN$13</f>
        <v>-9224.4941783973391</v>
      </c>
      <c r="N50" s="180"/>
    </row>
    <row r="51" spans="1:14" x14ac:dyDescent="0.25">
      <c r="A51" s="180"/>
      <c r="B51" s="423" t="s">
        <v>330</v>
      </c>
      <c r="C51" s="422">
        <f t="shared" si="1"/>
        <v>122.5376606547192</v>
      </c>
      <c r="D51" s="424">
        <f>'Frame Capacities'!$BU$11</f>
        <v>2.2047099051256281E-2</v>
      </c>
      <c r="E51" s="425">
        <f>'Infill Capacities'!$CP$11+'Frame Capacities'!$BN$11</f>
        <v>182.06890553061578</v>
      </c>
      <c r="F51" s="541" t="s">
        <v>330</v>
      </c>
      <c r="G51" s="422">
        <f t="shared" si="2"/>
        <v>139.44333333333333</v>
      </c>
      <c r="H51" s="424">
        <f>'Frame Capacities'!$BU$12</f>
        <v>2.3061375307443368E-2</v>
      </c>
      <c r="I51" s="422">
        <f>'Infill Capacities'!$CP$12+'Frame Capacities'!$BN$12</f>
        <v>191.62746445348807</v>
      </c>
      <c r="J51" s="423" t="s">
        <v>330</v>
      </c>
      <c r="K51" s="422">
        <f>K50+M51*(L51-L50)*$D$8</f>
        <v>165.55090909090907</v>
      </c>
      <c r="L51" s="424">
        <f>'Frame Capacities'!$BU$13</f>
        <v>2.4445445866362128E-2</v>
      </c>
      <c r="M51" s="425">
        <f>'Infill Capacities'!$CP$13+'Frame Capacities'!$BN$13</f>
        <v>219.63937328574283</v>
      </c>
      <c r="N51" s="180"/>
    </row>
    <row r="52" spans="1:14" x14ac:dyDescent="0.25">
      <c r="A52" s="180"/>
      <c r="B52" s="426" t="s">
        <v>333</v>
      </c>
      <c r="C52" s="257">
        <f t="shared" si="1"/>
        <v>93.003743261360881</v>
      </c>
      <c r="D52" s="307">
        <f>'Infill Capacities'!$CV$11</f>
        <v>0.08</v>
      </c>
      <c r="E52" s="530">
        <f>'Infill Capacities'!$CP$11+'Frame Capacities'!$BO$11</f>
        <v>-169.8731033296591</v>
      </c>
      <c r="F52" s="541" t="s">
        <v>332</v>
      </c>
      <c r="G52" s="422">
        <f t="shared" si="2"/>
        <v>116.95999999999998</v>
      </c>
      <c r="H52" s="424">
        <f>'Frame Capacities'!$BV$12</f>
        <v>4.9753010319082941E-2</v>
      </c>
      <c r="I52" s="422">
        <f>'Infill Capacities'!$CP$12+'Frame Capacities'!$BO$12</f>
        <v>-280.77876987214552</v>
      </c>
      <c r="J52" s="423" t="s">
        <v>332</v>
      </c>
      <c r="K52" s="422">
        <f t="shared" si="0"/>
        <v>137.87818181818182</v>
      </c>
      <c r="L52" s="424">
        <f>'Frame Capacities'!$BV$13</f>
        <v>4.7151067178483844E-2</v>
      </c>
      <c r="M52" s="425">
        <f>'Infill Capacities'!$CP$13+'Frame Capacities'!$BO$13</f>
        <v>-443.18584279317622</v>
      </c>
      <c r="N52" s="180"/>
    </row>
    <row r="53" spans="1:14" x14ac:dyDescent="0.25">
      <c r="A53" s="180"/>
      <c r="B53" s="423" t="s">
        <v>332</v>
      </c>
      <c r="C53" s="422">
        <f t="shared" si="1"/>
        <v>103.3376606547192</v>
      </c>
      <c r="D53" s="424">
        <f>'Frame Capacities'!$BV$11</f>
        <v>5.9722280551767482E-2</v>
      </c>
      <c r="E53" s="425">
        <f>'Infill Capacities'!$CP$11+'Frame Capacities'!$BO$11</f>
        <v>-169.8731033296591</v>
      </c>
      <c r="F53" s="307" t="s">
        <v>333</v>
      </c>
      <c r="G53" s="257">
        <f t="shared" si="2"/>
        <v>91.497952868694966</v>
      </c>
      <c r="H53" s="307">
        <f>'Infill Capacities'!$CV$12</f>
        <v>0.08</v>
      </c>
      <c r="I53" s="257">
        <f>'Infill Capacities'!$CP$12+'Frame Capacities'!$BP$12</f>
        <v>-280.60144607127762</v>
      </c>
      <c r="J53" s="426" t="s">
        <v>333</v>
      </c>
      <c r="K53" s="257">
        <f t="shared" si="0"/>
        <v>97.888939193605097</v>
      </c>
      <c r="L53" s="307">
        <f>'Infill Capacities'!$CV$13</f>
        <v>0.08</v>
      </c>
      <c r="M53" s="530">
        <f>'Infill Capacities'!$CP$13+'Frame Capacities'!$BP$13</f>
        <v>-442.67930564394453</v>
      </c>
      <c r="N53" s="180"/>
    </row>
    <row r="54" spans="1:14" x14ac:dyDescent="0.25">
      <c r="A54" s="180"/>
      <c r="B54" s="423" t="s">
        <v>402</v>
      </c>
      <c r="C54" s="422">
        <f t="shared" si="1"/>
        <v>36.270993988052524</v>
      </c>
      <c r="D54" s="424">
        <f>'Frame Capacities'!$BW$11</f>
        <v>0.19161726466415097</v>
      </c>
      <c r="E54" s="425">
        <f>'Infill Capacities'!$CP$11+'Frame Capacities'!$BP$11</f>
        <v>-169.49511542081925</v>
      </c>
      <c r="F54" s="541" t="s">
        <v>402</v>
      </c>
      <c r="G54" s="422">
        <f>G53+I54*(H54-H53)*$D$7</f>
        <v>38.259999999999991</v>
      </c>
      <c r="H54" s="424">
        <f>'Frame Capacities'!$BW$12</f>
        <v>0.14324266869621621</v>
      </c>
      <c r="I54" s="422">
        <f>'Infill Capacities'!$CP$12+'Frame Capacities'!$BP$12</f>
        <v>-280.60144607127762</v>
      </c>
      <c r="J54" s="423" t="s">
        <v>402</v>
      </c>
      <c r="K54" s="422">
        <f>K53+M54*(L54-L53)*$D$8</f>
        <v>40.878181818181822</v>
      </c>
      <c r="L54" s="424">
        <f>'Frame Capacities'!$BW$13</f>
        <v>0.12683115798692521</v>
      </c>
      <c r="M54" s="425">
        <f>'Infill Capacities'!$CP$13+'Frame Capacities'!$BP$13</f>
        <v>-442.67930564394453</v>
      </c>
      <c r="N54" s="180"/>
    </row>
    <row r="55" spans="1:14" x14ac:dyDescent="0.25">
      <c r="A55" s="180"/>
      <c r="B55" s="427" t="s">
        <v>404</v>
      </c>
      <c r="C55" s="428">
        <f t="shared" si="1"/>
        <v>36.270993988052524</v>
      </c>
      <c r="D55" s="429">
        <f>'Frame Capacities'!$BX$11</f>
        <v>0.2</v>
      </c>
      <c r="E55" s="430">
        <f>'Infill Capacities'!$CP$11+'Frame Capacities'!$BQ$11</f>
        <v>0</v>
      </c>
      <c r="F55" s="542" t="s">
        <v>404</v>
      </c>
      <c r="G55" s="428">
        <f>G54+I55*(H55-H54)*$D$7</f>
        <v>38.259999999999991</v>
      </c>
      <c r="H55" s="429">
        <f>'Frame Capacities'!$BX$12</f>
        <v>0.15</v>
      </c>
      <c r="I55" s="428">
        <f>'Infill Capacities'!$CP$12+'Frame Capacities'!$BQ$12</f>
        <v>0</v>
      </c>
      <c r="J55" s="427" t="s">
        <v>404</v>
      </c>
      <c r="K55" s="428">
        <f>K54+M55*(L55-L54)*$D$8</f>
        <v>40.878181818181822</v>
      </c>
      <c r="L55" s="429">
        <f>'Frame Capacities'!$BX$13</f>
        <v>0.13</v>
      </c>
      <c r="M55" s="430">
        <f>'Infill Capacities'!$CP$13+'Frame Capacities'!$BQ$13</f>
        <v>0</v>
      </c>
      <c r="N55" s="180"/>
    </row>
    <row r="56" spans="1:14" x14ac:dyDescent="0.25">
      <c r="A56" s="180"/>
      <c r="B56" s="537" t="s">
        <v>426</v>
      </c>
      <c r="C56" s="539">
        <f>'Frame Capacities'!BK11+'Infill Capacities'!CK11</f>
        <v>0</v>
      </c>
      <c r="D56" s="547">
        <f>'Frame Capacities'!BY11</f>
        <v>0</v>
      </c>
      <c r="E56" s="540">
        <f>'Frame Capacities'!BR11+'Infill Capacities'!CQ11</f>
        <v>41327.776121786563</v>
      </c>
      <c r="F56" s="538" t="s">
        <v>426</v>
      </c>
      <c r="G56" s="539">
        <f>'Frame Capacities'!BK12+'Infill Capacities'!CK12</f>
        <v>0</v>
      </c>
      <c r="H56" s="547">
        <f>'Frame Capacities'!BY12</f>
        <v>0</v>
      </c>
      <c r="I56" s="539">
        <f>'Frame Capacities'!BR12+'Infill Capacities'!CQ12</f>
        <v>44663.599430175775</v>
      </c>
      <c r="J56" s="537" t="s">
        <v>426</v>
      </c>
      <c r="K56" s="539">
        <f>'Frame Capacities'!BK13+'Infill Capacities'!CK13</f>
        <v>0</v>
      </c>
      <c r="L56" s="547">
        <f>'Frame Capacities'!BY13</f>
        <v>0</v>
      </c>
      <c r="M56" s="540">
        <f>'Frame Capacities'!BR13+'Infill Capacities'!CQ13</f>
        <v>50901.545260911655</v>
      </c>
      <c r="N56" s="180"/>
    </row>
    <row r="57" spans="1:14" ht="15.75" customHeight="1" x14ac:dyDescent="0.25">
      <c r="A57" s="180"/>
      <c r="B57" s="180"/>
      <c r="C57" s="561"/>
      <c r="D57" s="561"/>
      <c r="E57" s="543"/>
      <c r="F57" s="543"/>
      <c r="G57" s="561"/>
      <c r="H57" s="561"/>
      <c r="I57" s="543"/>
      <c r="J57" s="543"/>
      <c r="K57" s="561"/>
      <c r="L57" s="561"/>
      <c r="M57" s="180"/>
      <c r="N57" s="180"/>
    </row>
    <row r="58" spans="1:14" x14ac:dyDescent="0.25">
      <c r="A58" s="180"/>
      <c r="B58" s="180"/>
      <c r="C58" s="562"/>
      <c r="D58" s="562"/>
      <c r="E58" s="543"/>
      <c r="F58" s="543"/>
      <c r="G58" s="562"/>
      <c r="H58" s="562"/>
      <c r="I58" s="543"/>
      <c r="J58" s="543"/>
      <c r="K58" s="562"/>
      <c r="L58" s="562"/>
      <c r="M58" s="180"/>
      <c r="N58" s="180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22" zoomScale="80" zoomScaleNormal="80" workbookViewId="0">
      <selection activeCell="AI57" sqref="AI57:AI59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1007" t="s">
        <v>86</v>
      </c>
      <c r="B1" s="1008"/>
      <c r="C1" s="1008"/>
      <c r="D1" s="1008"/>
      <c r="E1" s="1008"/>
      <c r="F1" s="1008"/>
      <c r="G1" s="1008"/>
      <c r="H1" s="1008"/>
      <c r="I1" s="1008"/>
      <c r="J1" s="1008"/>
      <c r="K1" s="1008"/>
      <c r="L1" s="1008"/>
      <c r="M1" s="1008"/>
      <c r="N1" s="1008"/>
      <c r="O1" s="1008"/>
      <c r="P1" s="1009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1010"/>
      <c r="B2" s="1011"/>
      <c r="C2" s="1011"/>
      <c r="D2" s="1011"/>
      <c r="E2" s="1011"/>
      <c r="F2" s="1011"/>
      <c r="G2" s="1011"/>
      <c r="H2" s="1011"/>
      <c r="I2" s="1011"/>
      <c r="J2" s="1011"/>
      <c r="K2" s="1011"/>
      <c r="L2" s="1011"/>
      <c r="M2" s="1011"/>
      <c r="N2" s="1011"/>
      <c r="O2" s="1011"/>
      <c r="P2" s="1012"/>
      <c r="Q2" s="137"/>
      <c r="R2" s="838" t="s">
        <v>247</v>
      </c>
      <c r="S2" s="840"/>
      <c r="T2" s="114"/>
      <c r="U2" s="838" t="s">
        <v>247</v>
      </c>
      <c r="V2" s="839"/>
      <c r="W2" s="839"/>
      <c r="X2" s="839"/>
      <c r="Y2" s="839"/>
      <c r="Z2" s="839"/>
      <c r="AA2" s="839"/>
      <c r="AB2" s="839"/>
      <c r="AC2" s="839"/>
      <c r="AD2" s="839"/>
      <c r="AE2" s="839"/>
      <c r="AF2" s="839"/>
      <c r="AG2" s="839"/>
      <c r="AH2" s="839"/>
      <c r="AI2" s="839"/>
      <c r="AJ2" s="840"/>
      <c r="AK2" s="137"/>
      <c r="AL2" s="137"/>
    </row>
    <row r="3" spans="1:38" x14ac:dyDescent="0.25">
      <c r="A3" s="655" t="s">
        <v>0</v>
      </c>
      <c r="B3" s="656" t="s">
        <v>76</v>
      </c>
      <c r="C3" s="656" t="s">
        <v>77</v>
      </c>
      <c r="D3" s="619" t="s">
        <v>78</v>
      </c>
      <c r="E3" s="656" t="s">
        <v>80</v>
      </c>
      <c r="F3" s="656" t="s">
        <v>81</v>
      </c>
      <c r="G3" s="619" t="s">
        <v>412</v>
      </c>
      <c r="H3" s="619" t="s">
        <v>410</v>
      </c>
      <c r="I3" s="619" t="s">
        <v>413</v>
      </c>
      <c r="J3" s="619" t="s">
        <v>411</v>
      </c>
      <c r="K3" s="619" t="s">
        <v>188</v>
      </c>
      <c r="L3" s="619" t="s">
        <v>187</v>
      </c>
      <c r="M3" s="619" t="s">
        <v>189</v>
      </c>
      <c r="N3" s="622" t="s">
        <v>190</v>
      </c>
      <c r="O3" s="978" t="s">
        <v>352</v>
      </c>
      <c r="P3" s="984" t="s">
        <v>418</v>
      </c>
      <c r="Q3" s="137"/>
      <c r="R3" s="814" t="s">
        <v>85</v>
      </c>
      <c r="S3" s="962" t="s">
        <v>84</v>
      </c>
      <c r="T3" s="137"/>
      <c r="U3" s="962" t="s">
        <v>0</v>
      </c>
      <c r="V3" s="962" t="s">
        <v>76</v>
      </c>
      <c r="W3" s="962" t="s">
        <v>104</v>
      </c>
      <c r="X3" s="814" t="s">
        <v>78</v>
      </c>
      <c r="Y3" s="962" t="s">
        <v>80</v>
      </c>
      <c r="Z3" s="962" t="s">
        <v>81</v>
      </c>
      <c r="AA3" s="619" t="s">
        <v>412</v>
      </c>
      <c r="AB3" s="619" t="s">
        <v>410</v>
      </c>
      <c r="AC3" s="619" t="s">
        <v>413</v>
      </c>
      <c r="AD3" s="619" t="s">
        <v>411</v>
      </c>
      <c r="AE3" s="814" t="s">
        <v>188</v>
      </c>
      <c r="AF3" s="814" t="s">
        <v>187</v>
      </c>
      <c r="AG3" s="814" t="s">
        <v>189</v>
      </c>
      <c r="AH3" s="814" t="s">
        <v>190</v>
      </c>
      <c r="AI3" s="977" t="s">
        <v>352</v>
      </c>
      <c r="AJ3" s="977" t="s">
        <v>418</v>
      </c>
      <c r="AK3" s="983" t="s">
        <v>242</v>
      </c>
      <c r="AL3" s="137"/>
    </row>
    <row r="4" spans="1:38" x14ac:dyDescent="0.25">
      <c r="A4" s="655"/>
      <c r="B4" s="656"/>
      <c r="C4" s="656"/>
      <c r="D4" s="619"/>
      <c r="E4" s="656"/>
      <c r="F4" s="656"/>
      <c r="G4" s="619"/>
      <c r="H4" s="619"/>
      <c r="I4" s="619"/>
      <c r="J4" s="619"/>
      <c r="K4" s="619"/>
      <c r="L4" s="619"/>
      <c r="M4" s="619"/>
      <c r="N4" s="622"/>
      <c r="O4" s="978"/>
      <c r="P4" s="984"/>
      <c r="Q4" s="137"/>
      <c r="R4" s="619"/>
      <c r="S4" s="656"/>
      <c r="T4" s="137"/>
      <c r="U4" s="656"/>
      <c r="V4" s="656"/>
      <c r="W4" s="656"/>
      <c r="X4" s="619"/>
      <c r="Y4" s="656"/>
      <c r="Z4" s="656"/>
      <c r="AA4" s="619"/>
      <c r="AB4" s="619"/>
      <c r="AC4" s="619"/>
      <c r="AD4" s="619"/>
      <c r="AE4" s="619"/>
      <c r="AF4" s="619"/>
      <c r="AG4" s="619"/>
      <c r="AH4" s="619"/>
      <c r="AI4" s="978"/>
      <c r="AJ4" s="978"/>
      <c r="AK4" s="983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3.5627429039638638E-5</v>
      </c>
      <c r="D5" s="141">
        <f>_xlfn.IFS(($C$18=1),($C$24*B5),($C$18=2),($C$24*(B5-B6)*((4*#REF!-B5)/(4*#REF!-$B$7))),($C$18=3),(C29))</f>
        <v>4.8445696783228933E-4</v>
      </c>
      <c r="E5" s="139">
        <f>'Structural Information'!$Z$6</f>
        <v>37.8446</v>
      </c>
      <c r="F5" s="140">
        <f>E5*D5</f>
        <v>1.8334080164825857E-2</v>
      </c>
      <c r="G5" s="139">
        <f>((E5*D5)/(F9)*$L$12)</f>
        <v>4.4172072334350689</v>
      </c>
      <c r="H5" s="139">
        <f>J5+$O$12</f>
        <v>4.4172072334350689</v>
      </c>
      <c r="I5" s="139">
        <f>G5</f>
        <v>4.4172072334350689</v>
      </c>
      <c r="J5" s="142">
        <f>I5-$O$12</f>
        <v>4.4172072334350689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0.33062602592979645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4.0865812075052723</v>
      </c>
      <c r="M5" s="140">
        <f t="shared" ref="M5:N7" si="0">K5/C13</f>
        <v>3.7121185546010083E-3</v>
      </c>
      <c r="N5" s="145">
        <f t="shared" si="0"/>
        <v>1.9152741407650019E-2</v>
      </c>
      <c r="O5" s="146">
        <f>K5+L5</f>
        <v>4.4172072334350689</v>
      </c>
      <c r="P5" s="147">
        <f>J5-O5</f>
        <v>0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1.0688228711891592E-4</v>
      </c>
      <c r="S5" s="149">
        <f>S6+R5</f>
        <v>4.8445696783228922E-4</v>
      </c>
      <c r="T5" s="137"/>
      <c r="U5" s="134">
        <v>3</v>
      </c>
      <c r="V5" s="139">
        <f>B5</f>
        <v>8.75</v>
      </c>
      <c r="W5" s="140">
        <f>R5/(V5-V6)</f>
        <v>3.5627429039638638E-5</v>
      </c>
      <c r="X5" s="141">
        <f>S5</f>
        <v>4.8445696783228922E-4</v>
      </c>
      <c r="Y5" s="139">
        <f>'Structural Information'!$Z$6</f>
        <v>37.8446</v>
      </c>
      <c r="Z5" s="140">
        <f>Y5*X5</f>
        <v>1.8334080164825853E-2</v>
      </c>
      <c r="AA5" s="139">
        <f>((Y5*X5)/(Z9)*$L$12)</f>
        <v>4.4172072334350689</v>
      </c>
      <c r="AB5" s="139">
        <f>AD5+$O$12</f>
        <v>4.4172072334350689</v>
      </c>
      <c r="AC5" s="139">
        <f>AA5</f>
        <v>4.4172072334350689</v>
      </c>
      <c r="AD5" s="142">
        <f>AC5-$O$12</f>
        <v>4.4172072334350689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0.33062602592979645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4.0865812075052723</v>
      </c>
      <c r="AG5" s="140">
        <f>AE5/$C$13</f>
        <v>3.7121185546010083E-3</v>
      </c>
      <c r="AH5" s="150">
        <f>AF5/$D$13</f>
        <v>1.9152741407650019E-2</v>
      </c>
      <c r="AI5" s="146">
        <f>AE5+AF5</f>
        <v>4.4172072334350689</v>
      </c>
      <c r="AJ5" s="146">
        <f>AD5-AI5</f>
        <v>0</v>
      </c>
      <c r="AK5" s="151">
        <f>(AD5-(AI5))/AD5</f>
        <v>0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6.0372330233790919E-5</v>
      </c>
      <c r="D6" s="141">
        <f>_xlfn.IFS(($C$18=1),($C$24*B6),($C$18=2),($C$24*(B6-B7)*((4*#REF!-B6)/(4*#REF!-$B$7))),($C$18=3),(C30))</f>
        <v>3.7757468071337341E-4</v>
      </c>
      <c r="E6" s="139">
        <f>'Structural Information'!$Z$7</f>
        <v>40.367000000000004</v>
      </c>
      <c r="F6" s="140">
        <f>E6*D6</f>
        <v>1.5241557136356746E-2</v>
      </c>
      <c r="G6" s="139">
        <f>((E6*D6)/(F9)*$L$12)</f>
        <v>3.6721294892499126</v>
      </c>
      <c r="H6" s="139">
        <f>J6-J5+$O$13</f>
        <v>3.6721294892499126</v>
      </c>
      <c r="I6" s="139">
        <f>I5+G6</f>
        <v>8.0893367226849815</v>
      </c>
      <c r="J6" s="142">
        <f>I6-$O$13</f>
        <v>8.0893367226849815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0.68700060766559679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7.402336115019386</v>
      </c>
      <c r="M6" s="140">
        <f t="shared" si="0"/>
        <v>6.580465590666636E-3</v>
      </c>
      <c r="N6" s="145">
        <f t="shared" si="0"/>
        <v>3.4194087744915863E-2</v>
      </c>
      <c r="O6" s="146">
        <f>K6+L6</f>
        <v>8.0893367226849833</v>
      </c>
      <c r="P6" s="147">
        <f>J6-O6</f>
        <v>0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1.8111699070137271E-4</v>
      </c>
      <c r="S6" s="149">
        <f>S7+R6</f>
        <v>3.775746807133733E-4</v>
      </c>
      <c r="T6" s="137"/>
      <c r="U6" s="134">
        <v>2</v>
      </c>
      <c r="V6" s="139">
        <f>B6</f>
        <v>5.75</v>
      </c>
      <c r="W6" s="140">
        <f>R6/(V6-V7)</f>
        <v>6.0372330233790906E-5</v>
      </c>
      <c r="X6" s="141">
        <f>S6</f>
        <v>3.775746807133733E-4</v>
      </c>
      <c r="Y6" s="139">
        <f>'Structural Information'!$Z$7</f>
        <v>40.367000000000004</v>
      </c>
      <c r="Z6" s="140">
        <f>Y6*X6</f>
        <v>1.5241557136356741E-2</v>
      </c>
      <c r="AA6" s="139">
        <f>((Y6*X6)/(Z9)*$L$12)</f>
        <v>3.6721294892499117</v>
      </c>
      <c r="AB6" s="139">
        <f>AD6-AD5+$O$13</f>
        <v>3.6721294892499108</v>
      </c>
      <c r="AC6" s="139">
        <f>AC5+AA6</f>
        <v>8.0893367226849797</v>
      </c>
      <c r="AD6" s="142">
        <f>AC6-$O$13</f>
        <v>8.0893367226849797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0.68700060766559656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7.4023361150193852</v>
      </c>
      <c r="AG6" s="140">
        <f>AE6/$C$14</f>
        <v>6.5804655906666343E-3</v>
      </c>
      <c r="AH6" s="150">
        <f>AF6/$D$14</f>
        <v>3.4194087744915856E-2</v>
      </c>
      <c r="AI6" s="146">
        <f>AE6+AF6</f>
        <v>8.0893367226849815</v>
      </c>
      <c r="AJ6" s="146">
        <f>AD6-AI6</f>
        <v>0</v>
      </c>
      <c r="AK6" s="151">
        <f t="shared" ref="AK6:AK7" si="1">(AD6-(AI6))/AD6</f>
        <v>-2.1959239679302771E-16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7.1439160004363876E-5</v>
      </c>
      <c r="D7" s="141">
        <f>_xlfn.IFS(($C$18=1),($C$24*B7),($C$18=2),($C$24*(B7-B8)*((4*#REF!-B7)/(4*#REF!-$B$7))),($C$18=3),(C31))</f>
        <v>1.9645769001200064E-4</v>
      </c>
      <c r="E7" s="139">
        <f>'Structural Information'!$Z$8</f>
        <v>40.367000000000004</v>
      </c>
      <c r="F7" s="140">
        <f>E7*D7</f>
        <v>7.9304075727144301E-3</v>
      </c>
      <c r="G7" s="139">
        <f>((E7*D7)/(F9)*$L$12)</f>
        <v>1.9106632773150176</v>
      </c>
      <c r="H7" s="139">
        <f>J7-J6+$O$14</f>
        <v>1.9106632773150185</v>
      </c>
      <c r="I7" s="139">
        <f>I6+G7</f>
        <v>10</v>
      </c>
      <c r="J7" s="142">
        <f>I7-$O$14</f>
        <v>10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1.1343539792295945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8.8656460207704093</v>
      </c>
      <c r="M7" s="140">
        <f t="shared" si="0"/>
        <v>8.8195460641260527E-3</v>
      </c>
      <c r="N7" s="145">
        <f t="shared" si="0"/>
        <v>4.0953649393802714E-2</v>
      </c>
      <c r="O7" s="146">
        <f>K7+L7</f>
        <v>10.000000000000004</v>
      </c>
      <c r="P7" s="147">
        <f>J7-O7</f>
        <v>0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1.9645769001200059E-4</v>
      </c>
      <c r="S7" s="149">
        <f>S8+R7</f>
        <v>1.9645769001200059E-4</v>
      </c>
      <c r="T7" s="137"/>
      <c r="U7" s="134">
        <v>1</v>
      </c>
      <c r="V7" s="139">
        <f>B7</f>
        <v>2.75</v>
      </c>
      <c r="W7" s="140">
        <f>R7/(V7-V8)</f>
        <v>7.1439160004363849E-5</v>
      </c>
      <c r="X7" s="141">
        <f>S7</f>
        <v>1.9645769001200059E-4</v>
      </c>
      <c r="Y7" s="139">
        <f>'Structural Information'!$Z$8</f>
        <v>40.367000000000004</v>
      </c>
      <c r="Z7" s="140">
        <f>Y7*X7</f>
        <v>7.9304075727144284E-3</v>
      </c>
      <c r="AA7" s="139">
        <f>((Y7*X7)/(Z9)*$L$12)</f>
        <v>1.9106632773150176</v>
      </c>
      <c r="AB7" s="139">
        <f>AD7-AD6+$O$14</f>
        <v>1.9106632773150167</v>
      </c>
      <c r="AC7" s="139">
        <f>AC6+AA7</f>
        <v>9.9999999999999964</v>
      </c>
      <c r="AD7" s="142">
        <f>AC7-$O$14</f>
        <v>9.9999999999999964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1.134353979229594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8.8656460207704058</v>
      </c>
      <c r="AG7" s="140">
        <f>AE7/$C$15</f>
        <v>8.8195460641260492E-3</v>
      </c>
      <c r="AH7" s="150">
        <f>AF7/$D$15</f>
        <v>4.0953649393802694E-2</v>
      </c>
      <c r="AI7" s="146">
        <f>AE7+AF7</f>
        <v>10</v>
      </c>
      <c r="AJ7" s="146">
        <f>AD7-AI7</f>
        <v>0</v>
      </c>
      <c r="AK7" s="151">
        <f t="shared" si="1"/>
        <v>-3.5527136788005021E-16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4.1506044873897037E-2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4.150604487389703E-2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1013" t="s">
        <v>87</v>
      </c>
      <c r="C11" s="1014"/>
      <c r="D11" s="1014"/>
      <c r="E11" s="1014"/>
      <c r="F11" s="1014"/>
      <c r="G11" s="1014"/>
      <c r="H11" s="1015"/>
      <c r="I11" s="159"/>
      <c r="J11" s="159"/>
      <c r="K11" s="985" t="s">
        <v>273</v>
      </c>
      <c r="L11" s="985"/>
      <c r="M11" s="159"/>
      <c r="N11" s="165" t="s">
        <v>417</v>
      </c>
      <c r="O11" s="166" t="s">
        <v>416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191</v>
      </c>
      <c r="D12" s="134" t="s">
        <v>192</v>
      </c>
      <c r="E12" s="134" t="s">
        <v>72</v>
      </c>
      <c r="F12" s="134" t="s">
        <v>74</v>
      </c>
      <c r="G12" s="134" t="s">
        <v>181</v>
      </c>
      <c r="H12" s="533" t="s">
        <v>427</v>
      </c>
      <c r="I12" s="567" t="s">
        <v>428</v>
      </c>
      <c r="J12" s="159"/>
      <c r="K12" s="167" t="s">
        <v>274</v>
      </c>
      <c r="L12" s="168">
        <f>S68</f>
        <v>10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89.066666666666663</v>
      </c>
      <c r="D13" s="139">
        <f>'System Capacities'!O6</f>
        <v>213.36795190442052</v>
      </c>
      <c r="E13" s="143">
        <f>IF(($H$13=0),('System Capacities'!$P$6),('System Capacities'!$C$56))</f>
        <v>230.6305473153175</v>
      </c>
      <c r="F13" s="171">
        <f>IF(($H$13=0),('System Capacities'!$Q$6),('System Capacities'!$D$56))</f>
        <v>1.8601738665676483E-3</v>
      </c>
      <c r="G13" s="139">
        <f>IF(($H$13=0),('System Capacities'!$R$6),('System Capacities'!$E$56))</f>
        <v>41327.776121786563</v>
      </c>
      <c r="H13" s="544">
        <v>0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104.39999999999999</v>
      </c>
      <c r="D14" s="139">
        <f>'System Capacities'!O7</f>
        <v>216.48000000000002</v>
      </c>
      <c r="E14" s="143">
        <f>IF(($H$14=0),('System Capacities'!$P$7),('System Capacities'!$G$56))</f>
        <v>236.57121029315203</v>
      </c>
      <c r="F14" s="171">
        <f>IF(($H$14=0),('System Capacities'!$Q$7),('System Capacities'!$H$56))</f>
        <v>1.7655780345468453E-3</v>
      </c>
      <c r="G14" s="139">
        <f>IF(($H$14=0),('System Capacities'!$R$7),('System Capacities'!$I$56))</f>
        <v>44663.599430175775</v>
      </c>
      <c r="H14" s="545">
        <v>0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128.61818181818182</v>
      </c>
      <c r="D15" s="139">
        <f>'System Capacities'!O8</f>
        <v>216.47999999999996</v>
      </c>
      <c r="E15" s="143">
        <f>IF(($H$15=0),('System Capacities'!$P$8),('System Capacities'!$K$56))</f>
        <v>244.17848343237631</v>
      </c>
      <c r="F15" s="171">
        <f>IF(($H$15=0),('System Capacities'!$Q$8),('System Capacities'!$L$56))</f>
        <v>1.7443905747548439E-3</v>
      </c>
      <c r="G15" s="139">
        <f>IF(($H$15=0),('System Capacities'!$R$8),('System Capacities'!$M$56))</f>
        <v>50901.545260911655</v>
      </c>
      <c r="H15" s="546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79" t="s">
        <v>248</v>
      </c>
      <c r="S15" s="981"/>
      <c r="T15" s="114"/>
      <c r="U15" s="979" t="s">
        <v>248</v>
      </c>
      <c r="V15" s="980"/>
      <c r="W15" s="980"/>
      <c r="X15" s="980"/>
      <c r="Y15" s="980"/>
      <c r="Z15" s="980"/>
      <c r="AA15" s="980"/>
      <c r="AB15" s="980"/>
      <c r="AC15" s="980"/>
      <c r="AD15" s="980"/>
      <c r="AE15" s="980"/>
      <c r="AF15" s="980"/>
      <c r="AG15" s="980"/>
      <c r="AH15" s="980"/>
      <c r="AI15" s="980"/>
      <c r="AJ15" s="981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265</v>
      </c>
      <c r="L16" s="150">
        <v>1</v>
      </c>
      <c r="M16" s="159"/>
      <c r="N16" s="159"/>
      <c r="O16" s="159"/>
      <c r="P16" s="162"/>
      <c r="Q16" s="137"/>
      <c r="R16" s="814" t="s">
        <v>85</v>
      </c>
      <c r="S16" s="962" t="s">
        <v>84</v>
      </c>
      <c r="T16" s="137"/>
      <c r="U16" s="962" t="s">
        <v>0</v>
      </c>
      <c r="V16" s="962" t="s">
        <v>76</v>
      </c>
      <c r="W16" s="962" t="s">
        <v>104</v>
      </c>
      <c r="X16" s="814" t="s">
        <v>78</v>
      </c>
      <c r="Y16" s="962" t="s">
        <v>80</v>
      </c>
      <c r="Z16" s="962" t="s">
        <v>81</v>
      </c>
      <c r="AA16" s="619" t="s">
        <v>412</v>
      </c>
      <c r="AB16" s="619" t="s">
        <v>410</v>
      </c>
      <c r="AC16" s="619" t="s">
        <v>413</v>
      </c>
      <c r="AD16" s="619" t="s">
        <v>411</v>
      </c>
      <c r="AE16" s="814" t="s">
        <v>188</v>
      </c>
      <c r="AF16" s="814" t="s">
        <v>187</v>
      </c>
      <c r="AG16" s="814" t="s">
        <v>189</v>
      </c>
      <c r="AH16" s="814" t="s">
        <v>190</v>
      </c>
      <c r="AI16" s="982" t="s">
        <v>352</v>
      </c>
      <c r="AJ16" s="977" t="s">
        <v>418</v>
      </c>
      <c r="AK16" s="983" t="s">
        <v>242</v>
      </c>
      <c r="AL16" s="137"/>
    </row>
    <row r="17" spans="1:38" ht="16.5" thickBot="1" x14ac:dyDescent="0.3">
      <c r="A17" s="158"/>
      <c r="B17" s="1001" t="s">
        <v>312</v>
      </c>
      <c r="C17" s="1002"/>
      <c r="D17" s="1003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19"/>
      <c r="S17" s="656"/>
      <c r="T17" s="137"/>
      <c r="U17" s="656"/>
      <c r="V17" s="656"/>
      <c r="W17" s="656"/>
      <c r="X17" s="619"/>
      <c r="Y17" s="656"/>
      <c r="Z17" s="656"/>
      <c r="AA17" s="619"/>
      <c r="AB17" s="619"/>
      <c r="AC17" s="619"/>
      <c r="AD17" s="619"/>
      <c r="AE17" s="619"/>
      <c r="AF17" s="619"/>
      <c r="AG17" s="619"/>
      <c r="AH17" s="619"/>
      <c r="AI17" s="977"/>
      <c r="AJ17" s="978"/>
      <c r="AK17" s="983"/>
      <c r="AL17" s="137"/>
    </row>
    <row r="18" spans="1:38" ht="16.5" thickBot="1" x14ac:dyDescent="0.3">
      <c r="A18" s="158"/>
      <c r="B18" s="177" t="s">
        <v>311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1.0688228711891592E-4</v>
      </c>
      <c r="S18" s="181">
        <f>S19+R18</f>
        <v>4.8445696783228916E-4</v>
      </c>
      <c r="T18" s="137"/>
      <c r="U18" s="134">
        <v>3</v>
      </c>
      <c r="V18" s="139">
        <f>V5</f>
        <v>8.75</v>
      </c>
      <c r="W18" s="140">
        <f>R18/(V18-V19)</f>
        <v>3.5627429039638638E-5</v>
      </c>
      <c r="X18" s="141">
        <f>S18</f>
        <v>4.8445696783228916E-4</v>
      </c>
      <c r="Y18" s="139">
        <f>'Structural Information'!$Z$6</f>
        <v>37.8446</v>
      </c>
      <c r="Z18" s="139">
        <f>Y18*X18</f>
        <v>1.833408016482585E-2</v>
      </c>
      <c r="AA18" s="139">
        <f>((Y18*X18)/(Z22)*$L$12)</f>
        <v>4.4172072334350698</v>
      </c>
      <c r="AB18" s="139">
        <f>AD18+$O$12</f>
        <v>4.4172072334350698</v>
      </c>
      <c r="AC18" s="139">
        <f>AA18</f>
        <v>4.4172072334350698</v>
      </c>
      <c r="AD18" s="142">
        <f>AC18-$O$12</f>
        <v>4.4172072334350698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0.33062602592979645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4.0865812075052723</v>
      </c>
      <c r="AG18" s="171">
        <f>AE18/$C$13</f>
        <v>3.7121185546010083E-3</v>
      </c>
      <c r="AH18" s="182">
        <f>AF18/$D$13</f>
        <v>1.9152741407650019E-2</v>
      </c>
      <c r="AI18" s="146">
        <f>AE18+AF18</f>
        <v>4.4172072334350689</v>
      </c>
      <c r="AJ18" s="146">
        <f>AD18-AI18</f>
        <v>0</v>
      </c>
      <c r="AK18" s="151">
        <f>(AD18-(AI18))/AD18</f>
        <v>2.0107239093906571E-16</v>
      </c>
      <c r="AL18" s="137"/>
    </row>
    <row r="19" spans="1:38" x14ac:dyDescent="0.25">
      <c r="A19" s="158"/>
      <c r="B19" s="999" t="s">
        <v>309</v>
      </c>
      <c r="C19" s="1000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1.8111699070137268E-4</v>
      </c>
      <c r="S19" s="181">
        <f>S20+R19</f>
        <v>3.7757468071337324E-4</v>
      </c>
      <c r="T19" s="137"/>
      <c r="U19" s="134">
        <v>2</v>
      </c>
      <c r="V19" s="139">
        <f>V6</f>
        <v>5.75</v>
      </c>
      <c r="W19" s="140">
        <f>R19/(V19-V20)</f>
        <v>6.0372330233790892E-5</v>
      </c>
      <c r="X19" s="141">
        <f>S19</f>
        <v>3.7757468071337324E-4</v>
      </c>
      <c r="Y19" s="139">
        <f>'Structural Information'!$Z$7</f>
        <v>40.367000000000004</v>
      </c>
      <c r="Z19" s="139">
        <f>Y19*X19</f>
        <v>1.5241557136356739E-2</v>
      </c>
      <c r="AA19" s="139">
        <f>((Y19*X19)/(Z22)*$L$12)</f>
        <v>3.6721294892499126</v>
      </c>
      <c r="AB19" s="139">
        <f>AD19-AD18+$O$13</f>
        <v>3.6721294892499134</v>
      </c>
      <c r="AC19" s="139">
        <f>AC18+AA19</f>
        <v>8.0893367226849833</v>
      </c>
      <c r="AD19" s="142">
        <f>AC19-$O$13</f>
        <v>8.0893367226849833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0.68700060766559645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7.4023361150193825</v>
      </c>
      <c r="AG19" s="171">
        <f>AE19/$C$14</f>
        <v>6.5804655906666334E-3</v>
      </c>
      <c r="AH19" s="182">
        <f>AF19/$D$14</f>
        <v>3.4194087744915842E-2</v>
      </c>
      <c r="AI19" s="146">
        <f>AE19+AF19</f>
        <v>8.0893367226849797</v>
      </c>
      <c r="AJ19" s="146">
        <f>AD19-AI19</f>
        <v>0</v>
      </c>
      <c r="AK19" s="151">
        <f t="shared" ref="AK19:AK20" si="3">(AD19-(AI19))/AD19</f>
        <v>4.3918479358605522E-16</v>
      </c>
      <c r="AL19" s="137"/>
    </row>
    <row r="20" spans="1:38" x14ac:dyDescent="0.25">
      <c r="A20" s="158"/>
      <c r="B20" s="999" t="s">
        <v>310</v>
      </c>
      <c r="C20" s="1000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1.9645769001200053E-4</v>
      </c>
      <c r="S20" s="181">
        <f>S21+R20</f>
        <v>1.9645769001200053E-4</v>
      </c>
      <c r="T20" s="137"/>
      <c r="U20" s="134">
        <v>1</v>
      </c>
      <c r="V20" s="139">
        <f>V7</f>
        <v>2.75</v>
      </c>
      <c r="W20" s="140">
        <f>R20/(V20-V21)</f>
        <v>7.1439160004363835E-5</v>
      </c>
      <c r="X20" s="141">
        <f>S20</f>
        <v>1.9645769001200053E-4</v>
      </c>
      <c r="Y20" s="139">
        <f>'Structural Information'!$Z$8</f>
        <v>40.367000000000004</v>
      </c>
      <c r="Z20" s="139">
        <f>Y20*X20</f>
        <v>7.9304075727144267E-3</v>
      </c>
      <c r="AA20" s="139">
        <f>((Y20*X20)/(Z22)*$L$12)</f>
        <v>1.9106632773150178</v>
      </c>
      <c r="AB20" s="139">
        <f>AD20-AD19+$O$14</f>
        <v>1.9106632773150185</v>
      </c>
      <c r="AC20" s="139">
        <f>AC19+AA20</f>
        <v>10.000000000000002</v>
      </c>
      <c r="AD20" s="142">
        <f>AC20-$O$14</f>
        <v>10.000000000000002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1.1343539792295938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8.865646020770404</v>
      </c>
      <c r="AG20" s="171">
        <f>AE20/$C$15</f>
        <v>8.8195460641260475E-3</v>
      </c>
      <c r="AH20" s="182">
        <f>AF20/$D$15</f>
        <v>4.0953649393802687E-2</v>
      </c>
      <c r="AI20" s="146">
        <f>AE20+AF20</f>
        <v>9.9999999999999982</v>
      </c>
      <c r="AJ20" s="146">
        <f>AD20-AI20</f>
        <v>0</v>
      </c>
      <c r="AK20" s="151">
        <f t="shared" si="3"/>
        <v>3.5527136788005001E-16</v>
      </c>
      <c r="AL20" s="137"/>
    </row>
    <row r="21" spans="1:38" ht="16.5" thickBot="1" x14ac:dyDescent="0.3">
      <c r="A21" s="158"/>
      <c r="B21" s="997" t="s">
        <v>322</v>
      </c>
      <c r="C21" s="998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4.1506044873897016E-2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95" t="s">
        <v>323</v>
      </c>
      <c r="C23" s="996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321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93" t="s">
        <v>324</v>
      </c>
      <c r="C26" s="994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90" t="s">
        <v>0</v>
      </c>
      <c r="C27" s="992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91"/>
      <c r="C28" s="652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68" t="s">
        <v>249</v>
      </c>
      <c r="S28" s="970"/>
      <c r="T28" s="114"/>
      <c r="U28" s="968" t="s">
        <v>249</v>
      </c>
      <c r="V28" s="969"/>
      <c r="W28" s="969"/>
      <c r="X28" s="969"/>
      <c r="Y28" s="969"/>
      <c r="Z28" s="969"/>
      <c r="AA28" s="969"/>
      <c r="AB28" s="969"/>
      <c r="AC28" s="969"/>
      <c r="AD28" s="969"/>
      <c r="AE28" s="969"/>
      <c r="AF28" s="969"/>
      <c r="AG28" s="969"/>
      <c r="AH28" s="969"/>
      <c r="AI28" s="969"/>
      <c r="AJ28" s="970"/>
      <c r="AK28" s="137"/>
      <c r="AL28" s="137"/>
    </row>
    <row r="29" spans="1:38" x14ac:dyDescent="0.25">
      <c r="A29" s="158"/>
      <c r="B29" s="189">
        <v>3</v>
      </c>
      <c r="C29" s="190">
        <v>4.8445696783228933E-4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814" t="s">
        <v>85</v>
      </c>
      <c r="S29" s="962" t="s">
        <v>84</v>
      </c>
      <c r="T29" s="137"/>
      <c r="U29" s="962" t="s">
        <v>0</v>
      </c>
      <c r="V29" s="962" t="s">
        <v>76</v>
      </c>
      <c r="W29" s="962" t="s">
        <v>104</v>
      </c>
      <c r="X29" s="814" t="s">
        <v>78</v>
      </c>
      <c r="Y29" s="962" t="s">
        <v>80</v>
      </c>
      <c r="Z29" s="962" t="s">
        <v>81</v>
      </c>
      <c r="AA29" s="619" t="s">
        <v>412</v>
      </c>
      <c r="AB29" s="619" t="s">
        <v>410</v>
      </c>
      <c r="AC29" s="619" t="s">
        <v>413</v>
      </c>
      <c r="AD29" s="619" t="s">
        <v>411</v>
      </c>
      <c r="AE29" s="950" t="s">
        <v>188</v>
      </c>
      <c r="AF29" s="950" t="s">
        <v>187</v>
      </c>
      <c r="AG29" s="950" t="s">
        <v>189</v>
      </c>
      <c r="AH29" s="950" t="s">
        <v>190</v>
      </c>
      <c r="AI29" s="982" t="s">
        <v>352</v>
      </c>
      <c r="AJ29" s="977" t="s">
        <v>418</v>
      </c>
      <c r="AK29" s="983" t="s">
        <v>242</v>
      </c>
      <c r="AL29" s="137"/>
    </row>
    <row r="30" spans="1:38" x14ac:dyDescent="0.25">
      <c r="A30" s="158"/>
      <c r="B30" s="189">
        <v>2</v>
      </c>
      <c r="C30" s="190">
        <v>3.7757468071337341E-4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19"/>
      <c r="S30" s="656"/>
      <c r="T30" s="137"/>
      <c r="U30" s="656"/>
      <c r="V30" s="656"/>
      <c r="W30" s="656"/>
      <c r="X30" s="619"/>
      <c r="Y30" s="656"/>
      <c r="Z30" s="656"/>
      <c r="AA30" s="619"/>
      <c r="AB30" s="619"/>
      <c r="AC30" s="619"/>
      <c r="AD30" s="619"/>
      <c r="AE30" s="814"/>
      <c r="AF30" s="814"/>
      <c r="AG30" s="814"/>
      <c r="AH30" s="814"/>
      <c r="AI30" s="977"/>
      <c r="AJ30" s="978"/>
      <c r="AK30" s="983"/>
      <c r="AL30" s="137"/>
    </row>
    <row r="31" spans="1:38" x14ac:dyDescent="0.25">
      <c r="A31" s="158"/>
      <c r="B31" s="189">
        <v>1</v>
      </c>
      <c r="C31" s="190">
        <v>1.9645769001200064E-4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1.0688228711891595E-4</v>
      </c>
      <c r="S31" s="181">
        <f>S32+R31</f>
        <v>4.8445696783228933E-4</v>
      </c>
      <c r="T31" s="137"/>
      <c r="U31" s="134">
        <v>3</v>
      </c>
      <c r="V31" s="139">
        <f>V5</f>
        <v>8.75</v>
      </c>
      <c r="W31" s="140">
        <f>R31/(V31-V32)</f>
        <v>3.5627429039638651E-5</v>
      </c>
      <c r="X31" s="141">
        <f>S31</f>
        <v>4.8445696783228933E-4</v>
      </c>
      <c r="Y31" s="139">
        <f>'Structural Information'!$Z$6</f>
        <v>37.8446</v>
      </c>
      <c r="Z31" s="139">
        <f>Y31*X31</f>
        <v>1.8334080164825857E-2</v>
      </c>
      <c r="AA31" s="139">
        <f>((Y31*X31)/(Z35)*$L$12)</f>
        <v>4.4172072334350689</v>
      </c>
      <c r="AB31" s="139">
        <f>AD31+$O$12</f>
        <v>4.4172072334350689</v>
      </c>
      <c r="AC31" s="139">
        <f>AA31</f>
        <v>4.4172072334350689</v>
      </c>
      <c r="AD31" s="142">
        <f>AC31-$O$12</f>
        <v>4.4172072334350689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0.33062602592979651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4.0865812075052741</v>
      </c>
      <c r="AG31" s="140">
        <f>AE31/$C$13</f>
        <v>3.7121185546010087E-3</v>
      </c>
      <c r="AH31" s="150">
        <f>AF31/$D$13</f>
        <v>1.9152741407650026E-2</v>
      </c>
      <c r="AI31" s="146">
        <f>AE31+AF31</f>
        <v>4.4172072334350707</v>
      </c>
      <c r="AJ31" s="146">
        <f>AD31-AI31</f>
        <v>0</v>
      </c>
      <c r="AK31" s="151">
        <f>(AD31-(AI31))/AD31</f>
        <v>-4.0214478187813147E-16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1.8111699070137276E-4</v>
      </c>
      <c r="S32" s="181">
        <f>S33+R32</f>
        <v>3.7757468071337341E-4</v>
      </c>
      <c r="T32" s="137"/>
      <c r="U32" s="134">
        <v>2</v>
      </c>
      <c r="V32" s="139">
        <f>V6</f>
        <v>5.75</v>
      </c>
      <c r="W32" s="140">
        <f>R32/(V32-V33)</f>
        <v>6.0372330233790919E-5</v>
      </c>
      <c r="X32" s="141">
        <f>S32</f>
        <v>3.7757468071337341E-4</v>
      </c>
      <c r="Y32" s="139">
        <f>'Structural Information'!$Z$7</f>
        <v>40.367000000000004</v>
      </c>
      <c r="Z32" s="139">
        <f>Y32*X32</f>
        <v>1.5241557136356746E-2</v>
      </c>
      <c r="AA32" s="139">
        <f>((Y32*X32)/(Z35)*$L$12)</f>
        <v>3.6721294892499126</v>
      </c>
      <c r="AB32" s="139">
        <f>AD32-AD31+$O$13</f>
        <v>3.6721294892499126</v>
      </c>
      <c r="AC32" s="139">
        <f>AC31+AA32</f>
        <v>8.0893367226849815</v>
      </c>
      <c r="AD32" s="142">
        <f>AC32-$O$13</f>
        <v>8.0893367226849815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0.68700060766559679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7.402336115019386</v>
      </c>
      <c r="AG32" s="140">
        <f>AE32/$C$14</f>
        <v>6.580465590666636E-3</v>
      </c>
      <c r="AH32" s="150">
        <f>AF32/$D$14</f>
        <v>3.4194087744915863E-2</v>
      </c>
      <c r="AI32" s="146">
        <f>AE32+AF32</f>
        <v>8.0893367226849833</v>
      </c>
      <c r="AJ32" s="146">
        <f>AD32-AI32</f>
        <v>0</v>
      </c>
      <c r="AK32" s="151">
        <f t="shared" ref="AK32:AK33" si="4">(AD32-(AI32))/AD32</f>
        <v>-2.1959239679302766E-16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1.9645769001200064E-4</v>
      </c>
      <c r="S33" s="181">
        <f>S34+R33</f>
        <v>1.9645769001200064E-4</v>
      </c>
      <c r="T33" s="137"/>
      <c r="U33" s="134">
        <v>1</v>
      </c>
      <c r="V33" s="139">
        <f>V7</f>
        <v>2.75</v>
      </c>
      <c r="W33" s="140">
        <f>R33/(V33-V34)</f>
        <v>7.1439160004363876E-5</v>
      </c>
      <c r="X33" s="141">
        <f>S33</f>
        <v>1.9645769001200064E-4</v>
      </c>
      <c r="Y33" s="139">
        <f>'Structural Information'!$Z$8</f>
        <v>40.367000000000004</v>
      </c>
      <c r="Z33" s="139">
        <f>Y33*X33</f>
        <v>7.9304075727144301E-3</v>
      </c>
      <c r="AA33" s="139">
        <f>((Y33*X33)/(Z35)*$L$12)</f>
        <v>1.9106632773150176</v>
      </c>
      <c r="AB33" s="139">
        <f>AD33-AD32+$O$14</f>
        <v>1.9106632773150185</v>
      </c>
      <c r="AC33" s="139">
        <f>AC32+AA33</f>
        <v>10</v>
      </c>
      <c r="AD33" s="142">
        <f>AC33-$O$14</f>
        <v>10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1.1343539792295945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8.8656460207704093</v>
      </c>
      <c r="AG33" s="140">
        <f>AE33/$C$15</f>
        <v>8.8195460641260527E-3</v>
      </c>
      <c r="AH33" s="150">
        <f>AF33/$D$15</f>
        <v>4.0953649393802714E-2</v>
      </c>
      <c r="AI33" s="146">
        <f>AE33+AF33</f>
        <v>10.000000000000004</v>
      </c>
      <c r="AJ33" s="146">
        <f>AD33-AI33</f>
        <v>0</v>
      </c>
      <c r="AK33" s="151">
        <f t="shared" si="4"/>
        <v>-3.5527136788005011E-16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4.1506044873897037E-2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71" t="s">
        <v>250</v>
      </c>
      <c r="S41" s="973"/>
      <c r="T41" s="114"/>
      <c r="U41" s="971" t="s">
        <v>250</v>
      </c>
      <c r="V41" s="972"/>
      <c r="W41" s="972"/>
      <c r="X41" s="972"/>
      <c r="Y41" s="972"/>
      <c r="Z41" s="972"/>
      <c r="AA41" s="972"/>
      <c r="AB41" s="972"/>
      <c r="AC41" s="972"/>
      <c r="AD41" s="972"/>
      <c r="AE41" s="972"/>
      <c r="AF41" s="972"/>
      <c r="AG41" s="972"/>
      <c r="AH41" s="972"/>
      <c r="AI41" s="972"/>
      <c r="AJ41" s="973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814" t="s">
        <v>85</v>
      </c>
      <c r="S42" s="962" t="s">
        <v>84</v>
      </c>
      <c r="T42" s="137"/>
      <c r="U42" s="962" t="s">
        <v>0</v>
      </c>
      <c r="V42" s="962" t="s">
        <v>76</v>
      </c>
      <c r="W42" s="962" t="s">
        <v>104</v>
      </c>
      <c r="X42" s="814" t="s">
        <v>78</v>
      </c>
      <c r="Y42" s="962" t="s">
        <v>80</v>
      </c>
      <c r="Z42" s="962" t="s">
        <v>81</v>
      </c>
      <c r="AA42" s="619" t="s">
        <v>412</v>
      </c>
      <c r="AB42" s="619" t="s">
        <v>410</v>
      </c>
      <c r="AC42" s="619" t="s">
        <v>413</v>
      </c>
      <c r="AD42" s="619" t="s">
        <v>411</v>
      </c>
      <c r="AE42" s="950" t="s">
        <v>188</v>
      </c>
      <c r="AF42" s="950" t="s">
        <v>187</v>
      </c>
      <c r="AG42" s="950" t="s">
        <v>189</v>
      </c>
      <c r="AH42" s="950" t="s">
        <v>190</v>
      </c>
      <c r="AI42" s="982" t="s">
        <v>352</v>
      </c>
      <c r="AJ42" s="977" t="s">
        <v>418</v>
      </c>
      <c r="AK42" s="983" t="s">
        <v>242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19"/>
      <c r="S43" s="656"/>
      <c r="T43" s="137"/>
      <c r="U43" s="656"/>
      <c r="V43" s="656"/>
      <c r="W43" s="656"/>
      <c r="X43" s="619"/>
      <c r="Y43" s="656"/>
      <c r="Z43" s="656"/>
      <c r="AA43" s="619"/>
      <c r="AB43" s="619"/>
      <c r="AC43" s="619"/>
      <c r="AD43" s="619"/>
      <c r="AE43" s="814"/>
      <c r="AF43" s="814"/>
      <c r="AG43" s="814"/>
      <c r="AH43" s="814"/>
      <c r="AI43" s="977"/>
      <c r="AJ43" s="978"/>
      <c r="AK43" s="983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1.0688228711891592E-4</v>
      </c>
      <c r="S44" s="181">
        <f>S45+R44</f>
        <v>4.8445696783228922E-4</v>
      </c>
      <c r="T44" s="137"/>
      <c r="U44" s="134">
        <v>3</v>
      </c>
      <c r="V44" s="139">
        <f>V5</f>
        <v>8.75</v>
      </c>
      <c r="W44" s="140">
        <f>R44/(V44-V45)</f>
        <v>3.5627429039638638E-5</v>
      </c>
      <c r="X44" s="141">
        <f>S44</f>
        <v>4.8445696783228922E-4</v>
      </c>
      <c r="Y44" s="139">
        <f>'Structural Information'!$Z$6</f>
        <v>37.8446</v>
      </c>
      <c r="Z44" s="139">
        <f>Y44*X44</f>
        <v>1.8334080164825853E-2</v>
      </c>
      <c r="AA44" s="139">
        <f>((Y44*X44)/(Z48)*$L$12)</f>
        <v>4.4172072334350689</v>
      </c>
      <c r="AB44" s="139">
        <f>AD44+$O$12</f>
        <v>4.4172072334350689</v>
      </c>
      <c r="AC44" s="139">
        <f>AA44</f>
        <v>4.4172072334350689</v>
      </c>
      <c r="AD44" s="142">
        <f>AC44-$O$12</f>
        <v>4.4172072334350689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0.33062602592979645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4.0865812075052723</v>
      </c>
      <c r="AG44" s="140">
        <f>AE44/$C$13</f>
        <v>3.7121185546010083E-3</v>
      </c>
      <c r="AH44" s="150">
        <f>AF44/$D$13</f>
        <v>1.9152741407650019E-2</v>
      </c>
      <c r="AI44" s="146">
        <f>AE44+AF44</f>
        <v>4.4172072334350689</v>
      </c>
      <c r="AJ44" s="146">
        <f>AD44-AI44</f>
        <v>0</v>
      </c>
      <c r="AK44" s="151">
        <f>(AD44-(AI44))/AD44</f>
        <v>0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1.8111699070137271E-4</v>
      </c>
      <c r="S45" s="181">
        <f>S46+R45</f>
        <v>3.775746807133733E-4</v>
      </c>
      <c r="T45" s="137"/>
      <c r="U45" s="134">
        <v>2</v>
      </c>
      <c r="V45" s="139">
        <f>V6</f>
        <v>5.75</v>
      </c>
      <c r="W45" s="140">
        <f>R45/(V45-V46)</f>
        <v>6.0372330233790906E-5</v>
      </c>
      <c r="X45" s="141">
        <f>S45</f>
        <v>3.775746807133733E-4</v>
      </c>
      <c r="Y45" s="139">
        <f>'Structural Information'!$Z$7</f>
        <v>40.367000000000004</v>
      </c>
      <c r="Z45" s="139">
        <f>Y45*X45</f>
        <v>1.5241557136356741E-2</v>
      </c>
      <c r="AA45" s="139">
        <f>((Y45*X45)/(Z48)*$L$12)</f>
        <v>3.6721294892499117</v>
      </c>
      <c r="AB45" s="139">
        <f>AD45-AD44+$O$13</f>
        <v>3.6721294892499108</v>
      </c>
      <c r="AC45" s="139">
        <f>AC44+AA45</f>
        <v>8.0893367226849797</v>
      </c>
      <c r="AD45" s="142">
        <f>AC45-$O$13</f>
        <v>8.0893367226849797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0.68700060766559656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7.4023361150193852</v>
      </c>
      <c r="AG45" s="140">
        <f>AE45/$C$14</f>
        <v>6.5804655906666343E-3</v>
      </c>
      <c r="AH45" s="150">
        <f>AF45/$D$14</f>
        <v>3.4194087744915856E-2</v>
      </c>
      <c r="AI45" s="146">
        <f>AE45+AF45</f>
        <v>8.0893367226849815</v>
      </c>
      <c r="AJ45" s="146">
        <f>AD45-AI45</f>
        <v>0</v>
      </c>
      <c r="AK45" s="151">
        <f t="shared" ref="AK45:AK46" si="5">(AD45-(AI45))/AD45</f>
        <v>-2.1959239679302771E-16</v>
      </c>
      <c r="AL45" s="137"/>
    </row>
    <row r="46" spans="1:38" ht="16.5" thickBot="1" x14ac:dyDescent="0.3">
      <c r="A46" s="159"/>
      <c r="B46" s="159"/>
      <c r="C46" s="159"/>
      <c r="D46" s="159"/>
      <c r="E46" s="1004" t="s">
        <v>430</v>
      </c>
      <c r="F46" s="1005"/>
      <c r="G46" s="1005"/>
      <c r="H46" s="1005"/>
      <c r="I46" s="1005"/>
      <c r="J46" s="1005"/>
      <c r="K46" s="1005"/>
      <c r="L46" s="1005"/>
      <c r="M46" s="1005"/>
      <c r="N46" s="1005"/>
      <c r="O46" s="1005"/>
      <c r="P46" s="1006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1.9645769001200059E-4</v>
      </c>
      <c r="S46" s="181">
        <f>S47+R46</f>
        <v>1.9645769001200059E-4</v>
      </c>
      <c r="T46" s="137"/>
      <c r="U46" s="134">
        <v>1</v>
      </c>
      <c r="V46" s="139">
        <f>V7</f>
        <v>2.75</v>
      </c>
      <c r="W46" s="140">
        <f>R46/(V46-V47)</f>
        <v>7.1439160004363849E-5</v>
      </c>
      <c r="X46" s="141">
        <f>S46</f>
        <v>1.9645769001200059E-4</v>
      </c>
      <c r="Y46" s="139">
        <f>'Structural Information'!$Z$8</f>
        <v>40.367000000000004</v>
      </c>
      <c r="Z46" s="139">
        <f>Y46*X46</f>
        <v>7.9304075727144284E-3</v>
      </c>
      <c r="AA46" s="139">
        <f>((Y46*X46)/(Z48)*$L$12)</f>
        <v>1.9106632773150176</v>
      </c>
      <c r="AB46" s="139">
        <f>AD46-AD45+$O$14</f>
        <v>1.9106632773150167</v>
      </c>
      <c r="AC46" s="139">
        <f>AC45+AA46</f>
        <v>9.9999999999999964</v>
      </c>
      <c r="AD46" s="142">
        <f>AC46-$O$14</f>
        <v>9.9999999999999964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1.134353979229594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8.8656460207704058</v>
      </c>
      <c r="AG46" s="140">
        <f>AE46/$C$15</f>
        <v>8.8195460641260492E-3</v>
      </c>
      <c r="AH46" s="150">
        <f>AF46/$D$15</f>
        <v>4.0953649393802694E-2</v>
      </c>
      <c r="AI46" s="146">
        <f>AE46+AF46</f>
        <v>10</v>
      </c>
      <c r="AJ46" s="146">
        <f>AD46-AI46</f>
        <v>0</v>
      </c>
      <c r="AK46" s="151">
        <f t="shared" si="5"/>
        <v>-3.5527136788005021E-16</v>
      </c>
      <c r="AL46" s="137"/>
    </row>
    <row r="47" spans="1:38" x14ac:dyDescent="0.25">
      <c r="A47" s="159"/>
      <c r="B47" s="159"/>
      <c r="C47" s="159"/>
      <c r="D47" s="159"/>
      <c r="E47" s="953" t="s">
        <v>0</v>
      </c>
      <c r="F47" s="955" t="s">
        <v>76</v>
      </c>
      <c r="G47" s="951" t="s">
        <v>104</v>
      </c>
      <c r="H47" s="958" t="s">
        <v>422</v>
      </c>
      <c r="I47" s="955" t="s">
        <v>421</v>
      </c>
      <c r="J47" s="951" t="s">
        <v>85</v>
      </c>
      <c r="K47" s="966" t="s">
        <v>78</v>
      </c>
      <c r="L47" s="955" t="s">
        <v>188</v>
      </c>
      <c r="M47" s="957" t="s">
        <v>187</v>
      </c>
      <c r="N47" s="957" t="s">
        <v>424</v>
      </c>
      <c r="O47" s="957" t="s">
        <v>425</v>
      </c>
      <c r="P47" s="964" t="s">
        <v>352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954"/>
      <c r="F48" s="956"/>
      <c r="G48" s="952"/>
      <c r="H48" s="963"/>
      <c r="I48" s="956"/>
      <c r="J48" s="952"/>
      <c r="K48" s="967"/>
      <c r="L48" s="956"/>
      <c r="M48" s="958"/>
      <c r="N48" s="958"/>
      <c r="O48" s="958"/>
      <c r="P48" s="965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4.150604487389703E-2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3">
        <v>3</v>
      </c>
      <c r="F49" s="387">
        <f>V57</f>
        <v>8.75</v>
      </c>
      <c r="G49" s="508">
        <f>(J49/(F49-F50))</f>
        <v>3.5627429039638706E-5</v>
      </c>
      <c r="H49" s="511"/>
      <c r="I49" s="526">
        <v>1.8973538018496328E-19</v>
      </c>
      <c r="J49" s="508">
        <f>R57+I49</f>
        <v>1.0688228711891611E-4</v>
      </c>
      <c r="K49" s="524">
        <f>K50+J49</f>
        <v>4.8445696783228933E-4</v>
      </c>
      <c r="L49" s="387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0.33062602592979701</v>
      </c>
      <c r="M49" s="509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4.0865812075052803</v>
      </c>
      <c r="N49" s="510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3.7121185546010148E-3</v>
      </c>
      <c r="O49" s="510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1.9152741407650054E-2</v>
      </c>
      <c r="P49" s="514">
        <f>L49+M49</f>
        <v>4.4172072334350769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3">
        <v>2</v>
      </c>
      <c r="F50" s="387">
        <f>V58</f>
        <v>5.75</v>
      </c>
      <c r="G50" s="508">
        <f>(J50/(F50-F51))</f>
        <v>6.037233023379096E-5</v>
      </c>
      <c r="H50" s="511"/>
      <c r="I50" s="526">
        <v>1.8973538018496328E-19</v>
      </c>
      <c r="J50" s="508">
        <f>R58+I50</f>
        <v>1.8111699070137287E-4</v>
      </c>
      <c r="K50" s="524">
        <f>K51+J50</f>
        <v>3.7757468071337324E-4</v>
      </c>
      <c r="L50" s="387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0.68700060766559712</v>
      </c>
      <c r="M50" s="509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7.4023361150193914</v>
      </c>
      <c r="N50" s="510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6.5804655906666404E-3</v>
      </c>
      <c r="O50" s="510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3.4194087744915884E-2</v>
      </c>
      <c r="P50" s="514">
        <f>L50+M50</f>
        <v>8.0893367226849886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3">
        <v>1</v>
      </c>
      <c r="F51" s="387">
        <f>V59</f>
        <v>2.75</v>
      </c>
      <c r="G51" s="508">
        <f>(J51/(F51-F52))</f>
        <v>7.1439160004363767E-5</v>
      </c>
      <c r="H51" s="512"/>
      <c r="I51" s="526">
        <v>-1.8973538018496328E-19</v>
      </c>
      <c r="J51" s="508">
        <f>R59+I51</f>
        <v>1.9645769001200034E-4</v>
      </c>
      <c r="K51" s="524">
        <f>K52+J51</f>
        <v>1.9645769001200034E-4</v>
      </c>
      <c r="L51" s="387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1.1343539792295927</v>
      </c>
      <c r="M51" s="509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8.8656460207703951</v>
      </c>
      <c r="N51" s="510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8.8195460641260388E-3</v>
      </c>
      <c r="O51" s="510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4.0953649393802645E-2</v>
      </c>
      <c r="P51" s="514">
        <f>L51+M51</f>
        <v>9.9999999999999876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5">
        <v>0</v>
      </c>
      <c r="F52" s="516">
        <f>V60</f>
        <v>0</v>
      </c>
      <c r="G52" s="517" t="s">
        <v>70</v>
      </c>
      <c r="H52" s="518"/>
      <c r="I52" s="517" t="s">
        <v>70</v>
      </c>
      <c r="J52" s="519">
        <f>R60</f>
        <v>0</v>
      </c>
      <c r="K52" s="525">
        <f>J52</f>
        <v>0</v>
      </c>
      <c r="L52" s="516" t="s">
        <v>70</v>
      </c>
      <c r="M52" s="516" t="s">
        <v>70</v>
      </c>
      <c r="N52" s="516" t="s">
        <v>70</v>
      </c>
      <c r="O52" s="516" t="s">
        <v>70</v>
      </c>
      <c r="P52" s="520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2" t="s">
        <v>423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74" t="s">
        <v>251</v>
      </c>
      <c r="S54" s="976"/>
      <c r="T54" s="114"/>
      <c r="U54" s="974" t="s">
        <v>251</v>
      </c>
      <c r="V54" s="975"/>
      <c r="W54" s="975"/>
      <c r="X54" s="975"/>
      <c r="Y54" s="975"/>
      <c r="Z54" s="975"/>
      <c r="AA54" s="975"/>
      <c r="AB54" s="975"/>
      <c r="AC54" s="975"/>
      <c r="AD54" s="975"/>
      <c r="AE54" s="975"/>
      <c r="AF54" s="975"/>
      <c r="AG54" s="975"/>
      <c r="AH54" s="975"/>
      <c r="AI54" s="975"/>
      <c r="AJ54" s="976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814" t="s">
        <v>85</v>
      </c>
      <c r="S55" s="962" t="s">
        <v>84</v>
      </c>
      <c r="T55" s="137"/>
      <c r="U55" s="962" t="s">
        <v>0</v>
      </c>
      <c r="V55" s="962" t="s">
        <v>76</v>
      </c>
      <c r="W55" s="962" t="s">
        <v>104</v>
      </c>
      <c r="X55" s="987" t="s">
        <v>78</v>
      </c>
      <c r="Y55" s="962" t="s">
        <v>80</v>
      </c>
      <c r="Z55" s="962" t="s">
        <v>81</v>
      </c>
      <c r="AA55" s="656" t="s">
        <v>412</v>
      </c>
      <c r="AB55" s="656" t="s">
        <v>410</v>
      </c>
      <c r="AC55" s="656" t="s">
        <v>413</v>
      </c>
      <c r="AD55" s="656" t="s">
        <v>411</v>
      </c>
      <c r="AE55" s="986" t="s">
        <v>188</v>
      </c>
      <c r="AF55" s="986" t="s">
        <v>187</v>
      </c>
      <c r="AG55" s="986" t="s">
        <v>189</v>
      </c>
      <c r="AH55" s="986" t="s">
        <v>190</v>
      </c>
      <c r="AI55" s="989" t="s">
        <v>352</v>
      </c>
      <c r="AJ55" s="948" t="s">
        <v>418</v>
      </c>
      <c r="AK55" s="983" t="s">
        <v>242</v>
      </c>
      <c r="AL55" s="137"/>
    </row>
    <row r="56" spans="1:38" ht="22.5" customHeight="1" x14ac:dyDescent="0.25">
      <c r="A56" s="137"/>
      <c r="B56" s="137"/>
      <c r="C56" s="137"/>
      <c r="D56" s="212"/>
      <c r="E56" s="959" t="s">
        <v>355</v>
      </c>
      <c r="F56" s="960"/>
      <c r="G56" s="960"/>
      <c r="H56" s="960"/>
      <c r="I56" s="961"/>
      <c r="J56" s="137"/>
      <c r="K56" s="137"/>
      <c r="L56" s="212"/>
      <c r="M56" s="212"/>
      <c r="N56" s="213"/>
      <c r="O56" s="213"/>
      <c r="P56" s="213"/>
      <c r="Q56" s="137"/>
      <c r="R56" s="619"/>
      <c r="S56" s="656"/>
      <c r="T56" s="137"/>
      <c r="U56" s="656"/>
      <c r="V56" s="656"/>
      <c r="W56" s="656"/>
      <c r="X56" s="988"/>
      <c r="Y56" s="656"/>
      <c r="Z56" s="656"/>
      <c r="AA56" s="656"/>
      <c r="AB56" s="656"/>
      <c r="AC56" s="656"/>
      <c r="AD56" s="656"/>
      <c r="AE56" s="962"/>
      <c r="AF56" s="962"/>
      <c r="AG56" s="962"/>
      <c r="AH56" s="962"/>
      <c r="AI56" s="948"/>
      <c r="AJ56" s="949"/>
      <c r="AK56" s="983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356</v>
      </c>
      <c r="H57" s="160" t="s">
        <v>357</v>
      </c>
      <c r="I57" s="200" t="s">
        <v>354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1.0688228711891592E-4</v>
      </c>
      <c r="S57" s="181">
        <f>S58+R57</f>
        <v>4.8445696783228916E-4</v>
      </c>
      <c r="T57" s="137"/>
      <c r="U57" s="134">
        <v>3</v>
      </c>
      <c r="V57" s="139">
        <f>V5</f>
        <v>8.75</v>
      </c>
      <c r="W57" s="140">
        <f>(R57/(V57-V58))</f>
        <v>3.5627429039638638E-5</v>
      </c>
      <c r="X57" s="523">
        <f>S57</f>
        <v>4.8445696783228916E-4</v>
      </c>
      <c r="Y57" s="139">
        <f>'Structural Information'!$Z$6</f>
        <v>37.8446</v>
      </c>
      <c r="Z57" s="139">
        <f>Y57*X57</f>
        <v>1.833408016482585E-2</v>
      </c>
      <c r="AA57" s="139">
        <f>((Y57*X57)/(Z61)*$L$12)</f>
        <v>4.4172072334350698</v>
      </c>
      <c r="AB57" s="139">
        <f>AD57+$O$12</f>
        <v>4.4172072334350698</v>
      </c>
      <c r="AC57" s="139">
        <f>AA57</f>
        <v>4.4172072334350698</v>
      </c>
      <c r="AD57" s="142">
        <f>AC57-$O$12</f>
        <v>4.4172072334350698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0.33062602592979645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4.0865812075052723</v>
      </c>
      <c r="AG57" s="215">
        <f>AE57/$C$13</f>
        <v>3.7121185546010083E-3</v>
      </c>
      <c r="AH57" s="216">
        <f>AF57/$D$13</f>
        <v>1.9152741407650019E-2</v>
      </c>
      <c r="AI57" s="146">
        <f>AE57+AF57</f>
        <v>4.4172072334350689</v>
      </c>
      <c r="AJ57" s="146">
        <f>AD57-AI57</f>
        <v>0</v>
      </c>
      <c r="AK57" s="151">
        <f>(AD57-(AI57))/AD57</f>
        <v>2.0107239093906571E-16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4.4172072334350698</v>
      </c>
      <c r="H58" s="204">
        <f>G58/$AC$59</f>
        <v>0.44172072334350693</v>
      </c>
      <c r="I58" s="205">
        <f>H58/MAX($H$58:$H$61)</f>
        <v>1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1.8111699070137268E-4</v>
      </c>
      <c r="S58" s="181">
        <f>S59+R58</f>
        <v>3.7757468071337324E-4</v>
      </c>
      <c r="T58" s="137"/>
      <c r="U58" s="134">
        <v>2</v>
      </c>
      <c r="V58" s="139">
        <f>V6</f>
        <v>5.75</v>
      </c>
      <c r="W58" s="140">
        <f>(R58/(V58-V59))</f>
        <v>6.0372330233790892E-5</v>
      </c>
      <c r="X58" s="523">
        <f>S58</f>
        <v>3.7757468071337324E-4</v>
      </c>
      <c r="Y58" s="139">
        <f>'Structural Information'!$Z$7</f>
        <v>40.367000000000004</v>
      </c>
      <c r="Z58" s="139">
        <f>Y58*X58</f>
        <v>1.5241557136356739E-2</v>
      </c>
      <c r="AA58" s="139">
        <f>((Y58*X58)/(Z61)*$L$12)</f>
        <v>3.6721294892499126</v>
      </c>
      <c r="AB58" s="139">
        <f>AD58-AD57+$O$13</f>
        <v>3.6721294892499134</v>
      </c>
      <c r="AC58" s="139">
        <f>AC57+AA58</f>
        <v>8.0893367226849833</v>
      </c>
      <c r="AD58" s="142">
        <f>AC58-$O$13</f>
        <v>8.0893367226849833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0.68700060766559645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7.4023361150193825</v>
      </c>
      <c r="AG58" s="215">
        <f>AE58/$C$14</f>
        <v>6.5804655906666334E-3</v>
      </c>
      <c r="AH58" s="216">
        <f>AF58/$D$14</f>
        <v>3.4194087744915842E-2</v>
      </c>
      <c r="AI58" s="146">
        <f>AE58+AF58</f>
        <v>8.0893367226849797</v>
      </c>
      <c r="AJ58" s="146">
        <f>AD58-AI58</f>
        <v>0</v>
      </c>
      <c r="AK58" s="151">
        <f t="shared" ref="AK58:AK59" si="6">(AD58-(AI58))/AD58</f>
        <v>4.3918479358605522E-16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3.6721294892499134</v>
      </c>
      <c r="H59" s="204">
        <f>G59/$AC$59</f>
        <v>0.36721294892499129</v>
      </c>
      <c r="I59" s="205">
        <f>H59/MAX($H$58:$H$61)</f>
        <v>0.83132379695807435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1.9645769001200053E-4</v>
      </c>
      <c r="S59" s="181">
        <f>S60+R59</f>
        <v>1.9645769001200053E-4</v>
      </c>
      <c r="T59" s="137"/>
      <c r="U59" s="134">
        <v>1</v>
      </c>
      <c r="V59" s="139">
        <f>V7</f>
        <v>2.75</v>
      </c>
      <c r="W59" s="140">
        <f>(R59/(V59-V60))</f>
        <v>7.1439160004363835E-5</v>
      </c>
      <c r="X59" s="523">
        <f>S59</f>
        <v>1.9645769001200053E-4</v>
      </c>
      <c r="Y59" s="139">
        <f>'Structural Information'!$Z$8</f>
        <v>40.367000000000004</v>
      </c>
      <c r="Z59" s="139">
        <f>Y59*X59</f>
        <v>7.9304075727144267E-3</v>
      </c>
      <c r="AA59" s="139">
        <f>((Y59*X59)/(Z61)*$L$12)</f>
        <v>1.9106632773150178</v>
      </c>
      <c r="AB59" s="139">
        <f>AD59-AD58+$O$14</f>
        <v>1.9106632773150185</v>
      </c>
      <c r="AC59" s="139">
        <f>AC58+AA59</f>
        <v>10.000000000000002</v>
      </c>
      <c r="AD59" s="142">
        <f>AC59-$O$14</f>
        <v>10.000000000000002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1.1343539792295938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8.865646020770404</v>
      </c>
      <c r="AG59" s="215">
        <f>AE59/$C$15</f>
        <v>8.8195460641260475E-3</v>
      </c>
      <c r="AH59" s="216">
        <f>AF59/$D$15</f>
        <v>4.0953649393802687E-2</v>
      </c>
      <c r="AI59" s="146">
        <f>AE59+AF59</f>
        <v>9.9999999999999982</v>
      </c>
      <c r="AJ59" s="146">
        <f>AD59-AI59</f>
        <v>0</v>
      </c>
      <c r="AK59" s="151">
        <f t="shared" si="6"/>
        <v>3.5527136788005001E-16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1.9106632773150185</v>
      </c>
      <c r="H60" s="204">
        <f>G60/$AC$59</f>
        <v>0.19106632773150181</v>
      </c>
      <c r="I60" s="205">
        <f>H60/MAX($H$58:$H$61)</f>
        <v>0.43255006531110352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3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4.1506044873897016E-2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417</v>
      </c>
      <c r="P67" s="166" t="s">
        <v>416</v>
      </c>
      <c r="Q67" s="137"/>
      <c r="R67" s="985" t="s">
        <v>273</v>
      </c>
      <c r="S67" s="985"/>
      <c r="T67" s="137"/>
      <c r="V67" s="137"/>
      <c r="W67" s="219"/>
      <c r="X67" s="219"/>
      <c r="Y67" s="220"/>
      <c r="Z67" s="220"/>
      <c r="AA67" s="612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275</v>
      </c>
      <c r="S68" s="139">
        <v>10</v>
      </c>
      <c r="T68" s="223" t="s">
        <v>266</v>
      </c>
      <c r="U68" s="137"/>
      <c r="V68" s="137"/>
      <c r="W68" s="219"/>
      <c r="X68" s="219"/>
      <c r="Y68" s="220"/>
      <c r="Z68" s="220"/>
      <c r="AA68" s="612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414</v>
      </c>
      <c r="S69" s="224">
        <f>(D5-X57)*1000</f>
        <v>1.6263032587282567E-16</v>
      </c>
      <c r="T69" s="137"/>
      <c r="U69" s="137"/>
      <c r="V69" s="137"/>
      <c r="W69" s="219"/>
      <c r="X69" s="219"/>
      <c r="Y69" s="220"/>
      <c r="Z69" s="220"/>
      <c r="AA69" s="521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415</v>
      </c>
      <c r="S70" s="131">
        <v>1E-4</v>
      </c>
      <c r="T70" s="137"/>
      <c r="U70" s="137"/>
      <c r="V70" s="137"/>
      <c r="W70" s="219"/>
      <c r="X70" s="219"/>
      <c r="Y70" s="220"/>
      <c r="Z70" s="220"/>
      <c r="AA70" s="521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1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7"/>
      <c r="R79" s="50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7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2"/>
      <c r="Y86" s="201"/>
      <c r="Z86" s="506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ToggleButton3">
          <controlPr defaultSize="0" autoLine="0" r:id="rId5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4" name="ToggleButton3"/>
      </mc:Fallback>
    </mc:AlternateContent>
    <mc:AlternateContent xmlns:mc="http://schemas.openxmlformats.org/markup-compatibility/2006">
      <mc:Choice Requires="x14">
        <control shapeId="4113" r:id="rId6" name="ToggleButton2">
          <controlPr defaultSize="0" autoLine="0" r:id="rId7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6" name="ToggleButton2"/>
      </mc:Fallback>
    </mc:AlternateContent>
    <mc:AlternateContent xmlns:mc="http://schemas.openxmlformats.org/markup-compatibility/2006">
      <mc:Choice Requires="x14">
        <control shapeId="4112" r:id="rId8" name="ToggleButton1">
          <controlPr defaultSize="0" autoLine="0" r:id="rId7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8" name="ToggleButton1"/>
      </mc:Fallback>
    </mc:AlternateContent>
    <mc:AlternateContent xmlns:mc="http://schemas.openxmlformats.org/markup-compatibility/2006">
      <mc:Choice Requires="x14">
        <control shapeId="4108" r:id="rId9" name="SpinButton3">
          <controlPr defaultSize="0" autoLine="0" r:id="rId10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9" name="SpinButton3"/>
      </mc:Fallback>
    </mc:AlternateContent>
    <mc:AlternateContent xmlns:mc="http://schemas.openxmlformats.org/markup-compatibility/2006">
      <mc:Choice Requires="x14">
        <control shapeId="4107" r:id="rId11" name="SpinButton2">
          <controlPr defaultSize="0" autoLine="0" autoPict="0" r:id="rId12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1" name="SpinButton2"/>
      </mc:Fallback>
    </mc:AlternateContent>
    <mc:AlternateContent xmlns:mc="http://schemas.openxmlformats.org/markup-compatibility/2006">
      <mc:Choice Requires="x14">
        <control shapeId="4106" r:id="rId13" name="SpinButton1">
          <controlPr defaultSize="0" autoLine="0" r:id="rId10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3" name="SpinButton1"/>
      </mc:Fallback>
    </mc:AlternateContent>
    <mc:AlternateContent xmlns:mc="http://schemas.openxmlformats.org/markup-compatibility/2006">
      <mc:Choice Requires="x14">
        <control shapeId="4104" r:id="rId14" name="CommandButton5">
          <controlPr defaultSize="0" autoLine="0" r:id="rId15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1">
          <controlPr defaultSize="0" autoLine="0" r:id="rId17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6" name="CommandButton1"/>
      </mc:Fallback>
    </mc:AlternateContent>
    <mc:AlternateContent xmlns:mc="http://schemas.openxmlformats.org/markup-compatibility/2006">
      <mc:Choice Requires="x14">
        <control shapeId="4101" r:id="rId18" name="CommandButton2">
          <controlPr defaultSize="0" autoLine="0" autoPict="0" r:id="rId1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18" name="CommandButton2"/>
      </mc:Fallback>
    </mc:AlternateContent>
    <mc:AlternateContent xmlns:mc="http://schemas.openxmlformats.org/markup-compatibility/2006">
      <mc:Choice Requires="x14">
        <control shapeId="4102" r:id="rId20" name="CommandButton3">
          <controlPr defaultSize="0" autoLine="0" r:id="rId21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20" name="CommandButton3"/>
      </mc:Fallback>
    </mc:AlternateContent>
    <mc:AlternateContent xmlns:mc="http://schemas.openxmlformats.org/markup-compatibility/2006">
      <mc:Choice Requires="x14">
        <control shapeId="4103" r:id="rId22" name="CommandButton4">
          <controlPr defaultSize="0" autoLine="0" r:id="rId23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2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zoomScale="80" zoomScaleNormal="80" workbookViewId="0">
      <selection activeCell="T229" sqref="T229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1" t="s">
        <v>98</v>
      </c>
      <c r="C2" s="1051"/>
      <c r="D2" s="1051"/>
      <c r="E2" s="1051"/>
      <c r="F2" s="1051"/>
      <c r="G2" s="1051"/>
      <c r="H2" s="1051"/>
      <c r="J2" s="1038" t="s">
        <v>106</v>
      </c>
      <c r="K2" s="1039"/>
      <c r="L2" s="1039"/>
      <c r="M2" s="1039"/>
      <c r="N2" s="1039"/>
      <c r="O2" s="1039"/>
      <c r="P2" s="1039"/>
      <c r="Q2" s="1039"/>
      <c r="R2" s="1039"/>
      <c r="S2" s="1039"/>
      <c r="T2" s="1039"/>
      <c r="U2" s="1039"/>
      <c r="V2" s="1040"/>
      <c r="W2" s="5"/>
      <c r="X2" s="1033" t="s">
        <v>109</v>
      </c>
      <c r="Y2" s="1033"/>
      <c r="Z2" s="1033"/>
      <c r="AA2" s="1033"/>
      <c r="AB2" s="1033"/>
    </row>
    <row r="3" spans="2:28" ht="15" customHeight="1" x14ac:dyDescent="0.25">
      <c r="B3" s="619" t="s">
        <v>61</v>
      </c>
      <c r="C3" s="619" t="s">
        <v>90</v>
      </c>
      <c r="D3" s="619"/>
      <c r="E3" s="656" t="s">
        <v>97</v>
      </c>
      <c r="F3" s="656" t="s">
        <v>89</v>
      </c>
      <c r="G3" s="619" t="s">
        <v>94</v>
      </c>
      <c r="H3" s="619"/>
      <c r="J3" s="1019" t="s">
        <v>9</v>
      </c>
      <c r="K3" s="1020" t="s">
        <v>3</v>
      </c>
      <c r="L3" s="1020" t="s">
        <v>76</v>
      </c>
      <c r="M3" s="1019" t="s">
        <v>78</v>
      </c>
      <c r="N3" s="1019" t="s">
        <v>85</v>
      </c>
      <c r="O3" s="1020" t="s">
        <v>104</v>
      </c>
      <c r="P3" s="1020" t="s">
        <v>262</v>
      </c>
      <c r="Q3" s="1020" t="s">
        <v>263</v>
      </c>
      <c r="R3" s="1019" t="s">
        <v>419</v>
      </c>
      <c r="S3" s="1019" t="s">
        <v>420</v>
      </c>
      <c r="T3" s="1019" t="s">
        <v>79</v>
      </c>
      <c r="U3" s="1020" t="s">
        <v>105</v>
      </c>
      <c r="V3" s="1019" t="s">
        <v>83</v>
      </c>
      <c r="X3" s="619" t="s">
        <v>9</v>
      </c>
      <c r="Y3" s="1021" t="s">
        <v>80</v>
      </c>
      <c r="Z3" s="1021" t="s">
        <v>81</v>
      </c>
      <c r="AA3" s="1021" t="s">
        <v>107</v>
      </c>
      <c r="AB3" s="656" t="s">
        <v>108</v>
      </c>
    </row>
    <row r="4" spans="2:28" x14ac:dyDescent="0.25">
      <c r="B4" s="619"/>
      <c r="C4" s="246" t="s">
        <v>91</v>
      </c>
      <c r="D4" s="246" t="s">
        <v>92</v>
      </c>
      <c r="E4" s="656"/>
      <c r="F4" s="656"/>
      <c r="G4" s="619"/>
      <c r="H4" s="619"/>
      <c r="J4" s="814"/>
      <c r="K4" s="962"/>
      <c r="L4" s="962"/>
      <c r="M4" s="814"/>
      <c r="N4" s="814"/>
      <c r="O4" s="962"/>
      <c r="P4" s="962"/>
      <c r="Q4" s="962"/>
      <c r="R4" s="814"/>
      <c r="S4" s="814"/>
      <c r="T4" s="814"/>
      <c r="U4" s="962"/>
      <c r="V4" s="814"/>
      <c r="X4" s="619"/>
      <c r="Y4" s="1021"/>
      <c r="Z4" s="1021"/>
      <c r="AA4" s="1021"/>
      <c r="AB4" s="656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1" t="s">
        <v>96</v>
      </c>
      <c r="H5" s="431" t="s">
        <v>93</v>
      </c>
      <c r="J5" s="432">
        <v>3</v>
      </c>
      <c r="K5" s="144">
        <f>'Structural Information'!$U$6</f>
        <v>3</v>
      </c>
      <c r="L5" s="144">
        <f>L6+K5</f>
        <v>8.75</v>
      </c>
      <c r="M5" s="433">
        <f>'Yield Mechanism'!$K$49</f>
        <v>4.8445696783228933E-4</v>
      </c>
      <c r="N5" s="140">
        <f>M5-M6</f>
        <v>1.0688228711891608E-4</v>
      </c>
      <c r="O5" s="434">
        <f>N5/K5</f>
        <v>3.5627429039638692E-5</v>
      </c>
      <c r="P5" s="433">
        <f>$C$26</f>
        <v>9.5976000000000013E-3</v>
      </c>
      <c r="Q5" s="433">
        <f>$D$26</f>
        <v>1.8601738665676483E-3</v>
      </c>
      <c r="R5" s="144">
        <f>O5/P5</f>
        <v>3.7121185546010135E-3</v>
      </c>
      <c r="S5" s="139">
        <f>O5/Q5</f>
        <v>1.9152741407650047E-2</v>
      </c>
      <c r="T5" s="1068">
        <f>'Yield Mechanism'!$AI$57</f>
        <v>4.4172072334350689</v>
      </c>
      <c r="U5" s="144">
        <f>T5*K5</f>
        <v>13.251621700305208</v>
      </c>
      <c r="V5" s="139">
        <f>U7/AB5</f>
        <v>9.9999999999999982</v>
      </c>
      <c r="W5" s="415"/>
      <c r="X5" s="268">
        <v>3</v>
      </c>
      <c r="Y5" s="139">
        <f>'Structural Information'!$Z$6</f>
        <v>37.8446</v>
      </c>
      <c r="Z5" s="139">
        <f>Y5*M5</f>
        <v>1.8334080164825857E-2</v>
      </c>
      <c r="AA5" s="139">
        <f>Z5*L5</f>
        <v>0.16042320144222624</v>
      </c>
      <c r="AB5" s="139">
        <f>AA8/Z8</f>
        <v>6.5019631868360159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1" t="s">
        <v>96</v>
      </c>
      <c r="H6" s="431" t="s">
        <v>93</v>
      </c>
      <c r="J6" s="432">
        <v>2</v>
      </c>
      <c r="K6" s="144">
        <f>'Structural Information'!$U$7</f>
        <v>3</v>
      </c>
      <c r="L6" s="144">
        <f>L7+K6</f>
        <v>5.75</v>
      </c>
      <c r="M6" s="433">
        <f>'Yield Mechanism'!$K$50</f>
        <v>3.7757468071337324E-4</v>
      </c>
      <c r="N6" s="140">
        <f>M6-M7</f>
        <v>1.811169907013729E-4</v>
      </c>
      <c r="O6" s="434">
        <f>N6/K6</f>
        <v>6.0372330233790966E-5</v>
      </c>
      <c r="P6" s="433">
        <f>$C$27</f>
        <v>9.1744770034843208E-3</v>
      </c>
      <c r="Q6" s="433">
        <f>$D$27</f>
        <v>1.7655780345468453E-3</v>
      </c>
      <c r="R6" s="139">
        <f>O6/P6</f>
        <v>6.5804655906666412E-3</v>
      </c>
      <c r="S6" s="139">
        <f>O6/Q6</f>
        <v>3.4194087744915891E-2</v>
      </c>
      <c r="T6" s="1068">
        <f>'Yield Mechanism'!$AI$58</f>
        <v>8.0893367226849797</v>
      </c>
      <c r="U6" s="144">
        <f>U5+T6*K6</f>
        <v>37.51963186836015</v>
      </c>
      <c r="V6" s="435"/>
      <c r="W6" s="415"/>
      <c r="X6" s="268">
        <v>2</v>
      </c>
      <c r="Y6" s="139">
        <f>'Structural Information'!$Z$7</f>
        <v>40.367000000000004</v>
      </c>
      <c r="Z6" s="139">
        <f>Y6*M6</f>
        <v>1.5241557136356739E-2</v>
      </c>
      <c r="AA6" s="139">
        <f>Z6*L6</f>
        <v>8.7638953534051253E-2</v>
      </c>
      <c r="AB6" s="246" t="s">
        <v>339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1" t="s">
        <v>96</v>
      </c>
      <c r="H7" s="431" t="s">
        <v>93</v>
      </c>
      <c r="J7" s="432">
        <v>1</v>
      </c>
      <c r="K7" s="144">
        <f>'Structural Information'!$U$8</f>
        <v>2.75</v>
      </c>
      <c r="L7" s="144">
        <f>K7</f>
        <v>2.75</v>
      </c>
      <c r="M7" s="433">
        <f>'Yield Mechanism'!$K$51</f>
        <v>1.9645769001200034E-4</v>
      </c>
      <c r="N7" s="140">
        <f>M7</f>
        <v>1.9645769001200034E-4</v>
      </c>
      <c r="O7" s="434">
        <f>N7/K7</f>
        <v>7.1439160004363767E-5</v>
      </c>
      <c r="P7" s="433">
        <f>$C$28</f>
        <v>8.1000948897978157E-3</v>
      </c>
      <c r="Q7" s="433">
        <f>$D$28</f>
        <v>1.7443905747548439E-3</v>
      </c>
      <c r="R7" s="139">
        <f>O7/P7</f>
        <v>8.8195460641260388E-3</v>
      </c>
      <c r="S7" s="139">
        <f>O7/Q7</f>
        <v>4.0953649393802645E-2</v>
      </c>
      <c r="T7" s="1068">
        <f>'Yield Mechanism'!$AI$59</f>
        <v>9.9999999999999982</v>
      </c>
      <c r="U7" s="144">
        <f>U6+T7*K7</f>
        <v>65.01963186836015</v>
      </c>
      <c r="V7" s="436"/>
      <c r="W7" s="415"/>
      <c r="X7" s="268">
        <v>1</v>
      </c>
      <c r="Y7" s="139">
        <f>'Structural Information'!$Z$8</f>
        <v>40.367000000000004</v>
      </c>
      <c r="Z7" s="139">
        <f>Y7*M7</f>
        <v>7.930407572714418E-3</v>
      </c>
      <c r="AA7" s="139">
        <f>Z7*L7</f>
        <v>2.1808620824964649E-2</v>
      </c>
      <c r="AB7" s="143">
        <f>T7/M5</f>
        <v>20641.668226478738</v>
      </c>
    </row>
    <row r="8" spans="2:28" x14ac:dyDescent="0.25">
      <c r="V8" s="437"/>
      <c r="W8" s="415"/>
      <c r="X8" s="438"/>
      <c r="Y8" s="246" t="s">
        <v>82</v>
      </c>
      <c r="Z8" s="439">
        <f>SUM(Z5:Z7)</f>
        <v>4.1506044873897016E-2</v>
      </c>
      <c r="AA8" s="439">
        <f>SUM(AA5:AA7)</f>
        <v>0.26987077580124214</v>
      </c>
      <c r="AB8" s="160" t="s">
        <v>341</v>
      </c>
    </row>
    <row r="9" spans="2:28" x14ac:dyDescent="0.25">
      <c r="W9" s="415"/>
      <c r="X9" s="438"/>
      <c r="Y9" s="440"/>
      <c r="Z9" s="440"/>
      <c r="AA9" s="441"/>
      <c r="AB9" s="139">
        <f>(('Structural Information'!$Z$6*M5+'Structural Information'!$Z$7*M6+'Structural Information'!$Z$8*M7)^2)/('Structural Information'!$Z$6*M5*M5+'Structural Information'!$Z$7*M6*M6+'Structural Information'!$Z$8*M7*M7)</f>
        <v>106.37626559609419</v>
      </c>
    </row>
    <row r="10" spans="2:28" x14ac:dyDescent="0.25">
      <c r="W10" s="415"/>
      <c r="X10" s="438"/>
      <c r="Y10" s="180"/>
      <c r="Z10" s="180"/>
      <c r="AA10" s="442"/>
      <c r="AB10" s="246" t="s">
        <v>340</v>
      </c>
    </row>
    <row r="11" spans="2:28" x14ac:dyDescent="0.25">
      <c r="X11" s="443"/>
      <c r="Y11" s="444"/>
      <c r="Z11" s="444"/>
      <c r="AA11" s="445"/>
      <c r="AB11" s="143">
        <f>2*PI()*SQRT(AB9/AB7)</f>
        <v>0.45105535346311953</v>
      </c>
    </row>
    <row r="13" spans="2:28" x14ac:dyDescent="0.25">
      <c r="B13" s="1052" t="s">
        <v>99</v>
      </c>
      <c r="C13" s="1052"/>
      <c r="D13" s="1052"/>
      <c r="E13" s="1052"/>
      <c r="F13" s="1052"/>
      <c r="G13" s="1052"/>
      <c r="H13" s="1052"/>
      <c r="J13" s="1029" t="s">
        <v>110</v>
      </c>
      <c r="K13" s="1029"/>
      <c r="L13" s="1029"/>
      <c r="M13" s="1029"/>
      <c r="N13" s="1029"/>
      <c r="O13" s="1029"/>
      <c r="P13" s="1029"/>
      <c r="Q13" s="1029"/>
      <c r="R13" s="1029"/>
      <c r="S13" s="1029"/>
      <c r="T13" s="1029"/>
      <c r="U13" s="1029"/>
      <c r="V13" s="1029"/>
      <c r="X13" s="1033" t="s">
        <v>109</v>
      </c>
      <c r="Y13" s="1033"/>
      <c r="Z13" s="1033"/>
      <c r="AA13" s="1033"/>
      <c r="AB13" s="1033"/>
    </row>
    <row r="14" spans="2:28" ht="15" customHeight="1" x14ac:dyDescent="0.25">
      <c r="B14" s="619" t="s">
        <v>61</v>
      </c>
      <c r="C14" s="619" t="s">
        <v>102</v>
      </c>
      <c r="D14" s="619"/>
      <c r="E14" s="656" t="s">
        <v>100</v>
      </c>
      <c r="F14" s="656" t="s">
        <v>89</v>
      </c>
      <c r="G14" s="619" t="s">
        <v>94</v>
      </c>
      <c r="H14" s="619"/>
      <c r="J14" s="1019" t="s">
        <v>9</v>
      </c>
      <c r="K14" s="1020" t="s">
        <v>3</v>
      </c>
      <c r="L14" s="1020" t="s">
        <v>76</v>
      </c>
      <c r="M14" s="1019" t="s">
        <v>78</v>
      </c>
      <c r="N14" s="1019" t="s">
        <v>85</v>
      </c>
      <c r="O14" s="1020" t="s">
        <v>104</v>
      </c>
      <c r="P14" s="1020" t="s">
        <v>262</v>
      </c>
      <c r="Q14" s="1020" t="s">
        <v>263</v>
      </c>
      <c r="R14" s="1019" t="s">
        <v>419</v>
      </c>
      <c r="S14" s="1019" t="s">
        <v>420</v>
      </c>
      <c r="T14" s="1019" t="s">
        <v>79</v>
      </c>
      <c r="U14" s="1020" t="s">
        <v>105</v>
      </c>
      <c r="V14" s="1019" t="s">
        <v>83</v>
      </c>
      <c r="X14" s="619" t="s">
        <v>9</v>
      </c>
      <c r="Y14" s="1021" t="s">
        <v>80</v>
      </c>
      <c r="Z14" s="1021" t="s">
        <v>81</v>
      </c>
      <c r="AA14" s="1021" t="s">
        <v>107</v>
      </c>
      <c r="AB14" s="656" t="s">
        <v>108</v>
      </c>
    </row>
    <row r="15" spans="2:28" x14ac:dyDescent="0.25">
      <c r="B15" s="619"/>
      <c r="C15" s="246" t="s">
        <v>101</v>
      </c>
      <c r="D15" s="246" t="s">
        <v>103</v>
      </c>
      <c r="E15" s="656"/>
      <c r="F15" s="656"/>
      <c r="G15" s="619"/>
      <c r="H15" s="619"/>
      <c r="J15" s="814"/>
      <c r="K15" s="962"/>
      <c r="L15" s="962"/>
      <c r="M15" s="814"/>
      <c r="N15" s="814"/>
      <c r="O15" s="962"/>
      <c r="P15" s="962"/>
      <c r="Q15" s="962"/>
      <c r="R15" s="814"/>
      <c r="S15" s="814"/>
      <c r="T15" s="814"/>
      <c r="U15" s="962"/>
      <c r="V15" s="814"/>
      <c r="X15" s="619"/>
      <c r="Y15" s="1021"/>
      <c r="Z15" s="1021"/>
      <c r="AA15" s="1021"/>
      <c r="AB15" s="656"/>
    </row>
    <row r="16" spans="2:28" ht="13.9" customHeight="1" x14ac:dyDescent="0.25">
      <c r="B16" s="246">
        <v>3</v>
      </c>
      <c r="C16" s="157">
        <f>'Yield Mechanism'!AE57</f>
        <v>0.33062602592979645</v>
      </c>
      <c r="D16" s="139">
        <f>'Yield Mechanism'!C13</f>
        <v>89.066666666666663</v>
      </c>
      <c r="E16" s="139">
        <f>C16/D16</f>
        <v>3.7121185546010083E-3</v>
      </c>
      <c r="F16" s="268" t="s">
        <v>42</v>
      </c>
      <c r="G16" s="431" t="s">
        <v>95</v>
      </c>
      <c r="H16" s="431" t="s">
        <v>70</v>
      </c>
      <c r="J16" s="432">
        <v>3</v>
      </c>
      <c r="K16" s="144">
        <f>'Structural Information'!$U$6</f>
        <v>3</v>
      </c>
      <c r="L16" s="144">
        <f>L17+K16</f>
        <v>8.75</v>
      </c>
      <c r="M16" s="433">
        <f>'Yield Mechanism'!$K$49</f>
        <v>4.8445696783228933E-4</v>
      </c>
      <c r="N16" s="140">
        <f>M16-M17</f>
        <v>1.0688228711891608E-4</v>
      </c>
      <c r="O16" s="434">
        <f>N16/K16</f>
        <v>3.5627429039638692E-5</v>
      </c>
      <c r="P16" s="433">
        <f>$C$26</f>
        <v>9.5976000000000013E-3</v>
      </c>
      <c r="Q16" s="433">
        <f>$D$26</f>
        <v>1.8601738665676483E-3</v>
      </c>
      <c r="R16" s="144">
        <f>O16/P16</f>
        <v>3.7121185546010135E-3</v>
      </c>
      <c r="S16" s="139">
        <f>O16/Q16</f>
        <v>1.9152741407650047E-2</v>
      </c>
      <c r="T16" s="1068">
        <f>'Yield Mechanism'!$AI$57</f>
        <v>4.4172072334350689</v>
      </c>
      <c r="U16" s="144">
        <f>T16*K16</f>
        <v>13.251621700305208</v>
      </c>
      <c r="V16" s="139">
        <f>U18/AB16</f>
        <v>9.9999999999999982</v>
      </c>
      <c r="W16" s="415"/>
      <c r="X16" s="268">
        <v>3</v>
      </c>
      <c r="Y16" s="139">
        <f>'Structural Information'!$Z$6</f>
        <v>37.8446</v>
      </c>
      <c r="Z16" s="139">
        <f>Y16*M16</f>
        <v>1.8334080164825857E-2</v>
      </c>
      <c r="AA16" s="139">
        <f>Z16*L16</f>
        <v>0.16042320144222624</v>
      </c>
      <c r="AB16" s="139">
        <f>AA19/Z19</f>
        <v>6.5019631868360159</v>
      </c>
    </row>
    <row r="17" spans="2:28" ht="13.9" customHeight="1" x14ac:dyDescent="0.25">
      <c r="B17" s="246">
        <v>2</v>
      </c>
      <c r="C17" s="157">
        <f>'Yield Mechanism'!AE58</f>
        <v>0.68700060766559645</v>
      </c>
      <c r="D17" s="139">
        <f>'Yield Mechanism'!C14</f>
        <v>104.39999999999999</v>
      </c>
      <c r="E17" s="139">
        <f>C17/D17</f>
        <v>6.5804655906666334E-3</v>
      </c>
      <c r="F17" s="268" t="s">
        <v>42</v>
      </c>
      <c r="G17" s="431" t="s">
        <v>95</v>
      </c>
      <c r="H17" s="431" t="s">
        <v>70</v>
      </c>
      <c r="J17" s="432">
        <v>2</v>
      </c>
      <c r="K17" s="144">
        <f>'Structural Information'!$U$7</f>
        <v>3</v>
      </c>
      <c r="L17" s="144">
        <f>L18+K17</f>
        <v>5.75</v>
      </c>
      <c r="M17" s="433">
        <f>'Yield Mechanism'!$K$50</f>
        <v>3.7757468071337324E-4</v>
      </c>
      <c r="N17" s="140">
        <f>M17-M18</f>
        <v>1.811169907013729E-4</v>
      </c>
      <c r="O17" s="434">
        <f>N17/K17</f>
        <v>6.0372330233790966E-5</v>
      </c>
      <c r="P17" s="433">
        <f>$C$27</f>
        <v>9.1744770034843208E-3</v>
      </c>
      <c r="Q17" s="433">
        <f>$D$27</f>
        <v>1.7655780345468453E-3</v>
      </c>
      <c r="R17" s="139">
        <f>O17/P17</f>
        <v>6.5804655906666412E-3</v>
      </c>
      <c r="S17" s="139">
        <f>O17/Q17</f>
        <v>3.4194087744915891E-2</v>
      </c>
      <c r="T17" s="1068">
        <f>'Yield Mechanism'!$AI$58</f>
        <v>8.0893367226849797</v>
      </c>
      <c r="U17" s="144">
        <f>U16+T17*K17</f>
        <v>37.51963186836015</v>
      </c>
      <c r="V17" s="435"/>
      <c r="W17" s="415"/>
      <c r="X17" s="268">
        <v>2</v>
      </c>
      <c r="Y17" s="139">
        <f>'Structural Information'!$Z$7</f>
        <v>40.367000000000004</v>
      </c>
      <c r="Z17" s="139">
        <f>Y17*M17</f>
        <v>1.5241557136356739E-2</v>
      </c>
      <c r="AA17" s="139">
        <f>Z17*L17</f>
        <v>8.7638953534051253E-2</v>
      </c>
      <c r="AB17" s="504" t="s">
        <v>339</v>
      </c>
    </row>
    <row r="18" spans="2:28" ht="13.9" customHeight="1" x14ac:dyDescent="0.25">
      <c r="B18" s="246">
        <v>1</v>
      </c>
      <c r="C18" s="157">
        <f>'Yield Mechanism'!AE59</f>
        <v>1.1343539792295938</v>
      </c>
      <c r="D18" s="139">
        <f>'Yield Mechanism'!C15</f>
        <v>128.61818181818182</v>
      </c>
      <c r="E18" s="139">
        <f>C18/D18</f>
        <v>8.8195460641260475E-3</v>
      </c>
      <c r="F18" s="268" t="s">
        <v>42</v>
      </c>
      <c r="G18" s="431" t="s">
        <v>95</v>
      </c>
      <c r="H18" s="431" t="s">
        <v>70</v>
      </c>
      <c r="J18" s="432">
        <v>1</v>
      </c>
      <c r="K18" s="144">
        <f>'Structural Information'!$U$8</f>
        <v>2.75</v>
      </c>
      <c r="L18" s="144">
        <f>K18</f>
        <v>2.75</v>
      </c>
      <c r="M18" s="433">
        <f>'Yield Mechanism'!$K$51</f>
        <v>1.9645769001200034E-4</v>
      </c>
      <c r="N18" s="140">
        <f>M18</f>
        <v>1.9645769001200034E-4</v>
      </c>
      <c r="O18" s="434">
        <f>N18/K18</f>
        <v>7.1439160004363767E-5</v>
      </c>
      <c r="P18" s="433">
        <f>$C$28</f>
        <v>8.1000948897978157E-3</v>
      </c>
      <c r="Q18" s="433">
        <f>$D$28</f>
        <v>1.7443905747548439E-3</v>
      </c>
      <c r="R18" s="139">
        <f>O18/P18</f>
        <v>8.8195460641260388E-3</v>
      </c>
      <c r="S18" s="139">
        <f>O18/Q18</f>
        <v>4.0953649393802645E-2</v>
      </c>
      <c r="T18" s="1068">
        <f>'Yield Mechanism'!$AI$59</f>
        <v>9.9999999999999982</v>
      </c>
      <c r="U18" s="144">
        <f>U17+T18*K18</f>
        <v>65.01963186836015</v>
      </c>
      <c r="V18" s="436"/>
      <c r="W18" s="415"/>
      <c r="X18" s="268">
        <v>1</v>
      </c>
      <c r="Y18" s="139">
        <f>'Structural Information'!$Z$8</f>
        <v>40.367000000000004</v>
      </c>
      <c r="Z18" s="139">
        <f>Y18*M18</f>
        <v>7.930407572714418E-3</v>
      </c>
      <c r="AA18" s="139">
        <f>Z18*L18</f>
        <v>2.1808620824964649E-2</v>
      </c>
      <c r="AB18" s="143">
        <f>T18/M16</f>
        <v>20641.668226478738</v>
      </c>
    </row>
    <row r="19" spans="2:28" x14ac:dyDescent="0.25">
      <c r="V19" s="437"/>
      <c r="W19" s="415"/>
      <c r="X19" s="438"/>
      <c r="Y19" s="504" t="s">
        <v>82</v>
      </c>
      <c r="Z19" s="439">
        <f>SUM(Z16:Z18)</f>
        <v>4.1506044873897016E-2</v>
      </c>
      <c r="AA19" s="439">
        <f>SUM(AA16:AA18)</f>
        <v>0.26987077580124214</v>
      </c>
      <c r="AB19" s="505" t="s">
        <v>341</v>
      </c>
    </row>
    <row r="20" spans="2:28" x14ac:dyDescent="0.25">
      <c r="W20" s="415"/>
      <c r="X20" s="438"/>
      <c r="Y20" s="440"/>
      <c r="Z20" s="440"/>
      <c r="AA20" s="441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106.37626559609419</v>
      </c>
    </row>
    <row r="21" spans="2:28" x14ac:dyDescent="0.25">
      <c r="W21" s="415"/>
      <c r="X21" s="438"/>
      <c r="Y21" s="180"/>
      <c r="Z21" s="180"/>
      <c r="AA21" s="442"/>
      <c r="AB21" s="504" t="s">
        <v>340</v>
      </c>
    </row>
    <row r="22" spans="2:28" x14ac:dyDescent="0.25">
      <c r="X22" s="443"/>
      <c r="Y22" s="444"/>
      <c r="Z22" s="444"/>
      <c r="AA22" s="445"/>
      <c r="AB22" s="143">
        <f>2*PI()*SQRT(AB20/AB18)</f>
        <v>0.45105535346311953</v>
      </c>
    </row>
    <row r="24" spans="2:28" ht="15.75" customHeight="1" x14ac:dyDescent="0.25">
      <c r="B24" s="1053" t="s">
        <v>261</v>
      </c>
      <c r="C24" s="1054"/>
      <c r="D24" s="1054"/>
      <c r="E24" s="1054"/>
      <c r="F24" s="1054"/>
      <c r="G24" s="1054"/>
      <c r="H24" s="1055"/>
      <c r="J24" s="1038" t="s">
        <v>111</v>
      </c>
      <c r="K24" s="1039"/>
      <c r="L24" s="1039"/>
      <c r="M24" s="1039"/>
      <c r="N24" s="1039"/>
      <c r="O24" s="1039"/>
      <c r="P24" s="1039"/>
      <c r="Q24" s="1039"/>
      <c r="R24" s="1039"/>
      <c r="S24" s="1039"/>
      <c r="T24" s="1039"/>
      <c r="U24" s="1039"/>
      <c r="V24" s="1040"/>
      <c r="X24" s="1031" t="s">
        <v>109</v>
      </c>
      <c r="Y24" s="1031"/>
      <c r="Z24" s="1031"/>
      <c r="AA24" s="1031"/>
      <c r="AB24" s="1031"/>
    </row>
    <row r="25" spans="2:28" ht="15" customHeight="1" x14ac:dyDescent="0.25">
      <c r="B25" s="246" t="s">
        <v>9</v>
      </c>
      <c r="C25" s="246" t="s">
        <v>313</v>
      </c>
      <c r="D25" s="246" t="s">
        <v>264</v>
      </c>
      <c r="E25" s="251" t="s">
        <v>74</v>
      </c>
      <c r="F25" s="160" t="s">
        <v>191</v>
      </c>
      <c r="G25" s="160" t="s">
        <v>192</v>
      </c>
      <c r="H25" s="246" t="s">
        <v>219</v>
      </c>
      <c r="J25" s="1019" t="s">
        <v>9</v>
      </c>
      <c r="K25" s="1020" t="s">
        <v>3</v>
      </c>
      <c r="L25" s="1020" t="s">
        <v>76</v>
      </c>
      <c r="M25" s="1019" t="s">
        <v>78</v>
      </c>
      <c r="N25" s="1019" t="s">
        <v>85</v>
      </c>
      <c r="O25" s="1020" t="s">
        <v>104</v>
      </c>
      <c r="P25" s="1020" t="s">
        <v>262</v>
      </c>
      <c r="Q25" s="1020" t="s">
        <v>263</v>
      </c>
      <c r="R25" s="1019" t="s">
        <v>419</v>
      </c>
      <c r="S25" s="1019" t="s">
        <v>420</v>
      </c>
      <c r="T25" s="1019" t="s">
        <v>79</v>
      </c>
      <c r="U25" s="1020" t="s">
        <v>105</v>
      </c>
      <c r="V25" s="1019" t="s">
        <v>83</v>
      </c>
      <c r="X25" s="619" t="s">
        <v>9</v>
      </c>
      <c r="Y25" s="1021" t="s">
        <v>80</v>
      </c>
      <c r="Z25" s="1021" t="s">
        <v>81</v>
      </c>
      <c r="AA25" s="1021" t="s">
        <v>107</v>
      </c>
      <c r="AB25" s="656" t="s">
        <v>108</v>
      </c>
    </row>
    <row r="26" spans="2:28" x14ac:dyDescent="0.25">
      <c r="B26" s="446">
        <v>3</v>
      </c>
      <c r="C26" s="447">
        <f>'Frame Capacities'!BT11</f>
        <v>9.5976000000000013E-3</v>
      </c>
      <c r="D26" s="235">
        <f>'Infill Capacities'!CS11</f>
        <v>1.8601738665676483E-3</v>
      </c>
      <c r="E26" s="227">
        <f>'System Capacities'!Q6</f>
        <v>1.8601738665676483E-3</v>
      </c>
      <c r="F26" s="448">
        <f>'System Capacities'!N6</f>
        <v>89.066666666666663</v>
      </c>
      <c r="G26" s="233">
        <f>'System Capacities'!O6</f>
        <v>213.36795190442052</v>
      </c>
      <c r="H26" s="305">
        <f>'System Capacities'!P6</f>
        <v>230.6305473153175</v>
      </c>
      <c r="J26" s="814"/>
      <c r="K26" s="962"/>
      <c r="L26" s="962"/>
      <c r="M26" s="814"/>
      <c r="N26" s="814"/>
      <c r="O26" s="962"/>
      <c r="P26" s="962"/>
      <c r="Q26" s="962"/>
      <c r="R26" s="814"/>
      <c r="S26" s="814"/>
      <c r="T26" s="814"/>
      <c r="U26" s="962"/>
      <c r="V26" s="814"/>
      <c r="X26" s="619"/>
      <c r="Y26" s="1021"/>
      <c r="Z26" s="1021"/>
      <c r="AA26" s="1021"/>
      <c r="AB26" s="656"/>
    </row>
    <row r="27" spans="2:28" ht="13.9" customHeight="1" x14ac:dyDescent="0.25">
      <c r="B27" s="446">
        <v>2</v>
      </c>
      <c r="C27" s="447">
        <f>'Frame Capacities'!BT12</f>
        <v>9.1744770034843208E-3</v>
      </c>
      <c r="D27" s="235">
        <f>'Infill Capacities'!CS12</f>
        <v>1.7655780345468453E-3</v>
      </c>
      <c r="E27" s="227">
        <f>'System Capacities'!Q7</f>
        <v>1.7655780345468453E-3</v>
      </c>
      <c r="F27" s="448">
        <f>'System Capacities'!N7</f>
        <v>104.39999999999999</v>
      </c>
      <c r="G27" s="233">
        <f>'System Capacities'!O7</f>
        <v>216.48000000000002</v>
      </c>
      <c r="H27" s="305">
        <f>'System Capacities'!P7</f>
        <v>236.57121029315203</v>
      </c>
      <c r="J27" s="432">
        <v>3</v>
      </c>
      <c r="K27" s="144">
        <f>'Structural Information'!$U$6</f>
        <v>3</v>
      </c>
      <c r="L27" s="144">
        <f>L28+K27</f>
        <v>8.75</v>
      </c>
      <c r="M27" s="433">
        <f>'Yield Mechanism'!$K$49</f>
        <v>4.8445696783228933E-4</v>
      </c>
      <c r="N27" s="140">
        <f>M27-M28</f>
        <v>1.0688228711891608E-4</v>
      </c>
      <c r="O27" s="434">
        <f>N27/K27</f>
        <v>3.5627429039638692E-5</v>
      </c>
      <c r="P27" s="433">
        <f>$C$26</f>
        <v>9.5976000000000013E-3</v>
      </c>
      <c r="Q27" s="433">
        <f>$D$26</f>
        <v>1.8601738665676483E-3</v>
      </c>
      <c r="R27" s="144">
        <f>O27/P27</f>
        <v>3.7121185546010135E-3</v>
      </c>
      <c r="S27" s="139">
        <f>O27/Q27</f>
        <v>1.9152741407650047E-2</v>
      </c>
      <c r="T27" s="1068">
        <f>'Yield Mechanism'!$AI$57</f>
        <v>4.4172072334350689</v>
      </c>
      <c r="U27" s="144">
        <f>T27*K27</f>
        <v>13.251621700305208</v>
      </c>
      <c r="V27" s="139">
        <f>U29/AB27</f>
        <v>9.9999999999999982</v>
      </c>
      <c r="W27" s="415"/>
      <c r="X27" s="268">
        <v>3</v>
      </c>
      <c r="Y27" s="139">
        <f>'Structural Information'!$Z$6</f>
        <v>37.8446</v>
      </c>
      <c r="Z27" s="139">
        <f>Y27*M27</f>
        <v>1.8334080164825857E-2</v>
      </c>
      <c r="AA27" s="139">
        <f>Z27*L27</f>
        <v>0.16042320144222624</v>
      </c>
      <c r="AB27" s="139">
        <f>AA30/Z30</f>
        <v>6.5019631868360159</v>
      </c>
    </row>
    <row r="28" spans="2:28" ht="13.9" customHeight="1" x14ac:dyDescent="0.25">
      <c r="B28" s="163">
        <v>1</v>
      </c>
      <c r="C28" s="449">
        <f>'Frame Capacities'!BT13</f>
        <v>8.1000948897978157E-3</v>
      </c>
      <c r="D28" s="450">
        <f>'Infill Capacities'!CS13</f>
        <v>1.7443905747548439E-3</v>
      </c>
      <c r="E28" s="356">
        <f>'System Capacities'!Q8</f>
        <v>1.7443905747548439E-3</v>
      </c>
      <c r="F28" s="451">
        <f>'System Capacities'!N8</f>
        <v>128.61818181818182</v>
      </c>
      <c r="G28" s="358">
        <f>'System Capacities'!O8</f>
        <v>216.47999999999996</v>
      </c>
      <c r="H28" s="329">
        <f>'System Capacities'!P8</f>
        <v>244.17848343237631</v>
      </c>
      <c r="J28" s="432">
        <v>2</v>
      </c>
      <c r="K28" s="144">
        <f>'Structural Information'!$U$7</f>
        <v>3</v>
      </c>
      <c r="L28" s="144">
        <f>L29+K28</f>
        <v>5.75</v>
      </c>
      <c r="M28" s="433">
        <f>'Yield Mechanism'!$K$50</f>
        <v>3.7757468071337324E-4</v>
      </c>
      <c r="N28" s="140">
        <f>M28-M29</f>
        <v>1.811169907013729E-4</v>
      </c>
      <c r="O28" s="434">
        <f>N28/K28</f>
        <v>6.0372330233790966E-5</v>
      </c>
      <c r="P28" s="433">
        <f>$C$27</f>
        <v>9.1744770034843208E-3</v>
      </c>
      <c r="Q28" s="433">
        <f>$D$27</f>
        <v>1.7655780345468453E-3</v>
      </c>
      <c r="R28" s="139">
        <f>O28/P28</f>
        <v>6.5804655906666412E-3</v>
      </c>
      <c r="S28" s="139">
        <f>O28/Q28</f>
        <v>3.4194087744915891E-2</v>
      </c>
      <c r="T28" s="1068">
        <f>'Yield Mechanism'!$AI$58</f>
        <v>8.0893367226849797</v>
      </c>
      <c r="U28" s="144">
        <f>U27+T28*K28</f>
        <v>37.51963186836015</v>
      </c>
      <c r="V28" s="435"/>
      <c r="W28" s="415"/>
      <c r="X28" s="268">
        <v>2</v>
      </c>
      <c r="Y28" s="139">
        <f>'Structural Information'!$Z$7</f>
        <v>40.367000000000004</v>
      </c>
      <c r="Z28" s="139">
        <f>Y28*M28</f>
        <v>1.5241557136356739E-2</v>
      </c>
      <c r="AA28" s="139">
        <f>Z28*L28</f>
        <v>8.7638953534051253E-2</v>
      </c>
      <c r="AB28" s="504" t="s">
        <v>339</v>
      </c>
    </row>
    <row r="29" spans="2:28" ht="13.9" customHeight="1" x14ac:dyDescent="0.25">
      <c r="J29" s="432">
        <v>1</v>
      </c>
      <c r="K29" s="144">
        <f>'Structural Information'!$U$8</f>
        <v>2.75</v>
      </c>
      <c r="L29" s="144">
        <f>K29</f>
        <v>2.75</v>
      </c>
      <c r="M29" s="433">
        <f>'Yield Mechanism'!$K$51</f>
        <v>1.9645769001200034E-4</v>
      </c>
      <c r="N29" s="140">
        <f>M29</f>
        <v>1.9645769001200034E-4</v>
      </c>
      <c r="O29" s="434">
        <f>N29/K29</f>
        <v>7.1439160004363767E-5</v>
      </c>
      <c r="P29" s="433">
        <f>$C$28</f>
        <v>8.1000948897978157E-3</v>
      </c>
      <c r="Q29" s="433">
        <f>$D$28</f>
        <v>1.7443905747548439E-3</v>
      </c>
      <c r="R29" s="139">
        <f>O29/P29</f>
        <v>8.8195460641260388E-3</v>
      </c>
      <c r="S29" s="139">
        <f>O29/Q29</f>
        <v>4.0953649393802645E-2</v>
      </c>
      <c r="T29" s="1068">
        <f>'Yield Mechanism'!$AI$59</f>
        <v>9.9999999999999982</v>
      </c>
      <c r="U29" s="144">
        <f>U28+T29*K29</f>
        <v>65.01963186836015</v>
      </c>
      <c r="V29" s="436"/>
      <c r="W29" s="415"/>
      <c r="X29" s="268">
        <v>1</v>
      </c>
      <c r="Y29" s="139">
        <f>'Structural Information'!$Z$8</f>
        <v>40.367000000000004</v>
      </c>
      <c r="Z29" s="139">
        <f>Y29*M29</f>
        <v>7.930407572714418E-3</v>
      </c>
      <c r="AA29" s="139">
        <f>Z29*L29</f>
        <v>2.1808620824964649E-2</v>
      </c>
      <c r="AB29" s="143">
        <f>T29/M27</f>
        <v>20641.668226478738</v>
      </c>
    </row>
    <row r="30" spans="2:28" x14ac:dyDescent="0.25">
      <c r="V30" s="437"/>
      <c r="W30" s="415"/>
      <c r="X30" s="438"/>
      <c r="Y30" s="504" t="s">
        <v>82</v>
      </c>
      <c r="Z30" s="439">
        <f>SUM(Z27:Z29)</f>
        <v>4.1506044873897016E-2</v>
      </c>
      <c r="AA30" s="439">
        <f>SUM(AA27:AA29)</f>
        <v>0.26987077580124214</v>
      </c>
      <c r="AB30" s="505" t="s">
        <v>341</v>
      </c>
    </row>
    <row r="31" spans="2:28" x14ac:dyDescent="0.25">
      <c r="W31" s="415"/>
      <c r="X31" s="438"/>
      <c r="Y31" s="440"/>
      <c r="Z31" s="440"/>
      <c r="AA31" s="441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106.37626559609419</v>
      </c>
    </row>
    <row r="32" spans="2:28" x14ac:dyDescent="0.25">
      <c r="W32" s="415"/>
      <c r="X32" s="438"/>
      <c r="Y32" s="180"/>
      <c r="Z32" s="180"/>
      <c r="AA32" s="442"/>
      <c r="AB32" s="504" t="s">
        <v>340</v>
      </c>
    </row>
    <row r="33" spans="2:28" x14ac:dyDescent="0.25">
      <c r="X33" s="443"/>
      <c r="Y33" s="444"/>
      <c r="Z33" s="444"/>
      <c r="AA33" s="445"/>
      <c r="AB33" s="143">
        <f>2*PI()*SQRT(AB31/AB29)</f>
        <v>0.45105535346311953</v>
      </c>
    </row>
    <row r="35" spans="2:28" ht="15.75" customHeight="1" x14ac:dyDescent="0.25">
      <c r="B35" s="892" t="s">
        <v>223</v>
      </c>
      <c r="C35" s="892"/>
      <c r="D35" s="892"/>
      <c r="E35" s="871" t="s">
        <v>221</v>
      </c>
      <c r="F35" s="871"/>
      <c r="G35" s="871"/>
      <c r="H35" s="117"/>
      <c r="J35" s="1029" t="s">
        <v>112</v>
      </c>
      <c r="K35" s="1029"/>
      <c r="L35" s="1029"/>
      <c r="M35" s="1029"/>
      <c r="N35" s="1029"/>
      <c r="O35" s="1029"/>
      <c r="P35" s="1029"/>
      <c r="Q35" s="1029"/>
      <c r="R35" s="1029"/>
      <c r="S35" s="1029"/>
      <c r="T35" s="1029"/>
      <c r="U35" s="1029"/>
      <c r="V35" s="1029"/>
      <c r="X35" s="1030" t="s">
        <v>109</v>
      </c>
      <c r="Y35" s="1030"/>
      <c r="Z35" s="1030"/>
      <c r="AA35" s="1030"/>
      <c r="AB35" s="1030"/>
    </row>
    <row r="36" spans="2:28" ht="15" customHeight="1" x14ac:dyDescent="0.25">
      <c r="B36" s="246" t="s">
        <v>115</v>
      </c>
      <c r="C36" s="452" t="s">
        <v>83</v>
      </c>
      <c r="D36" s="246" t="s">
        <v>116</v>
      </c>
      <c r="E36" s="249" t="s">
        <v>222</v>
      </c>
      <c r="F36" s="249" t="s">
        <v>384</v>
      </c>
      <c r="G36" s="246" t="s">
        <v>224</v>
      </c>
      <c r="H36" s="229"/>
      <c r="J36" s="1019" t="s">
        <v>9</v>
      </c>
      <c r="K36" s="1020" t="s">
        <v>3</v>
      </c>
      <c r="L36" s="1020" t="s">
        <v>76</v>
      </c>
      <c r="M36" s="1019" t="s">
        <v>78</v>
      </c>
      <c r="N36" s="1019" t="s">
        <v>85</v>
      </c>
      <c r="O36" s="1020" t="s">
        <v>104</v>
      </c>
      <c r="P36" s="1020" t="s">
        <v>262</v>
      </c>
      <c r="Q36" s="1020" t="s">
        <v>263</v>
      </c>
      <c r="R36" s="1019" t="s">
        <v>419</v>
      </c>
      <c r="S36" s="1019" t="s">
        <v>420</v>
      </c>
      <c r="T36" s="1019" t="s">
        <v>79</v>
      </c>
      <c r="U36" s="1020" t="s">
        <v>105</v>
      </c>
      <c r="V36" s="1019" t="s">
        <v>83</v>
      </c>
      <c r="X36" s="619" t="s">
        <v>9</v>
      </c>
      <c r="Y36" s="1021" t="s">
        <v>80</v>
      </c>
      <c r="Z36" s="1021" t="s">
        <v>81</v>
      </c>
      <c r="AA36" s="1021" t="s">
        <v>107</v>
      </c>
      <c r="AB36" s="656" t="s">
        <v>108</v>
      </c>
    </row>
    <row r="37" spans="2:28" x14ac:dyDescent="0.25">
      <c r="B37" s="250">
        <v>0</v>
      </c>
      <c r="C37" s="235">
        <v>0</v>
      </c>
      <c r="D37" s="453">
        <v>0</v>
      </c>
      <c r="E37" s="306" t="s">
        <v>220</v>
      </c>
      <c r="F37" s="454"/>
      <c r="G37" s="305" t="s">
        <v>220</v>
      </c>
      <c r="H37" s="230"/>
      <c r="J37" s="814"/>
      <c r="K37" s="962"/>
      <c r="L37" s="962"/>
      <c r="M37" s="814"/>
      <c r="N37" s="814"/>
      <c r="O37" s="962"/>
      <c r="P37" s="962"/>
      <c r="Q37" s="962"/>
      <c r="R37" s="814"/>
      <c r="S37" s="814"/>
      <c r="T37" s="814"/>
      <c r="U37" s="962"/>
      <c r="V37" s="814"/>
      <c r="X37" s="619"/>
      <c r="Y37" s="1021"/>
      <c r="Z37" s="1021"/>
      <c r="AA37" s="1021"/>
      <c r="AB37" s="656"/>
    </row>
    <row r="38" spans="2:28" ht="13.9" customHeight="1" x14ac:dyDescent="0.25">
      <c r="B38" s="250">
        <v>1</v>
      </c>
      <c r="C38" s="230">
        <f>V5*-1</f>
        <v>-9.9999999999999982</v>
      </c>
      <c r="D38" s="455">
        <f>M5</f>
        <v>4.8445696783228933E-4</v>
      </c>
      <c r="E38" s="306">
        <f>((C38-C37)/(D38-D37))*-1</f>
        <v>20641.668226478738</v>
      </c>
      <c r="F38" s="454">
        <v>17764.084632878785</v>
      </c>
      <c r="G38" s="305">
        <f>((F38-E38)/F38)*100</f>
        <v>-16.198884733266564</v>
      </c>
      <c r="H38" s="230"/>
      <c r="J38" s="432">
        <v>3</v>
      </c>
      <c r="K38" s="144">
        <f>'Structural Information'!$U$6</f>
        <v>3</v>
      </c>
      <c r="L38" s="144">
        <f>L39+K38</f>
        <v>8.75</v>
      </c>
      <c r="M38" s="433">
        <f>'Yield Mechanism'!$K$49</f>
        <v>4.8445696783228933E-4</v>
      </c>
      <c r="N38" s="140">
        <f>M38-M39</f>
        <v>1.0688228711891608E-4</v>
      </c>
      <c r="O38" s="434">
        <f>N38/K38</f>
        <v>3.5627429039638692E-5</v>
      </c>
      <c r="P38" s="433">
        <f>$C$26</f>
        <v>9.5976000000000013E-3</v>
      </c>
      <c r="Q38" s="433">
        <f>$D$26</f>
        <v>1.8601738665676483E-3</v>
      </c>
      <c r="R38" s="144">
        <f>O38/P38</f>
        <v>3.7121185546010135E-3</v>
      </c>
      <c r="S38" s="139">
        <f>O38/Q38</f>
        <v>1.9152741407650047E-2</v>
      </c>
      <c r="T38" s="1068">
        <f>'Yield Mechanism'!$AI$57</f>
        <v>4.4172072334350689</v>
      </c>
      <c r="U38" s="144">
        <f>T38*K38</f>
        <v>13.251621700305208</v>
      </c>
      <c r="V38" s="139">
        <f>U40/AB38</f>
        <v>9.9999999999999982</v>
      </c>
      <c r="W38" s="415"/>
      <c r="X38" s="268">
        <v>3</v>
      </c>
      <c r="Y38" s="139">
        <f>'Structural Information'!$Z$6</f>
        <v>37.8446</v>
      </c>
      <c r="Z38" s="139">
        <f>Y38*M38</f>
        <v>1.8334080164825857E-2</v>
      </c>
      <c r="AA38" s="139">
        <f>Z38*L38</f>
        <v>0.16042320144222624</v>
      </c>
      <c r="AB38" s="139">
        <f>AA41/Z41</f>
        <v>6.5019631868360159</v>
      </c>
    </row>
    <row r="39" spans="2:28" ht="13.9" customHeight="1" x14ac:dyDescent="0.25">
      <c r="B39" s="250">
        <v>2</v>
      </c>
      <c r="C39" s="233">
        <f>V16*-1</f>
        <v>-9.9999999999999982</v>
      </c>
      <c r="D39" s="453">
        <f>M16</f>
        <v>4.8445696783228933E-4</v>
      </c>
      <c r="E39" s="306" t="e">
        <f>((C39-C38)/(D39-D38))*-1</f>
        <v>#DIV/0!</v>
      </c>
      <c r="G39" s="442"/>
      <c r="H39" s="230"/>
      <c r="J39" s="432">
        <v>2</v>
      </c>
      <c r="K39" s="144">
        <f>'Structural Information'!$U$7</f>
        <v>3</v>
      </c>
      <c r="L39" s="144">
        <f>L40+K39</f>
        <v>5.75</v>
      </c>
      <c r="M39" s="433">
        <f>'Yield Mechanism'!$K$50</f>
        <v>3.7757468071337324E-4</v>
      </c>
      <c r="N39" s="140">
        <f>M39-M40</f>
        <v>1.811169907013729E-4</v>
      </c>
      <c r="O39" s="434">
        <f>N39/K39</f>
        <v>6.0372330233790966E-5</v>
      </c>
      <c r="P39" s="433">
        <f>$C$27</f>
        <v>9.1744770034843208E-3</v>
      </c>
      <c r="Q39" s="433">
        <f>$D$27</f>
        <v>1.7655780345468453E-3</v>
      </c>
      <c r="R39" s="139">
        <f>O39/P39</f>
        <v>6.5804655906666412E-3</v>
      </c>
      <c r="S39" s="139">
        <f>O39/Q39</f>
        <v>3.4194087744915891E-2</v>
      </c>
      <c r="T39" s="1068">
        <f>'Yield Mechanism'!$AI$58</f>
        <v>8.0893367226849797</v>
      </c>
      <c r="U39" s="144">
        <f>U38+T39*K39</f>
        <v>37.51963186836015</v>
      </c>
      <c r="V39" s="435"/>
      <c r="W39" s="415"/>
      <c r="X39" s="268">
        <v>2</v>
      </c>
      <c r="Y39" s="139">
        <f>'Structural Information'!$Z$7</f>
        <v>40.367000000000004</v>
      </c>
      <c r="Z39" s="139">
        <f>Y39*M39</f>
        <v>1.5241557136356739E-2</v>
      </c>
      <c r="AA39" s="139">
        <f>Z39*L39</f>
        <v>8.7638953534051253E-2</v>
      </c>
      <c r="AB39" s="504" t="s">
        <v>339</v>
      </c>
    </row>
    <row r="40" spans="2:28" ht="13.9" customHeight="1" x14ac:dyDescent="0.25">
      <c r="B40" s="250">
        <v>3</v>
      </c>
      <c r="C40" s="230">
        <f>V27*-1</f>
        <v>-9.9999999999999982</v>
      </c>
      <c r="D40" s="455">
        <f>M27</f>
        <v>4.8445696783228933E-4</v>
      </c>
      <c r="E40" s="306" t="e">
        <f>((C40-C39)/(D40-D39))*-1</f>
        <v>#DIV/0!</v>
      </c>
      <c r="F40" s="230"/>
      <c r="G40" s="305"/>
      <c r="H40" s="230"/>
      <c r="J40" s="432">
        <v>1</v>
      </c>
      <c r="K40" s="144">
        <f>'Structural Information'!$U$8</f>
        <v>2.75</v>
      </c>
      <c r="L40" s="144">
        <f>K40</f>
        <v>2.75</v>
      </c>
      <c r="M40" s="433">
        <f>'Yield Mechanism'!$K$51</f>
        <v>1.9645769001200034E-4</v>
      </c>
      <c r="N40" s="140">
        <f>M40</f>
        <v>1.9645769001200034E-4</v>
      </c>
      <c r="O40" s="434">
        <f>N40/K40</f>
        <v>7.1439160004363767E-5</v>
      </c>
      <c r="P40" s="433">
        <f>$C$28</f>
        <v>8.1000948897978157E-3</v>
      </c>
      <c r="Q40" s="433">
        <f>$D$28</f>
        <v>1.7443905747548439E-3</v>
      </c>
      <c r="R40" s="139">
        <f>O40/P40</f>
        <v>8.8195460641260388E-3</v>
      </c>
      <c r="S40" s="139">
        <f>O40/Q40</f>
        <v>4.0953649393802645E-2</v>
      </c>
      <c r="T40" s="1068">
        <f>'Yield Mechanism'!$AI$59</f>
        <v>9.9999999999999982</v>
      </c>
      <c r="U40" s="144">
        <f>U39+T40*K40</f>
        <v>65.01963186836015</v>
      </c>
      <c r="V40" s="436"/>
      <c r="W40" s="415"/>
      <c r="X40" s="268">
        <v>1</v>
      </c>
      <c r="Y40" s="139">
        <f>'Structural Information'!$Z$8</f>
        <v>40.367000000000004</v>
      </c>
      <c r="Z40" s="139">
        <f>Y40*M40</f>
        <v>7.930407572714418E-3</v>
      </c>
      <c r="AA40" s="139">
        <f>Z40*L40</f>
        <v>2.1808620824964649E-2</v>
      </c>
      <c r="AB40" s="143">
        <f>T40/M38</f>
        <v>20641.668226478738</v>
      </c>
    </row>
    <row r="41" spans="2:28" x14ac:dyDescent="0.25">
      <c r="B41" s="250">
        <v>4</v>
      </c>
      <c r="C41" s="230">
        <f>V38*-1</f>
        <v>-9.9999999999999982</v>
      </c>
      <c r="D41" s="455">
        <f>M38</f>
        <v>4.8445696783228933E-4</v>
      </c>
      <c r="E41" s="1041" t="e">
        <f>((C42-C40)/(D42-D40))*-1</f>
        <v>#DIV/0!</v>
      </c>
      <c r="F41" s="1042">
        <f>N236</f>
        <v>5721.8458404205212</v>
      </c>
      <c r="G41" s="1043" t="e">
        <f>((F41-E41)/F41)*100</f>
        <v>#DIV/0!</v>
      </c>
      <c r="V41" s="437"/>
      <c r="W41" s="415"/>
      <c r="X41" s="438"/>
      <c r="Y41" s="504" t="s">
        <v>82</v>
      </c>
      <c r="Z41" s="439">
        <f>SUM(Z38:Z40)</f>
        <v>4.1506044873897016E-2</v>
      </c>
      <c r="AA41" s="439">
        <f>SUM(AA38:AA40)</f>
        <v>0.26987077580124214</v>
      </c>
      <c r="AB41" s="505" t="s">
        <v>341</v>
      </c>
    </row>
    <row r="42" spans="2:28" x14ac:dyDescent="0.25">
      <c r="B42" s="250">
        <v>5</v>
      </c>
      <c r="C42" s="230">
        <f>V49*-1</f>
        <v>-9.9999999999999982</v>
      </c>
      <c r="D42" s="455">
        <f>M49</f>
        <v>4.8445696783228933E-4</v>
      </c>
      <c r="E42" s="1041"/>
      <c r="F42" s="1042"/>
      <c r="G42" s="1043"/>
      <c r="H42" s="230"/>
      <c r="W42" s="415"/>
      <c r="X42" s="438"/>
      <c r="Y42" s="440"/>
      <c r="Z42" s="440"/>
      <c r="AA42" s="441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106.37626559609419</v>
      </c>
    </row>
    <row r="43" spans="2:28" x14ac:dyDescent="0.25">
      <c r="B43" s="250">
        <v>6</v>
      </c>
      <c r="C43" s="230">
        <f>V60*-1</f>
        <v>-9.9999999999999982</v>
      </c>
      <c r="D43" s="455">
        <f>M60</f>
        <v>4.8445696783228933E-4</v>
      </c>
      <c r="E43" s="306" t="e">
        <f>((C43-C42)/(D43-D42))*-1</f>
        <v>#DIV/0!</v>
      </c>
      <c r="F43" s="230"/>
      <c r="G43" s="305"/>
      <c r="H43" s="230"/>
      <c r="W43" s="415"/>
      <c r="X43" s="438"/>
      <c r="Y43" s="180"/>
      <c r="Z43" s="180"/>
      <c r="AA43" s="442"/>
      <c r="AB43" s="504" t="s">
        <v>340</v>
      </c>
    </row>
    <row r="44" spans="2:28" x14ac:dyDescent="0.25">
      <c r="B44" s="250">
        <v>7</v>
      </c>
      <c r="C44" s="230">
        <f>V71*-1</f>
        <v>-9.9999999999999982</v>
      </c>
      <c r="D44" s="455">
        <f>M71</f>
        <v>4.8445696783228933E-4</v>
      </c>
      <c r="E44" s="306" t="e">
        <f>((C44-C43)/(D44-D43))*-1</f>
        <v>#DIV/0!</v>
      </c>
      <c r="G44" s="442"/>
      <c r="X44" s="443"/>
      <c r="Y44" s="444"/>
      <c r="Z44" s="444"/>
      <c r="AA44" s="445"/>
      <c r="AB44" s="143">
        <f>2*PI()*SQRT(AB42/AB40)</f>
        <v>0.45105535346311953</v>
      </c>
    </row>
    <row r="45" spans="2:28" x14ac:dyDescent="0.25">
      <c r="B45" s="250">
        <v>8</v>
      </c>
      <c r="C45" s="230">
        <f>V82*-1</f>
        <v>-9.9999999999999982</v>
      </c>
      <c r="D45" s="455">
        <f>M82</f>
        <v>4.8445696783228933E-4</v>
      </c>
      <c r="E45" s="306" t="e">
        <f>((C45-C44)/(D45-D44))*-1</f>
        <v>#DIV/0!</v>
      </c>
      <c r="G45" s="442"/>
    </row>
    <row r="46" spans="2:28" x14ac:dyDescent="0.25">
      <c r="B46" s="250">
        <v>9</v>
      </c>
      <c r="C46" s="230">
        <f>V93*-1</f>
        <v>-9.9999999999999982</v>
      </c>
      <c r="D46" s="455">
        <f>M93</f>
        <v>4.8445696783228933E-4</v>
      </c>
      <c r="E46" s="306" t="e">
        <f>((C46-C45)/(D46-D45))*-1</f>
        <v>#DIV/0!</v>
      </c>
      <c r="G46" s="442"/>
      <c r="J46" s="1038" t="s">
        <v>113</v>
      </c>
      <c r="K46" s="1039"/>
      <c r="L46" s="1039"/>
      <c r="M46" s="1039"/>
      <c r="N46" s="1039"/>
      <c r="O46" s="1039"/>
      <c r="P46" s="1039"/>
      <c r="Q46" s="1039"/>
      <c r="R46" s="1039"/>
      <c r="S46" s="1039"/>
      <c r="T46" s="1039"/>
      <c r="U46" s="1039"/>
      <c r="V46" s="1040"/>
      <c r="X46" s="1029" t="s">
        <v>109</v>
      </c>
      <c r="Y46" s="1029"/>
      <c r="Z46" s="1029"/>
      <c r="AA46" s="1029"/>
      <c r="AB46" s="1029"/>
    </row>
    <row r="47" spans="2:28" ht="15" customHeight="1" x14ac:dyDescent="0.25">
      <c r="B47" s="250">
        <v>10</v>
      </c>
      <c r="C47" s="230">
        <f>V104*-1</f>
        <v>-9.9999999999999982</v>
      </c>
      <c r="D47" s="455">
        <f>M104</f>
        <v>4.8445696783228933E-4</v>
      </c>
      <c r="E47" s="306" t="e">
        <f>((C47-C46)/(D47-D46))*-1</f>
        <v>#DIV/0!</v>
      </c>
      <c r="G47" s="442"/>
      <c r="J47" s="1019" t="s">
        <v>9</v>
      </c>
      <c r="K47" s="1020" t="s">
        <v>3</v>
      </c>
      <c r="L47" s="1020" t="s">
        <v>76</v>
      </c>
      <c r="M47" s="1019" t="s">
        <v>78</v>
      </c>
      <c r="N47" s="1019" t="s">
        <v>85</v>
      </c>
      <c r="O47" s="1020" t="s">
        <v>104</v>
      </c>
      <c r="P47" s="1020" t="s">
        <v>262</v>
      </c>
      <c r="Q47" s="1020" t="s">
        <v>263</v>
      </c>
      <c r="R47" s="1019" t="s">
        <v>419</v>
      </c>
      <c r="S47" s="1019" t="s">
        <v>420</v>
      </c>
      <c r="T47" s="1019" t="s">
        <v>79</v>
      </c>
      <c r="U47" s="1020" t="s">
        <v>105</v>
      </c>
      <c r="V47" s="1019" t="s">
        <v>83</v>
      </c>
      <c r="X47" s="619" t="s">
        <v>9</v>
      </c>
      <c r="Y47" s="1021" t="s">
        <v>80</v>
      </c>
      <c r="Z47" s="1021" t="s">
        <v>81</v>
      </c>
      <c r="AA47" s="1021" t="s">
        <v>107</v>
      </c>
      <c r="AB47" s="656" t="s">
        <v>108</v>
      </c>
    </row>
    <row r="48" spans="2:28" x14ac:dyDescent="0.25">
      <c r="B48" s="250">
        <v>11</v>
      </c>
      <c r="C48" s="230">
        <f>V115*-1</f>
        <v>-9.9999999999999982</v>
      </c>
      <c r="D48" s="455">
        <f>M115</f>
        <v>4.8445696783228933E-4</v>
      </c>
      <c r="E48" s="306" t="e">
        <f t="shared" ref="E48:E57" si="0">((C48-C47)/(D48-D47))*-1</f>
        <v>#DIV/0!</v>
      </c>
      <c r="G48" s="442"/>
      <c r="J48" s="814"/>
      <c r="K48" s="962"/>
      <c r="L48" s="962"/>
      <c r="M48" s="814"/>
      <c r="N48" s="814"/>
      <c r="O48" s="962"/>
      <c r="P48" s="962"/>
      <c r="Q48" s="962"/>
      <c r="R48" s="814"/>
      <c r="S48" s="814"/>
      <c r="T48" s="814"/>
      <c r="U48" s="962"/>
      <c r="V48" s="814"/>
      <c r="X48" s="619"/>
      <c r="Y48" s="1021"/>
      <c r="Z48" s="1021"/>
      <c r="AA48" s="1021"/>
      <c r="AB48" s="656"/>
    </row>
    <row r="49" spans="2:28" ht="13.9" customHeight="1" x14ac:dyDescent="0.25">
      <c r="B49" s="250">
        <v>12</v>
      </c>
      <c r="C49" s="230">
        <f>V126*-1</f>
        <v>-9.9999999999999982</v>
      </c>
      <c r="D49" s="455">
        <f>M126</f>
        <v>4.8445696783228933E-4</v>
      </c>
      <c r="E49" s="306" t="e">
        <f t="shared" si="0"/>
        <v>#DIV/0!</v>
      </c>
      <c r="G49" s="442"/>
      <c r="J49" s="432">
        <v>3</v>
      </c>
      <c r="K49" s="144">
        <f>'Structural Information'!$U$6</f>
        <v>3</v>
      </c>
      <c r="L49" s="144">
        <f>L50+K49</f>
        <v>8.75</v>
      </c>
      <c r="M49" s="433">
        <f>'Yield Mechanism'!$K$49</f>
        <v>4.8445696783228933E-4</v>
      </c>
      <c r="N49" s="140">
        <f>M49-M50</f>
        <v>1.0688228711891608E-4</v>
      </c>
      <c r="O49" s="434">
        <f>N49/K49</f>
        <v>3.5627429039638692E-5</v>
      </c>
      <c r="P49" s="433">
        <f>$C$26</f>
        <v>9.5976000000000013E-3</v>
      </c>
      <c r="Q49" s="433">
        <f>$D$26</f>
        <v>1.8601738665676483E-3</v>
      </c>
      <c r="R49" s="144">
        <f>O49/P49</f>
        <v>3.7121185546010135E-3</v>
      </c>
      <c r="S49" s="139">
        <f>O49/Q49</f>
        <v>1.9152741407650047E-2</v>
      </c>
      <c r="T49" s="1068">
        <f>'Yield Mechanism'!$AI$57</f>
        <v>4.4172072334350689</v>
      </c>
      <c r="U49" s="144">
        <f>T49*K49</f>
        <v>13.251621700305208</v>
      </c>
      <c r="V49" s="139">
        <f>U51/AB49</f>
        <v>9.9999999999999982</v>
      </c>
      <c r="W49" s="415"/>
      <c r="X49" s="268">
        <v>3</v>
      </c>
      <c r="Y49" s="139">
        <f>'Structural Information'!$Z$6</f>
        <v>37.8446</v>
      </c>
      <c r="Z49" s="139">
        <f>Y49*M49</f>
        <v>1.8334080164825857E-2</v>
      </c>
      <c r="AA49" s="139">
        <f>Z49*L49</f>
        <v>0.16042320144222624</v>
      </c>
      <c r="AB49" s="139">
        <f>AA52/Z52</f>
        <v>6.5019631868360159</v>
      </c>
    </row>
    <row r="50" spans="2:28" ht="13.9" customHeight="1" x14ac:dyDescent="0.25">
      <c r="B50" s="250">
        <v>13</v>
      </c>
      <c r="C50" s="230">
        <f>V137*-1</f>
        <v>-9.9999999999999982</v>
      </c>
      <c r="D50" s="455">
        <f>M137</f>
        <v>4.8445696783228933E-4</v>
      </c>
      <c r="E50" s="306" t="e">
        <f t="shared" si="0"/>
        <v>#DIV/0!</v>
      </c>
      <c r="G50" s="442"/>
      <c r="J50" s="432">
        <v>2</v>
      </c>
      <c r="K50" s="144">
        <f>'Structural Information'!$U$7</f>
        <v>3</v>
      </c>
      <c r="L50" s="144">
        <f>L51+K50</f>
        <v>5.75</v>
      </c>
      <c r="M50" s="433">
        <f>'Yield Mechanism'!$K$50</f>
        <v>3.7757468071337324E-4</v>
      </c>
      <c r="N50" s="140">
        <f>M50-M51</f>
        <v>1.811169907013729E-4</v>
      </c>
      <c r="O50" s="434">
        <f>N50/K50</f>
        <v>6.0372330233790966E-5</v>
      </c>
      <c r="P50" s="433">
        <f>$C$27</f>
        <v>9.1744770034843208E-3</v>
      </c>
      <c r="Q50" s="433">
        <f>$D$27</f>
        <v>1.7655780345468453E-3</v>
      </c>
      <c r="R50" s="139">
        <f>O50/P50</f>
        <v>6.5804655906666412E-3</v>
      </c>
      <c r="S50" s="139">
        <f>O50/Q50</f>
        <v>3.4194087744915891E-2</v>
      </c>
      <c r="T50" s="1068">
        <f>'Yield Mechanism'!$AI$58</f>
        <v>8.0893367226849797</v>
      </c>
      <c r="U50" s="144">
        <f>U49+T50*K50</f>
        <v>37.51963186836015</v>
      </c>
      <c r="V50" s="435"/>
      <c r="W50" s="415"/>
      <c r="X50" s="268">
        <v>2</v>
      </c>
      <c r="Y50" s="139">
        <f>'Structural Information'!$Z$7</f>
        <v>40.367000000000004</v>
      </c>
      <c r="Z50" s="139">
        <f>Y50*M50</f>
        <v>1.5241557136356739E-2</v>
      </c>
      <c r="AA50" s="139">
        <f>Z50*L50</f>
        <v>8.7638953534051253E-2</v>
      </c>
      <c r="AB50" s="504" t="s">
        <v>339</v>
      </c>
    </row>
    <row r="51" spans="2:28" ht="13.9" customHeight="1" x14ac:dyDescent="0.25">
      <c r="B51" s="250">
        <v>14</v>
      </c>
      <c r="C51" s="230">
        <f>V148*-1</f>
        <v>-9.9999999999999982</v>
      </c>
      <c r="D51" s="455">
        <f>M148</f>
        <v>4.8445696783228933E-4</v>
      </c>
      <c r="E51" s="306" t="e">
        <f t="shared" si="0"/>
        <v>#DIV/0!</v>
      </c>
      <c r="G51" s="442"/>
      <c r="J51" s="432">
        <v>1</v>
      </c>
      <c r="K51" s="144">
        <f>'Structural Information'!$U$8</f>
        <v>2.75</v>
      </c>
      <c r="L51" s="144">
        <f>K51</f>
        <v>2.75</v>
      </c>
      <c r="M51" s="433">
        <f>'Yield Mechanism'!$K$51</f>
        <v>1.9645769001200034E-4</v>
      </c>
      <c r="N51" s="140">
        <f>M51</f>
        <v>1.9645769001200034E-4</v>
      </c>
      <c r="O51" s="434">
        <f>N51/K51</f>
        <v>7.1439160004363767E-5</v>
      </c>
      <c r="P51" s="433">
        <f>$C$28</f>
        <v>8.1000948897978157E-3</v>
      </c>
      <c r="Q51" s="433">
        <f>$D$28</f>
        <v>1.7443905747548439E-3</v>
      </c>
      <c r="R51" s="139">
        <f>O51/P51</f>
        <v>8.8195460641260388E-3</v>
      </c>
      <c r="S51" s="139">
        <f>O51/Q51</f>
        <v>4.0953649393802645E-2</v>
      </c>
      <c r="T51" s="1068">
        <f>'Yield Mechanism'!$AI$59</f>
        <v>9.9999999999999982</v>
      </c>
      <c r="U51" s="144">
        <f>U50+T51*K51</f>
        <v>65.01963186836015</v>
      </c>
      <c r="V51" s="436"/>
      <c r="W51" s="415"/>
      <c r="X51" s="268">
        <v>1</v>
      </c>
      <c r="Y51" s="139">
        <f>'Structural Information'!$Z$8</f>
        <v>40.367000000000004</v>
      </c>
      <c r="Z51" s="139">
        <f>Y51*M51</f>
        <v>7.930407572714418E-3</v>
      </c>
      <c r="AA51" s="139">
        <f>Z51*L51</f>
        <v>2.1808620824964649E-2</v>
      </c>
      <c r="AB51" s="143">
        <f>T51/M49</f>
        <v>20641.668226478738</v>
      </c>
    </row>
    <row r="52" spans="2:28" x14ac:dyDescent="0.25">
      <c r="B52" s="250">
        <v>15</v>
      </c>
      <c r="C52" s="230">
        <f>V159*-1</f>
        <v>-9.9999999999999982</v>
      </c>
      <c r="D52" s="455">
        <f>M159</f>
        <v>4.8445696783228933E-4</v>
      </c>
      <c r="E52" s="306" t="e">
        <f t="shared" si="0"/>
        <v>#DIV/0!</v>
      </c>
      <c r="G52" s="442"/>
      <c r="V52" s="437"/>
      <c r="W52" s="415"/>
      <c r="X52" s="438"/>
      <c r="Y52" s="504" t="s">
        <v>82</v>
      </c>
      <c r="Z52" s="439">
        <f>SUM(Z49:Z51)</f>
        <v>4.1506044873897016E-2</v>
      </c>
      <c r="AA52" s="439">
        <f>SUM(AA49:AA51)</f>
        <v>0.26987077580124214</v>
      </c>
      <c r="AB52" s="505" t="s">
        <v>341</v>
      </c>
    </row>
    <row r="53" spans="2:28" x14ac:dyDescent="0.25">
      <c r="B53" s="250">
        <v>16</v>
      </c>
      <c r="C53" s="230">
        <f>V170*-1</f>
        <v>-9.9999999999999982</v>
      </c>
      <c r="D53" s="455">
        <f>M170</f>
        <v>4.8445696783228933E-4</v>
      </c>
      <c r="E53" s="306" t="e">
        <f t="shared" si="0"/>
        <v>#DIV/0!</v>
      </c>
      <c r="G53" s="442"/>
      <c r="W53" s="415"/>
      <c r="X53" s="438"/>
      <c r="Y53" s="440"/>
      <c r="Z53" s="440"/>
      <c r="AA53" s="441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106.37626559609419</v>
      </c>
    </row>
    <row r="54" spans="2:28" x14ac:dyDescent="0.25">
      <c r="B54" s="250">
        <v>17</v>
      </c>
      <c r="C54" s="230">
        <f>V181*-1</f>
        <v>-9.9999999999999982</v>
      </c>
      <c r="D54" s="455">
        <f>M181</f>
        <v>4.8445696783228933E-4</v>
      </c>
      <c r="E54" s="306" t="e">
        <f t="shared" si="0"/>
        <v>#DIV/0!</v>
      </c>
      <c r="G54" s="442"/>
      <c r="W54" s="415"/>
      <c r="X54" s="438"/>
      <c r="Y54" s="180"/>
      <c r="Z54" s="180"/>
      <c r="AA54" s="442"/>
      <c r="AB54" s="504" t="s">
        <v>340</v>
      </c>
    </row>
    <row r="55" spans="2:28" x14ac:dyDescent="0.25">
      <c r="B55" s="250">
        <v>18</v>
      </c>
      <c r="C55" s="230">
        <f>V192*-1</f>
        <v>-9.9999999999999982</v>
      </c>
      <c r="D55" s="455">
        <f>M192</f>
        <v>4.8445696783228933E-4</v>
      </c>
      <c r="E55" s="306" t="e">
        <f t="shared" si="0"/>
        <v>#DIV/0!</v>
      </c>
      <c r="G55" s="442"/>
      <c r="X55" s="443"/>
      <c r="Y55" s="444"/>
      <c r="Z55" s="444"/>
      <c r="AA55" s="445"/>
      <c r="AB55" s="143">
        <f>2*PI()*SQRT(AB53/AB51)</f>
        <v>0.45105535346311953</v>
      </c>
    </row>
    <row r="56" spans="2:28" x14ac:dyDescent="0.25">
      <c r="B56" s="250">
        <v>19</v>
      </c>
      <c r="C56" s="230">
        <f>V203*-1</f>
        <v>-9.9999999999999982</v>
      </c>
      <c r="D56" s="455">
        <f>M203</f>
        <v>4.8445696783228933E-4</v>
      </c>
      <c r="E56" s="306" t="e">
        <f t="shared" si="0"/>
        <v>#DIV/0!</v>
      </c>
      <c r="G56" s="442"/>
    </row>
    <row r="57" spans="2:28" x14ac:dyDescent="0.25">
      <c r="B57" s="248">
        <v>20</v>
      </c>
      <c r="C57" s="328">
        <f>V214*-1</f>
        <v>-9.9999999999999982</v>
      </c>
      <c r="D57" s="456">
        <f>M214</f>
        <v>4.8445696783228933E-4</v>
      </c>
      <c r="E57" s="327" t="e">
        <f t="shared" si="0"/>
        <v>#DIV/0!</v>
      </c>
      <c r="F57" s="444"/>
      <c r="G57" s="445"/>
      <c r="J57" s="1026" t="s">
        <v>114</v>
      </c>
      <c r="K57" s="1027"/>
      <c r="L57" s="1027"/>
      <c r="M57" s="1027"/>
      <c r="N57" s="1027"/>
      <c r="O57" s="1027"/>
      <c r="P57" s="1027"/>
      <c r="Q57" s="1027"/>
      <c r="R57" s="1027"/>
      <c r="S57" s="1027"/>
      <c r="T57" s="1027"/>
      <c r="U57" s="1027"/>
      <c r="V57" s="1028"/>
      <c r="W57" s="457"/>
      <c r="X57" s="1018" t="s">
        <v>109</v>
      </c>
      <c r="Y57" s="1018"/>
      <c r="Z57" s="1018"/>
      <c r="AA57" s="1018"/>
      <c r="AB57" s="1018"/>
    </row>
    <row r="58" spans="2:28" ht="15" customHeight="1" x14ac:dyDescent="0.25">
      <c r="J58" s="1019" t="s">
        <v>9</v>
      </c>
      <c r="K58" s="1020" t="s">
        <v>3</v>
      </c>
      <c r="L58" s="1020" t="s">
        <v>76</v>
      </c>
      <c r="M58" s="1019" t="s">
        <v>78</v>
      </c>
      <c r="N58" s="1019" t="s">
        <v>85</v>
      </c>
      <c r="O58" s="1020" t="s">
        <v>104</v>
      </c>
      <c r="P58" s="1020" t="s">
        <v>262</v>
      </c>
      <c r="Q58" s="1020" t="s">
        <v>263</v>
      </c>
      <c r="R58" s="1019" t="s">
        <v>419</v>
      </c>
      <c r="S58" s="1019" t="s">
        <v>420</v>
      </c>
      <c r="T58" s="1019" t="s">
        <v>79</v>
      </c>
      <c r="U58" s="1020" t="s">
        <v>105</v>
      </c>
      <c r="V58" s="1019" t="s">
        <v>83</v>
      </c>
      <c r="X58" s="619" t="s">
        <v>9</v>
      </c>
      <c r="Y58" s="1021" t="s">
        <v>80</v>
      </c>
      <c r="Z58" s="1021" t="s">
        <v>81</v>
      </c>
      <c r="AA58" s="1021" t="s">
        <v>107</v>
      </c>
      <c r="AB58" s="656" t="s">
        <v>108</v>
      </c>
    </row>
    <row r="59" spans="2:28" x14ac:dyDescent="0.25">
      <c r="J59" s="814"/>
      <c r="K59" s="962"/>
      <c r="L59" s="962"/>
      <c r="M59" s="814"/>
      <c r="N59" s="814"/>
      <c r="O59" s="962"/>
      <c r="P59" s="962"/>
      <c r="Q59" s="962"/>
      <c r="R59" s="814"/>
      <c r="S59" s="814"/>
      <c r="T59" s="814"/>
      <c r="U59" s="962"/>
      <c r="V59" s="814"/>
      <c r="X59" s="619"/>
      <c r="Y59" s="1021"/>
      <c r="Z59" s="1021"/>
      <c r="AA59" s="1021"/>
      <c r="AB59" s="656"/>
    </row>
    <row r="60" spans="2:28" x14ac:dyDescent="0.25">
      <c r="J60" s="432">
        <v>3</v>
      </c>
      <c r="K60" s="144">
        <f>'Structural Information'!$U$6</f>
        <v>3</v>
      </c>
      <c r="L60" s="144">
        <f>L61+K60</f>
        <v>8.75</v>
      </c>
      <c r="M60" s="433">
        <f>'Yield Mechanism'!$K$49</f>
        <v>4.8445696783228933E-4</v>
      </c>
      <c r="N60" s="140">
        <f>M60-M61</f>
        <v>1.0688228711891608E-4</v>
      </c>
      <c r="O60" s="434">
        <f>N60/K60</f>
        <v>3.5627429039638692E-5</v>
      </c>
      <c r="P60" s="433">
        <f>$C$26</f>
        <v>9.5976000000000013E-3</v>
      </c>
      <c r="Q60" s="433">
        <f>$D$26</f>
        <v>1.8601738665676483E-3</v>
      </c>
      <c r="R60" s="144">
        <f>O60/P60</f>
        <v>3.7121185546010135E-3</v>
      </c>
      <c r="S60" s="139">
        <f>O60/Q60</f>
        <v>1.9152741407650047E-2</v>
      </c>
      <c r="T60" s="1068">
        <f>'Yield Mechanism'!$AI$57</f>
        <v>4.4172072334350689</v>
      </c>
      <c r="U60" s="144">
        <f>T60*K60</f>
        <v>13.251621700305208</v>
      </c>
      <c r="V60" s="139">
        <f>U62/AB60</f>
        <v>9.9999999999999982</v>
      </c>
      <c r="W60" s="415"/>
      <c r="X60" s="268">
        <v>3</v>
      </c>
      <c r="Y60" s="139">
        <f>'Structural Information'!$Z$6</f>
        <v>37.8446</v>
      </c>
      <c r="Z60" s="139">
        <f>Y60*M60</f>
        <v>1.8334080164825857E-2</v>
      </c>
      <c r="AA60" s="139">
        <f>Z60*L60</f>
        <v>0.16042320144222624</v>
      </c>
      <c r="AB60" s="139">
        <f>AA63/Z63</f>
        <v>6.5019631868360159</v>
      </c>
    </row>
    <row r="61" spans="2:28" x14ac:dyDescent="0.25">
      <c r="J61" s="432">
        <v>2</v>
      </c>
      <c r="K61" s="144">
        <f>'Structural Information'!$U$7</f>
        <v>3</v>
      </c>
      <c r="L61" s="144">
        <f>L62+K61</f>
        <v>5.75</v>
      </c>
      <c r="M61" s="433">
        <f>'Yield Mechanism'!$K$50</f>
        <v>3.7757468071337324E-4</v>
      </c>
      <c r="N61" s="140">
        <f>M61-M62</f>
        <v>1.811169907013729E-4</v>
      </c>
      <c r="O61" s="434">
        <f>N61/K61</f>
        <v>6.0372330233790966E-5</v>
      </c>
      <c r="P61" s="433">
        <f>$C$27</f>
        <v>9.1744770034843208E-3</v>
      </c>
      <c r="Q61" s="433">
        <f>$D$27</f>
        <v>1.7655780345468453E-3</v>
      </c>
      <c r="R61" s="139">
        <f>O61/P61</f>
        <v>6.5804655906666412E-3</v>
      </c>
      <c r="S61" s="139">
        <f>O61/Q61</f>
        <v>3.4194087744915891E-2</v>
      </c>
      <c r="T61" s="1068">
        <f>'Yield Mechanism'!$AI$58</f>
        <v>8.0893367226849797</v>
      </c>
      <c r="U61" s="144">
        <f>U60+T61*K61</f>
        <v>37.51963186836015</v>
      </c>
      <c r="V61" s="435"/>
      <c r="W61" s="415"/>
      <c r="X61" s="268">
        <v>2</v>
      </c>
      <c r="Y61" s="139">
        <f>'Structural Information'!$Z$7</f>
        <v>40.367000000000004</v>
      </c>
      <c r="Z61" s="139">
        <f>Y61*M61</f>
        <v>1.5241557136356739E-2</v>
      </c>
      <c r="AA61" s="139">
        <f>Z61*L61</f>
        <v>8.7638953534051253E-2</v>
      </c>
      <c r="AB61" s="504" t="s">
        <v>339</v>
      </c>
    </row>
    <row r="62" spans="2:28" x14ac:dyDescent="0.25">
      <c r="J62" s="432">
        <v>1</v>
      </c>
      <c r="K62" s="144">
        <f>'Structural Information'!$U$8</f>
        <v>2.75</v>
      </c>
      <c r="L62" s="144">
        <f>K62</f>
        <v>2.75</v>
      </c>
      <c r="M62" s="433">
        <f>'Yield Mechanism'!$K$51</f>
        <v>1.9645769001200034E-4</v>
      </c>
      <c r="N62" s="140">
        <f>M62</f>
        <v>1.9645769001200034E-4</v>
      </c>
      <c r="O62" s="434">
        <f>N62/K62</f>
        <v>7.1439160004363767E-5</v>
      </c>
      <c r="P62" s="433">
        <f>$C$28</f>
        <v>8.1000948897978157E-3</v>
      </c>
      <c r="Q62" s="433">
        <f>$D$28</f>
        <v>1.7443905747548439E-3</v>
      </c>
      <c r="R62" s="139">
        <f>O62/P62</f>
        <v>8.8195460641260388E-3</v>
      </c>
      <c r="S62" s="139">
        <f>O62/Q62</f>
        <v>4.0953649393802645E-2</v>
      </c>
      <c r="T62" s="1068">
        <f>'Yield Mechanism'!$AI$59</f>
        <v>9.9999999999999982</v>
      </c>
      <c r="U62" s="144">
        <f>U61+T62*K62</f>
        <v>65.01963186836015</v>
      </c>
      <c r="V62" s="436"/>
      <c r="W62" s="415"/>
      <c r="X62" s="268">
        <v>1</v>
      </c>
      <c r="Y62" s="139">
        <f>'Structural Information'!$Z$8</f>
        <v>40.367000000000004</v>
      </c>
      <c r="Z62" s="139">
        <f>Y62*M62</f>
        <v>7.930407572714418E-3</v>
      </c>
      <c r="AA62" s="139">
        <f>Z62*L62</f>
        <v>2.1808620824964649E-2</v>
      </c>
      <c r="AB62" s="143">
        <f>T62/M60</f>
        <v>20641.668226478738</v>
      </c>
    </row>
    <row r="63" spans="2:28" x14ac:dyDescent="0.25">
      <c r="V63" s="437"/>
      <c r="W63" s="415"/>
      <c r="X63" s="438"/>
      <c r="Y63" s="504" t="s">
        <v>82</v>
      </c>
      <c r="Z63" s="439">
        <f>SUM(Z60:Z62)</f>
        <v>4.1506044873897016E-2</v>
      </c>
      <c r="AA63" s="439">
        <f>SUM(AA60:AA62)</f>
        <v>0.26987077580124214</v>
      </c>
      <c r="AB63" s="505" t="s">
        <v>341</v>
      </c>
    </row>
    <row r="64" spans="2:28" x14ac:dyDescent="0.25">
      <c r="W64" s="415"/>
      <c r="X64" s="438"/>
      <c r="Y64" s="440"/>
      <c r="Z64" s="440"/>
      <c r="AA64" s="441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106.37626559609419</v>
      </c>
    </row>
    <row r="65" spans="10:28" x14ac:dyDescent="0.25">
      <c r="W65" s="415"/>
      <c r="X65" s="438"/>
      <c r="Y65" s="180"/>
      <c r="Z65" s="180"/>
      <c r="AA65" s="442"/>
      <c r="AB65" s="504" t="s">
        <v>340</v>
      </c>
    </row>
    <row r="66" spans="10:28" x14ac:dyDescent="0.25">
      <c r="X66" s="443"/>
      <c r="Y66" s="444"/>
      <c r="Z66" s="444"/>
      <c r="AA66" s="445"/>
      <c r="AB66" s="143">
        <f>2*PI()*SQRT(AB64/AB62)</f>
        <v>0.45105535346311953</v>
      </c>
    </row>
    <row r="67" spans="10:28" x14ac:dyDescent="0.25">
      <c r="R67" s="458"/>
      <c r="S67" s="458"/>
    </row>
    <row r="68" spans="10:28" x14ac:dyDescent="0.25">
      <c r="J68" s="1026" t="s">
        <v>276</v>
      </c>
      <c r="K68" s="1027"/>
      <c r="L68" s="1027"/>
      <c r="M68" s="1027"/>
      <c r="N68" s="1027"/>
      <c r="O68" s="1027"/>
      <c r="P68" s="1027"/>
      <c r="Q68" s="1027"/>
      <c r="R68" s="1027"/>
      <c r="S68" s="1027"/>
      <c r="T68" s="1027"/>
      <c r="U68" s="1027"/>
      <c r="V68" s="1028"/>
      <c r="W68" s="457"/>
      <c r="X68" s="1018" t="s">
        <v>109</v>
      </c>
      <c r="Y68" s="1018"/>
      <c r="Z68" s="1018"/>
      <c r="AA68" s="1018"/>
      <c r="AB68" s="1018"/>
    </row>
    <row r="69" spans="10:28" ht="15" customHeight="1" x14ac:dyDescent="0.25">
      <c r="J69" s="1019" t="s">
        <v>9</v>
      </c>
      <c r="K69" s="1020" t="s">
        <v>3</v>
      </c>
      <c r="L69" s="1020" t="s">
        <v>76</v>
      </c>
      <c r="M69" s="1019" t="s">
        <v>78</v>
      </c>
      <c r="N69" s="1019" t="s">
        <v>85</v>
      </c>
      <c r="O69" s="1020" t="s">
        <v>104</v>
      </c>
      <c r="P69" s="1020" t="s">
        <v>262</v>
      </c>
      <c r="Q69" s="1020" t="s">
        <v>263</v>
      </c>
      <c r="R69" s="1019" t="s">
        <v>419</v>
      </c>
      <c r="S69" s="1019" t="s">
        <v>420</v>
      </c>
      <c r="T69" s="1019" t="s">
        <v>79</v>
      </c>
      <c r="U69" s="1020" t="s">
        <v>105</v>
      </c>
      <c r="V69" s="1019" t="s">
        <v>83</v>
      </c>
      <c r="X69" s="619" t="s">
        <v>9</v>
      </c>
      <c r="Y69" s="1021" t="s">
        <v>80</v>
      </c>
      <c r="Z69" s="1021" t="s">
        <v>81</v>
      </c>
      <c r="AA69" s="1021" t="s">
        <v>107</v>
      </c>
      <c r="AB69" s="656" t="s">
        <v>108</v>
      </c>
    </row>
    <row r="70" spans="10:28" x14ac:dyDescent="0.25">
      <c r="J70" s="814"/>
      <c r="K70" s="962"/>
      <c r="L70" s="962"/>
      <c r="M70" s="814"/>
      <c r="N70" s="814"/>
      <c r="O70" s="962"/>
      <c r="P70" s="962"/>
      <c r="Q70" s="962"/>
      <c r="R70" s="814"/>
      <c r="S70" s="814"/>
      <c r="T70" s="814"/>
      <c r="U70" s="962"/>
      <c r="V70" s="814"/>
      <c r="X70" s="619"/>
      <c r="Y70" s="1021"/>
      <c r="Z70" s="1021"/>
      <c r="AA70" s="1021"/>
      <c r="AB70" s="656"/>
    </row>
    <row r="71" spans="10:28" x14ac:dyDescent="0.25">
      <c r="J71" s="432">
        <v>3</v>
      </c>
      <c r="K71" s="144">
        <f>'Structural Information'!$U$6</f>
        <v>3</v>
      </c>
      <c r="L71" s="144">
        <f>L72+K71</f>
        <v>8.75</v>
      </c>
      <c r="M71" s="433">
        <f>'Yield Mechanism'!$K$49</f>
        <v>4.8445696783228933E-4</v>
      </c>
      <c r="N71" s="140">
        <f>M71-M72</f>
        <v>1.0688228711891608E-4</v>
      </c>
      <c r="O71" s="434">
        <f>N71/K71</f>
        <v>3.5627429039638692E-5</v>
      </c>
      <c r="P71" s="433">
        <f>$C$26</f>
        <v>9.5976000000000013E-3</v>
      </c>
      <c r="Q71" s="433">
        <f>$D$26</f>
        <v>1.8601738665676483E-3</v>
      </c>
      <c r="R71" s="144">
        <f>O71/P71</f>
        <v>3.7121185546010135E-3</v>
      </c>
      <c r="S71" s="139">
        <f>O71/Q71</f>
        <v>1.9152741407650047E-2</v>
      </c>
      <c r="T71" s="1068">
        <f>'Yield Mechanism'!$AI$57</f>
        <v>4.4172072334350689</v>
      </c>
      <c r="U71" s="144">
        <f>T71*K71</f>
        <v>13.251621700305208</v>
      </c>
      <c r="V71" s="139">
        <f>U73/AB71</f>
        <v>9.9999999999999982</v>
      </c>
      <c r="W71" s="415"/>
      <c r="X71" s="268">
        <v>3</v>
      </c>
      <c r="Y71" s="139">
        <f>'Structural Information'!$Z$6</f>
        <v>37.8446</v>
      </c>
      <c r="Z71" s="139">
        <f>Y71*M71</f>
        <v>1.8334080164825857E-2</v>
      </c>
      <c r="AA71" s="139">
        <f>Z71*L71</f>
        <v>0.16042320144222624</v>
      </c>
      <c r="AB71" s="139">
        <f>AA74/Z74</f>
        <v>6.5019631868360159</v>
      </c>
    </row>
    <row r="72" spans="10:28" x14ac:dyDescent="0.25">
      <c r="J72" s="432">
        <v>2</v>
      </c>
      <c r="K72" s="144">
        <f>'Structural Information'!$U$7</f>
        <v>3</v>
      </c>
      <c r="L72" s="144">
        <f>L73+K72</f>
        <v>5.75</v>
      </c>
      <c r="M72" s="433">
        <f>'Yield Mechanism'!$K$50</f>
        <v>3.7757468071337324E-4</v>
      </c>
      <c r="N72" s="140">
        <f>M72-M73</f>
        <v>1.811169907013729E-4</v>
      </c>
      <c r="O72" s="434">
        <f>N72/K72</f>
        <v>6.0372330233790966E-5</v>
      </c>
      <c r="P72" s="433">
        <f>$C$27</f>
        <v>9.1744770034843208E-3</v>
      </c>
      <c r="Q72" s="433">
        <f>$D$27</f>
        <v>1.7655780345468453E-3</v>
      </c>
      <c r="R72" s="139">
        <f>O72/P72</f>
        <v>6.5804655906666412E-3</v>
      </c>
      <c r="S72" s="139">
        <f>O72/Q72</f>
        <v>3.4194087744915891E-2</v>
      </c>
      <c r="T72" s="1068">
        <f>'Yield Mechanism'!$AI$58</f>
        <v>8.0893367226849797</v>
      </c>
      <c r="U72" s="144">
        <f>U71+T72*K72</f>
        <v>37.51963186836015</v>
      </c>
      <c r="V72" s="435"/>
      <c r="W72" s="415"/>
      <c r="X72" s="268">
        <v>2</v>
      </c>
      <c r="Y72" s="139">
        <f>'Structural Information'!$Z$7</f>
        <v>40.367000000000004</v>
      </c>
      <c r="Z72" s="139">
        <f>Y72*M72</f>
        <v>1.5241557136356739E-2</v>
      </c>
      <c r="AA72" s="139">
        <f>Z72*L72</f>
        <v>8.7638953534051253E-2</v>
      </c>
      <c r="AB72" s="504" t="s">
        <v>339</v>
      </c>
    </row>
    <row r="73" spans="10:28" x14ac:dyDescent="0.25">
      <c r="J73" s="432">
        <v>1</v>
      </c>
      <c r="K73" s="144">
        <f>'Structural Information'!$U$8</f>
        <v>2.75</v>
      </c>
      <c r="L73" s="144">
        <f>K73</f>
        <v>2.75</v>
      </c>
      <c r="M73" s="433">
        <f>'Yield Mechanism'!$K$51</f>
        <v>1.9645769001200034E-4</v>
      </c>
      <c r="N73" s="140">
        <f>M73</f>
        <v>1.9645769001200034E-4</v>
      </c>
      <c r="O73" s="434">
        <f>N73/K73</f>
        <v>7.1439160004363767E-5</v>
      </c>
      <c r="P73" s="433">
        <f>$C$28</f>
        <v>8.1000948897978157E-3</v>
      </c>
      <c r="Q73" s="433">
        <f>$D$28</f>
        <v>1.7443905747548439E-3</v>
      </c>
      <c r="R73" s="139">
        <f>O73/P73</f>
        <v>8.8195460641260388E-3</v>
      </c>
      <c r="S73" s="139">
        <f>O73/Q73</f>
        <v>4.0953649393802645E-2</v>
      </c>
      <c r="T73" s="1068">
        <f>'Yield Mechanism'!$AI$59</f>
        <v>9.9999999999999982</v>
      </c>
      <c r="U73" s="144">
        <f>U72+T73*K73</f>
        <v>65.01963186836015</v>
      </c>
      <c r="V73" s="436"/>
      <c r="W73" s="415"/>
      <c r="X73" s="268">
        <v>1</v>
      </c>
      <c r="Y73" s="139">
        <f>'Structural Information'!$Z$8</f>
        <v>40.367000000000004</v>
      </c>
      <c r="Z73" s="139">
        <f>Y73*M73</f>
        <v>7.930407572714418E-3</v>
      </c>
      <c r="AA73" s="139">
        <f>Z73*L73</f>
        <v>2.1808620824964649E-2</v>
      </c>
      <c r="AB73" s="143">
        <f>T73/M71</f>
        <v>20641.668226478738</v>
      </c>
    </row>
    <row r="74" spans="10:28" x14ac:dyDescent="0.25">
      <c r="V74" s="437"/>
      <c r="W74" s="415"/>
      <c r="X74" s="438"/>
      <c r="Y74" s="504" t="s">
        <v>82</v>
      </c>
      <c r="Z74" s="439">
        <f>SUM(Z71:Z73)</f>
        <v>4.1506044873897016E-2</v>
      </c>
      <c r="AA74" s="439">
        <f>SUM(AA71:AA73)</f>
        <v>0.26987077580124214</v>
      </c>
      <c r="AB74" s="505" t="s">
        <v>341</v>
      </c>
    </row>
    <row r="75" spans="10:28" x14ac:dyDescent="0.25">
      <c r="W75" s="415"/>
      <c r="X75" s="438"/>
      <c r="Y75" s="440"/>
      <c r="Z75" s="440"/>
      <c r="AA75" s="441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106.37626559609419</v>
      </c>
    </row>
    <row r="76" spans="10:28" x14ac:dyDescent="0.25">
      <c r="W76" s="415"/>
      <c r="X76" s="438"/>
      <c r="Y76" s="180"/>
      <c r="Z76" s="180"/>
      <c r="AA76" s="442"/>
      <c r="AB76" s="504" t="s">
        <v>340</v>
      </c>
    </row>
    <row r="77" spans="10:28" x14ac:dyDescent="0.25">
      <c r="X77" s="443"/>
      <c r="Y77" s="444"/>
      <c r="Z77" s="444"/>
      <c r="AA77" s="445"/>
      <c r="AB77" s="143">
        <f>2*PI()*SQRT(AB75/AB73)</f>
        <v>0.45105535346311953</v>
      </c>
    </row>
    <row r="78" spans="10:28" x14ac:dyDescent="0.25">
      <c r="Q78" s="227"/>
      <c r="T78" s="459"/>
    </row>
    <row r="79" spans="10:28" x14ac:dyDescent="0.25">
      <c r="J79" s="1018" t="s">
        <v>277</v>
      </c>
      <c r="K79" s="1018"/>
      <c r="L79" s="1018"/>
      <c r="M79" s="1018"/>
      <c r="N79" s="1018"/>
      <c r="O79" s="1018"/>
      <c r="P79" s="1018"/>
      <c r="Q79" s="1018"/>
      <c r="R79" s="1018"/>
      <c r="S79" s="1018"/>
      <c r="T79" s="1018"/>
      <c r="U79" s="1018"/>
      <c r="V79" s="1018"/>
      <c r="W79" s="457"/>
      <c r="X79" s="1018" t="s">
        <v>109</v>
      </c>
      <c r="Y79" s="1018"/>
      <c r="Z79" s="1018"/>
      <c r="AA79" s="1018"/>
      <c r="AB79" s="1018"/>
    </row>
    <row r="80" spans="10:28" ht="15" customHeight="1" x14ac:dyDescent="0.25">
      <c r="J80" s="1019" t="s">
        <v>9</v>
      </c>
      <c r="K80" s="1020" t="s">
        <v>3</v>
      </c>
      <c r="L80" s="1020" t="s">
        <v>76</v>
      </c>
      <c r="M80" s="1019" t="s">
        <v>78</v>
      </c>
      <c r="N80" s="1019" t="s">
        <v>85</v>
      </c>
      <c r="O80" s="1020" t="s">
        <v>104</v>
      </c>
      <c r="P80" s="1020" t="s">
        <v>262</v>
      </c>
      <c r="Q80" s="1020" t="s">
        <v>263</v>
      </c>
      <c r="R80" s="1019" t="s">
        <v>419</v>
      </c>
      <c r="S80" s="1019" t="s">
        <v>420</v>
      </c>
      <c r="T80" s="1019" t="s">
        <v>79</v>
      </c>
      <c r="U80" s="1020" t="s">
        <v>105</v>
      </c>
      <c r="V80" s="1019" t="s">
        <v>83</v>
      </c>
      <c r="X80" s="619" t="s">
        <v>9</v>
      </c>
      <c r="Y80" s="1021" t="s">
        <v>80</v>
      </c>
      <c r="Z80" s="1021" t="s">
        <v>81</v>
      </c>
      <c r="AA80" s="1021" t="s">
        <v>107</v>
      </c>
      <c r="AB80" s="656" t="s">
        <v>108</v>
      </c>
    </row>
    <row r="81" spans="10:28" x14ac:dyDescent="0.25">
      <c r="J81" s="814"/>
      <c r="K81" s="962"/>
      <c r="L81" s="962"/>
      <c r="M81" s="814"/>
      <c r="N81" s="814"/>
      <c r="O81" s="962"/>
      <c r="P81" s="962"/>
      <c r="Q81" s="962"/>
      <c r="R81" s="814"/>
      <c r="S81" s="814"/>
      <c r="T81" s="814"/>
      <c r="U81" s="962"/>
      <c r="V81" s="814"/>
      <c r="X81" s="619"/>
      <c r="Y81" s="1021"/>
      <c r="Z81" s="1021"/>
      <c r="AA81" s="1021"/>
      <c r="AB81" s="656"/>
    </row>
    <row r="82" spans="10:28" ht="15" customHeight="1" x14ac:dyDescent="0.25">
      <c r="J82" s="432">
        <v>3</v>
      </c>
      <c r="K82" s="144">
        <f>'Structural Information'!$U$6</f>
        <v>3</v>
      </c>
      <c r="L82" s="144">
        <f>L83+K82</f>
        <v>8.75</v>
      </c>
      <c r="M82" s="433">
        <f>'Yield Mechanism'!$K$49</f>
        <v>4.8445696783228933E-4</v>
      </c>
      <c r="N82" s="140">
        <f>M82-M83</f>
        <v>1.0688228711891608E-4</v>
      </c>
      <c r="O82" s="434">
        <f>N82/K82</f>
        <v>3.5627429039638692E-5</v>
      </c>
      <c r="P82" s="433">
        <f>$C$26</f>
        <v>9.5976000000000013E-3</v>
      </c>
      <c r="Q82" s="433">
        <f>$D$26</f>
        <v>1.8601738665676483E-3</v>
      </c>
      <c r="R82" s="144">
        <f>O82/P82</f>
        <v>3.7121185546010135E-3</v>
      </c>
      <c r="S82" s="139">
        <f>O82/Q82</f>
        <v>1.9152741407650047E-2</v>
      </c>
      <c r="T82" s="1068">
        <f>'Yield Mechanism'!$AI$57</f>
        <v>4.4172072334350689</v>
      </c>
      <c r="U82" s="144">
        <f>T82*K82</f>
        <v>13.251621700305208</v>
      </c>
      <c r="V82" s="139">
        <f>U84/AB82</f>
        <v>9.9999999999999982</v>
      </c>
      <c r="W82" s="415"/>
      <c r="X82" s="268">
        <v>3</v>
      </c>
      <c r="Y82" s="139">
        <f>'Structural Information'!$Z$6</f>
        <v>37.8446</v>
      </c>
      <c r="Z82" s="139">
        <f>Y82*M82</f>
        <v>1.8334080164825857E-2</v>
      </c>
      <c r="AA82" s="139">
        <f>Z82*L82</f>
        <v>0.16042320144222624</v>
      </c>
      <c r="AB82" s="139">
        <f>AA85/Z85</f>
        <v>6.5019631868360159</v>
      </c>
    </row>
    <row r="83" spans="10:28" x14ac:dyDescent="0.25">
      <c r="J83" s="432">
        <v>2</v>
      </c>
      <c r="K83" s="144">
        <f>'Structural Information'!$U$7</f>
        <v>3</v>
      </c>
      <c r="L83" s="144">
        <f>L84+K83</f>
        <v>5.75</v>
      </c>
      <c r="M83" s="433">
        <f>'Yield Mechanism'!$K$50</f>
        <v>3.7757468071337324E-4</v>
      </c>
      <c r="N83" s="140">
        <f>M83-M84</f>
        <v>1.811169907013729E-4</v>
      </c>
      <c r="O83" s="434">
        <f>N83/K83</f>
        <v>6.0372330233790966E-5</v>
      </c>
      <c r="P83" s="433">
        <f>$C$27</f>
        <v>9.1744770034843208E-3</v>
      </c>
      <c r="Q83" s="433">
        <f>$D$27</f>
        <v>1.7655780345468453E-3</v>
      </c>
      <c r="R83" s="139">
        <f>O83/P83</f>
        <v>6.5804655906666412E-3</v>
      </c>
      <c r="S83" s="139">
        <f>O83/Q83</f>
        <v>3.4194087744915891E-2</v>
      </c>
      <c r="T83" s="1068">
        <f>'Yield Mechanism'!$AI$58</f>
        <v>8.0893367226849797</v>
      </c>
      <c r="U83" s="144">
        <f>U82+T83*K83</f>
        <v>37.51963186836015</v>
      </c>
      <c r="V83" s="435"/>
      <c r="W83" s="415"/>
      <c r="X83" s="268">
        <v>2</v>
      </c>
      <c r="Y83" s="139">
        <f>'Structural Information'!$Z$7</f>
        <v>40.367000000000004</v>
      </c>
      <c r="Z83" s="139">
        <f>Y83*M83</f>
        <v>1.5241557136356739E-2</v>
      </c>
      <c r="AA83" s="139">
        <f>Z83*L83</f>
        <v>8.7638953534051253E-2</v>
      </c>
      <c r="AB83" s="504" t="s">
        <v>339</v>
      </c>
    </row>
    <row r="84" spans="10:28" ht="15" customHeight="1" x14ac:dyDescent="0.25">
      <c r="J84" s="432">
        <v>1</v>
      </c>
      <c r="K84" s="144">
        <f>'Structural Information'!$U$8</f>
        <v>2.75</v>
      </c>
      <c r="L84" s="144">
        <f>K84</f>
        <v>2.75</v>
      </c>
      <c r="M84" s="433">
        <f>'Yield Mechanism'!$K$51</f>
        <v>1.9645769001200034E-4</v>
      </c>
      <c r="N84" s="140">
        <f>M84</f>
        <v>1.9645769001200034E-4</v>
      </c>
      <c r="O84" s="434">
        <f>N84/K84</f>
        <v>7.1439160004363767E-5</v>
      </c>
      <c r="P84" s="433">
        <f>$C$28</f>
        <v>8.1000948897978157E-3</v>
      </c>
      <c r="Q84" s="433">
        <f>$D$28</f>
        <v>1.7443905747548439E-3</v>
      </c>
      <c r="R84" s="139">
        <f>O84/P84</f>
        <v>8.8195460641260388E-3</v>
      </c>
      <c r="S84" s="139">
        <f>O84/Q84</f>
        <v>4.0953649393802645E-2</v>
      </c>
      <c r="T84" s="1068">
        <f>'Yield Mechanism'!$AI$59</f>
        <v>9.9999999999999982</v>
      </c>
      <c r="U84" s="144">
        <f>U83+T84*K84</f>
        <v>65.01963186836015</v>
      </c>
      <c r="V84" s="436"/>
      <c r="W84" s="415"/>
      <c r="X84" s="268">
        <v>1</v>
      </c>
      <c r="Y84" s="139">
        <f>'Structural Information'!$Z$8</f>
        <v>40.367000000000004</v>
      </c>
      <c r="Z84" s="139">
        <f>Y84*M84</f>
        <v>7.930407572714418E-3</v>
      </c>
      <c r="AA84" s="139">
        <f>Z84*L84</f>
        <v>2.1808620824964649E-2</v>
      </c>
      <c r="AB84" s="143">
        <f>T84/M82</f>
        <v>20641.668226478738</v>
      </c>
    </row>
    <row r="85" spans="10:28" x14ac:dyDescent="0.25">
      <c r="V85" s="437"/>
      <c r="W85" s="415"/>
      <c r="X85" s="438"/>
      <c r="Y85" s="504" t="s">
        <v>82</v>
      </c>
      <c r="Z85" s="439">
        <f>SUM(Z82:Z84)</f>
        <v>4.1506044873897016E-2</v>
      </c>
      <c r="AA85" s="439">
        <f>SUM(AA82:AA84)</f>
        <v>0.26987077580124214</v>
      </c>
      <c r="AB85" s="505" t="s">
        <v>341</v>
      </c>
    </row>
    <row r="86" spans="10:28" x14ac:dyDescent="0.25">
      <c r="W86" s="415"/>
      <c r="X86" s="438"/>
      <c r="Y86" s="440"/>
      <c r="Z86" s="440"/>
      <c r="AA86" s="441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106.37626559609419</v>
      </c>
    </row>
    <row r="87" spans="10:28" x14ac:dyDescent="0.25">
      <c r="W87" s="415"/>
      <c r="X87" s="438"/>
      <c r="Y87" s="180"/>
      <c r="Z87" s="180"/>
      <c r="AA87" s="442"/>
      <c r="AB87" s="504" t="s">
        <v>340</v>
      </c>
    </row>
    <row r="88" spans="10:28" x14ac:dyDescent="0.25">
      <c r="X88" s="443"/>
      <c r="Y88" s="444"/>
      <c r="Z88" s="444"/>
      <c r="AA88" s="445"/>
      <c r="AB88" s="143">
        <f>2*PI()*SQRT(AB86/AB84)</f>
        <v>0.45105535346311953</v>
      </c>
    </row>
    <row r="89" spans="10:28" x14ac:dyDescent="0.25">
      <c r="S89" s="227"/>
    </row>
    <row r="90" spans="10:28" x14ac:dyDescent="0.25">
      <c r="J90" s="1018" t="s">
        <v>278</v>
      </c>
      <c r="K90" s="1018"/>
      <c r="L90" s="1018"/>
      <c r="M90" s="1018"/>
      <c r="N90" s="1018"/>
      <c r="O90" s="1018"/>
      <c r="P90" s="1018"/>
      <c r="Q90" s="1018"/>
      <c r="R90" s="1018"/>
      <c r="S90" s="1018"/>
      <c r="T90" s="1018"/>
      <c r="U90" s="1018"/>
      <c r="V90" s="1018"/>
      <c r="W90" s="457"/>
      <c r="X90" s="1018" t="s">
        <v>109</v>
      </c>
      <c r="Y90" s="1018"/>
      <c r="Z90" s="1018"/>
      <c r="AA90" s="1018"/>
      <c r="AB90" s="1018"/>
    </row>
    <row r="91" spans="10:28" ht="15" customHeight="1" x14ac:dyDescent="0.25">
      <c r="J91" s="1019" t="s">
        <v>9</v>
      </c>
      <c r="K91" s="1020" t="s">
        <v>3</v>
      </c>
      <c r="L91" s="1020" t="s">
        <v>76</v>
      </c>
      <c r="M91" s="1019" t="s">
        <v>78</v>
      </c>
      <c r="N91" s="1019" t="s">
        <v>85</v>
      </c>
      <c r="O91" s="1020" t="s">
        <v>104</v>
      </c>
      <c r="P91" s="1020" t="s">
        <v>262</v>
      </c>
      <c r="Q91" s="1020" t="s">
        <v>263</v>
      </c>
      <c r="R91" s="1019" t="s">
        <v>419</v>
      </c>
      <c r="S91" s="1019" t="s">
        <v>420</v>
      </c>
      <c r="T91" s="1019" t="s">
        <v>79</v>
      </c>
      <c r="U91" s="1020" t="s">
        <v>105</v>
      </c>
      <c r="V91" s="1019" t="s">
        <v>83</v>
      </c>
      <c r="X91" s="619" t="s">
        <v>9</v>
      </c>
      <c r="Y91" s="1021" t="s">
        <v>80</v>
      </c>
      <c r="Z91" s="1021" t="s">
        <v>81</v>
      </c>
      <c r="AA91" s="1021" t="s">
        <v>107</v>
      </c>
      <c r="AB91" s="656" t="s">
        <v>108</v>
      </c>
    </row>
    <row r="92" spans="10:28" x14ac:dyDescent="0.25">
      <c r="J92" s="814"/>
      <c r="K92" s="962"/>
      <c r="L92" s="962"/>
      <c r="M92" s="814"/>
      <c r="N92" s="814"/>
      <c r="O92" s="962"/>
      <c r="P92" s="962"/>
      <c r="Q92" s="962"/>
      <c r="R92" s="814"/>
      <c r="S92" s="814"/>
      <c r="T92" s="814"/>
      <c r="U92" s="962"/>
      <c r="V92" s="814"/>
      <c r="X92" s="619"/>
      <c r="Y92" s="1021"/>
      <c r="Z92" s="1021"/>
      <c r="AA92" s="1021"/>
      <c r="AB92" s="656"/>
    </row>
    <row r="93" spans="10:28" x14ac:dyDescent="0.25">
      <c r="J93" s="432">
        <v>3</v>
      </c>
      <c r="K93" s="144">
        <f>'Structural Information'!$U$6</f>
        <v>3</v>
      </c>
      <c r="L93" s="144">
        <f>L94+K93</f>
        <v>8.75</v>
      </c>
      <c r="M93" s="433">
        <f>'Yield Mechanism'!$K$49</f>
        <v>4.8445696783228933E-4</v>
      </c>
      <c r="N93" s="140">
        <f>M93-M94</f>
        <v>1.0688228711891608E-4</v>
      </c>
      <c r="O93" s="434">
        <f>N93/K93</f>
        <v>3.5627429039638692E-5</v>
      </c>
      <c r="P93" s="433">
        <f>$C$26</f>
        <v>9.5976000000000013E-3</v>
      </c>
      <c r="Q93" s="433">
        <f>$D$26</f>
        <v>1.8601738665676483E-3</v>
      </c>
      <c r="R93" s="144">
        <f>O93/P93</f>
        <v>3.7121185546010135E-3</v>
      </c>
      <c r="S93" s="139">
        <f>O93/Q93</f>
        <v>1.9152741407650047E-2</v>
      </c>
      <c r="T93" s="1068">
        <f>'Yield Mechanism'!$AI$57</f>
        <v>4.4172072334350689</v>
      </c>
      <c r="U93" s="144">
        <f>T93*K93</f>
        <v>13.251621700305208</v>
      </c>
      <c r="V93" s="139">
        <f>U95/AB93</f>
        <v>9.9999999999999982</v>
      </c>
      <c r="W93" s="415"/>
      <c r="X93" s="268">
        <v>3</v>
      </c>
      <c r="Y93" s="139">
        <f>'Structural Information'!$Z$6</f>
        <v>37.8446</v>
      </c>
      <c r="Z93" s="139">
        <f>Y93*M93</f>
        <v>1.8334080164825857E-2</v>
      </c>
      <c r="AA93" s="139">
        <f>Z93*L93</f>
        <v>0.16042320144222624</v>
      </c>
      <c r="AB93" s="139">
        <f>AA96/Z96</f>
        <v>6.5019631868360159</v>
      </c>
    </row>
    <row r="94" spans="10:28" x14ac:dyDescent="0.25">
      <c r="J94" s="432">
        <v>2</v>
      </c>
      <c r="K94" s="144">
        <f>'Structural Information'!$U$7</f>
        <v>3</v>
      </c>
      <c r="L94" s="144">
        <f>L95+K94</f>
        <v>5.75</v>
      </c>
      <c r="M94" s="433">
        <f>'Yield Mechanism'!$K$50</f>
        <v>3.7757468071337324E-4</v>
      </c>
      <c r="N94" s="140">
        <f>M94-M95</f>
        <v>1.811169907013729E-4</v>
      </c>
      <c r="O94" s="434">
        <f>N94/K94</f>
        <v>6.0372330233790966E-5</v>
      </c>
      <c r="P94" s="433">
        <f>$C$27</f>
        <v>9.1744770034843208E-3</v>
      </c>
      <c r="Q94" s="433">
        <f>$D$27</f>
        <v>1.7655780345468453E-3</v>
      </c>
      <c r="R94" s="139">
        <f>O94/P94</f>
        <v>6.5804655906666412E-3</v>
      </c>
      <c r="S94" s="139">
        <f>O94/Q94</f>
        <v>3.4194087744915891E-2</v>
      </c>
      <c r="T94" s="1068">
        <f>'Yield Mechanism'!$AI$58</f>
        <v>8.0893367226849797</v>
      </c>
      <c r="U94" s="144">
        <f>U93+T94*K94</f>
        <v>37.51963186836015</v>
      </c>
      <c r="V94" s="435"/>
      <c r="W94" s="415"/>
      <c r="X94" s="268">
        <v>2</v>
      </c>
      <c r="Y94" s="139">
        <f>'Structural Information'!$Z$7</f>
        <v>40.367000000000004</v>
      </c>
      <c r="Z94" s="139">
        <f>Y94*M94</f>
        <v>1.5241557136356739E-2</v>
      </c>
      <c r="AA94" s="139">
        <f>Z94*L94</f>
        <v>8.7638953534051253E-2</v>
      </c>
      <c r="AB94" s="504" t="s">
        <v>339</v>
      </c>
    </row>
    <row r="95" spans="10:28" ht="15" customHeight="1" x14ac:dyDescent="0.25">
      <c r="J95" s="432">
        <v>1</v>
      </c>
      <c r="K95" s="144">
        <f>'Structural Information'!$U$8</f>
        <v>2.75</v>
      </c>
      <c r="L95" s="144">
        <f>K95</f>
        <v>2.75</v>
      </c>
      <c r="M95" s="433">
        <f>'Yield Mechanism'!$K$51</f>
        <v>1.9645769001200034E-4</v>
      </c>
      <c r="N95" s="140">
        <f>M95</f>
        <v>1.9645769001200034E-4</v>
      </c>
      <c r="O95" s="434">
        <f>N95/K95</f>
        <v>7.1439160004363767E-5</v>
      </c>
      <c r="P95" s="433">
        <f>$C$28</f>
        <v>8.1000948897978157E-3</v>
      </c>
      <c r="Q95" s="433">
        <f>$D$28</f>
        <v>1.7443905747548439E-3</v>
      </c>
      <c r="R95" s="139">
        <f>O95/P95</f>
        <v>8.8195460641260388E-3</v>
      </c>
      <c r="S95" s="139">
        <f>O95/Q95</f>
        <v>4.0953649393802645E-2</v>
      </c>
      <c r="T95" s="1068">
        <f>'Yield Mechanism'!$AI$59</f>
        <v>9.9999999999999982</v>
      </c>
      <c r="U95" s="144">
        <f>U94+T95*K95</f>
        <v>65.01963186836015</v>
      </c>
      <c r="V95" s="436"/>
      <c r="W95" s="415"/>
      <c r="X95" s="268">
        <v>1</v>
      </c>
      <c r="Y95" s="139">
        <f>'Structural Information'!$Z$8</f>
        <v>40.367000000000004</v>
      </c>
      <c r="Z95" s="139">
        <f>Y95*M95</f>
        <v>7.930407572714418E-3</v>
      </c>
      <c r="AA95" s="139">
        <f>Z95*L95</f>
        <v>2.1808620824964649E-2</v>
      </c>
      <c r="AB95" s="143">
        <f>T95/M93</f>
        <v>20641.668226478738</v>
      </c>
    </row>
    <row r="96" spans="10:28" x14ac:dyDescent="0.25">
      <c r="V96" s="437"/>
      <c r="W96" s="415"/>
      <c r="X96" s="438"/>
      <c r="Y96" s="504" t="s">
        <v>82</v>
      </c>
      <c r="Z96" s="439">
        <f>SUM(Z93:Z95)</f>
        <v>4.1506044873897016E-2</v>
      </c>
      <c r="AA96" s="439">
        <f>SUM(AA93:AA95)</f>
        <v>0.26987077580124214</v>
      </c>
      <c r="AB96" s="505" t="s">
        <v>341</v>
      </c>
    </row>
    <row r="97" spans="9:28" x14ac:dyDescent="0.25">
      <c r="W97" s="415"/>
      <c r="X97" s="438"/>
      <c r="Y97" s="440"/>
      <c r="Z97" s="440"/>
      <c r="AA97" s="441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106.37626559609419</v>
      </c>
    </row>
    <row r="98" spans="9:28" x14ac:dyDescent="0.25">
      <c r="W98" s="415"/>
      <c r="X98" s="438"/>
      <c r="Y98" s="180"/>
      <c r="Z98" s="180"/>
      <c r="AA98" s="442"/>
      <c r="AB98" s="504" t="s">
        <v>340</v>
      </c>
    </row>
    <row r="99" spans="9:28" x14ac:dyDescent="0.25">
      <c r="X99" s="443"/>
      <c r="Y99" s="444"/>
      <c r="Z99" s="444"/>
      <c r="AA99" s="445"/>
      <c r="AB99" s="143">
        <f>2*PI()*SQRT(AB97/AB95)</f>
        <v>0.45105535346311953</v>
      </c>
    </row>
    <row r="101" spans="9:28" x14ac:dyDescent="0.25">
      <c r="J101" s="1018" t="s">
        <v>279</v>
      </c>
      <c r="K101" s="1018"/>
      <c r="L101" s="1018"/>
      <c r="M101" s="1018"/>
      <c r="N101" s="1018"/>
      <c r="O101" s="1018"/>
      <c r="P101" s="1018"/>
      <c r="Q101" s="1018"/>
      <c r="R101" s="1018"/>
      <c r="S101" s="1018"/>
      <c r="T101" s="1018"/>
      <c r="U101" s="1018"/>
      <c r="V101" s="1018"/>
      <c r="W101" s="457"/>
      <c r="X101" s="1018" t="s">
        <v>109</v>
      </c>
      <c r="Y101" s="1018"/>
      <c r="Z101" s="1018"/>
      <c r="AA101" s="1018"/>
      <c r="AB101" s="1018"/>
    </row>
    <row r="102" spans="9:28" ht="15" customHeight="1" x14ac:dyDescent="0.25">
      <c r="J102" s="1019" t="s">
        <v>9</v>
      </c>
      <c r="K102" s="1020" t="s">
        <v>3</v>
      </c>
      <c r="L102" s="1020" t="s">
        <v>76</v>
      </c>
      <c r="M102" s="1019" t="s">
        <v>78</v>
      </c>
      <c r="N102" s="1019" t="s">
        <v>85</v>
      </c>
      <c r="O102" s="1020" t="s">
        <v>104</v>
      </c>
      <c r="P102" s="1020" t="s">
        <v>262</v>
      </c>
      <c r="Q102" s="1020" t="s">
        <v>263</v>
      </c>
      <c r="R102" s="1019" t="s">
        <v>419</v>
      </c>
      <c r="S102" s="1019" t="s">
        <v>420</v>
      </c>
      <c r="T102" s="1019" t="s">
        <v>79</v>
      </c>
      <c r="U102" s="1020" t="s">
        <v>105</v>
      </c>
      <c r="V102" s="1019" t="s">
        <v>83</v>
      </c>
      <c r="X102" s="619" t="s">
        <v>9</v>
      </c>
      <c r="Y102" s="1021" t="s">
        <v>80</v>
      </c>
      <c r="Z102" s="1021" t="s">
        <v>81</v>
      </c>
      <c r="AA102" s="1021" t="s">
        <v>107</v>
      </c>
      <c r="AB102" s="656" t="s">
        <v>108</v>
      </c>
    </row>
    <row r="103" spans="9:28" x14ac:dyDescent="0.25">
      <c r="J103" s="814"/>
      <c r="K103" s="962"/>
      <c r="L103" s="962"/>
      <c r="M103" s="814"/>
      <c r="N103" s="814"/>
      <c r="O103" s="962"/>
      <c r="P103" s="962"/>
      <c r="Q103" s="962"/>
      <c r="R103" s="814"/>
      <c r="S103" s="814"/>
      <c r="T103" s="814"/>
      <c r="U103" s="962"/>
      <c r="V103" s="814"/>
      <c r="X103" s="619"/>
      <c r="Y103" s="1021"/>
      <c r="Z103" s="1021"/>
      <c r="AA103" s="1021"/>
      <c r="AB103" s="656"/>
    </row>
    <row r="104" spans="9:28" x14ac:dyDescent="0.25">
      <c r="J104" s="432">
        <v>3</v>
      </c>
      <c r="K104" s="144">
        <f>'Structural Information'!$U$6</f>
        <v>3</v>
      </c>
      <c r="L104" s="144">
        <f>L105+K104</f>
        <v>8.75</v>
      </c>
      <c r="M104" s="433">
        <f>'Yield Mechanism'!$K$49</f>
        <v>4.8445696783228933E-4</v>
      </c>
      <c r="N104" s="140">
        <f>M104-M105</f>
        <v>1.0688228711891608E-4</v>
      </c>
      <c r="O104" s="434">
        <f>N104/K104</f>
        <v>3.5627429039638692E-5</v>
      </c>
      <c r="P104" s="433">
        <f>$C$26</f>
        <v>9.5976000000000013E-3</v>
      </c>
      <c r="Q104" s="433">
        <f>$D$26</f>
        <v>1.8601738665676483E-3</v>
      </c>
      <c r="R104" s="144">
        <f>O104/P104</f>
        <v>3.7121185546010135E-3</v>
      </c>
      <c r="S104" s="139">
        <f>O104/Q104</f>
        <v>1.9152741407650047E-2</v>
      </c>
      <c r="T104" s="1068">
        <f>'Yield Mechanism'!$AI$57</f>
        <v>4.4172072334350689</v>
      </c>
      <c r="U104" s="144">
        <f>T104*K104</f>
        <v>13.251621700305208</v>
      </c>
      <c r="V104" s="139">
        <f>U106/AB104</f>
        <v>9.9999999999999982</v>
      </c>
      <c r="W104" s="415"/>
      <c r="X104" s="268">
        <v>3</v>
      </c>
      <c r="Y104" s="139">
        <f>'Structural Information'!$Z$6</f>
        <v>37.8446</v>
      </c>
      <c r="Z104" s="139">
        <f>Y104*M104</f>
        <v>1.8334080164825857E-2</v>
      </c>
      <c r="AA104" s="139">
        <f>Z104*L104</f>
        <v>0.16042320144222624</v>
      </c>
      <c r="AB104" s="139">
        <f>AA107/Z107</f>
        <v>6.5019631868360159</v>
      </c>
    </row>
    <row r="105" spans="9:28" x14ac:dyDescent="0.25">
      <c r="J105" s="432">
        <v>2</v>
      </c>
      <c r="K105" s="144">
        <f>'Structural Information'!$U$7</f>
        <v>3</v>
      </c>
      <c r="L105" s="144">
        <f>L106+K105</f>
        <v>5.75</v>
      </c>
      <c r="M105" s="433">
        <f>'Yield Mechanism'!$K$50</f>
        <v>3.7757468071337324E-4</v>
      </c>
      <c r="N105" s="140">
        <f>M105-M106</f>
        <v>1.811169907013729E-4</v>
      </c>
      <c r="O105" s="434">
        <f>N105/K105</f>
        <v>6.0372330233790966E-5</v>
      </c>
      <c r="P105" s="433">
        <f>$C$27</f>
        <v>9.1744770034843208E-3</v>
      </c>
      <c r="Q105" s="433">
        <f>$D$27</f>
        <v>1.7655780345468453E-3</v>
      </c>
      <c r="R105" s="139">
        <f>O105/P105</f>
        <v>6.5804655906666412E-3</v>
      </c>
      <c r="S105" s="139">
        <f>O105/Q105</f>
        <v>3.4194087744915891E-2</v>
      </c>
      <c r="T105" s="1068">
        <f>'Yield Mechanism'!$AI$58</f>
        <v>8.0893367226849797</v>
      </c>
      <c r="U105" s="144">
        <f>U104+T105*K105</f>
        <v>37.51963186836015</v>
      </c>
      <c r="V105" s="435"/>
      <c r="W105" s="415"/>
      <c r="X105" s="268">
        <v>2</v>
      </c>
      <c r="Y105" s="139">
        <f>'Structural Information'!$Z$7</f>
        <v>40.367000000000004</v>
      </c>
      <c r="Z105" s="139">
        <f>Y105*M105</f>
        <v>1.5241557136356739E-2</v>
      </c>
      <c r="AA105" s="139">
        <f>Z105*L105</f>
        <v>8.7638953534051253E-2</v>
      </c>
      <c r="AB105" s="504" t="s">
        <v>339</v>
      </c>
    </row>
    <row r="106" spans="9:28" x14ac:dyDescent="0.25">
      <c r="I106" s="119"/>
      <c r="J106" s="432">
        <v>1</v>
      </c>
      <c r="K106" s="144">
        <f>'Structural Information'!$U$8</f>
        <v>2.75</v>
      </c>
      <c r="L106" s="144">
        <f>K106</f>
        <v>2.75</v>
      </c>
      <c r="M106" s="433">
        <f>'Yield Mechanism'!$K$51</f>
        <v>1.9645769001200034E-4</v>
      </c>
      <c r="N106" s="140">
        <f>M106</f>
        <v>1.9645769001200034E-4</v>
      </c>
      <c r="O106" s="434">
        <f>N106/K106</f>
        <v>7.1439160004363767E-5</v>
      </c>
      <c r="P106" s="433">
        <f>$C$28</f>
        <v>8.1000948897978157E-3</v>
      </c>
      <c r="Q106" s="433">
        <f>$D$28</f>
        <v>1.7443905747548439E-3</v>
      </c>
      <c r="R106" s="139">
        <f>O106/P106</f>
        <v>8.8195460641260388E-3</v>
      </c>
      <c r="S106" s="139">
        <f>O106/Q106</f>
        <v>4.0953649393802645E-2</v>
      </c>
      <c r="T106" s="1068">
        <f>'Yield Mechanism'!$AI$59</f>
        <v>9.9999999999999982</v>
      </c>
      <c r="U106" s="144">
        <f>U105+T106*K106</f>
        <v>65.01963186836015</v>
      </c>
      <c r="V106" s="436"/>
      <c r="W106" s="415"/>
      <c r="X106" s="268">
        <v>1</v>
      </c>
      <c r="Y106" s="139">
        <f>'Structural Information'!$Z$8</f>
        <v>40.367000000000004</v>
      </c>
      <c r="Z106" s="139">
        <f>Y106*M106</f>
        <v>7.930407572714418E-3</v>
      </c>
      <c r="AA106" s="139">
        <f>Z106*L106</f>
        <v>2.1808620824964649E-2</v>
      </c>
      <c r="AB106" s="143">
        <f>T106/M104</f>
        <v>20641.668226478738</v>
      </c>
    </row>
    <row r="107" spans="9:28" x14ac:dyDescent="0.25">
      <c r="I107" s="119"/>
      <c r="V107" s="437"/>
      <c r="W107" s="415"/>
      <c r="X107" s="438"/>
      <c r="Y107" s="504" t="s">
        <v>82</v>
      </c>
      <c r="Z107" s="439">
        <f>SUM(Z104:Z106)</f>
        <v>4.1506044873897016E-2</v>
      </c>
      <c r="AA107" s="439">
        <f>SUM(AA104:AA106)</f>
        <v>0.26987077580124214</v>
      </c>
      <c r="AB107" s="505" t="s">
        <v>341</v>
      </c>
    </row>
    <row r="108" spans="9:28" x14ac:dyDescent="0.25">
      <c r="W108" s="415"/>
      <c r="X108" s="438"/>
      <c r="Y108" s="440"/>
      <c r="Z108" s="440"/>
      <c r="AA108" s="441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106.37626559609419</v>
      </c>
    </row>
    <row r="109" spans="9:28" x14ac:dyDescent="0.25">
      <c r="W109" s="415"/>
      <c r="X109" s="438"/>
      <c r="Y109" s="180"/>
      <c r="Z109" s="180"/>
      <c r="AA109" s="442"/>
      <c r="AB109" s="504" t="s">
        <v>340</v>
      </c>
    </row>
    <row r="110" spans="9:28" x14ac:dyDescent="0.25">
      <c r="X110" s="443"/>
      <c r="Y110" s="444"/>
      <c r="Z110" s="444"/>
      <c r="AA110" s="445"/>
      <c r="AB110" s="143">
        <f>2*PI()*SQRT(AB108/AB106)</f>
        <v>0.45105535346311953</v>
      </c>
    </row>
    <row r="112" spans="9:28" x14ac:dyDescent="0.25">
      <c r="J112" s="1038" t="s">
        <v>342</v>
      </c>
      <c r="K112" s="1039"/>
      <c r="L112" s="1039"/>
      <c r="M112" s="1039"/>
      <c r="N112" s="1039"/>
      <c r="O112" s="1039"/>
      <c r="P112" s="1039"/>
      <c r="Q112" s="1039"/>
      <c r="R112" s="1039"/>
      <c r="S112" s="1039"/>
      <c r="T112" s="1039"/>
      <c r="U112" s="1039"/>
      <c r="V112" s="1040"/>
      <c r="W112" s="5"/>
      <c r="X112" s="1033" t="s">
        <v>109</v>
      </c>
      <c r="Y112" s="1033"/>
      <c r="Z112" s="1033"/>
      <c r="AA112" s="1033"/>
      <c r="AB112" s="1033"/>
    </row>
    <row r="113" spans="2:28" ht="15" customHeight="1" x14ac:dyDescent="0.25">
      <c r="J113" s="1019" t="s">
        <v>9</v>
      </c>
      <c r="K113" s="1020" t="s">
        <v>3</v>
      </c>
      <c r="L113" s="1020" t="s">
        <v>76</v>
      </c>
      <c r="M113" s="1019" t="s">
        <v>78</v>
      </c>
      <c r="N113" s="1019" t="s">
        <v>85</v>
      </c>
      <c r="O113" s="1020" t="s">
        <v>104</v>
      </c>
      <c r="P113" s="1020" t="s">
        <v>262</v>
      </c>
      <c r="Q113" s="1020" t="s">
        <v>263</v>
      </c>
      <c r="R113" s="1019" t="s">
        <v>419</v>
      </c>
      <c r="S113" s="1019" t="s">
        <v>420</v>
      </c>
      <c r="T113" s="1019" t="s">
        <v>79</v>
      </c>
      <c r="U113" s="1020" t="s">
        <v>105</v>
      </c>
      <c r="V113" s="1019" t="s">
        <v>83</v>
      </c>
      <c r="X113" s="619" t="s">
        <v>9</v>
      </c>
      <c r="Y113" s="1021" t="s">
        <v>80</v>
      </c>
      <c r="Z113" s="1021" t="s">
        <v>81</v>
      </c>
      <c r="AA113" s="1021" t="s">
        <v>107</v>
      </c>
      <c r="AB113" s="656" t="s">
        <v>108</v>
      </c>
    </row>
    <row r="114" spans="2:28" x14ac:dyDescent="0.25">
      <c r="J114" s="814"/>
      <c r="K114" s="962"/>
      <c r="L114" s="962"/>
      <c r="M114" s="814"/>
      <c r="N114" s="814"/>
      <c r="O114" s="962"/>
      <c r="P114" s="962"/>
      <c r="Q114" s="962"/>
      <c r="R114" s="814"/>
      <c r="S114" s="814"/>
      <c r="T114" s="814"/>
      <c r="U114" s="962"/>
      <c r="V114" s="814"/>
      <c r="X114" s="619"/>
      <c r="Y114" s="1021"/>
      <c r="Z114" s="1021"/>
      <c r="AA114" s="1021"/>
      <c r="AB114" s="656"/>
    </row>
    <row r="115" spans="2:28" x14ac:dyDescent="0.25">
      <c r="J115" s="432">
        <v>3</v>
      </c>
      <c r="K115" s="144">
        <f>'Structural Information'!$U$6</f>
        <v>3</v>
      </c>
      <c r="L115" s="144">
        <f>L116+K115</f>
        <v>8.75</v>
      </c>
      <c r="M115" s="433">
        <f>'Yield Mechanism'!$K$49</f>
        <v>4.8445696783228933E-4</v>
      </c>
      <c r="N115" s="140">
        <f>M115-M116</f>
        <v>1.0688228711891608E-4</v>
      </c>
      <c r="O115" s="434">
        <f>N115/K115</f>
        <v>3.5627429039638692E-5</v>
      </c>
      <c r="P115" s="433">
        <f>$C$26</f>
        <v>9.5976000000000013E-3</v>
      </c>
      <c r="Q115" s="433">
        <f>$D$26</f>
        <v>1.8601738665676483E-3</v>
      </c>
      <c r="R115" s="144">
        <f>O115/P115</f>
        <v>3.7121185546010135E-3</v>
      </c>
      <c r="S115" s="139">
        <f>O115/Q115</f>
        <v>1.9152741407650047E-2</v>
      </c>
      <c r="T115" s="1068">
        <f>'Yield Mechanism'!$AI$57</f>
        <v>4.4172072334350689</v>
      </c>
      <c r="U115" s="144">
        <f>T115*K115</f>
        <v>13.251621700305208</v>
      </c>
      <c r="V115" s="139">
        <f>U117/AB115</f>
        <v>9.9999999999999982</v>
      </c>
      <c r="W115" s="415"/>
      <c r="X115" s="268">
        <v>3</v>
      </c>
      <c r="Y115" s="139">
        <f>'Structural Information'!$Z$6</f>
        <v>37.8446</v>
      </c>
      <c r="Z115" s="139">
        <f>Y115*M115</f>
        <v>1.8334080164825857E-2</v>
      </c>
      <c r="AA115" s="139">
        <f>Z115*L115</f>
        <v>0.16042320144222624</v>
      </c>
      <c r="AB115" s="139">
        <f>AA118/Z118</f>
        <v>6.5019631868360159</v>
      </c>
    </row>
    <row r="116" spans="2:28" x14ac:dyDescent="0.25">
      <c r="J116" s="432">
        <v>2</v>
      </c>
      <c r="K116" s="144">
        <f>'Structural Information'!$U$7</f>
        <v>3</v>
      </c>
      <c r="L116" s="144">
        <f>L117+K116</f>
        <v>5.75</v>
      </c>
      <c r="M116" s="433">
        <f>'Yield Mechanism'!$K$50</f>
        <v>3.7757468071337324E-4</v>
      </c>
      <c r="N116" s="140">
        <f>M116-M117</f>
        <v>1.811169907013729E-4</v>
      </c>
      <c r="O116" s="434">
        <f>N116/K116</f>
        <v>6.0372330233790966E-5</v>
      </c>
      <c r="P116" s="433">
        <f>$C$27</f>
        <v>9.1744770034843208E-3</v>
      </c>
      <c r="Q116" s="433">
        <f>$D$27</f>
        <v>1.7655780345468453E-3</v>
      </c>
      <c r="R116" s="139">
        <f>O116/P116</f>
        <v>6.5804655906666412E-3</v>
      </c>
      <c r="S116" s="139">
        <f>O116/Q116</f>
        <v>3.4194087744915891E-2</v>
      </c>
      <c r="T116" s="1068">
        <f>'Yield Mechanism'!$AI$58</f>
        <v>8.0893367226849797</v>
      </c>
      <c r="U116" s="144">
        <f>U115+T116*K116</f>
        <v>37.51963186836015</v>
      </c>
      <c r="V116" s="435"/>
      <c r="W116" s="415"/>
      <c r="X116" s="268">
        <v>2</v>
      </c>
      <c r="Y116" s="139">
        <f>'Structural Information'!$Z$7</f>
        <v>40.367000000000004</v>
      </c>
      <c r="Z116" s="139">
        <f>Y116*M116</f>
        <v>1.5241557136356739E-2</v>
      </c>
      <c r="AA116" s="139">
        <f>Z116*L116</f>
        <v>8.7638953534051253E-2</v>
      </c>
      <c r="AB116" s="504" t="s">
        <v>339</v>
      </c>
    </row>
    <row r="117" spans="2:28" ht="15" customHeight="1" x14ac:dyDescent="0.25">
      <c r="J117" s="432">
        <v>1</v>
      </c>
      <c r="K117" s="144">
        <f>'Structural Information'!$U$8</f>
        <v>2.75</v>
      </c>
      <c r="L117" s="144">
        <f>K117</f>
        <v>2.75</v>
      </c>
      <c r="M117" s="433">
        <f>'Yield Mechanism'!$K$51</f>
        <v>1.9645769001200034E-4</v>
      </c>
      <c r="N117" s="140">
        <f>M117</f>
        <v>1.9645769001200034E-4</v>
      </c>
      <c r="O117" s="434">
        <f>N117/K117</f>
        <v>7.1439160004363767E-5</v>
      </c>
      <c r="P117" s="433">
        <f>$C$28</f>
        <v>8.1000948897978157E-3</v>
      </c>
      <c r="Q117" s="433">
        <f>$D$28</f>
        <v>1.7443905747548439E-3</v>
      </c>
      <c r="R117" s="139">
        <f>O117/P117</f>
        <v>8.8195460641260388E-3</v>
      </c>
      <c r="S117" s="139">
        <f>O117/Q117</f>
        <v>4.0953649393802645E-2</v>
      </c>
      <c r="T117" s="1068">
        <f>'Yield Mechanism'!$AI$59</f>
        <v>9.9999999999999982</v>
      </c>
      <c r="U117" s="144">
        <f>U116+T117*K117</f>
        <v>65.01963186836015</v>
      </c>
      <c r="V117" s="436"/>
      <c r="W117" s="415"/>
      <c r="X117" s="268">
        <v>1</v>
      </c>
      <c r="Y117" s="139">
        <f>'Structural Information'!$Z$8</f>
        <v>40.367000000000004</v>
      </c>
      <c r="Z117" s="139">
        <f>Y117*M117</f>
        <v>7.930407572714418E-3</v>
      </c>
      <c r="AA117" s="139">
        <f>Z117*L117</f>
        <v>2.1808620824964649E-2</v>
      </c>
      <c r="AB117" s="143">
        <f>T117/M115</f>
        <v>20641.668226478738</v>
      </c>
    </row>
    <row r="118" spans="2:28" ht="15" customHeight="1" x14ac:dyDescent="0.25">
      <c r="V118" s="437"/>
      <c r="W118" s="415"/>
      <c r="X118" s="438"/>
      <c r="Y118" s="504" t="s">
        <v>82</v>
      </c>
      <c r="Z118" s="439">
        <f>SUM(Z115:Z117)</f>
        <v>4.1506044873897016E-2</v>
      </c>
      <c r="AA118" s="439">
        <f>SUM(AA115:AA117)</f>
        <v>0.26987077580124214</v>
      </c>
      <c r="AB118" s="505" t="s">
        <v>341</v>
      </c>
    </row>
    <row r="119" spans="2:28" x14ac:dyDescent="0.25">
      <c r="W119" s="415"/>
      <c r="X119" s="438"/>
      <c r="Y119" s="440"/>
      <c r="Z119" s="440"/>
      <c r="AA119" s="441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106.37626559609419</v>
      </c>
    </row>
    <row r="120" spans="2:28" x14ac:dyDescent="0.25">
      <c r="W120" s="415"/>
      <c r="X120" s="438"/>
      <c r="Y120" s="180"/>
      <c r="Z120" s="180"/>
      <c r="AA120" s="442"/>
      <c r="AB120" s="504" t="s">
        <v>340</v>
      </c>
    </row>
    <row r="121" spans="2:28" x14ac:dyDescent="0.25">
      <c r="X121" s="443"/>
      <c r="Y121" s="444"/>
      <c r="Z121" s="444"/>
      <c r="AA121" s="445"/>
      <c r="AB121" s="143">
        <f>2*PI()*SQRT(AB119/AB117)</f>
        <v>0.45105535346311953</v>
      </c>
    </row>
    <row r="123" spans="2:28" x14ac:dyDescent="0.25">
      <c r="B123" s="1044" t="s">
        <v>212</v>
      </c>
      <c r="C123" s="1045"/>
      <c r="D123" s="1045"/>
      <c r="E123" s="1045"/>
      <c r="F123" s="1045"/>
      <c r="G123" s="1045"/>
      <c r="H123" s="1046"/>
      <c r="J123" s="1029" t="s">
        <v>343</v>
      </c>
      <c r="K123" s="1029"/>
      <c r="L123" s="1029"/>
      <c r="M123" s="1029"/>
      <c r="N123" s="1029"/>
      <c r="O123" s="1029"/>
      <c r="P123" s="1029"/>
      <c r="Q123" s="1029"/>
      <c r="R123" s="1029"/>
      <c r="S123" s="1029"/>
      <c r="T123" s="1029"/>
      <c r="U123" s="1029"/>
      <c r="V123" s="1029"/>
      <c r="X123" s="1032" t="s">
        <v>109</v>
      </c>
      <c r="Y123" s="1032"/>
      <c r="Z123" s="1032"/>
      <c r="AA123" s="1032"/>
      <c r="AB123" s="1032"/>
    </row>
    <row r="124" spans="2:28" ht="15" customHeight="1" x14ac:dyDescent="0.25">
      <c r="B124" s="619" t="s">
        <v>211</v>
      </c>
      <c r="C124" s="619" t="s">
        <v>9</v>
      </c>
      <c r="D124" s="622" t="s">
        <v>88</v>
      </c>
      <c r="E124" s="1047"/>
      <c r="F124" s="1047"/>
      <c r="G124" s="1047"/>
      <c r="H124" s="623"/>
      <c r="J124" s="1019" t="s">
        <v>9</v>
      </c>
      <c r="K124" s="1020" t="s">
        <v>3</v>
      </c>
      <c r="L124" s="1020" t="s">
        <v>76</v>
      </c>
      <c r="M124" s="1019" t="s">
        <v>78</v>
      </c>
      <c r="N124" s="1019" t="s">
        <v>85</v>
      </c>
      <c r="O124" s="1020" t="s">
        <v>104</v>
      </c>
      <c r="P124" s="1020" t="s">
        <v>262</v>
      </c>
      <c r="Q124" s="1020" t="s">
        <v>263</v>
      </c>
      <c r="R124" s="1019" t="s">
        <v>419</v>
      </c>
      <c r="S124" s="1019" t="s">
        <v>420</v>
      </c>
      <c r="T124" s="1019" t="s">
        <v>79</v>
      </c>
      <c r="U124" s="1020" t="s">
        <v>105</v>
      </c>
      <c r="V124" s="1019" t="s">
        <v>83</v>
      </c>
      <c r="X124" s="619" t="s">
        <v>9</v>
      </c>
      <c r="Y124" s="1021" t="s">
        <v>80</v>
      </c>
      <c r="Z124" s="1021" t="s">
        <v>81</v>
      </c>
      <c r="AA124" s="1021" t="s">
        <v>107</v>
      </c>
      <c r="AB124" s="656" t="s">
        <v>108</v>
      </c>
    </row>
    <row r="125" spans="2:28" x14ac:dyDescent="0.25">
      <c r="B125" s="619"/>
      <c r="C125" s="619"/>
      <c r="D125" s="460">
        <v>-184.4864</v>
      </c>
      <c r="E125" s="460">
        <v>-308.34960000000001</v>
      </c>
      <c r="F125" s="460">
        <v>-344.13189999999997</v>
      </c>
      <c r="G125" s="461">
        <v>-286.31150000000002</v>
      </c>
      <c r="H125" s="462" t="s">
        <v>272</v>
      </c>
      <c r="J125" s="814"/>
      <c r="K125" s="962"/>
      <c r="L125" s="962"/>
      <c r="M125" s="814"/>
      <c r="N125" s="814"/>
      <c r="O125" s="962"/>
      <c r="P125" s="962"/>
      <c r="Q125" s="962"/>
      <c r="R125" s="814"/>
      <c r="S125" s="814"/>
      <c r="T125" s="814"/>
      <c r="U125" s="962"/>
      <c r="V125" s="814"/>
      <c r="X125" s="619"/>
      <c r="Y125" s="1021"/>
      <c r="Z125" s="1021"/>
      <c r="AA125" s="1021"/>
      <c r="AB125" s="656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3">
        <v>3.72545107808488E-4</v>
      </c>
      <c r="I126" s="459"/>
      <c r="J126" s="432">
        <v>3</v>
      </c>
      <c r="K126" s="144">
        <f>'Structural Information'!$U$6</f>
        <v>3</v>
      </c>
      <c r="L126" s="144">
        <f>L127+K126</f>
        <v>8.75</v>
      </c>
      <c r="M126" s="433">
        <f>'Yield Mechanism'!$K$49</f>
        <v>4.8445696783228933E-4</v>
      </c>
      <c r="N126" s="140">
        <f>M126-M127</f>
        <v>1.0688228711891608E-4</v>
      </c>
      <c r="O126" s="434">
        <f>N126/K126</f>
        <v>3.5627429039638692E-5</v>
      </c>
      <c r="P126" s="433">
        <f>$C$26</f>
        <v>9.5976000000000013E-3</v>
      </c>
      <c r="Q126" s="433">
        <f>$D$26</f>
        <v>1.8601738665676483E-3</v>
      </c>
      <c r="R126" s="144">
        <f>O126/P126</f>
        <v>3.7121185546010135E-3</v>
      </c>
      <c r="S126" s="139">
        <f>O126/Q126</f>
        <v>1.9152741407650047E-2</v>
      </c>
      <c r="T126" s="1068">
        <f>'Yield Mechanism'!$AI$57</f>
        <v>4.4172072334350689</v>
      </c>
      <c r="U126" s="144">
        <f>T126*K126</f>
        <v>13.251621700305208</v>
      </c>
      <c r="V126" s="139">
        <f>U128/AB126</f>
        <v>9.9999999999999982</v>
      </c>
      <c r="W126" s="415"/>
      <c r="X126" s="268">
        <v>3</v>
      </c>
      <c r="Y126" s="139">
        <f>'Structural Information'!$Z$6</f>
        <v>37.8446</v>
      </c>
      <c r="Z126" s="139">
        <f>Y126*M126</f>
        <v>1.8334080164825857E-2</v>
      </c>
      <c r="AA126" s="139">
        <f>Z126*L126</f>
        <v>0.16042320144222624</v>
      </c>
      <c r="AB126" s="139">
        <f>AA129/Z129</f>
        <v>6.5019631868360159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3">
        <v>4.3590940322360723E-4</v>
      </c>
      <c r="I127" s="459"/>
      <c r="J127" s="432">
        <v>2</v>
      </c>
      <c r="K127" s="144">
        <f>'Structural Information'!$U$7</f>
        <v>3</v>
      </c>
      <c r="L127" s="144">
        <f>L128+K127</f>
        <v>5.75</v>
      </c>
      <c r="M127" s="433">
        <f>'Yield Mechanism'!$K$50</f>
        <v>3.7757468071337324E-4</v>
      </c>
      <c r="N127" s="140">
        <f>M127-M128</f>
        <v>1.811169907013729E-4</v>
      </c>
      <c r="O127" s="434">
        <f>N127/K127</f>
        <v>6.0372330233790966E-5</v>
      </c>
      <c r="P127" s="433">
        <f>$C$27</f>
        <v>9.1744770034843208E-3</v>
      </c>
      <c r="Q127" s="433">
        <f>$D$27</f>
        <v>1.7655780345468453E-3</v>
      </c>
      <c r="R127" s="139">
        <f>O127/P127</f>
        <v>6.5804655906666412E-3</v>
      </c>
      <c r="S127" s="139">
        <f>O127/Q127</f>
        <v>3.4194087744915891E-2</v>
      </c>
      <c r="T127" s="1068">
        <f>'Yield Mechanism'!$AI$58</f>
        <v>8.0893367226849797</v>
      </c>
      <c r="U127" s="144">
        <f>U126+T127*K127</f>
        <v>37.51963186836015</v>
      </c>
      <c r="V127" s="435"/>
      <c r="W127" s="415"/>
      <c r="X127" s="268">
        <v>2</v>
      </c>
      <c r="Y127" s="139">
        <f>'Structural Information'!$Z$7</f>
        <v>40.367000000000004</v>
      </c>
      <c r="Z127" s="139">
        <f>Y127*M127</f>
        <v>1.5241557136356739E-2</v>
      </c>
      <c r="AA127" s="139">
        <f>Z127*L127</f>
        <v>8.7638953534051253E-2</v>
      </c>
      <c r="AB127" s="504" t="s">
        <v>339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3">
        <v>2.6731584374981368E-4</v>
      </c>
      <c r="I128" s="459"/>
      <c r="J128" s="432">
        <v>1</v>
      </c>
      <c r="K128" s="144">
        <f>'Structural Information'!$U$8</f>
        <v>2.75</v>
      </c>
      <c r="L128" s="144">
        <f>K128</f>
        <v>2.75</v>
      </c>
      <c r="M128" s="433">
        <f>'Yield Mechanism'!$K$51</f>
        <v>1.9645769001200034E-4</v>
      </c>
      <c r="N128" s="140">
        <f>M128</f>
        <v>1.9645769001200034E-4</v>
      </c>
      <c r="O128" s="434">
        <f>N128/K128</f>
        <v>7.1439160004363767E-5</v>
      </c>
      <c r="P128" s="433">
        <f>$C$28</f>
        <v>8.1000948897978157E-3</v>
      </c>
      <c r="Q128" s="433">
        <f>$D$28</f>
        <v>1.7443905747548439E-3</v>
      </c>
      <c r="R128" s="139">
        <f>O128/P128</f>
        <v>8.8195460641260388E-3</v>
      </c>
      <c r="S128" s="139">
        <f>O128/Q128</f>
        <v>4.0953649393802645E-2</v>
      </c>
      <c r="T128" s="1068">
        <f>'Yield Mechanism'!$AI$59</f>
        <v>9.9999999999999982</v>
      </c>
      <c r="U128" s="144">
        <f>U127+T128*K128</f>
        <v>65.01963186836015</v>
      </c>
      <c r="V128" s="436"/>
      <c r="W128" s="415"/>
      <c r="X128" s="268">
        <v>1</v>
      </c>
      <c r="Y128" s="139">
        <f>'Structural Information'!$Z$8</f>
        <v>40.367000000000004</v>
      </c>
      <c r="Z128" s="139">
        <f>Y128*M128</f>
        <v>7.930407572714418E-3</v>
      </c>
      <c r="AA128" s="139">
        <f>Z128*L128</f>
        <v>2.1808620824964649E-2</v>
      </c>
      <c r="AB128" s="143">
        <f>T128/M126</f>
        <v>20641.668226478738</v>
      </c>
    </row>
    <row r="129" spans="2:28" x14ac:dyDescent="0.25">
      <c r="B129" s="460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3">
        <v>0</v>
      </c>
      <c r="I129" s="459"/>
      <c r="V129" s="437"/>
      <c r="W129" s="415"/>
      <c r="X129" s="438"/>
      <c r="Y129" s="504" t="s">
        <v>82</v>
      </c>
      <c r="Z129" s="439">
        <f>SUM(Z126:Z128)</f>
        <v>4.1506044873897016E-2</v>
      </c>
      <c r="AA129" s="439">
        <f>SUM(AA126:AA128)</f>
        <v>0.26987077580124214</v>
      </c>
      <c r="AB129" s="505" t="s">
        <v>341</v>
      </c>
    </row>
    <row r="130" spans="2:28" x14ac:dyDescent="0.25">
      <c r="I130" s="459"/>
      <c r="W130" s="415"/>
      <c r="X130" s="438"/>
      <c r="Y130" s="440"/>
      <c r="Z130" s="440"/>
      <c r="AA130" s="441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106.37626559609419</v>
      </c>
    </row>
    <row r="131" spans="2:28" x14ac:dyDescent="0.25">
      <c r="I131" s="459"/>
      <c r="W131" s="415"/>
      <c r="X131" s="438"/>
      <c r="Y131" s="180"/>
      <c r="Z131" s="180"/>
      <c r="AA131" s="442"/>
      <c r="AB131" s="504" t="s">
        <v>340</v>
      </c>
    </row>
    <row r="132" spans="2:28" x14ac:dyDescent="0.25">
      <c r="I132" s="459"/>
      <c r="X132" s="443"/>
      <c r="Y132" s="444"/>
      <c r="Z132" s="444"/>
      <c r="AA132" s="445"/>
      <c r="AB132" s="143">
        <f>2*PI()*SQRT(AB130/AB128)</f>
        <v>0.45105535346311953</v>
      </c>
    </row>
    <row r="134" spans="2:28" x14ac:dyDescent="0.25">
      <c r="B134" s="1048" t="s">
        <v>123</v>
      </c>
      <c r="C134" s="1049"/>
      <c r="D134" s="1049"/>
      <c r="E134" s="1049"/>
      <c r="F134" s="1049"/>
      <c r="G134" s="1049"/>
      <c r="H134" s="1050"/>
      <c r="J134" s="1038" t="s">
        <v>344</v>
      </c>
      <c r="K134" s="1039"/>
      <c r="L134" s="1039"/>
      <c r="M134" s="1039"/>
      <c r="N134" s="1039"/>
      <c r="O134" s="1039"/>
      <c r="P134" s="1039"/>
      <c r="Q134" s="1039"/>
      <c r="R134" s="1039"/>
      <c r="S134" s="1039"/>
      <c r="T134" s="1039"/>
      <c r="U134" s="1039"/>
      <c r="V134" s="1040"/>
      <c r="X134" s="1031" t="s">
        <v>109</v>
      </c>
      <c r="Y134" s="1031"/>
      <c r="Z134" s="1031"/>
      <c r="AA134" s="1031"/>
      <c r="AB134" s="1031"/>
    </row>
    <row r="135" spans="2:28" ht="15" customHeight="1" x14ac:dyDescent="0.25">
      <c r="B135" s="619" t="s">
        <v>9</v>
      </c>
      <c r="C135" s="619" t="s">
        <v>117</v>
      </c>
      <c r="D135" s="619" t="s">
        <v>118</v>
      </c>
      <c r="E135" s="619" t="s">
        <v>119</v>
      </c>
      <c r="F135" s="619" t="s">
        <v>120</v>
      </c>
      <c r="G135" s="619" t="s">
        <v>121</v>
      </c>
      <c r="H135" s="619" t="s">
        <v>122</v>
      </c>
      <c r="J135" s="1019" t="s">
        <v>9</v>
      </c>
      <c r="K135" s="1020" t="s">
        <v>3</v>
      </c>
      <c r="L135" s="1020" t="s">
        <v>76</v>
      </c>
      <c r="M135" s="1019" t="s">
        <v>78</v>
      </c>
      <c r="N135" s="1019" t="s">
        <v>85</v>
      </c>
      <c r="O135" s="1020" t="s">
        <v>104</v>
      </c>
      <c r="P135" s="1020" t="s">
        <v>262</v>
      </c>
      <c r="Q135" s="1020" t="s">
        <v>263</v>
      </c>
      <c r="R135" s="1019" t="s">
        <v>419</v>
      </c>
      <c r="S135" s="1019" t="s">
        <v>420</v>
      </c>
      <c r="T135" s="1019" t="s">
        <v>79</v>
      </c>
      <c r="U135" s="1020" t="s">
        <v>105</v>
      </c>
      <c r="V135" s="1019" t="s">
        <v>83</v>
      </c>
      <c r="X135" s="619" t="s">
        <v>9</v>
      </c>
      <c r="Y135" s="1021" t="s">
        <v>80</v>
      </c>
      <c r="Z135" s="1021" t="s">
        <v>81</v>
      </c>
      <c r="AA135" s="1021" t="s">
        <v>107</v>
      </c>
      <c r="AB135" s="656" t="s">
        <v>108</v>
      </c>
    </row>
    <row r="136" spans="2:28" x14ac:dyDescent="0.25">
      <c r="B136" s="619"/>
      <c r="C136" s="619"/>
      <c r="D136" s="619"/>
      <c r="E136" s="619"/>
      <c r="F136" s="619"/>
      <c r="G136" s="619"/>
      <c r="H136" s="619"/>
      <c r="J136" s="814"/>
      <c r="K136" s="962"/>
      <c r="L136" s="962"/>
      <c r="M136" s="814"/>
      <c r="N136" s="814"/>
      <c r="O136" s="962"/>
      <c r="P136" s="962"/>
      <c r="Q136" s="962"/>
      <c r="R136" s="814"/>
      <c r="S136" s="814"/>
      <c r="T136" s="814"/>
      <c r="U136" s="962"/>
      <c r="V136" s="814"/>
      <c r="X136" s="619"/>
      <c r="Y136" s="1021"/>
      <c r="Z136" s="1021"/>
      <c r="AA136" s="1021"/>
      <c r="AB136" s="656"/>
    </row>
    <row r="137" spans="2:28" x14ac:dyDescent="0.25">
      <c r="B137" s="464">
        <v>3</v>
      </c>
      <c r="C137" s="140">
        <f>M5-H126</f>
        <v>1.1191186002380133E-4</v>
      </c>
      <c r="D137" s="140">
        <f>M16-H126</f>
        <v>1.1191186002380133E-4</v>
      </c>
      <c r="E137" s="140">
        <f>M27-H126</f>
        <v>1.1191186002380133E-4</v>
      </c>
      <c r="F137" s="140">
        <f>M38-H126</f>
        <v>1.1191186002380133E-4</v>
      </c>
      <c r="G137" s="140">
        <f>M49-H126</f>
        <v>1.1191186002380133E-4</v>
      </c>
      <c r="H137" s="140">
        <f>M104-H126</f>
        <v>1.1191186002380133E-4</v>
      </c>
      <c r="J137" s="432">
        <v>3</v>
      </c>
      <c r="K137" s="144">
        <f>'Structural Information'!$U$6</f>
        <v>3</v>
      </c>
      <c r="L137" s="144">
        <f>L138+K137</f>
        <v>8.75</v>
      </c>
      <c r="M137" s="433">
        <f>'Yield Mechanism'!$K$49</f>
        <v>4.8445696783228933E-4</v>
      </c>
      <c r="N137" s="140">
        <f>M137-M138</f>
        <v>1.0688228711891608E-4</v>
      </c>
      <c r="O137" s="434">
        <f>N137/K137</f>
        <v>3.5627429039638692E-5</v>
      </c>
      <c r="P137" s="433">
        <f>$C$26</f>
        <v>9.5976000000000013E-3</v>
      </c>
      <c r="Q137" s="433">
        <f>$D$26</f>
        <v>1.8601738665676483E-3</v>
      </c>
      <c r="R137" s="144">
        <f>O137/P137</f>
        <v>3.7121185546010135E-3</v>
      </c>
      <c r="S137" s="139">
        <f>O137/Q137</f>
        <v>1.9152741407650047E-2</v>
      </c>
      <c r="T137" s="1068">
        <f>'Yield Mechanism'!$AI$57</f>
        <v>4.4172072334350689</v>
      </c>
      <c r="U137" s="144">
        <f>T137*K137</f>
        <v>13.251621700305208</v>
      </c>
      <c r="V137" s="139">
        <f>U139/AB137</f>
        <v>9.9999999999999982</v>
      </c>
      <c r="W137" s="415"/>
      <c r="X137" s="268">
        <v>3</v>
      </c>
      <c r="Y137" s="139">
        <f>'Structural Information'!$Z$6</f>
        <v>37.8446</v>
      </c>
      <c r="Z137" s="139">
        <f>Y137*M137</f>
        <v>1.8334080164825857E-2</v>
      </c>
      <c r="AA137" s="139">
        <f>Z137*L137</f>
        <v>0.16042320144222624</v>
      </c>
      <c r="AB137" s="139">
        <f>AA140/Z140</f>
        <v>6.5019631868360159</v>
      </c>
    </row>
    <row r="138" spans="2:28" x14ac:dyDescent="0.25">
      <c r="B138" s="464">
        <v>2</v>
      </c>
      <c r="C138" s="140">
        <f>M6-H127</f>
        <v>-5.8334722510233988E-5</v>
      </c>
      <c r="D138" s="140">
        <f>M17-H127</f>
        <v>-5.8334722510233988E-5</v>
      </c>
      <c r="E138" s="140">
        <f>M28-H127</f>
        <v>-5.8334722510233988E-5</v>
      </c>
      <c r="F138" s="140">
        <f>M39-H127</f>
        <v>-5.8334722510233988E-5</v>
      </c>
      <c r="G138" s="140">
        <f>M50-H127</f>
        <v>-5.8334722510233988E-5</v>
      </c>
      <c r="H138" s="140">
        <f>M105-H127</f>
        <v>-5.8334722510233988E-5</v>
      </c>
      <c r="I138" s="465"/>
      <c r="J138" s="432">
        <v>2</v>
      </c>
      <c r="K138" s="144">
        <f>'Structural Information'!$U$7</f>
        <v>3</v>
      </c>
      <c r="L138" s="144">
        <f>L139+K138</f>
        <v>5.75</v>
      </c>
      <c r="M138" s="433">
        <f>'Yield Mechanism'!$K$50</f>
        <v>3.7757468071337324E-4</v>
      </c>
      <c r="N138" s="140">
        <f>M138-M139</f>
        <v>1.811169907013729E-4</v>
      </c>
      <c r="O138" s="434">
        <f>N138/K138</f>
        <v>6.0372330233790966E-5</v>
      </c>
      <c r="P138" s="433">
        <f>$C$27</f>
        <v>9.1744770034843208E-3</v>
      </c>
      <c r="Q138" s="433">
        <f>$D$27</f>
        <v>1.7655780345468453E-3</v>
      </c>
      <c r="R138" s="139">
        <f>O138/P138</f>
        <v>6.5804655906666412E-3</v>
      </c>
      <c r="S138" s="139">
        <f>O138/Q138</f>
        <v>3.4194087744915891E-2</v>
      </c>
      <c r="T138" s="1068">
        <f>'Yield Mechanism'!$AI$58</f>
        <v>8.0893367226849797</v>
      </c>
      <c r="U138" s="144">
        <f>U137+T138*K138</f>
        <v>37.51963186836015</v>
      </c>
      <c r="V138" s="435"/>
      <c r="W138" s="415"/>
      <c r="X138" s="268">
        <v>2</v>
      </c>
      <c r="Y138" s="139">
        <f>'Structural Information'!$Z$7</f>
        <v>40.367000000000004</v>
      </c>
      <c r="Z138" s="139">
        <f>Y138*M138</f>
        <v>1.5241557136356739E-2</v>
      </c>
      <c r="AA138" s="139">
        <f>Z138*L138</f>
        <v>8.7638953534051253E-2</v>
      </c>
      <c r="AB138" s="504" t="s">
        <v>339</v>
      </c>
    </row>
    <row r="139" spans="2:28" x14ac:dyDescent="0.25">
      <c r="B139" s="464">
        <v>1</v>
      </c>
      <c r="C139" s="140">
        <f>M7-H128</f>
        <v>-7.0858153737813338E-5</v>
      </c>
      <c r="D139" s="140">
        <f>M18-H128</f>
        <v>-7.0858153737813338E-5</v>
      </c>
      <c r="E139" s="140">
        <f>M29-H128</f>
        <v>-7.0858153737813338E-5</v>
      </c>
      <c r="F139" s="140">
        <f>M40-H128</f>
        <v>-7.0858153737813338E-5</v>
      </c>
      <c r="G139" s="140">
        <f>M51-H128</f>
        <v>-7.0858153737813338E-5</v>
      </c>
      <c r="H139" s="140">
        <f>M106-H128</f>
        <v>-7.0858153737813338E-5</v>
      </c>
      <c r="I139" s="465"/>
      <c r="J139" s="432">
        <v>1</v>
      </c>
      <c r="K139" s="144">
        <f>'Structural Information'!$U$8</f>
        <v>2.75</v>
      </c>
      <c r="L139" s="144">
        <f>K139</f>
        <v>2.75</v>
      </c>
      <c r="M139" s="433">
        <f>'Yield Mechanism'!$K$51</f>
        <v>1.9645769001200034E-4</v>
      </c>
      <c r="N139" s="140">
        <f>M139</f>
        <v>1.9645769001200034E-4</v>
      </c>
      <c r="O139" s="434">
        <f>N139/K139</f>
        <v>7.1439160004363767E-5</v>
      </c>
      <c r="P139" s="433">
        <f>$C$28</f>
        <v>8.1000948897978157E-3</v>
      </c>
      <c r="Q139" s="433">
        <f>$D$28</f>
        <v>1.7443905747548439E-3</v>
      </c>
      <c r="R139" s="139">
        <f>O139/P139</f>
        <v>8.8195460641260388E-3</v>
      </c>
      <c r="S139" s="139">
        <f>O139/Q139</f>
        <v>4.0953649393802645E-2</v>
      </c>
      <c r="T139" s="1068">
        <f>'Yield Mechanism'!$AI$59</f>
        <v>9.9999999999999982</v>
      </c>
      <c r="U139" s="144">
        <f>U138+T139*K139</f>
        <v>65.01963186836015</v>
      </c>
      <c r="V139" s="436"/>
      <c r="W139" s="415"/>
      <c r="X139" s="268">
        <v>1</v>
      </c>
      <c r="Y139" s="139">
        <f>'Structural Information'!$Z$8</f>
        <v>40.367000000000004</v>
      </c>
      <c r="Z139" s="139">
        <f>Y139*M139</f>
        <v>7.930407572714418E-3</v>
      </c>
      <c r="AA139" s="139">
        <f>Z139*L139</f>
        <v>2.1808620824964649E-2</v>
      </c>
      <c r="AB139" s="143">
        <f>T139/M137</f>
        <v>20641.668226478738</v>
      </c>
    </row>
    <row r="140" spans="2:28" x14ac:dyDescent="0.25">
      <c r="B140" s="466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7"/>
      <c r="W140" s="415"/>
      <c r="X140" s="438"/>
      <c r="Y140" s="504" t="s">
        <v>82</v>
      </c>
      <c r="Z140" s="439">
        <f>SUM(Z137:Z139)</f>
        <v>4.1506044873897016E-2</v>
      </c>
      <c r="AA140" s="439">
        <f>SUM(AA137:AA139)</f>
        <v>0.26987077580124214</v>
      </c>
      <c r="AB140" s="505" t="s">
        <v>341</v>
      </c>
    </row>
    <row r="141" spans="2:28" x14ac:dyDescent="0.25">
      <c r="W141" s="415"/>
      <c r="X141" s="438"/>
      <c r="Y141" s="440"/>
      <c r="Z141" s="440"/>
      <c r="AA141" s="441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106.37626559609419</v>
      </c>
    </row>
    <row r="142" spans="2:28" x14ac:dyDescent="0.25">
      <c r="W142" s="415"/>
      <c r="X142" s="438"/>
      <c r="Y142" s="180"/>
      <c r="Z142" s="180"/>
      <c r="AA142" s="442"/>
      <c r="AB142" s="504" t="s">
        <v>340</v>
      </c>
    </row>
    <row r="143" spans="2:28" x14ac:dyDescent="0.25">
      <c r="X143" s="443"/>
      <c r="Y143" s="444"/>
      <c r="Z143" s="444"/>
      <c r="AA143" s="445"/>
      <c r="AB143" s="143">
        <f>2*PI()*SQRT(AB141/AB139)</f>
        <v>0.45105535346311953</v>
      </c>
    </row>
    <row r="145" spans="10:28" x14ac:dyDescent="0.25">
      <c r="J145" s="1029" t="s">
        <v>345</v>
      </c>
      <c r="K145" s="1029"/>
      <c r="L145" s="1029"/>
      <c r="M145" s="1029"/>
      <c r="N145" s="1029"/>
      <c r="O145" s="1029"/>
      <c r="P145" s="1029"/>
      <c r="Q145" s="1029"/>
      <c r="R145" s="1029"/>
      <c r="S145" s="1029"/>
      <c r="T145" s="1029"/>
      <c r="U145" s="1029"/>
      <c r="V145" s="1029"/>
      <c r="X145" s="1030" t="s">
        <v>109</v>
      </c>
      <c r="Y145" s="1030"/>
      <c r="Z145" s="1030"/>
      <c r="AA145" s="1030"/>
      <c r="AB145" s="1030"/>
    </row>
    <row r="146" spans="10:28" ht="15" customHeight="1" x14ac:dyDescent="0.25">
      <c r="J146" s="1019" t="s">
        <v>9</v>
      </c>
      <c r="K146" s="1020" t="s">
        <v>3</v>
      </c>
      <c r="L146" s="1020" t="s">
        <v>76</v>
      </c>
      <c r="M146" s="1019" t="s">
        <v>78</v>
      </c>
      <c r="N146" s="1019" t="s">
        <v>85</v>
      </c>
      <c r="O146" s="1020" t="s">
        <v>104</v>
      </c>
      <c r="P146" s="1020" t="s">
        <v>262</v>
      </c>
      <c r="Q146" s="1020" t="s">
        <v>263</v>
      </c>
      <c r="R146" s="1019" t="s">
        <v>419</v>
      </c>
      <c r="S146" s="1019" t="s">
        <v>420</v>
      </c>
      <c r="T146" s="1019" t="s">
        <v>79</v>
      </c>
      <c r="U146" s="1020" t="s">
        <v>105</v>
      </c>
      <c r="V146" s="1019" t="s">
        <v>83</v>
      </c>
      <c r="X146" s="619" t="s">
        <v>9</v>
      </c>
      <c r="Y146" s="1021" t="s">
        <v>80</v>
      </c>
      <c r="Z146" s="1021" t="s">
        <v>81</v>
      </c>
      <c r="AA146" s="1021" t="s">
        <v>107</v>
      </c>
      <c r="AB146" s="656" t="s">
        <v>108</v>
      </c>
    </row>
    <row r="147" spans="10:28" x14ac:dyDescent="0.25">
      <c r="J147" s="814"/>
      <c r="K147" s="962"/>
      <c r="L147" s="962"/>
      <c r="M147" s="814"/>
      <c r="N147" s="814"/>
      <c r="O147" s="962"/>
      <c r="P147" s="962"/>
      <c r="Q147" s="962"/>
      <c r="R147" s="814"/>
      <c r="S147" s="814"/>
      <c r="T147" s="814"/>
      <c r="U147" s="962"/>
      <c r="V147" s="814"/>
      <c r="X147" s="619"/>
      <c r="Y147" s="1021"/>
      <c r="Z147" s="1021"/>
      <c r="AA147" s="1021"/>
      <c r="AB147" s="656"/>
    </row>
    <row r="148" spans="10:28" x14ac:dyDescent="0.25">
      <c r="J148" s="432">
        <v>3</v>
      </c>
      <c r="K148" s="144">
        <f>'Structural Information'!$U$6</f>
        <v>3</v>
      </c>
      <c r="L148" s="144">
        <f>L149+K148</f>
        <v>8.75</v>
      </c>
      <c r="M148" s="433">
        <f>'Yield Mechanism'!$K$49</f>
        <v>4.8445696783228933E-4</v>
      </c>
      <c r="N148" s="140">
        <f>M148-M149</f>
        <v>1.0688228711891608E-4</v>
      </c>
      <c r="O148" s="434">
        <f>N148/K148</f>
        <v>3.5627429039638692E-5</v>
      </c>
      <c r="P148" s="433">
        <f>$C$26</f>
        <v>9.5976000000000013E-3</v>
      </c>
      <c r="Q148" s="433">
        <f>$D$26</f>
        <v>1.8601738665676483E-3</v>
      </c>
      <c r="R148" s="144">
        <f>O148/P148</f>
        <v>3.7121185546010135E-3</v>
      </c>
      <c r="S148" s="139">
        <f>O148/Q148</f>
        <v>1.9152741407650047E-2</v>
      </c>
      <c r="T148" s="1068">
        <f>'Yield Mechanism'!$AI$57</f>
        <v>4.4172072334350689</v>
      </c>
      <c r="U148" s="144">
        <f>T148*K148</f>
        <v>13.251621700305208</v>
      </c>
      <c r="V148" s="139">
        <f>U150/AB148</f>
        <v>9.9999999999999982</v>
      </c>
      <c r="W148" s="415"/>
      <c r="X148" s="268">
        <v>3</v>
      </c>
      <c r="Y148" s="139">
        <f>'Structural Information'!$Z$6</f>
        <v>37.8446</v>
      </c>
      <c r="Z148" s="139">
        <f>Y148*M148</f>
        <v>1.8334080164825857E-2</v>
      </c>
      <c r="AA148" s="139">
        <f>Z148*L148</f>
        <v>0.16042320144222624</v>
      </c>
      <c r="AB148" s="139">
        <f>AA151/Z151</f>
        <v>6.5019631868360159</v>
      </c>
    </row>
    <row r="149" spans="10:28" x14ac:dyDescent="0.25">
      <c r="J149" s="432">
        <v>2</v>
      </c>
      <c r="K149" s="144">
        <f>'Structural Information'!$U$7</f>
        <v>3</v>
      </c>
      <c r="L149" s="144">
        <f>L150+K149</f>
        <v>5.75</v>
      </c>
      <c r="M149" s="433">
        <f>'Yield Mechanism'!$K$50</f>
        <v>3.7757468071337324E-4</v>
      </c>
      <c r="N149" s="140">
        <f>M149-M150</f>
        <v>1.811169907013729E-4</v>
      </c>
      <c r="O149" s="434">
        <f>N149/K149</f>
        <v>6.0372330233790966E-5</v>
      </c>
      <c r="P149" s="433">
        <f>$C$27</f>
        <v>9.1744770034843208E-3</v>
      </c>
      <c r="Q149" s="433">
        <f>$D$27</f>
        <v>1.7655780345468453E-3</v>
      </c>
      <c r="R149" s="139">
        <f>O149/P149</f>
        <v>6.5804655906666412E-3</v>
      </c>
      <c r="S149" s="139">
        <f>O149/Q149</f>
        <v>3.4194087744915891E-2</v>
      </c>
      <c r="T149" s="1068">
        <f>'Yield Mechanism'!$AI$58</f>
        <v>8.0893367226849797</v>
      </c>
      <c r="U149" s="144">
        <f>U148+T149*K149</f>
        <v>37.51963186836015</v>
      </c>
      <c r="V149" s="435"/>
      <c r="W149" s="415"/>
      <c r="X149" s="268">
        <v>2</v>
      </c>
      <c r="Y149" s="139">
        <f>'Structural Information'!$Z$7</f>
        <v>40.367000000000004</v>
      </c>
      <c r="Z149" s="139">
        <f>Y149*M149</f>
        <v>1.5241557136356739E-2</v>
      </c>
      <c r="AA149" s="139">
        <f>Z149*L149</f>
        <v>8.7638953534051253E-2</v>
      </c>
      <c r="AB149" s="504" t="s">
        <v>339</v>
      </c>
    </row>
    <row r="150" spans="10:28" x14ac:dyDescent="0.25">
      <c r="J150" s="432">
        <v>1</v>
      </c>
      <c r="K150" s="144">
        <f>'Structural Information'!$U$8</f>
        <v>2.75</v>
      </c>
      <c r="L150" s="144">
        <f>K150</f>
        <v>2.75</v>
      </c>
      <c r="M150" s="433">
        <f>'Yield Mechanism'!$K$51</f>
        <v>1.9645769001200034E-4</v>
      </c>
      <c r="N150" s="140">
        <f>M150</f>
        <v>1.9645769001200034E-4</v>
      </c>
      <c r="O150" s="434">
        <f>N150/K150</f>
        <v>7.1439160004363767E-5</v>
      </c>
      <c r="P150" s="433">
        <f>$C$28</f>
        <v>8.1000948897978157E-3</v>
      </c>
      <c r="Q150" s="433">
        <f>$D$28</f>
        <v>1.7443905747548439E-3</v>
      </c>
      <c r="R150" s="139">
        <f>O150/P150</f>
        <v>8.8195460641260388E-3</v>
      </c>
      <c r="S150" s="139">
        <f>O150/Q150</f>
        <v>4.0953649393802645E-2</v>
      </c>
      <c r="T150" s="1068">
        <f>'Yield Mechanism'!$AI$59</f>
        <v>9.9999999999999982</v>
      </c>
      <c r="U150" s="144">
        <f>U149+T150*K150</f>
        <v>65.01963186836015</v>
      </c>
      <c r="V150" s="436"/>
      <c r="W150" s="415"/>
      <c r="X150" s="268">
        <v>1</v>
      </c>
      <c r="Y150" s="139">
        <f>'Structural Information'!$Z$8</f>
        <v>40.367000000000004</v>
      </c>
      <c r="Z150" s="139">
        <f>Y150*M150</f>
        <v>7.930407572714418E-3</v>
      </c>
      <c r="AA150" s="139">
        <f>Z150*L150</f>
        <v>2.1808620824964649E-2</v>
      </c>
      <c r="AB150" s="143">
        <f>T150/M148</f>
        <v>20641.668226478738</v>
      </c>
    </row>
    <row r="151" spans="10:28" x14ac:dyDescent="0.25">
      <c r="V151" s="437"/>
      <c r="W151" s="415"/>
      <c r="X151" s="438"/>
      <c r="Y151" s="504" t="s">
        <v>82</v>
      </c>
      <c r="Z151" s="439">
        <f>SUM(Z148:Z150)</f>
        <v>4.1506044873897016E-2</v>
      </c>
      <c r="AA151" s="439">
        <f>SUM(AA148:AA150)</f>
        <v>0.26987077580124214</v>
      </c>
      <c r="AB151" s="505" t="s">
        <v>341</v>
      </c>
    </row>
    <row r="152" spans="10:28" x14ac:dyDescent="0.25">
      <c r="W152" s="415"/>
      <c r="X152" s="438"/>
      <c r="Y152" s="440"/>
      <c r="Z152" s="440"/>
      <c r="AA152" s="441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106.37626559609419</v>
      </c>
    </row>
    <row r="153" spans="10:28" x14ac:dyDescent="0.25">
      <c r="W153" s="415"/>
      <c r="X153" s="438"/>
      <c r="Y153" s="180"/>
      <c r="Z153" s="180"/>
      <c r="AA153" s="442"/>
      <c r="AB153" s="504" t="s">
        <v>340</v>
      </c>
    </row>
    <row r="154" spans="10:28" x14ac:dyDescent="0.25">
      <c r="X154" s="443"/>
      <c r="Y154" s="444"/>
      <c r="Z154" s="444"/>
      <c r="AA154" s="445"/>
      <c r="AB154" s="143">
        <f>2*PI()*SQRT(AB152/AB150)</f>
        <v>0.45105535346311953</v>
      </c>
    </row>
    <row r="156" spans="10:28" x14ac:dyDescent="0.25">
      <c r="J156" s="1038" t="s">
        <v>346</v>
      </c>
      <c r="K156" s="1039"/>
      <c r="L156" s="1039"/>
      <c r="M156" s="1039"/>
      <c r="N156" s="1039"/>
      <c r="O156" s="1039"/>
      <c r="P156" s="1039"/>
      <c r="Q156" s="1039"/>
      <c r="R156" s="1039"/>
      <c r="S156" s="1039"/>
      <c r="T156" s="1039"/>
      <c r="U156" s="1039"/>
      <c r="V156" s="1040"/>
      <c r="X156" s="1029" t="s">
        <v>109</v>
      </c>
      <c r="Y156" s="1029"/>
      <c r="Z156" s="1029"/>
      <c r="AA156" s="1029"/>
      <c r="AB156" s="1029"/>
    </row>
    <row r="157" spans="10:28" ht="15" customHeight="1" x14ac:dyDescent="0.25">
      <c r="J157" s="1019" t="s">
        <v>9</v>
      </c>
      <c r="K157" s="1020" t="s">
        <v>3</v>
      </c>
      <c r="L157" s="1020" t="s">
        <v>76</v>
      </c>
      <c r="M157" s="1019" t="s">
        <v>78</v>
      </c>
      <c r="N157" s="1019" t="s">
        <v>85</v>
      </c>
      <c r="O157" s="1020" t="s">
        <v>104</v>
      </c>
      <c r="P157" s="1020" t="s">
        <v>262</v>
      </c>
      <c r="Q157" s="1020" t="s">
        <v>263</v>
      </c>
      <c r="R157" s="1019" t="s">
        <v>419</v>
      </c>
      <c r="S157" s="1019" t="s">
        <v>420</v>
      </c>
      <c r="T157" s="1019" t="s">
        <v>79</v>
      </c>
      <c r="U157" s="1020" t="s">
        <v>105</v>
      </c>
      <c r="V157" s="1019" t="s">
        <v>83</v>
      </c>
      <c r="X157" s="619" t="s">
        <v>9</v>
      </c>
      <c r="Y157" s="1021" t="s">
        <v>80</v>
      </c>
      <c r="Z157" s="1021" t="s">
        <v>81</v>
      </c>
      <c r="AA157" s="1021" t="s">
        <v>107</v>
      </c>
      <c r="AB157" s="656" t="s">
        <v>108</v>
      </c>
    </row>
    <row r="158" spans="10:28" x14ac:dyDescent="0.25">
      <c r="J158" s="814"/>
      <c r="K158" s="962"/>
      <c r="L158" s="962"/>
      <c r="M158" s="814"/>
      <c r="N158" s="814"/>
      <c r="O158" s="962"/>
      <c r="P158" s="962"/>
      <c r="Q158" s="962"/>
      <c r="R158" s="814"/>
      <c r="S158" s="814"/>
      <c r="T158" s="814"/>
      <c r="U158" s="962"/>
      <c r="V158" s="814"/>
      <c r="X158" s="619"/>
      <c r="Y158" s="1021"/>
      <c r="Z158" s="1021"/>
      <c r="AA158" s="1021"/>
      <c r="AB158" s="656"/>
    </row>
    <row r="159" spans="10:28" ht="15" customHeight="1" x14ac:dyDescent="0.25">
      <c r="J159" s="432">
        <v>3</v>
      </c>
      <c r="K159" s="144">
        <f>'Structural Information'!$U$6</f>
        <v>3</v>
      </c>
      <c r="L159" s="144">
        <f>L160+K159</f>
        <v>8.75</v>
      </c>
      <c r="M159" s="433">
        <f>'Yield Mechanism'!$K$49</f>
        <v>4.8445696783228933E-4</v>
      </c>
      <c r="N159" s="140">
        <f>M159-M160</f>
        <v>1.0688228711891608E-4</v>
      </c>
      <c r="O159" s="434">
        <f>N159/K159</f>
        <v>3.5627429039638692E-5</v>
      </c>
      <c r="P159" s="433">
        <f>$C$26</f>
        <v>9.5976000000000013E-3</v>
      </c>
      <c r="Q159" s="433">
        <f>$D$26</f>
        <v>1.8601738665676483E-3</v>
      </c>
      <c r="R159" s="144">
        <f>O159/P159</f>
        <v>3.7121185546010135E-3</v>
      </c>
      <c r="S159" s="139">
        <f>O159/Q159</f>
        <v>1.9152741407650047E-2</v>
      </c>
      <c r="T159" s="1068">
        <f>'Yield Mechanism'!$AI$57</f>
        <v>4.4172072334350689</v>
      </c>
      <c r="U159" s="144">
        <f>T159*K159</f>
        <v>13.251621700305208</v>
      </c>
      <c r="V159" s="139">
        <f>U161/AB159</f>
        <v>9.9999999999999982</v>
      </c>
      <c r="W159" s="415"/>
      <c r="X159" s="268">
        <v>3</v>
      </c>
      <c r="Y159" s="139">
        <f>'Structural Information'!$Z$6</f>
        <v>37.8446</v>
      </c>
      <c r="Z159" s="139">
        <f>Y159*M159</f>
        <v>1.8334080164825857E-2</v>
      </c>
      <c r="AA159" s="139">
        <f>Z159*L159</f>
        <v>0.16042320144222624</v>
      </c>
      <c r="AB159" s="139">
        <f>AA162/Z162</f>
        <v>6.5019631868360159</v>
      </c>
    </row>
    <row r="160" spans="10:28" x14ac:dyDescent="0.25">
      <c r="J160" s="432">
        <v>2</v>
      </c>
      <c r="K160" s="144">
        <f>'Structural Information'!$U$7</f>
        <v>3</v>
      </c>
      <c r="L160" s="144">
        <f>L161+K160</f>
        <v>5.75</v>
      </c>
      <c r="M160" s="433">
        <f>'Yield Mechanism'!$K$50</f>
        <v>3.7757468071337324E-4</v>
      </c>
      <c r="N160" s="140">
        <f>M160-M161</f>
        <v>1.811169907013729E-4</v>
      </c>
      <c r="O160" s="434">
        <f>N160/K160</f>
        <v>6.0372330233790966E-5</v>
      </c>
      <c r="P160" s="433">
        <f>$C$27</f>
        <v>9.1744770034843208E-3</v>
      </c>
      <c r="Q160" s="433">
        <f>$D$27</f>
        <v>1.7655780345468453E-3</v>
      </c>
      <c r="R160" s="139">
        <f>O160/P160</f>
        <v>6.5804655906666412E-3</v>
      </c>
      <c r="S160" s="139">
        <f>O160/Q160</f>
        <v>3.4194087744915891E-2</v>
      </c>
      <c r="T160" s="1068">
        <f>'Yield Mechanism'!$AI$58</f>
        <v>8.0893367226849797</v>
      </c>
      <c r="U160" s="144">
        <f>U159+T160*K160</f>
        <v>37.51963186836015</v>
      </c>
      <c r="V160" s="435"/>
      <c r="W160" s="415"/>
      <c r="X160" s="268">
        <v>2</v>
      </c>
      <c r="Y160" s="139">
        <f>'Structural Information'!$Z$7</f>
        <v>40.367000000000004</v>
      </c>
      <c r="Z160" s="139">
        <f>Y160*M160</f>
        <v>1.5241557136356739E-2</v>
      </c>
      <c r="AA160" s="139">
        <f>Z160*L160</f>
        <v>8.7638953534051253E-2</v>
      </c>
      <c r="AB160" s="504" t="s">
        <v>339</v>
      </c>
    </row>
    <row r="161" spans="10:28" x14ac:dyDescent="0.25">
      <c r="J161" s="432">
        <v>1</v>
      </c>
      <c r="K161" s="144">
        <f>'Structural Information'!$U$8</f>
        <v>2.75</v>
      </c>
      <c r="L161" s="144">
        <f>K161</f>
        <v>2.75</v>
      </c>
      <c r="M161" s="433">
        <f>'Yield Mechanism'!$K$51</f>
        <v>1.9645769001200034E-4</v>
      </c>
      <c r="N161" s="140">
        <f>M161</f>
        <v>1.9645769001200034E-4</v>
      </c>
      <c r="O161" s="434">
        <f>N161/K161</f>
        <v>7.1439160004363767E-5</v>
      </c>
      <c r="P161" s="433">
        <f>$C$28</f>
        <v>8.1000948897978157E-3</v>
      </c>
      <c r="Q161" s="433">
        <f>$D$28</f>
        <v>1.7443905747548439E-3</v>
      </c>
      <c r="R161" s="139">
        <f>O161/P161</f>
        <v>8.8195460641260388E-3</v>
      </c>
      <c r="S161" s="139">
        <f>O161/Q161</f>
        <v>4.0953649393802645E-2</v>
      </c>
      <c r="T161" s="1068">
        <f>'Yield Mechanism'!$AI$59</f>
        <v>9.9999999999999982</v>
      </c>
      <c r="U161" s="144">
        <f>U160+T161*K161</f>
        <v>65.01963186836015</v>
      </c>
      <c r="V161" s="436"/>
      <c r="W161" s="415"/>
      <c r="X161" s="268">
        <v>1</v>
      </c>
      <c r="Y161" s="139">
        <f>'Structural Information'!$Z$8</f>
        <v>40.367000000000004</v>
      </c>
      <c r="Z161" s="139">
        <f>Y161*M161</f>
        <v>7.930407572714418E-3</v>
      </c>
      <c r="AA161" s="139">
        <f>Z161*L161</f>
        <v>2.1808620824964649E-2</v>
      </c>
      <c r="AB161" s="143">
        <f>T161/M159</f>
        <v>20641.668226478738</v>
      </c>
    </row>
    <row r="162" spans="10:28" x14ac:dyDescent="0.25">
      <c r="V162" s="437"/>
      <c r="W162" s="415"/>
      <c r="X162" s="438"/>
      <c r="Y162" s="504" t="s">
        <v>82</v>
      </c>
      <c r="Z162" s="439">
        <f>SUM(Z159:Z161)</f>
        <v>4.1506044873897016E-2</v>
      </c>
      <c r="AA162" s="439">
        <f>SUM(AA159:AA161)</f>
        <v>0.26987077580124214</v>
      </c>
      <c r="AB162" s="505" t="s">
        <v>341</v>
      </c>
    </row>
    <row r="163" spans="10:28" x14ac:dyDescent="0.25">
      <c r="W163" s="415"/>
      <c r="X163" s="438"/>
      <c r="Y163" s="440"/>
      <c r="Z163" s="440"/>
      <c r="AA163" s="441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106.37626559609419</v>
      </c>
    </row>
    <row r="164" spans="10:28" x14ac:dyDescent="0.25">
      <c r="W164" s="415"/>
      <c r="X164" s="438"/>
      <c r="Y164" s="180"/>
      <c r="Z164" s="180"/>
      <c r="AA164" s="442"/>
      <c r="AB164" s="504" t="s">
        <v>340</v>
      </c>
    </row>
    <row r="165" spans="10:28" x14ac:dyDescent="0.25">
      <c r="X165" s="443"/>
      <c r="Y165" s="444"/>
      <c r="Z165" s="444"/>
      <c r="AA165" s="445"/>
      <c r="AB165" s="143">
        <f>2*PI()*SQRT(AB163/AB161)</f>
        <v>0.45105535346311953</v>
      </c>
    </row>
    <row r="167" spans="10:28" x14ac:dyDescent="0.25">
      <c r="J167" s="1026" t="s">
        <v>347</v>
      </c>
      <c r="K167" s="1027"/>
      <c r="L167" s="1027"/>
      <c r="M167" s="1027"/>
      <c r="N167" s="1027"/>
      <c r="O167" s="1027"/>
      <c r="P167" s="1027"/>
      <c r="Q167" s="1027"/>
      <c r="R167" s="1027"/>
      <c r="S167" s="1027"/>
      <c r="T167" s="1027"/>
      <c r="U167" s="1027"/>
      <c r="V167" s="1028"/>
      <c r="W167" s="457"/>
      <c r="X167" s="1026" t="s">
        <v>109</v>
      </c>
      <c r="Y167" s="1027"/>
      <c r="Z167" s="1027"/>
      <c r="AA167" s="1027"/>
      <c r="AB167" s="1028"/>
    </row>
    <row r="168" spans="10:28" ht="15" customHeight="1" x14ac:dyDescent="0.25">
      <c r="J168" s="1019" t="s">
        <v>9</v>
      </c>
      <c r="K168" s="1020" t="s">
        <v>3</v>
      </c>
      <c r="L168" s="1020" t="s">
        <v>76</v>
      </c>
      <c r="M168" s="1019" t="s">
        <v>78</v>
      </c>
      <c r="N168" s="1019" t="s">
        <v>85</v>
      </c>
      <c r="O168" s="1020" t="s">
        <v>104</v>
      </c>
      <c r="P168" s="1020" t="s">
        <v>262</v>
      </c>
      <c r="Q168" s="1020" t="s">
        <v>263</v>
      </c>
      <c r="R168" s="1019" t="s">
        <v>419</v>
      </c>
      <c r="S168" s="1019" t="s">
        <v>420</v>
      </c>
      <c r="T168" s="1019" t="s">
        <v>79</v>
      </c>
      <c r="U168" s="1020" t="s">
        <v>105</v>
      </c>
      <c r="V168" s="1019" t="s">
        <v>83</v>
      </c>
      <c r="X168" s="619" t="s">
        <v>9</v>
      </c>
      <c r="Y168" s="1021" t="s">
        <v>80</v>
      </c>
      <c r="Z168" s="1021" t="s">
        <v>81</v>
      </c>
      <c r="AA168" s="1021" t="s">
        <v>107</v>
      </c>
      <c r="AB168" s="656" t="s">
        <v>108</v>
      </c>
    </row>
    <row r="169" spans="10:28" x14ac:dyDescent="0.25">
      <c r="J169" s="814"/>
      <c r="K169" s="962"/>
      <c r="L169" s="962"/>
      <c r="M169" s="814"/>
      <c r="N169" s="814"/>
      <c r="O169" s="962"/>
      <c r="P169" s="962"/>
      <c r="Q169" s="962"/>
      <c r="R169" s="814"/>
      <c r="S169" s="814"/>
      <c r="T169" s="814"/>
      <c r="U169" s="962"/>
      <c r="V169" s="814"/>
      <c r="X169" s="619"/>
      <c r="Y169" s="1021"/>
      <c r="Z169" s="1021"/>
      <c r="AA169" s="1021"/>
      <c r="AB169" s="656"/>
    </row>
    <row r="170" spans="10:28" x14ac:dyDescent="0.25">
      <c r="J170" s="432">
        <v>3</v>
      </c>
      <c r="K170" s="144">
        <f>'Structural Information'!$U$6</f>
        <v>3</v>
      </c>
      <c r="L170" s="144">
        <f>L171+K170</f>
        <v>8.75</v>
      </c>
      <c r="M170" s="433">
        <f>'Yield Mechanism'!$K$49</f>
        <v>4.8445696783228933E-4</v>
      </c>
      <c r="N170" s="140">
        <f>M170-M171</f>
        <v>1.0688228711891608E-4</v>
      </c>
      <c r="O170" s="434">
        <f>N170/K170</f>
        <v>3.5627429039638692E-5</v>
      </c>
      <c r="P170" s="433">
        <f>$C$26</f>
        <v>9.5976000000000013E-3</v>
      </c>
      <c r="Q170" s="433">
        <f>$D$26</f>
        <v>1.8601738665676483E-3</v>
      </c>
      <c r="R170" s="144">
        <f>O170/P170</f>
        <v>3.7121185546010135E-3</v>
      </c>
      <c r="S170" s="139">
        <f>O170/Q170</f>
        <v>1.9152741407650047E-2</v>
      </c>
      <c r="T170" s="1068">
        <f>'Yield Mechanism'!$AI$57</f>
        <v>4.4172072334350689</v>
      </c>
      <c r="U170" s="144">
        <f>T170*K170</f>
        <v>13.251621700305208</v>
      </c>
      <c r="V170" s="139">
        <f>U172/AB170</f>
        <v>9.9999999999999982</v>
      </c>
      <c r="W170" s="415"/>
      <c r="X170" s="268">
        <v>3</v>
      </c>
      <c r="Y170" s="139">
        <f>'Structural Information'!$Z$6</f>
        <v>37.8446</v>
      </c>
      <c r="Z170" s="139">
        <f>Y170*M170</f>
        <v>1.8334080164825857E-2</v>
      </c>
      <c r="AA170" s="139">
        <f>Z170*L170</f>
        <v>0.16042320144222624</v>
      </c>
      <c r="AB170" s="139">
        <f>AA173/Z173</f>
        <v>6.5019631868360159</v>
      </c>
    </row>
    <row r="171" spans="10:28" x14ac:dyDescent="0.25">
      <c r="J171" s="432">
        <v>2</v>
      </c>
      <c r="K171" s="144">
        <f>'Structural Information'!$U$7</f>
        <v>3</v>
      </c>
      <c r="L171" s="144">
        <f>L172+K171</f>
        <v>5.75</v>
      </c>
      <c r="M171" s="433">
        <f>'Yield Mechanism'!$K$50</f>
        <v>3.7757468071337324E-4</v>
      </c>
      <c r="N171" s="140">
        <f>M171-M172</f>
        <v>1.811169907013729E-4</v>
      </c>
      <c r="O171" s="434">
        <f>N171/K171</f>
        <v>6.0372330233790966E-5</v>
      </c>
      <c r="P171" s="433">
        <f>$C$27</f>
        <v>9.1744770034843208E-3</v>
      </c>
      <c r="Q171" s="433">
        <f>$D$27</f>
        <v>1.7655780345468453E-3</v>
      </c>
      <c r="R171" s="139">
        <f>O171/P171</f>
        <v>6.5804655906666412E-3</v>
      </c>
      <c r="S171" s="139">
        <f>O171/Q171</f>
        <v>3.4194087744915891E-2</v>
      </c>
      <c r="T171" s="1068">
        <f>'Yield Mechanism'!$AI$58</f>
        <v>8.0893367226849797</v>
      </c>
      <c r="U171" s="144">
        <f>U170+T171*K171</f>
        <v>37.51963186836015</v>
      </c>
      <c r="V171" s="435"/>
      <c r="W171" s="415"/>
      <c r="X171" s="268">
        <v>2</v>
      </c>
      <c r="Y171" s="139">
        <f>'Structural Information'!$Z$7</f>
        <v>40.367000000000004</v>
      </c>
      <c r="Z171" s="139">
        <f>Y171*M171</f>
        <v>1.5241557136356739E-2</v>
      </c>
      <c r="AA171" s="139">
        <f>Z171*L171</f>
        <v>8.7638953534051253E-2</v>
      </c>
      <c r="AB171" s="504" t="s">
        <v>339</v>
      </c>
    </row>
    <row r="172" spans="10:28" x14ac:dyDescent="0.25">
      <c r="J172" s="432">
        <v>1</v>
      </c>
      <c r="K172" s="144">
        <f>'Structural Information'!$U$8</f>
        <v>2.75</v>
      </c>
      <c r="L172" s="144">
        <f>K172</f>
        <v>2.75</v>
      </c>
      <c r="M172" s="433">
        <f>'Yield Mechanism'!$K$51</f>
        <v>1.9645769001200034E-4</v>
      </c>
      <c r="N172" s="140">
        <f>M172</f>
        <v>1.9645769001200034E-4</v>
      </c>
      <c r="O172" s="434">
        <f>N172/K172</f>
        <v>7.1439160004363767E-5</v>
      </c>
      <c r="P172" s="433">
        <f>$C$28</f>
        <v>8.1000948897978157E-3</v>
      </c>
      <c r="Q172" s="433">
        <f>$D$28</f>
        <v>1.7443905747548439E-3</v>
      </c>
      <c r="R172" s="139">
        <f>O172/P172</f>
        <v>8.8195460641260388E-3</v>
      </c>
      <c r="S172" s="139">
        <f>O172/Q172</f>
        <v>4.0953649393802645E-2</v>
      </c>
      <c r="T172" s="1068">
        <f>'Yield Mechanism'!$AI$59</f>
        <v>9.9999999999999982</v>
      </c>
      <c r="U172" s="144">
        <f>U171+T172*K172</f>
        <v>65.01963186836015</v>
      </c>
      <c r="V172" s="436"/>
      <c r="W172" s="415"/>
      <c r="X172" s="268">
        <v>1</v>
      </c>
      <c r="Y172" s="139">
        <f>'Structural Information'!$Z$8</f>
        <v>40.367000000000004</v>
      </c>
      <c r="Z172" s="139">
        <f>Y172*M172</f>
        <v>7.930407572714418E-3</v>
      </c>
      <c r="AA172" s="139">
        <f>Z172*L172</f>
        <v>2.1808620824964649E-2</v>
      </c>
      <c r="AB172" s="143">
        <f>T172/M170</f>
        <v>20641.668226478738</v>
      </c>
    </row>
    <row r="173" spans="10:28" x14ac:dyDescent="0.25">
      <c r="V173" s="437"/>
      <c r="W173" s="415"/>
      <c r="X173" s="438"/>
      <c r="Y173" s="504" t="s">
        <v>82</v>
      </c>
      <c r="Z173" s="439">
        <f>SUM(Z170:Z172)</f>
        <v>4.1506044873897016E-2</v>
      </c>
      <c r="AA173" s="439">
        <f>SUM(AA170:AA172)</f>
        <v>0.26987077580124214</v>
      </c>
      <c r="AB173" s="505" t="s">
        <v>341</v>
      </c>
    </row>
    <row r="174" spans="10:28" x14ac:dyDescent="0.25">
      <c r="W174" s="415"/>
      <c r="X174" s="438"/>
      <c r="Y174" s="440"/>
      <c r="Z174" s="440"/>
      <c r="AA174" s="441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106.37626559609419</v>
      </c>
    </row>
    <row r="175" spans="10:28" x14ac:dyDescent="0.25">
      <c r="W175" s="415"/>
      <c r="X175" s="438"/>
      <c r="Y175" s="180"/>
      <c r="Z175" s="180"/>
      <c r="AA175" s="442"/>
      <c r="AB175" s="504" t="s">
        <v>340</v>
      </c>
    </row>
    <row r="176" spans="10:28" x14ac:dyDescent="0.25">
      <c r="X176" s="443"/>
      <c r="Y176" s="444"/>
      <c r="Z176" s="444"/>
      <c r="AA176" s="445"/>
      <c r="AB176" s="143">
        <f>2*PI()*SQRT(AB174/AB172)</f>
        <v>0.45105535346311953</v>
      </c>
    </row>
    <row r="177" spans="3:28" x14ac:dyDescent="0.25">
      <c r="R177" s="458"/>
      <c r="S177" s="458"/>
    </row>
    <row r="178" spans="3:28" x14ac:dyDescent="0.25">
      <c r="J178" s="1026" t="s">
        <v>348</v>
      </c>
      <c r="K178" s="1027"/>
      <c r="L178" s="1027"/>
      <c r="M178" s="1027"/>
      <c r="N178" s="1027"/>
      <c r="O178" s="1027"/>
      <c r="P178" s="1027"/>
      <c r="Q178" s="1027"/>
      <c r="R178" s="1027"/>
      <c r="S178" s="1027"/>
      <c r="T178" s="1027"/>
      <c r="U178" s="1027"/>
      <c r="V178" s="1028"/>
      <c r="W178" s="457"/>
      <c r="X178" s="1018" t="s">
        <v>109</v>
      </c>
      <c r="Y178" s="1018"/>
      <c r="Z178" s="1018"/>
      <c r="AA178" s="1018"/>
      <c r="AB178" s="1018"/>
    </row>
    <row r="179" spans="3:28" ht="15" customHeight="1" x14ac:dyDescent="0.25">
      <c r="J179" s="1019" t="s">
        <v>9</v>
      </c>
      <c r="K179" s="1020" t="s">
        <v>3</v>
      </c>
      <c r="L179" s="1020" t="s">
        <v>76</v>
      </c>
      <c r="M179" s="1019" t="s">
        <v>78</v>
      </c>
      <c r="N179" s="1019" t="s">
        <v>85</v>
      </c>
      <c r="O179" s="1020" t="s">
        <v>104</v>
      </c>
      <c r="P179" s="1020" t="s">
        <v>262</v>
      </c>
      <c r="Q179" s="1020" t="s">
        <v>263</v>
      </c>
      <c r="R179" s="1019" t="s">
        <v>419</v>
      </c>
      <c r="S179" s="1019" t="s">
        <v>420</v>
      </c>
      <c r="T179" s="1019" t="s">
        <v>79</v>
      </c>
      <c r="U179" s="1020" t="s">
        <v>105</v>
      </c>
      <c r="V179" s="1019" t="s">
        <v>83</v>
      </c>
      <c r="X179" s="619" t="s">
        <v>9</v>
      </c>
      <c r="Y179" s="1021" t="s">
        <v>80</v>
      </c>
      <c r="Z179" s="1021" t="s">
        <v>81</v>
      </c>
      <c r="AA179" s="1021" t="s">
        <v>107</v>
      </c>
      <c r="AB179" s="656" t="s">
        <v>108</v>
      </c>
    </row>
    <row r="180" spans="3:28" x14ac:dyDescent="0.25">
      <c r="J180" s="814"/>
      <c r="K180" s="962"/>
      <c r="L180" s="962"/>
      <c r="M180" s="814"/>
      <c r="N180" s="814"/>
      <c r="O180" s="962"/>
      <c r="P180" s="962"/>
      <c r="Q180" s="962"/>
      <c r="R180" s="814"/>
      <c r="S180" s="814"/>
      <c r="T180" s="814"/>
      <c r="U180" s="962"/>
      <c r="V180" s="814"/>
      <c r="X180" s="619"/>
      <c r="Y180" s="1021"/>
      <c r="Z180" s="1021"/>
      <c r="AA180" s="1021"/>
      <c r="AB180" s="656"/>
    </row>
    <row r="181" spans="3:28" x14ac:dyDescent="0.25">
      <c r="J181" s="432">
        <v>3</v>
      </c>
      <c r="K181" s="144">
        <f>'Structural Information'!$U$6</f>
        <v>3</v>
      </c>
      <c r="L181" s="144">
        <f>L182+K181</f>
        <v>8.75</v>
      </c>
      <c r="M181" s="433">
        <f>'Yield Mechanism'!$K$49</f>
        <v>4.8445696783228933E-4</v>
      </c>
      <c r="N181" s="140">
        <f>M181-M182</f>
        <v>1.0688228711891608E-4</v>
      </c>
      <c r="O181" s="434">
        <f>N181/K181</f>
        <v>3.5627429039638692E-5</v>
      </c>
      <c r="P181" s="433">
        <f>$C$26</f>
        <v>9.5976000000000013E-3</v>
      </c>
      <c r="Q181" s="433">
        <f>$D$26</f>
        <v>1.8601738665676483E-3</v>
      </c>
      <c r="R181" s="144">
        <f>O181/P181</f>
        <v>3.7121185546010135E-3</v>
      </c>
      <c r="S181" s="139">
        <f>O181/Q181</f>
        <v>1.9152741407650047E-2</v>
      </c>
      <c r="T181" s="1068">
        <f>'Yield Mechanism'!$AI$57</f>
        <v>4.4172072334350689</v>
      </c>
      <c r="U181" s="144">
        <f>T181*K181</f>
        <v>13.251621700305208</v>
      </c>
      <c r="V181" s="139">
        <f>U183/AB181</f>
        <v>9.9999999999999982</v>
      </c>
      <c r="W181" s="415"/>
      <c r="X181" s="268">
        <v>3</v>
      </c>
      <c r="Y181" s="139">
        <f>'Structural Information'!$Z$6</f>
        <v>37.8446</v>
      </c>
      <c r="Z181" s="139">
        <f>Y181*M181</f>
        <v>1.8334080164825857E-2</v>
      </c>
      <c r="AA181" s="139">
        <f>Z181*L181</f>
        <v>0.16042320144222624</v>
      </c>
      <c r="AB181" s="139">
        <f>AA184/Z184</f>
        <v>6.5019631868360159</v>
      </c>
    </row>
    <row r="182" spans="3:28" x14ac:dyDescent="0.25">
      <c r="J182" s="432">
        <v>2</v>
      </c>
      <c r="K182" s="144">
        <f>'Structural Information'!$U$7</f>
        <v>3</v>
      </c>
      <c r="L182" s="144">
        <f>L183+K182</f>
        <v>5.75</v>
      </c>
      <c r="M182" s="433">
        <f>'Yield Mechanism'!$K$50</f>
        <v>3.7757468071337324E-4</v>
      </c>
      <c r="N182" s="140">
        <f>M182-M183</f>
        <v>1.811169907013729E-4</v>
      </c>
      <c r="O182" s="434">
        <f>N182/K182</f>
        <v>6.0372330233790966E-5</v>
      </c>
      <c r="P182" s="433">
        <f>$C$27</f>
        <v>9.1744770034843208E-3</v>
      </c>
      <c r="Q182" s="433">
        <f>$D$27</f>
        <v>1.7655780345468453E-3</v>
      </c>
      <c r="R182" s="139">
        <f>O182/P182</f>
        <v>6.5804655906666412E-3</v>
      </c>
      <c r="S182" s="139">
        <f>O182/Q182</f>
        <v>3.4194087744915891E-2</v>
      </c>
      <c r="T182" s="1068">
        <f>'Yield Mechanism'!$AI$58</f>
        <v>8.0893367226849797</v>
      </c>
      <c r="U182" s="144">
        <f>U181+T182*K182</f>
        <v>37.51963186836015</v>
      </c>
      <c r="V182" s="435"/>
      <c r="W182" s="415"/>
      <c r="X182" s="268">
        <v>2</v>
      </c>
      <c r="Y182" s="139">
        <f>'Structural Information'!$Z$7</f>
        <v>40.367000000000004</v>
      </c>
      <c r="Z182" s="139">
        <f>Y182*M182</f>
        <v>1.5241557136356739E-2</v>
      </c>
      <c r="AA182" s="139">
        <f>Z182*L182</f>
        <v>8.7638953534051253E-2</v>
      </c>
      <c r="AB182" s="504" t="s">
        <v>339</v>
      </c>
    </row>
    <row r="183" spans="3:28" x14ac:dyDescent="0.25">
      <c r="J183" s="432">
        <v>1</v>
      </c>
      <c r="K183" s="144">
        <f>'Structural Information'!$U$8</f>
        <v>2.75</v>
      </c>
      <c r="L183" s="144">
        <f>K183</f>
        <v>2.75</v>
      </c>
      <c r="M183" s="433">
        <f>'Yield Mechanism'!$K$51</f>
        <v>1.9645769001200034E-4</v>
      </c>
      <c r="N183" s="140">
        <f>M183</f>
        <v>1.9645769001200034E-4</v>
      </c>
      <c r="O183" s="434">
        <f>N183/K183</f>
        <v>7.1439160004363767E-5</v>
      </c>
      <c r="P183" s="433">
        <f>$C$28</f>
        <v>8.1000948897978157E-3</v>
      </c>
      <c r="Q183" s="433">
        <f>$D$28</f>
        <v>1.7443905747548439E-3</v>
      </c>
      <c r="R183" s="139">
        <f>O183/P183</f>
        <v>8.8195460641260388E-3</v>
      </c>
      <c r="S183" s="139">
        <f>O183/Q183</f>
        <v>4.0953649393802645E-2</v>
      </c>
      <c r="T183" s="1068">
        <f>'Yield Mechanism'!$AI$59</f>
        <v>9.9999999999999982</v>
      </c>
      <c r="U183" s="144">
        <f>U182+T183*K183</f>
        <v>65.01963186836015</v>
      </c>
      <c r="V183" s="436"/>
      <c r="W183" s="415"/>
      <c r="X183" s="268">
        <v>1</v>
      </c>
      <c r="Y183" s="139">
        <f>'Structural Information'!$Z$8</f>
        <v>40.367000000000004</v>
      </c>
      <c r="Z183" s="139">
        <f>Y183*M183</f>
        <v>7.930407572714418E-3</v>
      </c>
      <c r="AA183" s="139">
        <f>Z183*L183</f>
        <v>2.1808620824964649E-2</v>
      </c>
      <c r="AB183" s="143">
        <f>T183/M181</f>
        <v>20641.668226478738</v>
      </c>
    </row>
    <row r="184" spans="3:28" x14ac:dyDescent="0.25">
      <c r="V184" s="437"/>
      <c r="W184" s="415"/>
      <c r="X184" s="438"/>
      <c r="Y184" s="504" t="s">
        <v>82</v>
      </c>
      <c r="Z184" s="439">
        <f>SUM(Z181:Z183)</f>
        <v>4.1506044873897016E-2</v>
      </c>
      <c r="AA184" s="439">
        <f>SUM(AA181:AA183)</f>
        <v>0.26987077580124214</v>
      </c>
      <c r="AB184" s="505" t="s">
        <v>341</v>
      </c>
    </row>
    <row r="185" spans="3:28" x14ac:dyDescent="0.25">
      <c r="C185" s="1061" t="s">
        <v>293</v>
      </c>
      <c r="D185" s="1062"/>
      <c r="E185" s="1062"/>
      <c r="F185" s="1063"/>
      <c r="W185" s="415"/>
      <c r="X185" s="438"/>
      <c r="Y185" s="440"/>
      <c r="Z185" s="440"/>
      <c r="AA185" s="441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106.37626559609419</v>
      </c>
    </row>
    <row r="186" spans="3:28" x14ac:dyDescent="0.25">
      <c r="C186" s="814" t="s">
        <v>9</v>
      </c>
      <c r="D186" s="1064" t="str">
        <f>H135</f>
        <v>LS6 Δi</v>
      </c>
      <c r="E186" s="1066">
        <f>D125</f>
        <v>-184.4864</v>
      </c>
      <c r="F186" s="814" t="s">
        <v>242</v>
      </c>
      <c r="W186" s="415"/>
      <c r="X186" s="438"/>
      <c r="Y186" s="180"/>
      <c r="Z186" s="180"/>
      <c r="AA186" s="442"/>
      <c r="AB186" s="504" t="s">
        <v>340</v>
      </c>
    </row>
    <row r="187" spans="3:28" x14ac:dyDescent="0.25">
      <c r="C187" s="619"/>
      <c r="D187" s="1065"/>
      <c r="E187" s="1067"/>
      <c r="F187" s="619"/>
      <c r="X187" s="443"/>
      <c r="Y187" s="444"/>
      <c r="Z187" s="444"/>
      <c r="AA187" s="445"/>
      <c r="AB187" s="143">
        <f>2*PI()*SQRT(AB185/AB183)</f>
        <v>0.45105535346311953</v>
      </c>
    </row>
    <row r="188" spans="3:28" x14ac:dyDescent="0.25">
      <c r="C188" s="467">
        <v>3</v>
      </c>
      <c r="D188" s="468">
        <f>H137/$H$137</f>
        <v>1</v>
      </c>
      <c r="E188" s="468">
        <f>D126/$D$126</f>
        <v>1</v>
      </c>
      <c r="F188" s="469">
        <f>(E188-D188)/E188</f>
        <v>0</v>
      </c>
      <c r="Q188" s="227"/>
      <c r="T188" s="459"/>
    </row>
    <row r="189" spans="3:28" x14ac:dyDescent="0.25">
      <c r="C189" s="467">
        <v>2</v>
      </c>
      <c r="D189" s="468">
        <f>H138/$H$137</f>
        <v>-0.5212559464012787</v>
      </c>
      <c r="E189" s="468">
        <f>D127/$D$126</f>
        <v>0.75690858792158111</v>
      </c>
      <c r="F189" s="469">
        <f>(E189-D189)/E189</f>
        <v>1.6886643310952669</v>
      </c>
      <c r="J189" s="1018" t="s">
        <v>349</v>
      </c>
      <c r="K189" s="1018"/>
      <c r="L189" s="1018"/>
      <c r="M189" s="1018"/>
      <c r="N189" s="1018"/>
      <c r="O189" s="1018"/>
      <c r="P189" s="1018"/>
      <c r="Q189" s="1018"/>
      <c r="R189" s="1018"/>
      <c r="S189" s="1018"/>
      <c r="T189" s="1018"/>
      <c r="U189" s="1018"/>
      <c r="V189" s="1018"/>
      <c r="W189" s="457"/>
      <c r="X189" s="1018" t="s">
        <v>109</v>
      </c>
      <c r="Y189" s="1018"/>
      <c r="Z189" s="1018"/>
      <c r="AA189" s="1018"/>
      <c r="AB189" s="1018"/>
    </row>
    <row r="190" spans="3:28" ht="15" customHeight="1" x14ac:dyDescent="0.25">
      <c r="C190" s="467">
        <v>1</v>
      </c>
      <c r="D190" s="468">
        <f>H139/$H$137</f>
        <v>-0.63316036140176102</v>
      </c>
      <c r="E190" s="468">
        <f>D128/$D$126</f>
        <v>0.36780852700016975</v>
      </c>
      <c r="F190" s="469">
        <f>(E190-D190)/E190</f>
        <v>2.7214401377961224</v>
      </c>
      <c r="J190" s="1019" t="s">
        <v>9</v>
      </c>
      <c r="K190" s="1020" t="s">
        <v>3</v>
      </c>
      <c r="L190" s="1020" t="s">
        <v>76</v>
      </c>
      <c r="M190" s="1019" t="s">
        <v>78</v>
      </c>
      <c r="N190" s="1019" t="s">
        <v>85</v>
      </c>
      <c r="O190" s="1020" t="s">
        <v>104</v>
      </c>
      <c r="P190" s="1020" t="s">
        <v>262</v>
      </c>
      <c r="Q190" s="1020" t="s">
        <v>263</v>
      </c>
      <c r="R190" s="1019" t="s">
        <v>419</v>
      </c>
      <c r="S190" s="1019" t="s">
        <v>420</v>
      </c>
      <c r="T190" s="1019" t="s">
        <v>79</v>
      </c>
      <c r="U190" s="1020" t="s">
        <v>105</v>
      </c>
      <c r="V190" s="1019" t="s">
        <v>83</v>
      </c>
      <c r="X190" s="619" t="s">
        <v>9</v>
      </c>
      <c r="Y190" s="1021" t="s">
        <v>80</v>
      </c>
      <c r="Z190" s="1021" t="s">
        <v>81</v>
      </c>
      <c r="AA190" s="1021" t="s">
        <v>107</v>
      </c>
      <c r="AB190" s="656" t="s">
        <v>108</v>
      </c>
    </row>
    <row r="191" spans="3:28" x14ac:dyDescent="0.25">
      <c r="C191" s="470">
        <v>0</v>
      </c>
      <c r="D191" s="471">
        <f>H140/$H$137</f>
        <v>0</v>
      </c>
      <c r="E191" s="471">
        <f>D129/$D$126</f>
        <v>0</v>
      </c>
      <c r="F191" s="472">
        <v>0</v>
      </c>
      <c r="J191" s="814"/>
      <c r="K191" s="962"/>
      <c r="L191" s="962"/>
      <c r="M191" s="814"/>
      <c r="N191" s="814"/>
      <c r="O191" s="962"/>
      <c r="P191" s="962"/>
      <c r="Q191" s="962"/>
      <c r="R191" s="814"/>
      <c r="S191" s="814"/>
      <c r="T191" s="814"/>
      <c r="U191" s="962"/>
      <c r="V191" s="814"/>
      <c r="X191" s="619"/>
      <c r="Y191" s="1021"/>
      <c r="Z191" s="1021"/>
      <c r="AA191" s="1021"/>
      <c r="AB191" s="656"/>
    </row>
    <row r="192" spans="3:28" x14ac:dyDescent="0.25">
      <c r="J192" s="432">
        <v>3</v>
      </c>
      <c r="K192" s="144">
        <f>'Structural Information'!$U$6</f>
        <v>3</v>
      </c>
      <c r="L192" s="144">
        <f>L193+K192</f>
        <v>8.75</v>
      </c>
      <c r="M192" s="433">
        <f>'Yield Mechanism'!$K$49</f>
        <v>4.8445696783228933E-4</v>
      </c>
      <c r="N192" s="140">
        <f>M192-M193</f>
        <v>1.0688228711891608E-4</v>
      </c>
      <c r="O192" s="434">
        <f>N192/K192</f>
        <v>3.5627429039638692E-5</v>
      </c>
      <c r="P192" s="433">
        <f>$C$26</f>
        <v>9.5976000000000013E-3</v>
      </c>
      <c r="Q192" s="433">
        <f>$D$26</f>
        <v>1.8601738665676483E-3</v>
      </c>
      <c r="R192" s="144">
        <f>O192/P192</f>
        <v>3.7121185546010135E-3</v>
      </c>
      <c r="S192" s="139">
        <f>O192/Q192</f>
        <v>1.9152741407650047E-2</v>
      </c>
      <c r="T192" s="1068">
        <f>'Yield Mechanism'!$AI$57</f>
        <v>4.4172072334350689</v>
      </c>
      <c r="U192" s="144">
        <f>T192*K192</f>
        <v>13.251621700305208</v>
      </c>
      <c r="V192" s="139">
        <f>U194/AB192</f>
        <v>9.9999999999999982</v>
      </c>
      <c r="W192" s="415"/>
      <c r="X192" s="268">
        <v>3</v>
      </c>
      <c r="Y192" s="139">
        <f>'Structural Information'!$Z$6</f>
        <v>37.8446</v>
      </c>
      <c r="Z192" s="139">
        <f>Y192*M192</f>
        <v>1.8334080164825857E-2</v>
      </c>
      <c r="AA192" s="139">
        <f>Z192*L192</f>
        <v>0.16042320144222624</v>
      </c>
      <c r="AB192" s="139">
        <f>AA195/Z195</f>
        <v>6.5019631868360159</v>
      </c>
    </row>
    <row r="193" spans="10:28" x14ac:dyDescent="0.25">
      <c r="J193" s="432">
        <v>2</v>
      </c>
      <c r="K193" s="144">
        <f>'Structural Information'!$U$7</f>
        <v>3</v>
      </c>
      <c r="L193" s="144">
        <f>L194+K193</f>
        <v>5.75</v>
      </c>
      <c r="M193" s="433">
        <f>'Yield Mechanism'!$K$50</f>
        <v>3.7757468071337324E-4</v>
      </c>
      <c r="N193" s="140">
        <f>M193-M194</f>
        <v>1.811169907013729E-4</v>
      </c>
      <c r="O193" s="434">
        <f>N193/K193</f>
        <v>6.0372330233790966E-5</v>
      </c>
      <c r="P193" s="433">
        <f>$C$27</f>
        <v>9.1744770034843208E-3</v>
      </c>
      <c r="Q193" s="433">
        <f>$D$27</f>
        <v>1.7655780345468453E-3</v>
      </c>
      <c r="R193" s="139">
        <f>O193/P193</f>
        <v>6.5804655906666412E-3</v>
      </c>
      <c r="S193" s="139">
        <f>O193/Q193</f>
        <v>3.4194087744915891E-2</v>
      </c>
      <c r="T193" s="1068">
        <f>'Yield Mechanism'!$AI$58</f>
        <v>8.0893367226849797</v>
      </c>
      <c r="U193" s="144">
        <f>U192+T193*K193</f>
        <v>37.51963186836015</v>
      </c>
      <c r="V193" s="435"/>
      <c r="W193" s="415"/>
      <c r="X193" s="268">
        <v>2</v>
      </c>
      <c r="Y193" s="139">
        <f>'Structural Information'!$Z$7</f>
        <v>40.367000000000004</v>
      </c>
      <c r="Z193" s="139">
        <f>Y193*M193</f>
        <v>1.5241557136356739E-2</v>
      </c>
      <c r="AA193" s="139">
        <f>Z193*L193</f>
        <v>8.7638953534051253E-2</v>
      </c>
      <c r="AB193" s="504" t="s">
        <v>339</v>
      </c>
    </row>
    <row r="194" spans="10:28" x14ac:dyDescent="0.25">
      <c r="J194" s="432">
        <v>1</v>
      </c>
      <c r="K194" s="144">
        <f>'Structural Information'!$U$8</f>
        <v>2.75</v>
      </c>
      <c r="L194" s="144">
        <f>K194</f>
        <v>2.75</v>
      </c>
      <c r="M194" s="433">
        <f>'Yield Mechanism'!$K$51</f>
        <v>1.9645769001200034E-4</v>
      </c>
      <c r="N194" s="140">
        <f>M194</f>
        <v>1.9645769001200034E-4</v>
      </c>
      <c r="O194" s="434">
        <f>N194/K194</f>
        <v>7.1439160004363767E-5</v>
      </c>
      <c r="P194" s="433">
        <f>$C$28</f>
        <v>8.1000948897978157E-3</v>
      </c>
      <c r="Q194" s="433">
        <f>$D$28</f>
        <v>1.7443905747548439E-3</v>
      </c>
      <c r="R194" s="139">
        <f>O194/P194</f>
        <v>8.8195460641260388E-3</v>
      </c>
      <c r="S194" s="139">
        <f>O194/Q194</f>
        <v>4.0953649393802645E-2</v>
      </c>
      <c r="T194" s="1068">
        <f>'Yield Mechanism'!$AI$59</f>
        <v>9.9999999999999982</v>
      </c>
      <c r="U194" s="144">
        <f>U193+T194*K194</f>
        <v>65.01963186836015</v>
      </c>
      <c r="V194" s="436"/>
      <c r="W194" s="415"/>
      <c r="X194" s="268">
        <v>1</v>
      </c>
      <c r="Y194" s="139">
        <f>'Structural Information'!$Z$8</f>
        <v>40.367000000000004</v>
      </c>
      <c r="Z194" s="139">
        <f>Y194*M194</f>
        <v>7.930407572714418E-3</v>
      </c>
      <c r="AA194" s="139">
        <f>Z194*L194</f>
        <v>2.1808620824964649E-2</v>
      </c>
      <c r="AB194" s="143">
        <f>T194/M192</f>
        <v>20641.668226478738</v>
      </c>
    </row>
    <row r="195" spans="10:28" x14ac:dyDescent="0.25">
      <c r="V195" s="437"/>
      <c r="W195" s="415"/>
      <c r="X195" s="438"/>
      <c r="Y195" s="504" t="s">
        <v>82</v>
      </c>
      <c r="Z195" s="439">
        <f>SUM(Z192:Z194)</f>
        <v>4.1506044873897016E-2</v>
      </c>
      <c r="AA195" s="439">
        <f>SUM(AA192:AA194)</f>
        <v>0.26987077580124214</v>
      </c>
      <c r="AB195" s="505" t="s">
        <v>341</v>
      </c>
    </row>
    <row r="196" spans="10:28" x14ac:dyDescent="0.25">
      <c r="W196" s="415"/>
      <c r="X196" s="438"/>
      <c r="Y196" s="440"/>
      <c r="Z196" s="440"/>
      <c r="AA196" s="441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106.37626559609419</v>
      </c>
    </row>
    <row r="197" spans="10:28" x14ac:dyDescent="0.25">
      <c r="W197" s="415"/>
      <c r="X197" s="438"/>
      <c r="Y197" s="180"/>
      <c r="Z197" s="180"/>
      <c r="AA197" s="442"/>
      <c r="AB197" s="504" t="s">
        <v>340</v>
      </c>
    </row>
    <row r="198" spans="10:28" x14ac:dyDescent="0.25">
      <c r="X198" s="443"/>
      <c r="Y198" s="444"/>
      <c r="Z198" s="444"/>
      <c r="AA198" s="445"/>
      <c r="AB198" s="143">
        <f>2*PI()*SQRT(AB196/AB194)</f>
        <v>0.45105535346311953</v>
      </c>
    </row>
    <row r="199" spans="10:28" x14ac:dyDescent="0.25">
      <c r="S199" s="227"/>
    </row>
    <row r="200" spans="10:28" x14ac:dyDescent="0.25">
      <c r="J200" s="1018" t="s">
        <v>350</v>
      </c>
      <c r="K200" s="1018"/>
      <c r="L200" s="1018"/>
      <c r="M200" s="1018"/>
      <c r="N200" s="1018"/>
      <c r="O200" s="1018"/>
      <c r="P200" s="1018"/>
      <c r="Q200" s="1018"/>
      <c r="R200" s="1018"/>
      <c r="S200" s="1018"/>
      <c r="T200" s="1018"/>
      <c r="U200" s="1018"/>
      <c r="V200" s="1018"/>
      <c r="W200" s="457"/>
      <c r="X200" s="1018" t="s">
        <v>109</v>
      </c>
      <c r="Y200" s="1018"/>
      <c r="Z200" s="1018"/>
      <c r="AA200" s="1018"/>
      <c r="AB200" s="1018"/>
    </row>
    <row r="201" spans="10:28" ht="15" customHeight="1" x14ac:dyDescent="0.25">
      <c r="J201" s="1019" t="s">
        <v>9</v>
      </c>
      <c r="K201" s="1020" t="s">
        <v>3</v>
      </c>
      <c r="L201" s="1020" t="s">
        <v>76</v>
      </c>
      <c r="M201" s="1019" t="s">
        <v>78</v>
      </c>
      <c r="N201" s="1019" t="s">
        <v>85</v>
      </c>
      <c r="O201" s="1020" t="s">
        <v>104</v>
      </c>
      <c r="P201" s="1020" t="s">
        <v>262</v>
      </c>
      <c r="Q201" s="1020" t="s">
        <v>263</v>
      </c>
      <c r="R201" s="1019" t="s">
        <v>419</v>
      </c>
      <c r="S201" s="1019" t="s">
        <v>420</v>
      </c>
      <c r="T201" s="1019" t="s">
        <v>79</v>
      </c>
      <c r="U201" s="1020" t="s">
        <v>105</v>
      </c>
      <c r="V201" s="1019" t="s">
        <v>83</v>
      </c>
      <c r="X201" s="619" t="s">
        <v>9</v>
      </c>
      <c r="Y201" s="1021" t="s">
        <v>80</v>
      </c>
      <c r="Z201" s="1021" t="s">
        <v>81</v>
      </c>
      <c r="AA201" s="1021" t="s">
        <v>107</v>
      </c>
      <c r="AB201" s="656" t="s">
        <v>108</v>
      </c>
    </row>
    <row r="202" spans="10:28" x14ac:dyDescent="0.25">
      <c r="J202" s="814"/>
      <c r="K202" s="962"/>
      <c r="L202" s="962"/>
      <c r="M202" s="814"/>
      <c r="N202" s="814"/>
      <c r="O202" s="962"/>
      <c r="P202" s="962"/>
      <c r="Q202" s="962"/>
      <c r="R202" s="814"/>
      <c r="S202" s="814"/>
      <c r="T202" s="814"/>
      <c r="U202" s="962"/>
      <c r="V202" s="814"/>
      <c r="X202" s="619"/>
      <c r="Y202" s="1021"/>
      <c r="Z202" s="1021"/>
      <c r="AA202" s="1021"/>
      <c r="AB202" s="656"/>
    </row>
    <row r="203" spans="10:28" x14ac:dyDescent="0.25">
      <c r="J203" s="432">
        <v>3</v>
      </c>
      <c r="K203" s="144">
        <f>'Structural Information'!$U$6</f>
        <v>3</v>
      </c>
      <c r="L203" s="144">
        <f>L204+K203</f>
        <v>8.75</v>
      </c>
      <c r="M203" s="433">
        <f>'Yield Mechanism'!$K$49</f>
        <v>4.8445696783228933E-4</v>
      </c>
      <c r="N203" s="140">
        <f>M203-M204</f>
        <v>1.0688228711891608E-4</v>
      </c>
      <c r="O203" s="434">
        <f>N203/K203</f>
        <v>3.5627429039638692E-5</v>
      </c>
      <c r="P203" s="433">
        <f>$C$26</f>
        <v>9.5976000000000013E-3</v>
      </c>
      <c r="Q203" s="433">
        <f>$D$26</f>
        <v>1.8601738665676483E-3</v>
      </c>
      <c r="R203" s="144">
        <f>O203/P203</f>
        <v>3.7121185546010135E-3</v>
      </c>
      <c r="S203" s="139">
        <f>O203/Q203</f>
        <v>1.9152741407650047E-2</v>
      </c>
      <c r="T203" s="1068">
        <f>'Yield Mechanism'!$AI$57</f>
        <v>4.4172072334350689</v>
      </c>
      <c r="U203" s="144">
        <f>T203*K203</f>
        <v>13.251621700305208</v>
      </c>
      <c r="V203" s="139">
        <f>U205/AB203</f>
        <v>9.9999999999999982</v>
      </c>
      <c r="W203" s="415"/>
      <c r="X203" s="268">
        <v>3</v>
      </c>
      <c r="Y203" s="139">
        <f>'Structural Information'!$Z$6</f>
        <v>37.8446</v>
      </c>
      <c r="Z203" s="139">
        <f>Y203*M203</f>
        <v>1.8334080164825857E-2</v>
      </c>
      <c r="AA203" s="139">
        <f>Z203*L203</f>
        <v>0.16042320144222624</v>
      </c>
      <c r="AB203" s="139">
        <f>AA206/Z206</f>
        <v>6.5019631868360159</v>
      </c>
    </row>
    <row r="204" spans="10:28" x14ac:dyDescent="0.25">
      <c r="J204" s="432">
        <v>2</v>
      </c>
      <c r="K204" s="144">
        <f>'Structural Information'!$U$7</f>
        <v>3</v>
      </c>
      <c r="L204" s="144">
        <f>L205+K204</f>
        <v>5.75</v>
      </c>
      <c r="M204" s="433">
        <f>'Yield Mechanism'!$K$50</f>
        <v>3.7757468071337324E-4</v>
      </c>
      <c r="N204" s="140">
        <f>M204-M205</f>
        <v>1.811169907013729E-4</v>
      </c>
      <c r="O204" s="434">
        <f>N204/K204</f>
        <v>6.0372330233790966E-5</v>
      </c>
      <c r="P204" s="433">
        <f>$C$27</f>
        <v>9.1744770034843208E-3</v>
      </c>
      <c r="Q204" s="433">
        <f>$D$27</f>
        <v>1.7655780345468453E-3</v>
      </c>
      <c r="R204" s="139">
        <f>O204/P204</f>
        <v>6.5804655906666412E-3</v>
      </c>
      <c r="S204" s="139">
        <f>O204/Q204</f>
        <v>3.4194087744915891E-2</v>
      </c>
      <c r="T204" s="1068">
        <f>'Yield Mechanism'!$AI$58</f>
        <v>8.0893367226849797</v>
      </c>
      <c r="U204" s="144">
        <f>U203+T204*K204</f>
        <v>37.51963186836015</v>
      </c>
      <c r="V204" s="435"/>
      <c r="W204" s="415"/>
      <c r="X204" s="268">
        <v>2</v>
      </c>
      <c r="Y204" s="139">
        <f>'Structural Information'!$Z$7</f>
        <v>40.367000000000004</v>
      </c>
      <c r="Z204" s="139">
        <f>Y204*M204</f>
        <v>1.5241557136356739E-2</v>
      </c>
      <c r="AA204" s="139">
        <f>Z204*L204</f>
        <v>8.7638953534051253E-2</v>
      </c>
      <c r="AB204" s="504" t="s">
        <v>339</v>
      </c>
    </row>
    <row r="205" spans="10:28" x14ac:dyDescent="0.25">
      <c r="J205" s="432">
        <v>1</v>
      </c>
      <c r="K205" s="144">
        <f>'Structural Information'!$U$8</f>
        <v>2.75</v>
      </c>
      <c r="L205" s="144">
        <f>K205</f>
        <v>2.75</v>
      </c>
      <c r="M205" s="433">
        <f>'Yield Mechanism'!$K$51</f>
        <v>1.9645769001200034E-4</v>
      </c>
      <c r="N205" s="140">
        <f>M205</f>
        <v>1.9645769001200034E-4</v>
      </c>
      <c r="O205" s="434">
        <f>N205/K205</f>
        <v>7.1439160004363767E-5</v>
      </c>
      <c r="P205" s="433">
        <f>$C$28</f>
        <v>8.1000948897978157E-3</v>
      </c>
      <c r="Q205" s="433">
        <f>$D$28</f>
        <v>1.7443905747548439E-3</v>
      </c>
      <c r="R205" s="139">
        <f>O205/P205</f>
        <v>8.8195460641260388E-3</v>
      </c>
      <c r="S205" s="139">
        <f>O205/Q205</f>
        <v>4.0953649393802645E-2</v>
      </c>
      <c r="T205" s="1068">
        <f>'Yield Mechanism'!$AI$59</f>
        <v>9.9999999999999982</v>
      </c>
      <c r="U205" s="144">
        <f>U204+T205*K205</f>
        <v>65.01963186836015</v>
      </c>
      <c r="V205" s="436"/>
      <c r="W205" s="415"/>
      <c r="X205" s="268">
        <v>1</v>
      </c>
      <c r="Y205" s="139">
        <f>'Structural Information'!$Z$8</f>
        <v>40.367000000000004</v>
      </c>
      <c r="Z205" s="139">
        <f>Y205*M205</f>
        <v>7.930407572714418E-3</v>
      </c>
      <c r="AA205" s="139">
        <f>Z205*L205</f>
        <v>2.1808620824964649E-2</v>
      </c>
      <c r="AB205" s="143">
        <f>T205/M203</f>
        <v>20641.668226478738</v>
      </c>
    </row>
    <row r="206" spans="10:28" x14ac:dyDescent="0.25">
      <c r="V206" s="437"/>
      <c r="W206" s="415"/>
      <c r="X206" s="438"/>
      <c r="Y206" s="504" t="s">
        <v>82</v>
      </c>
      <c r="Z206" s="439">
        <f>SUM(Z203:Z205)</f>
        <v>4.1506044873897016E-2</v>
      </c>
      <c r="AA206" s="439">
        <f>SUM(AA203:AA205)</f>
        <v>0.26987077580124214</v>
      </c>
      <c r="AB206" s="505" t="s">
        <v>341</v>
      </c>
    </row>
    <row r="207" spans="10:28" x14ac:dyDescent="0.25">
      <c r="W207" s="415"/>
      <c r="X207" s="438"/>
      <c r="Y207" s="440"/>
      <c r="Z207" s="440"/>
      <c r="AA207" s="441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106.37626559609419</v>
      </c>
    </row>
    <row r="208" spans="10:28" x14ac:dyDescent="0.25">
      <c r="W208" s="415"/>
      <c r="X208" s="438"/>
      <c r="Y208" s="180"/>
      <c r="Z208" s="180"/>
      <c r="AA208" s="442"/>
      <c r="AB208" s="504" t="s">
        <v>340</v>
      </c>
    </row>
    <row r="209" spans="10:28" x14ac:dyDescent="0.25">
      <c r="X209" s="443"/>
      <c r="Y209" s="444"/>
      <c r="Z209" s="444"/>
      <c r="AA209" s="445"/>
      <c r="AB209" s="143">
        <f>2*PI()*SQRT(AB207/AB205)</f>
        <v>0.45105535346311953</v>
      </c>
    </row>
    <row r="211" spans="10:28" x14ac:dyDescent="0.25">
      <c r="J211" s="1018" t="s">
        <v>351</v>
      </c>
      <c r="K211" s="1018"/>
      <c r="L211" s="1018"/>
      <c r="M211" s="1018"/>
      <c r="N211" s="1018"/>
      <c r="O211" s="1018"/>
      <c r="P211" s="1018"/>
      <c r="Q211" s="1018"/>
      <c r="R211" s="1018"/>
      <c r="S211" s="1018"/>
      <c r="T211" s="1018"/>
      <c r="U211" s="1018"/>
      <c r="V211" s="1018"/>
      <c r="W211" s="457"/>
      <c r="X211" s="1018" t="s">
        <v>109</v>
      </c>
      <c r="Y211" s="1018"/>
      <c r="Z211" s="1018"/>
      <c r="AA211" s="1018"/>
      <c r="AB211" s="1018"/>
    </row>
    <row r="212" spans="10:28" ht="15" customHeight="1" x14ac:dyDescent="0.25">
      <c r="J212" s="1019" t="s">
        <v>9</v>
      </c>
      <c r="K212" s="1020" t="s">
        <v>3</v>
      </c>
      <c r="L212" s="1020" t="s">
        <v>76</v>
      </c>
      <c r="M212" s="1019" t="s">
        <v>78</v>
      </c>
      <c r="N212" s="1019" t="s">
        <v>85</v>
      </c>
      <c r="O212" s="1020" t="s">
        <v>104</v>
      </c>
      <c r="P212" s="1020" t="s">
        <v>262</v>
      </c>
      <c r="Q212" s="1020" t="s">
        <v>263</v>
      </c>
      <c r="R212" s="1019" t="s">
        <v>419</v>
      </c>
      <c r="S212" s="1019" t="s">
        <v>420</v>
      </c>
      <c r="T212" s="1019" t="s">
        <v>79</v>
      </c>
      <c r="U212" s="1020" t="s">
        <v>105</v>
      </c>
      <c r="V212" s="1019" t="s">
        <v>83</v>
      </c>
      <c r="X212" s="619" t="s">
        <v>9</v>
      </c>
      <c r="Y212" s="1021" t="s">
        <v>80</v>
      </c>
      <c r="Z212" s="1021" t="s">
        <v>81</v>
      </c>
      <c r="AA212" s="1021" t="s">
        <v>107</v>
      </c>
      <c r="AB212" s="656" t="s">
        <v>108</v>
      </c>
    </row>
    <row r="213" spans="10:28" x14ac:dyDescent="0.25">
      <c r="J213" s="814"/>
      <c r="K213" s="962"/>
      <c r="L213" s="962"/>
      <c r="M213" s="814"/>
      <c r="N213" s="814"/>
      <c r="O213" s="962"/>
      <c r="P213" s="962"/>
      <c r="Q213" s="962"/>
      <c r="R213" s="814"/>
      <c r="S213" s="814"/>
      <c r="T213" s="814"/>
      <c r="U213" s="962"/>
      <c r="V213" s="814"/>
      <c r="X213" s="619"/>
      <c r="Y213" s="1021"/>
      <c r="Z213" s="1021"/>
      <c r="AA213" s="1021"/>
      <c r="AB213" s="656"/>
    </row>
    <row r="214" spans="10:28" x14ac:dyDescent="0.25">
      <c r="J214" s="432">
        <v>3</v>
      </c>
      <c r="K214" s="144">
        <f>'Structural Information'!$U$6</f>
        <v>3</v>
      </c>
      <c r="L214" s="144">
        <f>L215+K214</f>
        <v>8.75</v>
      </c>
      <c r="M214" s="433">
        <f>'Yield Mechanism'!$K$49</f>
        <v>4.8445696783228933E-4</v>
      </c>
      <c r="N214" s="140">
        <f>M214-M215</f>
        <v>1.0688228711891608E-4</v>
      </c>
      <c r="O214" s="434">
        <f>N214/K214</f>
        <v>3.5627429039638692E-5</v>
      </c>
      <c r="P214" s="433">
        <f>$C$26</f>
        <v>9.5976000000000013E-3</v>
      </c>
      <c r="Q214" s="433">
        <f>$D$26</f>
        <v>1.8601738665676483E-3</v>
      </c>
      <c r="R214" s="144">
        <f>O214/P214</f>
        <v>3.7121185546010135E-3</v>
      </c>
      <c r="S214" s="139">
        <f>O214/Q214</f>
        <v>1.9152741407650047E-2</v>
      </c>
      <c r="T214" s="1068">
        <f>'Yield Mechanism'!$AI$57</f>
        <v>4.4172072334350689</v>
      </c>
      <c r="U214" s="144">
        <f>T214*K214</f>
        <v>13.251621700305208</v>
      </c>
      <c r="V214" s="139">
        <f>U216/AB214</f>
        <v>9.9999999999999982</v>
      </c>
      <c r="W214" s="415"/>
      <c r="X214" s="268">
        <v>3</v>
      </c>
      <c r="Y214" s="139">
        <f>'Structural Information'!$Z$6</f>
        <v>37.8446</v>
      </c>
      <c r="Z214" s="139">
        <f>Y214*M214</f>
        <v>1.8334080164825857E-2</v>
      </c>
      <c r="AA214" s="139">
        <f>Z214*L214</f>
        <v>0.16042320144222624</v>
      </c>
      <c r="AB214" s="139">
        <f>AA217/Z217</f>
        <v>6.5019631868360159</v>
      </c>
    </row>
    <row r="215" spans="10:28" x14ac:dyDescent="0.25">
      <c r="J215" s="432">
        <v>2</v>
      </c>
      <c r="K215" s="144">
        <f>'Structural Information'!$U$7</f>
        <v>3</v>
      </c>
      <c r="L215" s="144">
        <f>L216+K215</f>
        <v>5.75</v>
      </c>
      <c r="M215" s="433">
        <f>'Yield Mechanism'!$K$50</f>
        <v>3.7757468071337324E-4</v>
      </c>
      <c r="N215" s="140">
        <f>M215-M216</f>
        <v>1.811169907013729E-4</v>
      </c>
      <c r="O215" s="434">
        <f>N215/K215</f>
        <v>6.0372330233790966E-5</v>
      </c>
      <c r="P215" s="433">
        <f>$C$27</f>
        <v>9.1744770034843208E-3</v>
      </c>
      <c r="Q215" s="433">
        <f>$D$27</f>
        <v>1.7655780345468453E-3</v>
      </c>
      <c r="R215" s="139">
        <f>O215/P215</f>
        <v>6.5804655906666412E-3</v>
      </c>
      <c r="S215" s="139">
        <f>O215/Q215</f>
        <v>3.4194087744915891E-2</v>
      </c>
      <c r="T215" s="1068">
        <f>'Yield Mechanism'!$AI$58</f>
        <v>8.0893367226849797</v>
      </c>
      <c r="U215" s="144">
        <f>U214+T215*K215</f>
        <v>37.51963186836015</v>
      </c>
      <c r="V215" s="435"/>
      <c r="W215" s="415"/>
      <c r="X215" s="268">
        <v>2</v>
      </c>
      <c r="Y215" s="139">
        <f>'Structural Information'!$Z$7</f>
        <v>40.367000000000004</v>
      </c>
      <c r="Z215" s="139">
        <f>Y215*M215</f>
        <v>1.5241557136356739E-2</v>
      </c>
      <c r="AA215" s="139">
        <f>Z215*L215</f>
        <v>8.7638953534051253E-2</v>
      </c>
      <c r="AB215" s="504" t="s">
        <v>339</v>
      </c>
    </row>
    <row r="216" spans="10:28" x14ac:dyDescent="0.25">
      <c r="J216" s="432">
        <v>1</v>
      </c>
      <c r="K216" s="144">
        <f>'Structural Information'!$U$8</f>
        <v>2.75</v>
      </c>
      <c r="L216" s="144">
        <f>K216</f>
        <v>2.75</v>
      </c>
      <c r="M216" s="433">
        <f>'Yield Mechanism'!$K$51</f>
        <v>1.9645769001200034E-4</v>
      </c>
      <c r="N216" s="140">
        <f>M216</f>
        <v>1.9645769001200034E-4</v>
      </c>
      <c r="O216" s="434">
        <f>N216/K216</f>
        <v>7.1439160004363767E-5</v>
      </c>
      <c r="P216" s="433">
        <f>$C$28</f>
        <v>8.1000948897978157E-3</v>
      </c>
      <c r="Q216" s="433">
        <f>$D$28</f>
        <v>1.7443905747548439E-3</v>
      </c>
      <c r="R216" s="139">
        <f>O216/P216</f>
        <v>8.8195460641260388E-3</v>
      </c>
      <c r="S216" s="139">
        <f>O216/Q216</f>
        <v>4.0953649393802645E-2</v>
      </c>
      <c r="T216" s="1068">
        <f>'Yield Mechanism'!$AI$59</f>
        <v>9.9999999999999982</v>
      </c>
      <c r="U216" s="144">
        <f>U215+T216*K216</f>
        <v>65.01963186836015</v>
      </c>
      <c r="V216" s="436"/>
      <c r="W216" s="415"/>
      <c r="X216" s="268">
        <v>1</v>
      </c>
      <c r="Y216" s="139">
        <f>'Structural Information'!$Z$8</f>
        <v>40.367000000000004</v>
      </c>
      <c r="Z216" s="139">
        <f>Y216*M216</f>
        <v>7.930407572714418E-3</v>
      </c>
      <c r="AA216" s="139">
        <f>Z216*L216</f>
        <v>2.1808620824964649E-2</v>
      </c>
      <c r="AB216" s="143">
        <f>T216/M214</f>
        <v>20641.668226478738</v>
      </c>
    </row>
    <row r="217" spans="10:28" x14ac:dyDescent="0.25">
      <c r="V217" s="437"/>
      <c r="W217" s="415"/>
      <c r="X217" s="438"/>
      <c r="Y217" s="504" t="s">
        <v>82</v>
      </c>
      <c r="Z217" s="439">
        <f>SUM(Z214:Z216)</f>
        <v>4.1506044873897016E-2</v>
      </c>
      <c r="AA217" s="439">
        <f>SUM(AA214:AA216)</f>
        <v>0.26987077580124214</v>
      </c>
      <c r="AB217" s="505" t="s">
        <v>341</v>
      </c>
    </row>
    <row r="218" spans="10:28" x14ac:dyDescent="0.25">
      <c r="W218" s="415"/>
      <c r="X218" s="438"/>
      <c r="Y218" s="440"/>
      <c r="Z218" s="440"/>
      <c r="AA218" s="441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106.37626559609419</v>
      </c>
    </row>
    <row r="219" spans="10:28" x14ac:dyDescent="0.25">
      <c r="W219" s="415"/>
      <c r="X219" s="438"/>
      <c r="Y219" s="180"/>
      <c r="Z219" s="180"/>
      <c r="AA219" s="442"/>
      <c r="AB219" s="504" t="s">
        <v>340</v>
      </c>
    </row>
    <row r="220" spans="10:28" x14ac:dyDescent="0.25">
      <c r="X220" s="443"/>
      <c r="Y220" s="444"/>
      <c r="Z220" s="444"/>
      <c r="AA220" s="445"/>
      <c r="AB220" s="143">
        <f>2*PI()*SQRT(AB218/AB216)</f>
        <v>0.45105535346311953</v>
      </c>
    </row>
    <row r="223" spans="10:28" ht="15.75" customHeight="1" x14ac:dyDescent="0.25">
      <c r="J223" s="1058" t="s">
        <v>405</v>
      </c>
      <c r="K223" s="1059"/>
      <c r="L223" s="1059"/>
      <c r="M223" s="1059"/>
      <c r="N223" s="1059"/>
      <c r="O223" s="1059"/>
      <c r="P223" s="1059"/>
      <c r="Q223" s="1060"/>
      <c r="R223" s="120" t="s">
        <v>241</v>
      </c>
      <c r="S223" s="1036" t="s">
        <v>224</v>
      </c>
    </row>
    <row r="224" spans="10:28" x14ac:dyDescent="0.25">
      <c r="J224" s="656" t="s">
        <v>9</v>
      </c>
      <c r="K224" s="656" t="s">
        <v>406</v>
      </c>
      <c r="L224" s="1057" t="s">
        <v>407</v>
      </c>
      <c r="M224" s="656" t="s">
        <v>267</v>
      </c>
      <c r="N224" s="1057" t="s">
        <v>268</v>
      </c>
      <c r="O224" s="656" t="s">
        <v>408</v>
      </c>
      <c r="P224" s="1034" t="s">
        <v>240</v>
      </c>
      <c r="Q224" s="1024" t="s">
        <v>239</v>
      </c>
      <c r="R224" s="1022" t="s">
        <v>239</v>
      </c>
      <c r="S224" s="1056"/>
    </row>
    <row r="225" spans="9:20" x14ac:dyDescent="0.25">
      <c r="J225" s="656">
        <v>0</v>
      </c>
      <c r="K225" s="656">
        <v>0</v>
      </c>
      <c r="L225" s="1057">
        <v>0</v>
      </c>
      <c r="M225" s="656">
        <v>0</v>
      </c>
      <c r="N225" s="1057">
        <v>0</v>
      </c>
      <c r="O225" s="656">
        <v>0</v>
      </c>
      <c r="P225" s="1035"/>
      <c r="Q225" s="1025"/>
      <c r="R225" s="1022"/>
      <c r="S225" s="1037"/>
      <c r="T225" s="395"/>
    </row>
    <row r="226" spans="9:20" x14ac:dyDescent="0.25">
      <c r="J226" s="355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3">
        <v>36161.060177179243</v>
      </c>
      <c r="P226" s="143">
        <v>3806.1248799319242</v>
      </c>
      <c r="Q226" s="474">
        <f>O226-P226</f>
        <v>32354.935297247317</v>
      </c>
      <c r="R226" s="475">
        <f>'System Capacities'!J19</f>
        <v>38234.410187710455</v>
      </c>
      <c r="S226" s="476">
        <f>(Q226-R226)/Q226</f>
        <v>-0.18171802343129242</v>
      </c>
      <c r="T226" s="395"/>
    </row>
    <row r="227" spans="9:20" x14ac:dyDescent="0.25">
      <c r="J227" s="355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3">
        <v>37366.927022499607</v>
      </c>
      <c r="P227" s="143">
        <v>4166.9908176120125</v>
      </c>
      <c r="Q227" s="474">
        <f>O227-P227</f>
        <v>33199.936204887592</v>
      </c>
      <c r="R227" s="475">
        <f>'System Capacities'!J20</f>
        <v>40870.467681435926</v>
      </c>
      <c r="S227" s="476">
        <f>(Q227-R227)/Q227</f>
        <v>-0.23104054866885868</v>
      </c>
      <c r="T227" s="395"/>
    </row>
    <row r="228" spans="9:20" x14ac:dyDescent="0.25">
      <c r="J228" s="355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3">
        <v>46703.693305883076</v>
      </c>
      <c r="P228" s="143">
        <v>7279.6601410328813</v>
      </c>
      <c r="Q228" s="474">
        <f>O228-P228</f>
        <v>39424.033164850196</v>
      </c>
      <c r="R228" s="475">
        <f>'System Capacities'!J21</f>
        <v>45127.508219346615</v>
      </c>
      <c r="S228" s="477">
        <f>(Q228-R228)/Q228</f>
        <v>-0.14467000447791681</v>
      </c>
      <c r="T228" s="395"/>
    </row>
    <row r="229" spans="9:20" x14ac:dyDescent="0.25">
      <c r="J229" s="1023" t="s">
        <v>409</v>
      </c>
      <c r="K229" s="1023">
        <v>0</v>
      </c>
      <c r="L229" s="1023">
        <v>0</v>
      </c>
      <c r="M229" s="150">
        <f>SUM(M226:M228)</f>
        <v>8.6150400000000009E-3</v>
      </c>
      <c r="N229" s="143">
        <f>N228</f>
        <v>149.72269999999997</v>
      </c>
      <c r="O229" s="473">
        <f>N229/M229</f>
        <v>17379.222847485322</v>
      </c>
      <c r="P229" s="159"/>
      <c r="Q229" s="159"/>
      <c r="R229" s="159"/>
      <c r="S229" s="478"/>
      <c r="T229" s="395"/>
    </row>
    <row r="230" spans="9:20" x14ac:dyDescent="0.25">
      <c r="J230" s="479"/>
      <c r="K230" s="159"/>
      <c r="L230" s="159"/>
      <c r="M230" s="159"/>
      <c r="N230" s="159"/>
      <c r="O230" s="159"/>
      <c r="P230" s="159"/>
      <c r="Q230" s="159"/>
      <c r="R230" s="159"/>
      <c r="S230" s="478"/>
      <c r="T230" s="395"/>
    </row>
    <row r="231" spans="9:20" x14ac:dyDescent="0.25">
      <c r="J231" s="479"/>
      <c r="K231" s="1020" t="s">
        <v>267</v>
      </c>
      <c r="L231" s="1034" t="s">
        <v>268</v>
      </c>
      <c r="M231" s="1020" t="s">
        <v>269</v>
      </c>
      <c r="N231" s="1024" t="s">
        <v>239</v>
      </c>
      <c r="O231" s="1036" t="s">
        <v>224</v>
      </c>
      <c r="P231" s="1020" t="s">
        <v>267</v>
      </c>
      <c r="Q231" s="1034" t="s">
        <v>268</v>
      </c>
      <c r="R231" s="1020" t="s">
        <v>270</v>
      </c>
      <c r="S231" s="1036" t="s">
        <v>224</v>
      </c>
      <c r="T231" s="395"/>
    </row>
    <row r="232" spans="9:20" x14ac:dyDescent="0.25">
      <c r="J232" s="479"/>
      <c r="K232" s="962"/>
      <c r="L232" s="1035"/>
      <c r="M232" s="962"/>
      <c r="N232" s="1025"/>
      <c r="O232" s="1037"/>
      <c r="P232" s="962"/>
      <c r="Q232" s="1035"/>
      <c r="R232" s="962"/>
      <c r="S232" s="1037"/>
      <c r="T232" s="395"/>
    </row>
    <row r="233" spans="9:20" x14ac:dyDescent="0.25">
      <c r="J233" s="479"/>
      <c r="K233" s="470">
        <v>8.7310000000000165E-4</v>
      </c>
      <c r="L233" s="480">
        <v>29.771050000000002</v>
      </c>
      <c r="M233" s="481">
        <v>34098.098728667901</v>
      </c>
      <c r="N233" s="482"/>
      <c r="O233" s="476" t="e">
        <f>(N233-R226)/N233</f>
        <v>#DIV/0!</v>
      </c>
      <c r="P233" s="470">
        <v>6.2600000000002931E-5</v>
      </c>
      <c r="Q233" s="480">
        <v>0.62650000000002137</v>
      </c>
      <c r="R233" s="481">
        <v>10007.987220447158</v>
      </c>
      <c r="S233" s="476">
        <f>(R226-R233)/R226</f>
        <v>0.73824659066758702</v>
      </c>
      <c r="T233" s="395"/>
    </row>
    <row r="234" spans="9:20" x14ac:dyDescent="0.25">
      <c r="J234" s="479"/>
      <c r="K234" s="355">
        <v>5.0144700000000009E-3</v>
      </c>
      <c r="L234" s="143">
        <v>49.618416666666668</v>
      </c>
      <c r="M234" s="473">
        <v>9895.0470671210842</v>
      </c>
      <c r="N234" s="474"/>
      <c r="O234" s="476" t="e">
        <f>(N234-R227)/N234</f>
        <v>#DIV/0!</v>
      </c>
      <c r="P234" s="355">
        <v>2.7825999999999979E-3</v>
      </c>
      <c r="Q234" s="143">
        <v>1.0441666666667022</v>
      </c>
      <c r="R234" s="473">
        <v>375.24856848512292</v>
      </c>
      <c r="S234" s="476">
        <f>(R227-R234)/R227</f>
        <v>0.99081858883020402</v>
      </c>
      <c r="T234" s="395"/>
    </row>
    <row r="235" spans="9:20" ht="15" customHeight="1" x14ac:dyDescent="0.25">
      <c r="J235" s="479"/>
      <c r="K235" s="355">
        <v>4.5185299999999989E-3</v>
      </c>
      <c r="L235" s="143">
        <v>59.542099999999998</v>
      </c>
      <c r="M235" s="473">
        <v>13177.316516654755</v>
      </c>
      <c r="N235" s="474"/>
      <c r="O235" s="476" t="e">
        <f>(N235-R228)/N235</f>
        <v>#DIV/0!</v>
      </c>
      <c r="P235" s="355">
        <v>4.955300000000001E-3</v>
      </c>
      <c r="Q235" s="143">
        <v>1.2530000000000425</v>
      </c>
      <c r="R235" s="473">
        <v>252.86057352734289</v>
      </c>
      <c r="S235" s="476">
        <f>(R228-R235)/R228</f>
        <v>0.99439675303368646</v>
      </c>
    </row>
    <row r="236" spans="9:20" x14ac:dyDescent="0.25">
      <c r="J236" s="1016" t="str">
        <f>J229</f>
        <v>Structure Stiffness (kN/m)</v>
      </c>
      <c r="K236" s="1017"/>
      <c r="L236" s="355">
        <f>SUM(K233:K235)</f>
        <v>1.0406100000000001E-2</v>
      </c>
      <c r="M236" s="143">
        <f>L235</f>
        <v>59.542099999999998</v>
      </c>
      <c r="N236" s="473">
        <f>M236/L236</f>
        <v>5721.8458404205212</v>
      </c>
      <c r="O236" s="483"/>
      <c r="P236" s="355">
        <f>SUM(P233:P235)</f>
        <v>7.8005000000000019E-3</v>
      </c>
      <c r="Q236" s="302">
        <f>Q235</f>
        <v>1.2530000000000425</v>
      </c>
      <c r="R236" s="473">
        <f>Q236/P236</f>
        <v>160.63072879944136</v>
      </c>
      <c r="S236" s="484"/>
    </row>
    <row r="238" spans="9:20" x14ac:dyDescent="0.25">
      <c r="I238" s="395"/>
      <c r="J238" s="395"/>
      <c r="K238" s="395"/>
      <c r="L238" s="395"/>
      <c r="M238" s="395"/>
      <c r="N238" s="395"/>
      <c r="O238" s="395"/>
      <c r="P238" s="395"/>
      <c r="Q238" s="395"/>
      <c r="R238" s="395"/>
      <c r="S238" s="395"/>
      <c r="T238" s="395"/>
    </row>
    <row r="239" spans="9:20" x14ac:dyDescent="0.25">
      <c r="I239" s="395"/>
      <c r="J239" s="395"/>
      <c r="K239" s="395"/>
      <c r="L239" s="395"/>
      <c r="M239" s="395"/>
      <c r="N239" s="395"/>
      <c r="O239" s="395"/>
      <c r="P239" s="395"/>
      <c r="Q239" s="395"/>
      <c r="R239" s="395"/>
      <c r="S239" s="395"/>
      <c r="T239" s="395"/>
    </row>
    <row r="240" spans="9:20" x14ac:dyDescent="0.25">
      <c r="I240" s="395"/>
      <c r="J240" s="395"/>
      <c r="K240" s="395"/>
      <c r="L240" s="395"/>
      <c r="M240" s="395"/>
      <c r="N240" s="395"/>
      <c r="O240" s="395"/>
      <c r="P240" s="395"/>
      <c r="Q240" s="395"/>
      <c r="R240" s="395"/>
      <c r="S240" s="395"/>
      <c r="T240" s="395"/>
    </row>
    <row r="241" spans="9:20" x14ac:dyDescent="0.25">
      <c r="I241" s="395"/>
      <c r="J241" s="395"/>
      <c r="K241" s="395"/>
      <c r="L241" s="395"/>
      <c r="M241" s="395"/>
      <c r="N241" s="395"/>
      <c r="O241" s="395"/>
      <c r="P241" s="395"/>
      <c r="Q241" s="395"/>
      <c r="R241" s="395"/>
      <c r="S241" s="395"/>
      <c r="T241" s="395"/>
    </row>
    <row r="242" spans="9:20" x14ac:dyDescent="0.25">
      <c r="I242" s="395"/>
      <c r="J242" s="395"/>
      <c r="K242" s="395"/>
      <c r="L242" s="395"/>
      <c r="M242" s="395"/>
      <c r="N242" s="395"/>
      <c r="O242" s="395"/>
      <c r="P242" s="395"/>
      <c r="Q242" s="395"/>
      <c r="R242" s="395"/>
      <c r="S242" s="395"/>
      <c r="T242" s="395"/>
    </row>
    <row r="243" spans="9:20" x14ac:dyDescent="0.25">
      <c r="I243" s="395"/>
      <c r="J243" s="395"/>
      <c r="K243" s="395"/>
      <c r="L243" s="395"/>
      <c r="M243" s="395"/>
      <c r="N243" s="395"/>
      <c r="O243" s="395"/>
      <c r="P243" s="395"/>
      <c r="Q243" s="395"/>
      <c r="R243" s="395"/>
      <c r="S243" s="395"/>
      <c r="T243" s="395"/>
    </row>
    <row r="244" spans="9:20" x14ac:dyDescent="0.25">
      <c r="I244" s="395"/>
      <c r="J244" s="395"/>
      <c r="K244" s="395"/>
      <c r="L244" s="395"/>
      <c r="M244" s="395"/>
      <c r="N244" s="395"/>
      <c r="O244" s="395"/>
      <c r="P244" s="395"/>
      <c r="Q244" s="395"/>
      <c r="R244" s="395"/>
      <c r="S244" s="395"/>
      <c r="T244" s="395"/>
    </row>
    <row r="245" spans="9:20" x14ac:dyDescent="0.25">
      <c r="I245" s="395"/>
      <c r="J245" s="395"/>
      <c r="K245" s="395"/>
      <c r="L245" s="395"/>
      <c r="M245" s="395"/>
      <c r="N245" s="395"/>
      <c r="O245" s="395"/>
      <c r="P245" s="395"/>
      <c r="Q245" s="395"/>
      <c r="R245" s="395"/>
      <c r="S245" s="395"/>
      <c r="T245" s="395"/>
    </row>
    <row r="246" spans="9:20" x14ac:dyDescent="0.25">
      <c r="I246" s="395"/>
      <c r="J246" s="395"/>
      <c r="K246" s="395"/>
      <c r="L246" s="395"/>
      <c r="M246" s="395"/>
      <c r="N246" s="395"/>
      <c r="O246" s="395"/>
      <c r="P246" s="395"/>
      <c r="Q246" s="395"/>
      <c r="R246" s="395"/>
      <c r="S246" s="395"/>
      <c r="T246" s="395"/>
    </row>
    <row r="247" spans="9:20" x14ac:dyDescent="0.25">
      <c r="I247" s="395"/>
      <c r="J247" s="395"/>
      <c r="K247" s="395"/>
      <c r="L247" s="395"/>
      <c r="M247" s="395"/>
      <c r="N247" s="395"/>
      <c r="O247" s="395"/>
      <c r="P247" s="395"/>
      <c r="Q247" s="395"/>
      <c r="R247" s="395"/>
      <c r="S247" s="395"/>
      <c r="T247" s="395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2020-06-04T00:09:17Z</dcterms:modified>
</cp:coreProperties>
</file>