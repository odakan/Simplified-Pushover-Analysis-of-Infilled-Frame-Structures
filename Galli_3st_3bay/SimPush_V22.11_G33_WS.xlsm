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ThisWorkbook"/>
  <xr:revisionPtr revIDLastSave="0" documentId="13_ncr:1_{61864EE6-05D6-49D2-9F3F-1EF4BCF38FBA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definedNames>
    <definedName name="dr_c1">'Structural Information'!$W$24</definedName>
    <definedName name="dr_c2">'Structural Information'!$W$29</definedName>
    <definedName name="dr_c3">'Structural Information'!$W$34</definedName>
    <definedName name="eps_y">'Structural Information'!$AE$24</definedName>
    <definedName name="fyk">'Structural Information'!$AE$23</definedName>
    <definedName name="Hcol1">'Structural Information'!$T$23</definedName>
    <definedName name="Hcol2">'Structural Information'!$T$28</definedName>
    <definedName name="Hcol3">'Structural Information'!$T$33</definedName>
    <definedName name="Wcol1">'Structural Information'!$T$24</definedName>
    <definedName name="Wcol2">'Structural Information'!$T$29</definedName>
    <definedName name="Wcol3">'Structural Information'!$T$34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11" i="5" l="1"/>
  <c r="BA5" i="5"/>
  <c r="BV11" i="5"/>
  <c r="D52" i="7" s="1"/>
  <c r="BC5" i="5"/>
  <c r="BU11" i="5"/>
  <c r="BT11" i="5"/>
  <c r="BF11" i="5"/>
  <c r="D53" i="7"/>
  <c r="BC4" i="6" l="1"/>
  <c r="J19" i="7" l="1"/>
  <c r="AU6" i="5" l="1"/>
  <c r="AU5" i="5"/>
  <c r="BB4" i="6"/>
  <c r="O13" i="3" l="1"/>
  <c r="AN25" i="5"/>
  <c r="CS11" i="6" l="1"/>
  <c r="AJ12" i="6"/>
  <c r="Z12" i="6" l="1"/>
  <c r="Y12" i="6"/>
  <c r="AH32" i="1"/>
  <c r="AH26" i="1"/>
  <c r="AH20" i="1"/>
  <c r="BK4" i="6"/>
  <c r="J12" i="6"/>
  <c r="N10" i="6"/>
  <c r="N4" i="6"/>
  <c r="L4" i="6"/>
  <c r="K4" i="6"/>
  <c r="BA4" i="6" l="1"/>
  <c r="BT13" i="5" l="1"/>
  <c r="AX5" i="5"/>
  <c r="AU20" i="5"/>
  <c r="AU19" i="5"/>
  <c r="AU18" i="5"/>
  <c r="AU17" i="5"/>
  <c r="AU16" i="5"/>
  <c r="AU15" i="5"/>
  <c r="AU14" i="5"/>
  <c r="AU13" i="5"/>
  <c r="BA5" i="6"/>
  <c r="BA6" i="6"/>
  <c r="BA7" i="6"/>
  <c r="BA8" i="6"/>
  <c r="BA9" i="6"/>
  <c r="BA10" i="6"/>
  <c r="BA11" i="6"/>
  <c r="BA12" i="6"/>
  <c r="AU7" i="5"/>
  <c r="AU8" i="5"/>
  <c r="AU9" i="5"/>
  <c r="AU10" i="5"/>
  <c r="AU11" i="5"/>
  <c r="AU12" i="5"/>
  <c r="AO25" i="5"/>
  <c r="AX6" i="5"/>
  <c r="AX7" i="5"/>
  <c r="BW12" i="5"/>
  <c r="BW13" i="5"/>
  <c r="AX17" i="5" l="1"/>
  <c r="AX18" i="5"/>
  <c r="AX19" i="5"/>
  <c r="AX20" i="5"/>
  <c r="Z27" i="6" l="1"/>
  <c r="Z24" i="6"/>
  <c r="Z21" i="6"/>
  <c r="Z26" i="6"/>
  <c r="Z25" i="6"/>
  <c r="Z23" i="6"/>
  <c r="Z22" i="6"/>
  <c r="Z20" i="6"/>
  <c r="Z19" i="6"/>
  <c r="AP17" i="5" l="1"/>
  <c r="AQ17" i="5" s="1"/>
  <c r="AN37" i="5" l="1"/>
  <c r="BA17" i="5"/>
  <c r="BC17" i="5" s="1"/>
  <c r="L56" i="7"/>
  <c r="H56" i="7"/>
  <c r="D56" i="7"/>
  <c r="J52" i="3" l="1"/>
  <c r="K52" i="3" s="1"/>
  <c r="O12" i="3" l="1"/>
  <c r="O14" i="3"/>
  <c r="Q236" i="4" l="1"/>
  <c r="P236" i="4"/>
  <c r="M236" i="4"/>
  <c r="L236" i="4"/>
  <c r="J236" i="4"/>
  <c r="N229" i="4"/>
  <c r="M229" i="4"/>
  <c r="Q228" i="4"/>
  <c r="U21" i="7" s="1"/>
  <c r="Q227" i="4"/>
  <c r="U20" i="7" s="1"/>
  <c r="Q226" i="4"/>
  <c r="E191" i="4"/>
  <c r="E190" i="4"/>
  <c r="E189" i="4"/>
  <c r="E188" i="4"/>
  <c r="E186" i="4"/>
  <c r="D186" i="4"/>
  <c r="H140" i="4"/>
  <c r="G140" i="4"/>
  <c r="F140" i="4"/>
  <c r="E140" i="4"/>
  <c r="D140" i="4"/>
  <c r="C140" i="4"/>
  <c r="B127" i="4"/>
  <c r="B126" i="4" s="1"/>
  <c r="D7" i="4"/>
  <c r="C7" i="4"/>
  <c r="D6" i="4"/>
  <c r="C6" i="4"/>
  <c r="D5" i="4"/>
  <c r="C5" i="4"/>
  <c r="Y60" i="3"/>
  <c r="S60" i="3"/>
  <c r="X60" i="3" s="1"/>
  <c r="Y47" i="3"/>
  <c r="S47" i="3"/>
  <c r="X47" i="3" s="1"/>
  <c r="Y34" i="3"/>
  <c r="S34" i="3"/>
  <c r="X34" i="3" s="1"/>
  <c r="C24" i="3"/>
  <c r="Y21" i="3"/>
  <c r="S21" i="3"/>
  <c r="X21" i="3" s="1"/>
  <c r="L12" i="3"/>
  <c r="Y8" i="3"/>
  <c r="S8" i="3"/>
  <c r="L55" i="7"/>
  <c r="H55" i="7"/>
  <c r="D55" i="7"/>
  <c r="U34" i="7"/>
  <c r="U33" i="7"/>
  <c r="U32" i="7"/>
  <c r="U19" i="7"/>
  <c r="U8" i="7"/>
  <c r="U7" i="7"/>
  <c r="U6" i="7"/>
  <c r="Y27" i="6"/>
  <c r="Y26" i="6"/>
  <c r="Y25" i="6"/>
  <c r="Y24" i="6"/>
  <c r="Y23" i="6"/>
  <c r="Y22" i="6"/>
  <c r="Y21" i="6"/>
  <c r="Y20" i="6"/>
  <c r="Y19" i="6"/>
  <c r="BO16" i="6"/>
  <c r="BO15" i="6"/>
  <c r="BO14" i="6"/>
  <c r="CV13" i="6"/>
  <c r="BO13" i="6"/>
  <c r="CV12" i="6"/>
  <c r="BO12" i="6"/>
  <c r="AV12" i="6"/>
  <c r="AR12" i="6"/>
  <c r="F12" i="6"/>
  <c r="K12" i="6" s="1"/>
  <c r="CV11" i="6"/>
  <c r="BO11" i="6"/>
  <c r="AV11" i="6"/>
  <c r="AR11" i="6"/>
  <c r="J11" i="6"/>
  <c r="F11" i="6"/>
  <c r="K11" i="6" s="1"/>
  <c r="BO10" i="6"/>
  <c r="AV10" i="6"/>
  <c r="AR10" i="6"/>
  <c r="J10" i="6"/>
  <c r="F10" i="6"/>
  <c r="K10" i="6" s="1"/>
  <c r="BO9" i="6"/>
  <c r="AV9" i="6"/>
  <c r="AR9" i="6"/>
  <c r="K9" i="6"/>
  <c r="J9" i="6"/>
  <c r="F9" i="6"/>
  <c r="BO8" i="6"/>
  <c r="AV8" i="6"/>
  <c r="AR8" i="6"/>
  <c r="J8" i="6"/>
  <c r="F8" i="6"/>
  <c r="K8" i="6" s="1"/>
  <c r="BO7" i="6"/>
  <c r="AV7" i="6"/>
  <c r="AR7" i="6"/>
  <c r="J7" i="6"/>
  <c r="F7" i="6"/>
  <c r="K7" i="6" s="1"/>
  <c r="CG6" i="6"/>
  <c r="CF6" i="6"/>
  <c r="BO6" i="6"/>
  <c r="AV6" i="6"/>
  <c r="AR6" i="6"/>
  <c r="J6" i="6"/>
  <c r="F6" i="6"/>
  <c r="K6" i="6" s="1"/>
  <c r="CG5" i="6"/>
  <c r="CF5" i="6"/>
  <c r="BO5" i="6"/>
  <c r="AV5" i="6"/>
  <c r="AR5" i="6"/>
  <c r="J5" i="6"/>
  <c r="F5" i="6"/>
  <c r="K5" i="6" s="1"/>
  <c r="CG4" i="6"/>
  <c r="CF4" i="6"/>
  <c r="AV4" i="6"/>
  <c r="AR4" i="6"/>
  <c r="J4" i="6"/>
  <c r="F4" i="6"/>
  <c r="CM3" i="6"/>
  <c r="CL3" i="6"/>
  <c r="CK3" i="6"/>
  <c r="CJ3" i="6"/>
  <c r="CG3" i="6"/>
  <c r="CF3" i="6"/>
  <c r="O58" i="5"/>
  <c r="N58" i="5"/>
  <c r="O57" i="5"/>
  <c r="N57" i="5"/>
  <c r="O56" i="5"/>
  <c r="N56" i="5"/>
  <c r="O55" i="5"/>
  <c r="N55" i="5"/>
  <c r="O54" i="5"/>
  <c r="N54" i="5"/>
  <c r="O53" i="5"/>
  <c r="N53" i="5"/>
  <c r="O52" i="5"/>
  <c r="N52" i="5"/>
  <c r="O51" i="5"/>
  <c r="N51" i="5"/>
  <c r="O50" i="5"/>
  <c r="N50" i="5"/>
  <c r="O49" i="5"/>
  <c r="N49" i="5"/>
  <c r="O48" i="5"/>
  <c r="N48" i="5"/>
  <c r="O47" i="5"/>
  <c r="N47" i="5"/>
  <c r="O26" i="5"/>
  <c r="N26" i="5"/>
  <c r="O25" i="5"/>
  <c r="N25" i="5"/>
  <c r="AG24" i="5"/>
  <c r="AB24" i="5"/>
  <c r="W24" i="5"/>
  <c r="O24" i="5"/>
  <c r="N24" i="5"/>
  <c r="AG23" i="5"/>
  <c r="AB23" i="5"/>
  <c r="W23" i="5"/>
  <c r="O23" i="5"/>
  <c r="N23" i="5"/>
  <c r="O22" i="5"/>
  <c r="N22" i="5"/>
  <c r="O21" i="5"/>
  <c r="N21" i="5"/>
  <c r="AP20" i="5"/>
  <c r="AQ20" i="5" s="1"/>
  <c r="AO20" i="5"/>
  <c r="O20" i="5"/>
  <c r="N20" i="5"/>
  <c r="AP19" i="5"/>
  <c r="AQ19" i="5" s="1"/>
  <c r="AO19" i="5"/>
  <c r="O19" i="5"/>
  <c r="N19" i="5"/>
  <c r="AP18" i="5"/>
  <c r="AQ18" i="5" s="1"/>
  <c r="AO18" i="5"/>
  <c r="AG18" i="5"/>
  <c r="AB18" i="5"/>
  <c r="W18" i="5"/>
  <c r="O18" i="5"/>
  <c r="N18" i="5"/>
  <c r="AO17" i="5"/>
  <c r="AG17" i="5"/>
  <c r="AB17" i="5"/>
  <c r="W17" i="5"/>
  <c r="AO16" i="5"/>
  <c r="AO15" i="5"/>
  <c r="AO14" i="5"/>
  <c r="AO13" i="5"/>
  <c r="AO12" i="5"/>
  <c r="AG12" i="5"/>
  <c r="AB12" i="5"/>
  <c r="W12" i="5"/>
  <c r="AO11" i="5"/>
  <c r="AG11" i="5"/>
  <c r="AB11" i="5"/>
  <c r="W11" i="5"/>
  <c r="AO10" i="5"/>
  <c r="AO9" i="5"/>
  <c r="AO8" i="5"/>
  <c r="AO7" i="5"/>
  <c r="BF6" i="5"/>
  <c r="BE6" i="5"/>
  <c r="AO6" i="5"/>
  <c r="AG6" i="5"/>
  <c r="AB6" i="5"/>
  <c r="W6" i="5"/>
  <c r="BF5" i="5"/>
  <c r="BE5" i="5"/>
  <c r="AO5" i="5"/>
  <c r="AG5" i="5"/>
  <c r="AB5" i="5"/>
  <c r="W5" i="5"/>
  <c r="BF4" i="5"/>
  <c r="BE4" i="5"/>
  <c r="BL3" i="5"/>
  <c r="BK3" i="5"/>
  <c r="BJ3" i="5"/>
  <c r="BI3" i="5"/>
  <c r="BF3" i="5"/>
  <c r="BE3" i="5"/>
  <c r="X35" i="1"/>
  <c r="AE34" i="1"/>
  <c r="AC34" i="1"/>
  <c r="X34" i="1"/>
  <c r="X30" i="1"/>
  <c r="AE29" i="1"/>
  <c r="AC29" i="1"/>
  <c r="X29" i="1"/>
  <c r="X25" i="1"/>
  <c r="AE24" i="1"/>
  <c r="AC24" i="1"/>
  <c r="X24" i="1"/>
  <c r="X20" i="1"/>
  <c r="AE19" i="1"/>
  <c r="AC19" i="1"/>
  <c r="X19" i="1"/>
  <c r="Z9" i="1"/>
  <c r="U9" i="1"/>
  <c r="B8" i="3" s="1"/>
  <c r="Z8" i="1"/>
  <c r="U8" i="1"/>
  <c r="AN16" i="5" s="1"/>
  <c r="AP16" i="5" s="1"/>
  <c r="AQ16" i="5" s="1"/>
  <c r="Z7" i="1"/>
  <c r="U7" i="1"/>
  <c r="Z6" i="1"/>
  <c r="U6" i="1"/>
  <c r="AN6" i="5" s="1"/>
  <c r="AP6" i="5" s="1"/>
  <c r="AQ6" i="5" s="1"/>
  <c r="AN39" i="5" l="1"/>
  <c r="BA19" i="5"/>
  <c r="BC19" i="5" s="1"/>
  <c r="AN40" i="5"/>
  <c r="BA20" i="5"/>
  <c r="BC20" i="5" s="1"/>
  <c r="AN26" i="5"/>
  <c r="BA6" i="5"/>
  <c r="BC6" i="5" s="1"/>
  <c r="AN38" i="5"/>
  <c r="BA18" i="5"/>
  <c r="BC18" i="5" s="1"/>
  <c r="AN36" i="5"/>
  <c r="BA16" i="5"/>
  <c r="BC16" i="5" s="1"/>
  <c r="AX16" i="5"/>
  <c r="E6" i="6"/>
  <c r="L6" i="6" s="1"/>
  <c r="Y183" i="4"/>
  <c r="Y139" i="4"/>
  <c r="Y95" i="4"/>
  <c r="Y51" i="4"/>
  <c r="Y161" i="4"/>
  <c r="Y150" i="4"/>
  <c r="Y194" i="4"/>
  <c r="Y29" i="4"/>
  <c r="Y18" i="4"/>
  <c r="Y216" i="4"/>
  <c r="Y172" i="4"/>
  <c r="Y128" i="4"/>
  <c r="Y84" i="4"/>
  <c r="Y40" i="4"/>
  <c r="Y117" i="4"/>
  <c r="Y106" i="4"/>
  <c r="Y73" i="4"/>
  <c r="Y205" i="4"/>
  <c r="Y62" i="4"/>
  <c r="BI13" i="6"/>
  <c r="BK13" i="6" s="1"/>
  <c r="BI7" i="6"/>
  <c r="BK7" i="6" s="1"/>
  <c r="Y39" i="4"/>
  <c r="Y116" i="4"/>
  <c r="Y182" i="4"/>
  <c r="Y138" i="4"/>
  <c r="Y94" i="4"/>
  <c r="Y50" i="4"/>
  <c r="Y160" i="4"/>
  <c r="Y83" i="4"/>
  <c r="Y204" i="4"/>
  <c r="Y28" i="4"/>
  <c r="Y61" i="4"/>
  <c r="Y215" i="4"/>
  <c r="Y171" i="4"/>
  <c r="Y127" i="4"/>
  <c r="Y193" i="4"/>
  <c r="Y105" i="4"/>
  <c r="Y17" i="4"/>
  <c r="Y72" i="4"/>
  <c r="Y149" i="4"/>
  <c r="BI14" i="6"/>
  <c r="BK14" i="6" s="1"/>
  <c r="O229" i="4"/>
  <c r="E5" i="4"/>
  <c r="E4" i="6"/>
  <c r="M4" i="6" s="1"/>
  <c r="N236" i="4"/>
  <c r="F41" i="4" s="1"/>
  <c r="Y82" i="4"/>
  <c r="Y104" i="4"/>
  <c r="Y170" i="4"/>
  <c r="Y38" i="4"/>
  <c r="Y192" i="4"/>
  <c r="Y181" i="4"/>
  <c r="Y137" i="4"/>
  <c r="Y93" i="4"/>
  <c r="Y49" i="4"/>
  <c r="Y71" i="4"/>
  <c r="Y148" i="4"/>
  <c r="Y126" i="4"/>
  <c r="Y159" i="4"/>
  <c r="Y214" i="4"/>
  <c r="Y27" i="4"/>
  <c r="Y16" i="4"/>
  <c r="Y115" i="4"/>
  <c r="Y203" i="4"/>
  <c r="Y60" i="4"/>
  <c r="AN8" i="5"/>
  <c r="AP8" i="5" s="1"/>
  <c r="AQ8" i="5" s="1"/>
  <c r="AN11" i="5"/>
  <c r="AP11" i="5" s="1"/>
  <c r="AQ11" i="5" s="1"/>
  <c r="E7" i="4"/>
  <c r="R236" i="4"/>
  <c r="E6" i="4"/>
  <c r="AR17" i="5"/>
  <c r="AO37" i="5" s="1"/>
  <c r="N6" i="6"/>
  <c r="M6" i="6"/>
  <c r="X6" i="6"/>
  <c r="Y6" i="6" s="1"/>
  <c r="Z6" i="6" s="1"/>
  <c r="AR6" i="5"/>
  <c r="Y58" i="3"/>
  <c r="Y32" i="3"/>
  <c r="Y6" i="3"/>
  <c r="Y6" i="4"/>
  <c r="Y45" i="3"/>
  <c r="Y19" i="3"/>
  <c r="E6" i="3"/>
  <c r="AR19" i="5"/>
  <c r="AO39" i="5" s="1"/>
  <c r="AR18" i="5"/>
  <c r="AR20" i="5"/>
  <c r="K138" i="4"/>
  <c r="K127" i="4"/>
  <c r="K193" i="4"/>
  <c r="K94" i="4"/>
  <c r="K149" i="4"/>
  <c r="H20" i="7"/>
  <c r="K171" i="4"/>
  <c r="K215" i="4"/>
  <c r="K204" i="4"/>
  <c r="K182" i="4"/>
  <c r="BI11" i="6"/>
  <c r="BK11" i="6" s="1"/>
  <c r="E7" i="6"/>
  <c r="L7" i="6" s="1"/>
  <c r="N7" i="6" s="1"/>
  <c r="K160" i="4"/>
  <c r="K116" i="4"/>
  <c r="BI8" i="6"/>
  <c r="BK8" i="6" s="1"/>
  <c r="E9" i="6"/>
  <c r="L9" i="6" s="1"/>
  <c r="N9" i="6" s="1"/>
  <c r="CK5" i="6"/>
  <c r="BQ4" i="6"/>
  <c r="K105" i="4"/>
  <c r="BI9" i="6"/>
  <c r="BK9" i="6" s="1"/>
  <c r="AN12" i="5"/>
  <c r="AP12" i="5" s="1"/>
  <c r="AQ12" i="5" s="1"/>
  <c r="H33" i="7"/>
  <c r="BI10" i="6"/>
  <c r="BK10" i="6" s="1"/>
  <c r="Y59" i="3"/>
  <c r="Y46" i="3"/>
  <c r="Y20" i="3"/>
  <c r="E7" i="3"/>
  <c r="Y33" i="3"/>
  <c r="Y7" i="4"/>
  <c r="Y7" i="3"/>
  <c r="BJ5" i="5"/>
  <c r="BF12" i="5" s="1"/>
  <c r="G33" i="7" s="1"/>
  <c r="AN10" i="5"/>
  <c r="AP10" i="5" s="1"/>
  <c r="AQ10" i="5" s="1"/>
  <c r="AN13" i="5"/>
  <c r="AN14" i="5"/>
  <c r="AP14" i="5" s="1"/>
  <c r="AQ14" i="5" s="1"/>
  <c r="AR16" i="5"/>
  <c r="H53" i="7"/>
  <c r="D6" i="7"/>
  <c r="E10" i="6"/>
  <c r="L10" i="6" s="1"/>
  <c r="Y18" i="3"/>
  <c r="Y5" i="3"/>
  <c r="Y31" i="3"/>
  <c r="E5" i="3"/>
  <c r="Y5" i="4"/>
  <c r="Y57" i="3"/>
  <c r="Y44" i="3"/>
  <c r="K172" i="4"/>
  <c r="L172" i="4" s="1"/>
  <c r="K216" i="4"/>
  <c r="L216" i="4" s="1"/>
  <c r="K117" i="4"/>
  <c r="L117" i="4" s="1"/>
  <c r="K183" i="4"/>
  <c r="L183" i="4" s="1"/>
  <c r="K139" i="4"/>
  <c r="L139" i="4" s="1"/>
  <c r="L138" i="4" s="1"/>
  <c r="K205" i="4"/>
  <c r="L205" i="4" s="1"/>
  <c r="K95" i="4"/>
  <c r="L95" i="4" s="1"/>
  <c r="L94" i="4" s="1"/>
  <c r="K194" i="4"/>
  <c r="L194" i="4" s="1"/>
  <c r="L193" i="4" s="1"/>
  <c r="K106" i="4"/>
  <c r="L106" i="4" s="1"/>
  <c r="L105" i="4" s="1"/>
  <c r="H34" i="7"/>
  <c r="K161" i="4"/>
  <c r="L161" i="4" s="1"/>
  <c r="L160" i="4" s="1"/>
  <c r="D8" i="7"/>
  <c r="AN17" i="5"/>
  <c r="E12" i="6"/>
  <c r="L12" i="6" s="1"/>
  <c r="N12" i="6" s="1"/>
  <c r="CK6" i="6"/>
  <c r="BI15" i="6"/>
  <c r="BK15" i="6" s="1"/>
  <c r="AN19" i="5"/>
  <c r="K128" i="4"/>
  <c r="L128" i="4" s="1"/>
  <c r="L127" i="4" s="1"/>
  <c r="L126" i="4" s="1"/>
  <c r="BI12" i="6"/>
  <c r="BK12" i="6" s="1"/>
  <c r="BR4" i="6"/>
  <c r="H21" i="7"/>
  <c r="K150" i="4"/>
  <c r="L150" i="4" s="1"/>
  <c r="L149" i="4" s="1"/>
  <c r="L148" i="4" s="1"/>
  <c r="BJ6" i="5"/>
  <c r="BI13" i="5" s="1"/>
  <c r="E11" i="6"/>
  <c r="L11" i="6" s="1"/>
  <c r="N11" i="6" s="1"/>
  <c r="AN20" i="5"/>
  <c r="AN15" i="5"/>
  <c r="AP15" i="5" s="1"/>
  <c r="AQ15" i="5" s="1"/>
  <c r="AN18" i="5"/>
  <c r="BJ7" i="6"/>
  <c r="AZ17" i="5"/>
  <c r="AW17" i="5"/>
  <c r="V8" i="3"/>
  <c r="B7" i="3"/>
  <c r="D7" i="3" s="1"/>
  <c r="D8" i="3"/>
  <c r="AN7" i="5"/>
  <c r="AP7" i="5" s="1"/>
  <c r="AQ7" i="5" s="1"/>
  <c r="M12" i="6"/>
  <c r="D7" i="7"/>
  <c r="AN9" i="5"/>
  <c r="AP9" i="5" s="1"/>
  <c r="AQ9" i="5" s="1"/>
  <c r="K181" i="4"/>
  <c r="K170" i="4"/>
  <c r="K159" i="4"/>
  <c r="K192" i="4"/>
  <c r="K104" i="4"/>
  <c r="K214" i="4"/>
  <c r="K137" i="4"/>
  <c r="H32" i="7"/>
  <c r="K148" i="4"/>
  <c r="K115" i="4"/>
  <c r="K203" i="4"/>
  <c r="K93" i="4"/>
  <c r="H19" i="7"/>
  <c r="AN5" i="5"/>
  <c r="AP5" i="5" s="1"/>
  <c r="AR5" i="5" s="1"/>
  <c r="BI6" i="6"/>
  <c r="BK6" i="6" s="1"/>
  <c r="E5" i="6"/>
  <c r="L5" i="6" s="1"/>
  <c r="N5" i="6" s="1"/>
  <c r="BI5" i="6"/>
  <c r="BK5" i="6" s="1"/>
  <c r="CK4" i="6"/>
  <c r="BP4" i="6"/>
  <c r="K126" i="4"/>
  <c r="BI4" i="6"/>
  <c r="BJ4" i="5"/>
  <c r="BH11" i="5" s="1"/>
  <c r="E8" i="6"/>
  <c r="L8" i="6" s="1"/>
  <c r="M9" i="6"/>
  <c r="L53" i="7"/>
  <c r="X8" i="3"/>
  <c r="AN31" i="5" l="1"/>
  <c r="BA11" i="5"/>
  <c r="BC11" i="5" s="1"/>
  <c r="AN28" i="5"/>
  <c r="BA8" i="5"/>
  <c r="BC8" i="5" s="1"/>
  <c r="AO26" i="5"/>
  <c r="AN29" i="5"/>
  <c r="BA9" i="5"/>
  <c r="BC9" i="5" s="1"/>
  <c r="AN35" i="5"/>
  <c r="BA15" i="5"/>
  <c r="BC15" i="5" s="1"/>
  <c r="AO36" i="5"/>
  <c r="AO40" i="5"/>
  <c r="AN34" i="5"/>
  <c r="BA14" i="5"/>
  <c r="BC14" i="5" s="1"/>
  <c r="AO38" i="5"/>
  <c r="AN27" i="5"/>
  <c r="BA7" i="5"/>
  <c r="BC7" i="5" s="1"/>
  <c r="AP13" i="5"/>
  <c r="AR13" i="5" s="1"/>
  <c r="AN32" i="5"/>
  <c r="BA12" i="5"/>
  <c r="BC12" i="5" s="1"/>
  <c r="AN30" i="5"/>
  <c r="BA10" i="5"/>
  <c r="BC10" i="5" s="1"/>
  <c r="AT17" i="5"/>
  <c r="AX15" i="5"/>
  <c r="AR8" i="5"/>
  <c r="AO28" i="5" s="1"/>
  <c r="AX14" i="5"/>
  <c r="AX8" i="5"/>
  <c r="AZ8" i="5" s="1"/>
  <c r="AW8" i="5"/>
  <c r="AX12" i="5"/>
  <c r="AX11" i="5"/>
  <c r="AZ11" i="5" s="1"/>
  <c r="AW11" i="5"/>
  <c r="AX10" i="5"/>
  <c r="AX9" i="5"/>
  <c r="AR11" i="5"/>
  <c r="X4" i="6"/>
  <c r="Y4" i="6" s="1"/>
  <c r="Z4" i="6" s="1"/>
  <c r="AA4" i="6" s="1"/>
  <c r="AQ5" i="5"/>
  <c r="L204" i="4"/>
  <c r="L137" i="4"/>
  <c r="BJ11" i="6"/>
  <c r="BJ13" i="6"/>
  <c r="BJ9" i="6"/>
  <c r="BJ14" i="6"/>
  <c r="BJ10" i="6"/>
  <c r="BJ12" i="6"/>
  <c r="BJ5" i="6"/>
  <c r="BJ4" i="6"/>
  <c r="C7" i="3"/>
  <c r="BJ11" i="5"/>
  <c r="BI11" i="5"/>
  <c r="AR10" i="5"/>
  <c r="AO30" i="5" s="1"/>
  <c r="X9" i="6"/>
  <c r="Y9" i="6" s="1"/>
  <c r="Z9" i="6" s="1"/>
  <c r="M11" i="6"/>
  <c r="L182" i="4"/>
  <c r="L181" i="4" s="1"/>
  <c r="BJ6" i="6"/>
  <c r="AZ20" i="5"/>
  <c r="AW20" i="5"/>
  <c r="AT20" i="5"/>
  <c r="BJ8" i="6"/>
  <c r="G32" i="7"/>
  <c r="BI4" i="5" s="1"/>
  <c r="BJ12" i="5"/>
  <c r="N8" i="6"/>
  <c r="M8" i="6"/>
  <c r="M5" i="6"/>
  <c r="BJ15" i="6"/>
  <c r="X7" i="6"/>
  <c r="Y7" i="6" s="1"/>
  <c r="Z7" i="6" s="1"/>
  <c r="AW18" i="5"/>
  <c r="AT18" i="5"/>
  <c r="AZ18" i="5"/>
  <c r="AB6" i="6"/>
  <c r="AA6" i="6"/>
  <c r="X11" i="6"/>
  <c r="Y11" i="6" s="1"/>
  <c r="Z11" i="6" s="1"/>
  <c r="BJ13" i="5"/>
  <c r="BH13" i="5"/>
  <c r="BG13" i="5"/>
  <c r="BF13" i="5"/>
  <c r="BR5" i="6"/>
  <c r="BR13" i="6"/>
  <c r="BR11" i="6"/>
  <c r="BR15" i="6"/>
  <c r="BR7" i="6"/>
  <c r="BR9" i="6"/>
  <c r="L159" i="4"/>
  <c r="L116" i="4"/>
  <c r="L115" i="4" s="1"/>
  <c r="AT19" i="5"/>
  <c r="AZ19" i="5"/>
  <c r="AW19" i="5"/>
  <c r="AR9" i="5"/>
  <c r="AO29" i="5" s="1"/>
  <c r="X5" i="6"/>
  <c r="Y5" i="6" s="1"/>
  <c r="Z5" i="6" s="1"/>
  <c r="BI12" i="5"/>
  <c r="AR7" i="5"/>
  <c r="L215" i="4"/>
  <c r="L214" i="4" s="1"/>
  <c r="L104" i="4"/>
  <c r="X10" i="6"/>
  <c r="Y10" i="6" s="1"/>
  <c r="Z10" i="6" s="1"/>
  <c r="F7" i="3"/>
  <c r="AR12" i="5"/>
  <c r="AO32" i="5" s="1"/>
  <c r="V7" i="3"/>
  <c r="B6" i="3"/>
  <c r="M10" i="6"/>
  <c r="L192" i="4"/>
  <c r="L171" i="4"/>
  <c r="L170" i="4" s="1"/>
  <c r="M7" i="6"/>
  <c r="AZ6" i="5"/>
  <c r="AT6" i="5"/>
  <c r="AW6" i="5"/>
  <c r="V34" i="3"/>
  <c r="V21" i="3"/>
  <c r="V47" i="3"/>
  <c r="V60" i="3"/>
  <c r="F52" i="3" s="1"/>
  <c r="AZ16" i="5"/>
  <c r="AW16" i="5"/>
  <c r="AT16" i="5"/>
  <c r="BP13" i="6"/>
  <c r="BV14" i="6" s="1"/>
  <c r="BP15" i="6"/>
  <c r="BV18" i="6" s="1"/>
  <c r="BP9" i="6"/>
  <c r="BV9" i="6" s="1"/>
  <c r="BP7" i="6"/>
  <c r="BV8" i="6" s="1"/>
  <c r="BP5" i="6"/>
  <c r="BV4" i="6" s="1"/>
  <c r="BP11" i="6"/>
  <c r="BV13" i="6" s="1"/>
  <c r="L93" i="4"/>
  <c r="AR14" i="5"/>
  <c r="AO34" i="5" s="1"/>
  <c r="BQ13" i="6"/>
  <c r="BW14" i="6" s="1"/>
  <c r="BQ11" i="6"/>
  <c r="BW13" i="6" s="1"/>
  <c r="BQ15" i="6"/>
  <c r="BW18" i="6" s="1"/>
  <c r="BQ5" i="6"/>
  <c r="BW4" i="6" s="1"/>
  <c r="BQ7" i="6"/>
  <c r="BW8" i="6" s="1"/>
  <c r="BQ9" i="6"/>
  <c r="BW9" i="6" s="1"/>
  <c r="BG12" i="5"/>
  <c r="BH12" i="5"/>
  <c r="AR15" i="5"/>
  <c r="AO35" i="5" s="1"/>
  <c r="X12" i="6"/>
  <c r="L203" i="4"/>
  <c r="BG11" i="5"/>
  <c r="BN13" i="5" l="1"/>
  <c r="G34" i="7"/>
  <c r="BM13" i="5"/>
  <c r="AB4" i="6"/>
  <c r="AC4" i="6" s="1"/>
  <c r="AT8" i="5"/>
  <c r="BQ11" i="5"/>
  <c r="E55" i="7" s="1"/>
  <c r="AT11" i="5"/>
  <c r="AO31" i="5"/>
  <c r="AO27" i="5"/>
  <c r="AQ13" i="5"/>
  <c r="AZ5" i="5"/>
  <c r="AC6" i="6"/>
  <c r="AF6" i="6"/>
  <c r="AG6" i="6"/>
  <c r="AB9" i="6"/>
  <c r="AA9" i="6"/>
  <c r="AT7" i="5"/>
  <c r="AW7" i="5"/>
  <c r="AZ7" i="5"/>
  <c r="E7" i="7"/>
  <c r="BI5" i="5"/>
  <c r="N7" i="7"/>
  <c r="BR10" i="6"/>
  <c r="BQ10" i="6" s="1"/>
  <c r="BP10" i="6" s="1"/>
  <c r="BX9" i="6"/>
  <c r="AZ15" i="5"/>
  <c r="AW15" i="5"/>
  <c r="AT15" i="5"/>
  <c r="BX8" i="6"/>
  <c r="BR8" i="6"/>
  <c r="BQ8" i="6" s="1"/>
  <c r="BP8" i="6" s="1"/>
  <c r="AB10" i="6"/>
  <c r="AA10" i="6"/>
  <c r="AW14" i="5"/>
  <c r="AT14" i="5"/>
  <c r="AZ14" i="5"/>
  <c r="V6" i="3"/>
  <c r="B5" i="3"/>
  <c r="D6" i="3"/>
  <c r="BR16" i="6"/>
  <c r="BQ16" i="6" s="1"/>
  <c r="BP16" i="6" s="1"/>
  <c r="BX18" i="6"/>
  <c r="AZ12" i="5"/>
  <c r="AW12" i="5"/>
  <c r="AT12" i="5"/>
  <c r="AT13" i="5"/>
  <c r="V59" i="3"/>
  <c r="F51" i="3" s="1"/>
  <c r="V46" i="3"/>
  <c r="V20" i="3"/>
  <c r="V33" i="3"/>
  <c r="BX13" i="6"/>
  <c r="BR12" i="6"/>
  <c r="BQ12" i="6" s="1"/>
  <c r="BP12" i="6" s="1"/>
  <c r="AT10" i="5"/>
  <c r="AZ10" i="5"/>
  <c r="AW10" i="5"/>
  <c r="AB5" i="6"/>
  <c r="AA5" i="6"/>
  <c r="BX14" i="6"/>
  <c r="BR14" i="6"/>
  <c r="BQ14" i="6" s="1"/>
  <c r="BP14" i="6" s="1"/>
  <c r="BR6" i="6"/>
  <c r="BQ6" i="6" s="1"/>
  <c r="BP6" i="6" s="1"/>
  <c r="BX4" i="6"/>
  <c r="AZ9" i="5"/>
  <c r="AT9" i="5"/>
  <c r="AW9" i="5"/>
  <c r="AB7" i="6"/>
  <c r="AA7" i="6"/>
  <c r="AB12" i="6"/>
  <c r="AA12" i="6"/>
  <c r="AW5" i="5"/>
  <c r="AT5" i="5"/>
  <c r="AA11" i="6"/>
  <c r="AB11" i="6"/>
  <c r="X8" i="6"/>
  <c r="Y8" i="6" s="1"/>
  <c r="Z8" i="6" s="1"/>
  <c r="AF4" i="6" l="1"/>
  <c r="AG4" i="6"/>
  <c r="BN11" i="5"/>
  <c r="BP11" i="5"/>
  <c r="E53" i="7" s="1"/>
  <c r="AN33" i="5"/>
  <c r="AO33" i="5" s="1"/>
  <c r="BA13" i="5"/>
  <c r="BC13" i="5" s="1"/>
  <c r="AW13" i="5"/>
  <c r="BU12" i="5" s="1"/>
  <c r="AX13" i="5"/>
  <c r="AZ13" i="5" s="1"/>
  <c r="BV13" i="5"/>
  <c r="AC10" i="6"/>
  <c r="AG10" i="6"/>
  <c r="AF10" i="6"/>
  <c r="E6" i="7"/>
  <c r="N6" i="7"/>
  <c r="AC7" i="6"/>
  <c r="AG7" i="6"/>
  <c r="AF7" i="6"/>
  <c r="BT12" i="5"/>
  <c r="I33" i="7" s="1"/>
  <c r="AC9" i="6"/>
  <c r="AG9" i="6"/>
  <c r="AF9" i="6"/>
  <c r="AA8" i="6"/>
  <c r="AB8" i="6"/>
  <c r="BV12" i="5"/>
  <c r="C6" i="3"/>
  <c r="F6" i="3"/>
  <c r="AD4" i="6"/>
  <c r="AE4" i="6"/>
  <c r="AC12" i="6"/>
  <c r="AF12" i="6"/>
  <c r="AG12" i="6"/>
  <c r="V5" i="3"/>
  <c r="D5" i="3"/>
  <c r="N8" i="7"/>
  <c r="BI6" i="5"/>
  <c r="E8" i="7"/>
  <c r="AC11" i="6"/>
  <c r="AG11" i="6"/>
  <c r="AF11" i="6"/>
  <c r="V45" i="3"/>
  <c r="V32" i="3"/>
  <c r="V58" i="3"/>
  <c r="F50" i="3" s="1"/>
  <c r="V19" i="3"/>
  <c r="C14" i="3"/>
  <c r="D17" i="4" s="1"/>
  <c r="F27" i="4"/>
  <c r="I32" i="7"/>
  <c r="AD6" i="6"/>
  <c r="AE6" i="6"/>
  <c r="AC5" i="6"/>
  <c r="AF5" i="6"/>
  <c r="AG5" i="6"/>
  <c r="I34" i="7"/>
  <c r="BU13" i="5" l="1"/>
  <c r="BO13" i="5" s="1"/>
  <c r="BO11" i="5"/>
  <c r="L52" i="7"/>
  <c r="D49" i="7"/>
  <c r="C26" i="4"/>
  <c r="BX18" i="5"/>
  <c r="BT18" i="5"/>
  <c r="BM11" i="5"/>
  <c r="BR11" i="5" s="1"/>
  <c r="AD7" i="6"/>
  <c r="AE7" i="6"/>
  <c r="AH6" i="6"/>
  <c r="AI6" i="6" s="1"/>
  <c r="AD11" i="6"/>
  <c r="AE11" i="6"/>
  <c r="AH4" i="6"/>
  <c r="AI4" i="6" s="1"/>
  <c r="AK4" i="6" s="1"/>
  <c r="AZ4" i="6" s="1"/>
  <c r="BV18" i="5"/>
  <c r="C15" i="3"/>
  <c r="D18" i="4" s="1"/>
  <c r="F28" i="4"/>
  <c r="H52" i="7"/>
  <c r="BV19" i="5"/>
  <c r="BO12" i="5"/>
  <c r="F26" i="4"/>
  <c r="C13" i="3"/>
  <c r="D16" i="4" s="1"/>
  <c r="C28" i="4"/>
  <c r="L49" i="7"/>
  <c r="BX20" i="5"/>
  <c r="BT20" i="5"/>
  <c r="BR13" i="5"/>
  <c r="C5" i="3"/>
  <c r="F5" i="3"/>
  <c r="C27" i="4"/>
  <c r="H49" i="7"/>
  <c r="BT19" i="5"/>
  <c r="BX19" i="5"/>
  <c r="BM12" i="5"/>
  <c r="BR12" i="5" s="1"/>
  <c r="V44" i="3"/>
  <c r="V18" i="3"/>
  <c r="V57" i="3"/>
  <c r="F49" i="3" s="1"/>
  <c r="V31" i="3"/>
  <c r="AD12" i="6"/>
  <c r="AE12" i="6"/>
  <c r="H51" i="7"/>
  <c r="BU19" i="5"/>
  <c r="BN12" i="5"/>
  <c r="I51" i="7" s="1"/>
  <c r="AD5" i="6"/>
  <c r="AE5" i="6"/>
  <c r="AD10" i="6"/>
  <c r="AE10" i="6"/>
  <c r="AC8" i="6"/>
  <c r="AF8" i="6"/>
  <c r="AG8" i="6"/>
  <c r="D51" i="7"/>
  <c r="BU18" i="5"/>
  <c r="AD9" i="6"/>
  <c r="AE9" i="6"/>
  <c r="BV20" i="5"/>
  <c r="M51" i="7" l="1"/>
  <c r="L51" i="7"/>
  <c r="BU20" i="5"/>
  <c r="BP12" i="5"/>
  <c r="BQ12" i="5"/>
  <c r="I55" i="7" s="1"/>
  <c r="BQ13" i="5"/>
  <c r="M55" i="7" s="1"/>
  <c r="BP13" i="5"/>
  <c r="J33" i="7"/>
  <c r="BL5" i="5" s="1"/>
  <c r="J34" i="7"/>
  <c r="BL6" i="5" s="1"/>
  <c r="E52" i="7"/>
  <c r="J32" i="7"/>
  <c r="V32" i="7" s="1"/>
  <c r="AH7" i="6"/>
  <c r="AI7" i="6" s="1"/>
  <c r="AK7" i="6" s="1"/>
  <c r="AZ7" i="6" s="1"/>
  <c r="AH12" i="6"/>
  <c r="AI12" i="6" s="1"/>
  <c r="E51" i="7"/>
  <c r="BK4" i="5"/>
  <c r="F6" i="7"/>
  <c r="G6" i="7" s="1"/>
  <c r="BK6" i="5"/>
  <c r="F8" i="7"/>
  <c r="G8" i="7" s="1"/>
  <c r="P181" i="4"/>
  <c r="P126" i="4"/>
  <c r="P214" i="4"/>
  <c r="P115" i="4"/>
  <c r="P137" i="4"/>
  <c r="P170" i="4"/>
  <c r="P148" i="4"/>
  <c r="P93" i="4"/>
  <c r="P192" i="4"/>
  <c r="P203" i="4"/>
  <c r="P159" i="4"/>
  <c r="P104" i="4"/>
  <c r="AH5" i="6"/>
  <c r="AI5" i="6" s="1"/>
  <c r="AH9" i="6"/>
  <c r="AI9" i="6" s="1"/>
  <c r="M52" i="7"/>
  <c r="AU4" i="6"/>
  <c r="AJ4" i="6"/>
  <c r="AQ4" i="6" s="1"/>
  <c r="AS4" i="6" s="1"/>
  <c r="AT4" i="6" s="1"/>
  <c r="P183" i="4"/>
  <c r="P172" i="4"/>
  <c r="P205" i="4"/>
  <c r="P95" i="4"/>
  <c r="P216" i="4"/>
  <c r="P128" i="4"/>
  <c r="P194" i="4"/>
  <c r="P150" i="4"/>
  <c r="P117" i="4"/>
  <c r="P161" i="4"/>
  <c r="P106" i="4"/>
  <c r="P139" i="4"/>
  <c r="BK5" i="5"/>
  <c r="F7" i="7"/>
  <c r="G7" i="7" s="1"/>
  <c r="AH11" i="6"/>
  <c r="AI11" i="6" s="1"/>
  <c r="AK11" i="6" s="1"/>
  <c r="AH10" i="6"/>
  <c r="AI10" i="6" s="1"/>
  <c r="AK10" i="6" s="1"/>
  <c r="P138" i="4"/>
  <c r="P204" i="4"/>
  <c r="P105" i="4"/>
  <c r="P193" i="4"/>
  <c r="P94" i="4"/>
  <c r="P160" i="4"/>
  <c r="P182" i="4"/>
  <c r="P215" i="4"/>
  <c r="P127" i="4"/>
  <c r="P116" i="4"/>
  <c r="P171" i="4"/>
  <c r="P149" i="4"/>
  <c r="AK6" i="6"/>
  <c r="AZ6" i="6" s="1"/>
  <c r="AJ6" i="6"/>
  <c r="AQ6" i="6" s="1"/>
  <c r="AS6" i="6" s="1"/>
  <c r="AT6" i="6" s="1"/>
  <c r="BV15" i="6" s="1"/>
  <c r="AU6" i="6"/>
  <c r="F9" i="3"/>
  <c r="I52" i="7"/>
  <c r="AD8" i="6"/>
  <c r="AE8" i="6"/>
  <c r="AU7" i="6" l="1"/>
  <c r="BB7" i="6" s="1"/>
  <c r="BC7" i="6" s="1"/>
  <c r="BB6" i="6"/>
  <c r="BC6" i="6" s="1"/>
  <c r="AK12" i="6"/>
  <c r="AZ12" i="6" s="1"/>
  <c r="AX4" i="6"/>
  <c r="AY4" i="6" s="1"/>
  <c r="BV6" i="6" s="1"/>
  <c r="AW4" i="6"/>
  <c r="BV7" i="6"/>
  <c r="E54" i="7"/>
  <c r="V34" i="7"/>
  <c r="V33" i="7"/>
  <c r="K5" i="3"/>
  <c r="M5" i="3" s="1"/>
  <c r="BL4" i="5"/>
  <c r="AJ7" i="6"/>
  <c r="AQ7" i="6" s="1"/>
  <c r="AX7" i="6" s="1"/>
  <c r="AY7" i="6" s="1"/>
  <c r="BW6" i="6" s="1"/>
  <c r="AQ12" i="6"/>
  <c r="AS12" i="6" s="1"/>
  <c r="AT12" i="6" s="1"/>
  <c r="BX15" i="6" s="1"/>
  <c r="AU12" i="6"/>
  <c r="AW12" i="6" s="1"/>
  <c r="G7" i="3"/>
  <c r="G6" i="3"/>
  <c r="G5" i="3"/>
  <c r="I5" i="3" s="1"/>
  <c r="J5" i="3" s="1"/>
  <c r="H5" i="3" s="1"/>
  <c r="AJ10" i="6"/>
  <c r="AQ10" i="6" s="1"/>
  <c r="AU10" i="6"/>
  <c r="AZ10" i="6"/>
  <c r="BV5" i="6"/>
  <c r="AJ11" i="6"/>
  <c r="AQ11" i="6" s="1"/>
  <c r="AS11" i="6" s="1"/>
  <c r="AT11" i="6" s="1"/>
  <c r="BX10" i="6" s="1"/>
  <c r="AU11" i="6"/>
  <c r="AZ11" i="6"/>
  <c r="AW7" i="6"/>
  <c r="M53" i="7"/>
  <c r="M54" i="7"/>
  <c r="K7" i="3"/>
  <c r="I54" i="7"/>
  <c r="I53" i="7"/>
  <c r="K6" i="3"/>
  <c r="AU9" i="6"/>
  <c r="AJ9" i="6"/>
  <c r="AQ9" i="6" s="1"/>
  <c r="AS9" i="6" s="1"/>
  <c r="AT9" i="6" s="1"/>
  <c r="BW15" i="6" s="1"/>
  <c r="AK9" i="6"/>
  <c r="AZ9" i="6" s="1"/>
  <c r="BB9" i="6" s="1"/>
  <c r="BC9" i="6" s="1"/>
  <c r="AH8" i="6"/>
  <c r="AI8" i="6" s="1"/>
  <c r="AU5" i="6"/>
  <c r="CH11" i="6" s="1"/>
  <c r="AK5" i="6"/>
  <c r="AZ5" i="6" s="1"/>
  <c r="AJ5" i="6"/>
  <c r="AQ5" i="6" s="1"/>
  <c r="AS5" i="6" s="1"/>
  <c r="AT5" i="6" s="1"/>
  <c r="BV10" i="6" s="1"/>
  <c r="AX6" i="6"/>
  <c r="AY6" i="6" s="1"/>
  <c r="BV16" i="6" s="1"/>
  <c r="AW6" i="6"/>
  <c r="CB4" i="6" l="1"/>
  <c r="AS7" i="6"/>
  <c r="AT7" i="6" s="1"/>
  <c r="BW5" i="6" s="1"/>
  <c r="BB5" i="6"/>
  <c r="BC5" i="6" s="1"/>
  <c r="CG11" i="6"/>
  <c r="G19" i="7" s="1"/>
  <c r="BB11" i="6"/>
  <c r="BC11" i="6" s="1"/>
  <c r="BB12" i="6"/>
  <c r="BC12" i="6" s="1"/>
  <c r="BB10" i="6"/>
  <c r="BC10" i="6" s="1"/>
  <c r="BX7" i="6" s="1"/>
  <c r="BV17" i="6"/>
  <c r="BW18" i="5"/>
  <c r="D54" i="7"/>
  <c r="CM11" i="6"/>
  <c r="CQ11" i="6" s="1"/>
  <c r="CG13" i="6"/>
  <c r="CI11" i="6"/>
  <c r="AX12" i="6"/>
  <c r="AY12" i="6" s="1"/>
  <c r="BX16" i="6" s="1"/>
  <c r="CJ13" i="6"/>
  <c r="CI13" i="6"/>
  <c r="BV12" i="6"/>
  <c r="AX5" i="6"/>
  <c r="AY5" i="6" s="1"/>
  <c r="BV11" i="6" s="1"/>
  <c r="CC4" i="6" s="1"/>
  <c r="CN11" i="6" s="1"/>
  <c r="AW5" i="6"/>
  <c r="AX10" i="6"/>
  <c r="AY10" i="6" s="1"/>
  <c r="BX6" i="6" s="1"/>
  <c r="AW10" i="6"/>
  <c r="CH13" i="6"/>
  <c r="BW7" i="6"/>
  <c r="AS10" i="6"/>
  <c r="AT10" i="6" s="1"/>
  <c r="BX5" i="6" s="1"/>
  <c r="CB10" i="6" s="1"/>
  <c r="CM13" i="6" s="1"/>
  <c r="CQ13" i="6" s="1"/>
  <c r="L54" i="7"/>
  <c r="BW20" i="5"/>
  <c r="AX11" i="6"/>
  <c r="AY11" i="6" s="1"/>
  <c r="BX11" i="6" s="1"/>
  <c r="AW11" i="6"/>
  <c r="AU8" i="6"/>
  <c r="AK8" i="6"/>
  <c r="AZ8" i="6" s="1"/>
  <c r="BB8" i="6" s="1"/>
  <c r="BC8" i="6" s="1"/>
  <c r="AJ8" i="6"/>
  <c r="AQ8" i="6" s="1"/>
  <c r="I6" i="3"/>
  <c r="J6" i="3" s="1"/>
  <c r="H54" i="7"/>
  <c r="BW19" i="5"/>
  <c r="AX9" i="6"/>
  <c r="AY9" i="6" s="1"/>
  <c r="BW16" i="6" s="1"/>
  <c r="AW9" i="6"/>
  <c r="CJ11" i="6"/>
  <c r="CD4" i="6" l="1"/>
  <c r="CO11" i="6" s="1"/>
  <c r="G21" i="7"/>
  <c r="AX8" i="6"/>
  <c r="AY8" i="6" s="1"/>
  <c r="E48" i="7"/>
  <c r="BX12" i="6"/>
  <c r="BW17" i="6"/>
  <c r="CM4" i="6"/>
  <c r="E56" i="7"/>
  <c r="J21" i="7"/>
  <c r="M56" i="7"/>
  <c r="E47" i="7"/>
  <c r="R6" i="7" s="1"/>
  <c r="G13" i="3" s="1"/>
  <c r="BX17" i="6"/>
  <c r="M6" i="3"/>
  <c r="I7" i="3"/>
  <c r="J7" i="3" s="1"/>
  <c r="CS13" i="6"/>
  <c r="CJ12" i="6"/>
  <c r="CI12" i="6"/>
  <c r="M47" i="7"/>
  <c r="AS8" i="6"/>
  <c r="AT8" i="6" s="1"/>
  <c r="BW10" i="6" s="1"/>
  <c r="CG12" i="6"/>
  <c r="AW8" i="6"/>
  <c r="CH12" i="6"/>
  <c r="CC10" i="6"/>
  <c r="CN13" i="6" s="1"/>
  <c r="M48" i="7" s="1"/>
  <c r="M7" i="3"/>
  <c r="CT11" i="6"/>
  <c r="CU11" i="6" s="1"/>
  <c r="CB7" i="6" l="1"/>
  <c r="CM12" i="6" s="1"/>
  <c r="CD10" i="6"/>
  <c r="CO13" i="6" s="1"/>
  <c r="M49" i="7" s="1"/>
  <c r="BW11" i="6"/>
  <c r="CC7" i="6" s="1"/>
  <c r="CN12" i="6" s="1"/>
  <c r="I48" i="7" s="1"/>
  <c r="R226" i="4"/>
  <c r="O233" i="4" s="1"/>
  <c r="G20" i="7"/>
  <c r="V19" i="7"/>
  <c r="BW12" i="6"/>
  <c r="CJ6" i="6"/>
  <c r="H8" i="7"/>
  <c r="O8" i="7"/>
  <c r="D28" i="4"/>
  <c r="L47" i="7"/>
  <c r="CT13" i="6"/>
  <c r="I21" i="7" s="1"/>
  <c r="CS20" i="6"/>
  <c r="CV20" i="6"/>
  <c r="D26" i="4"/>
  <c r="D47" i="7"/>
  <c r="CS18" i="6"/>
  <c r="CV18" i="6"/>
  <c r="E50" i="7"/>
  <c r="E49" i="7"/>
  <c r="V6" i="7"/>
  <c r="H6" i="7"/>
  <c r="O6" i="7"/>
  <c r="CJ4" i="6"/>
  <c r="R8" i="7"/>
  <c r="G15" i="3" s="1"/>
  <c r="R228" i="4"/>
  <c r="V21" i="7"/>
  <c r="CM6" i="6"/>
  <c r="J20" i="7" l="1"/>
  <c r="V20" i="7" s="1"/>
  <c r="CQ12" i="6"/>
  <c r="I56" i="7" s="1"/>
  <c r="CS12" i="6"/>
  <c r="H47" i="7" s="1"/>
  <c r="I47" i="7"/>
  <c r="CD7" i="6"/>
  <c r="CO12" i="6" s="1"/>
  <c r="M50" i="7"/>
  <c r="CT12" i="6"/>
  <c r="S226" i="4"/>
  <c r="S233" i="4"/>
  <c r="G28" i="4"/>
  <c r="D15" i="3"/>
  <c r="G26" i="4"/>
  <c r="D13" i="3"/>
  <c r="L48" i="7"/>
  <c r="Q8" i="7" s="1"/>
  <c r="CU13" i="6"/>
  <c r="L7" i="3" s="1"/>
  <c r="CT20" i="6"/>
  <c r="Q183" i="4"/>
  <c r="Q172" i="4"/>
  <c r="Q161" i="4"/>
  <c r="Q106" i="4"/>
  <c r="Q194" i="4"/>
  <c r="Q150" i="4"/>
  <c r="Q216" i="4"/>
  <c r="Q205" i="4"/>
  <c r="Q117" i="4"/>
  <c r="Q95" i="4"/>
  <c r="Q128" i="4"/>
  <c r="Q139" i="4"/>
  <c r="D48" i="7"/>
  <c r="L5" i="3"/>
  <c r="CT18" i="6"/>
  <c r="R7" i="7"/>
  <c r="G14" i="3" s="1"/>
  <c r="Q6" i="7"/>
  <c r="F13" i="3" s="1"/>
  <c r="C47" i="7"/>
  <c r="O7" i="7"/>
  <c r="CJ5" i="6"/>
  <c r="H7" i="7"/>
  <c r="Q170" i="4"/>
  <c r="Q126" i="4"/>
  <c r="Q214" i="4"/>
  <c r="Q115" i="4"/>
  <c r="Q181" i="4"/>
  <c r="Q137" i="4"/>
  <c r="Q203" i="4"/>
  <c r="Q192" i="4"/>
  <c r="Q148" i="4"/>
  <c r="Q93" i="4"/>
  <c r="Q159" i="4"/>
  <c r="Q104" i="4"/>
  <c r="S235" i="4"/>
  <c r="O235" i="4"/>
  <c r="S228" i="4"/>
  <c r="K47" i="7"/>
  <c r="V8" i="7"/>
  <c r="D27" i="4"/>
  <c r="CS19" i="6"/>
  <c r="CV19" i="6"/>
  <c r="G47" i="7" l="1"/>
  <c r="R227" i="4"/>
  <c r="O234" i="4" s="1"/>
  <c r="CM5" i="6"/>
  <c r="I50" i="7"/>
  <c r="I49" i="7"/>
  <c r="CU12" i="6"/>
  <c r="L6" i="3" s="1"/>
  <c r="I20" i="7"/>
  <c r="CL5" i="6" s="1"/>
  <c r="F15" i="3"/>
  <c r="E28" i="4"/>
  <c r="P8" i="7"/>
  <c r="CL6" i="6"/>
  <c r="N7" i="3"/>
  <c r="K48" i="7"/>
  <c r="K49" i="7" s="1"/>
  <c r="L50" i="7"/>
  <c r="CU20" i="6"/>
  <c r="E26" i="4"/>
  <c r="V7" i="7"/>
  <c r="CT19" i="6"/>
  <c r="H48" i="7"/>
  <c r="G48" i="7" s="1"/>
  <c r="G49" i="7" s="1"/>
  <c r="G27" i="4"/>
  <c r="D14" i="3"/>
  <c r="D50" i="7"/>
  <c r="CU18" i="6"/>
  <c r="Q127" i="4"/>
  <c r="Q193" i="4"/>
  <c r="Q94" i="4"/>
  <c r="Q182" i="4"/>
  <c r="Q105" i="4"/>
  <c r="Q215" i="4"/>
  <c r="Q149" i="4"/>
  <c r="Q138" i="4"/>
  <c r="Q204" i="4"/>
  <c r="Q160" i="4"/>
  <c r="Q116" i="4"/>
  <c r="Q171" i="4"/>
  <c r="P6" i="7"/>
  <c r="C48" i="7"/>
  <c r="S227" i="4" l="1"/>
  <c r="S234" i="4"/>
  <c r="I7" i="7"/>
  <c r="J7" i="7" s="1"/>
  <c r="I8" i="7"/>
  <c r="J8" i="7" s="1"/>
  <c r="Q7" i="7"/>
  <c r="F14" i="3" s="1"/>
  <c r="P7" i="7"/>
  <c r="O7" i="3"/>
  <c r="H26" i="4"/>
  <c r="C49" i="7"/>
  <c r="N5" i="3"/>
  <c r="O5" i="3"/>
  <c r="P5" i="3" s="1"/>
  <c r="H50" i="7"/>
  <c r="G50" i="7" s="1"/>
  <c r="G51" i="7" s="1"/>
  <c r="G52" i="7" s="1"/>
  <c r="G53" i="7" s="1"/>
  <c r="G54" i="7" s="1"/>
  <c r="G55" i="7" s="1"/>
  <c r="CU19" i="6"/>
  <c r="K50" i="7"/>
  <c r="H28" i="4"/>
  <c r="C50" i="7" l="1"/>
  <c r="C51" i="7" s="1"/>
  <c r="C52" i="7" s="1"/>
  <c r="C53" i="7" s="1"/>
  <c r="C54" i="7" s="1"/>
  <c r="C55" i="7" s="1"/>
  <c r="K51" i="7"/>
  <c r="K52" i="7" s="1"/>
  <c r="E27" i="4"/>
  <c r="H27" i="4"/>
  <c r="N6" i="3"/>
  <c r="O6" i="3"/>
  <c r="K53" i="7" l="1"/>
  <c r="K54" i="7" s="1"/>
  <c r="K55" i="7" s="1"/>
  <c r="H6" i="3"/>
  <c r="P6" i="3"/>
  <c r="P7" i="3" l="1"/>
  <c r="H7" i="3"/>
  <c r="C56" i="7" l="1"/>
  <c r="E13" i="3" l="1"/>
  <c r="R5" i="3" s="1"/>
  <c r="G56" i="7"/>
  <c r="E14" i="3" s="1"/>
  <c r="W5" i="3" l="1"/>
  <c r="R6" i="3"/>
  <c r="W6" i="3" s="1"/>
  <c r="K56" i="7"/>
  <c r="E15" i="3" s="1"/>
  <c r="R7" i="3" s="1"/>
  <c r="AE5" i="3" l="1"/>
  <c r="AG5" i="3" s="1"/>
  <c r="AF5" i="3"/>
  <c r="AH5" i="3" s="1"/>
  <c r="AF6" i="3"/>
  <c r="AH6" i="3" s="1"/>
  <c r="AE6" i="3"/>
  <c r="W7" i="3"/>
  <c r="S7" i="3"/>
  <c r="AI5" i="3" l="1"/>
  <c r="AF7" i="3"/>
  <c r="AH7" i="3" s="1"/>
  <c r="AE7" i="3"/>
  <c r="X7" i="3"/>
  <c r="Z7" i="3" s="1"/>
  <c r="S6" i="3"/>
  <c r="AG6" i="3"/>
  <c r="AI6" i="3"/>
  <c r="X6" i="3" l="1"/>
  <c r="Z6" i="3" s="1"/>
  <c r="S5" i="3"/>
  <c r="X5" i="3" s="1"/>
  <c r="Z5" i="3" s="1"/>
  <c r="AG7" i="3"/>
  <c r="AI7" i="3"/>
  <c r="Z9" i="3" l="1"/>
  <c r="AA7" i="3" s="1"/>
  <c r="AA5" i="3" l="1"/>
  <c r="AC5" i="3" s="1"/>
  <c r="AD5" i="3" s="1"/>
  <c r="AA6" i="3"/>
  <c r="R18" i="3" l="1"/>
  <c r="W18" i="3" s="1"/>
  <c r="AC6" i="3"/>
  <c r="AD6" i="3" s="1"/>
  <c r="R19" i="3" s="1"/>
  <c r="AJ5" i="3"/>
  <c r="AB5" i="3"/>
  <c r="AK5" i="3"/>
  <c r="AF18" i="3" l="1"/>
  <c r="AH18" i="3" s="1"/>
  <c r="AE18" i="3"/>
  <c r="AG18" i="3" s="1"/>
  <c r="AC7" i="3"/>
  <c r="AD7" i="3" s="1"/>
  <c r="AB6" i="3"/>
  <c r="AJ6" i="3"/>
  <c r="AK6" i="3"/>
  <c r="W19" i="3"/>
  <c r="AF19" i="3" l="1"/>
  <c r="AH19" i="3" s="1"/>
  <c r="AE19" i="3"/>
  <c r="AJ7" i="3"/>
  <c r="R20" i="3"/>
  <c r="W20" i="3" s="1"/>
  <c r="AI18" i="3"/>
  <c r="AB7" i="3"/>
  <c r="AK7" i="3"/>
  <c r="AF20" i="3" l="1"/>
  <c r="AH20" i="3" s="1"/>
  <c r="AE20" i="3"/>
  <c r="AG20" i="3" s="1"/>
  <c r="S20" i="3"/>
  <c r="S19" i="3" s="1"/>
  <c r="S18" i="3" s="1"/>
  <c r="X18" i="3" s="1"/>
  <c r="Z18" i="3" s="1"/>
  <c r="AG19" i="3"/>
  <c r="AI19" i="3"/>
  <c r="X20" i="3" l="1"/>
  <c r="Z20" i="3" s="1"/>
  <c r="X19" i="3"/>
  <c r="Z19" i="3" s="1"/>
  <c r="AI20" i="3"/>
  <c r="Z22" i="3" l="1"/>
  <c r="AA20" i="3" s="1"/>
  <c r="AA19" i="3" l="1"/>
  <c r="AA18" i="3"/>
  <c r="AC18" i="3" s="1"/>
  <c r="AD18" i="3" s="1"/>
  <c r="R31" i="3" s="1"/>
  <c r="W31" i="3" l="1"/>
  <c r="AJ18" i="3"/>
  <c r="AB18" i="3"/>
  <c r="AK18" i="3"/>
  <c r="AC19" i="3"/>
  <c r="AD19" i="3" s="1"/>
  <c r="AE31" i="3" l="1"/>
  <c r="AF31" i="3"/>
  <c r="AH31" i="3" s="1"/>
  <c r="AC20" i="3"/>
  <c r="AD20" i="3" s="1"/>
  <c r="R32" i="3"/>
  <c r="W32" i="3" s="1"/>
  <c r="AJ19" i="3"/>
  <c r="AK19" i="3"/>
  <c r="AB19" i="3"/>
  <c r="AK20" i="3" l="1"/>
  <c r="R33" i="3"/>
  <c r="W33" i="3" s="1"/>
  <c r="AF32" i="3"/>
  <c r="AH32" i="3" s="1"/>
  <c r="AE32" i="3"/>
  <c r="AG32" i="3" s="1"/>
  <c r="AI31" i="3"/>
  <c r="AB20" i="3"/>
  <c r="AJ20" i="3"/>
  <c r="AG31" i="3"/>
  <c r="AF33" i="3" l="1"/>
  <c r="AH33" i="3" s="1"/>
  <c r="AE33" i="3"/>
  <c r="S33" i="3"/>
  <c r="S32" i="3" s="1"/>
  <c r="X32" i="3" s="1"/>
  <c r="Z32" i="3" s="1"/>
  <c r="AI32" i="3"/>
  <c r="AI33" i="3" l="1"/>
  <c r="X33" i="3"/>
  <c r="Z33" i="3" s="1"/>
  <c r="S31" i="3"/>
  <c r="X31" i="3" s="1"/>
  <c r="Z31" i="3" s="1"/>
  <c r="AG33" i="3"/>
  <c r="Z35" i="3" l="1"/>
  <c r="AA33" i="3" s="1"/>
  <c r="AA31" i="3" l="1"/>
  <c r="AC31" i="3" s="1"/>
  <c r="AD31" i="3" s="1"/>
  <c r="R44" i="3" s="1"/>
  <c r="AA32" i="3"/>
  <c r="AC32" i="3" l="1"/>
  <c r="AD32" i="3" s="1"/>
  <c r="R45" i="3" s="1"/>
  <c r="W44" i="3"/>
  <c r="AK31" i="3"/>
  <c r="AJ31" i="3"/>
  <c r="AB31" i="3"/>
  <c r="AF44" i="3" l="1"/>
  <c r="AH44" i="3" s="1"/>
  <c r="AE44" i="3"/>
  <c r="AC33" i="3"/>
  <c r="AD33" i="3" s="1"/>
  <c r="R46" i="3" s="1"/>
  <c r="W45" i="3"/>
  <c r="AK32" i="3"/>
  <c r="AJ32" i="3"/>
  <c r="AB32" i="3"/>
  <c r="AF45" i="3" l="1"/>
  <c r="AH45" i="3" s="1"/>
  <c r="AE45" i="3"/>
  <c r="AB33" i="3"/>
  <c r="AJ33" i="3"/>
  <c r="AK33" i="3"/>
  <c r="W46" i="3"/>
  <c r="S46" i="3"/>
  <c r="AI44" i="3"/>
  <c r="AG44" i="3"/>
  <c r="AF46" i="3" l="1"/>
  <c r="AH46" i="3" s="1"/>
  <c r="AE46" i="3"/>
  <c r="AG45" i="3"/>
  <c r="AI45" i="3"/>
  <c r="X46" i="3"/>
  <c r="Z46" i="3" s="1"/>
  <c r="S45" i="3"/>
  <c r="AI46" i="3" l="1"/>
  <c r="AG46" i="3"/>
  <c r="S44" i="3"/>
  <c r="X44" i="3" s="1"/>
  <c r="X45" i="3"/>
  <c r="Z45" i="3" l="1"/>
  <c r="Z44" i="3"/>
  <c r="Z48" i="3" l="1"/>
  <c r="AA45" i="3" s="1"/>
  <c r="AA46" i="3" l="1"/>
  <c r="AA44" i="3"/>
  <c r="AC44" i="3" s="1"/>
  <c r="AD44" i="3" s="1"/>
  <c r="R57" i="3" s="1"/>
  <c r="AB44" i="3" l="1"/>
  <c r="AJ44" i="3"/>
  <c r="AK44" i="3"/>
  <c r="AC45" i="3"/>
  <c r="J49" i="3"/>
  <c r="G49" i="3" s="1"/>
  <c r="W57" i="3"/>
  <c r="AE57" i="3" l="1"/>
  <c r="AF57" i="3"/>
  <c r="AH57" i="3" s="1"/>
  <c r="AD45" i="3"/>
  <c r="R58" i="3" s="1"/>
  <c r="AC46" i="3"/>
  <c r="AD46" i="3" s="1"/>
  <c r="R59" i="3" s="1"/>
  <c r="I19" i="7"/>
  <c r="N49" i="3"/>
  <c r="M49" i="3"/>
  <c r="O49" i="3"/>
  <c r="L49" i="3"/>
  <c r="CL4" i="6" l="1"/>
  <c r="I6" i="7"/>
  <c r="J6" i="7" s="1"/>
  <c r="P49" i="3"/>
  <c r="AJ46" i="3"/>
  <c r="AB46" i="3"/>
  <c r="AK46" i="3"/>
  <c r="AB45" i="3"/>
  <c r="AK45" i="3"/>
  <c r="AJ45" i="3"/>
  <c r="AG57" i="3"/>
  <c r="AI57" i="3"/>
  <c r="C16" i="4"/>
  <c r="E16" i="4" s="1"/>
  <c r="T159" i="4" l="1"/>
  <c r="T148" i="4"/>
  <c r="T104" i="4"/>
  <c r="T181" i="4"/>
  <c r="T93" i="4"/>
  <c r="T214" i="4"/>
  <c r="T126" i="4"/>
  <c r="T203" i="4"/>
  <c r="T192" i="4"/>
  <c r="T137" i="4"/>
  <c r="T170" i="4"/>
  <c r="T115" i="4"/>
  <c r="W59" i="3"/>
  <c r="J51" i="3"/>
  <c r="S59" i="3"/>
  <c r="J50" i="3"/>
  <c r="G50" i="3" s="1"/>
  <c r="O50" i="3" s="1"/>
  <c r="W58" i="3"/>
  <c r="AF58" i="3" l="1"/>
  <c r="AH58" i="3" s="1"/>
  <c r="AE58" i="3"/>
  <c r="AF59" i="3"/>
  <c r="AH59" i="3" s="1"/>
  <c r="AE59" i="3"/>
  <c r="M50" i="3"/>
  <c r="L50" i="3"/>
  <c r="N50" i="3"/>
  <c r="S58" i="3"/>
  <c r="X59" i="3"/>
  <c r="Z59" i="3" s="1"/>
  <c r="K51" i="3"/>
  <c r="G51" i="3"/>
  <c r="O51" i="3" s="1"/>
  <c r="P50" i="3" l="1"/>
  <c r="M205" i="4"/>
  <c r="M150" i="4"/>
  <c r="M117" i="4"/>
  <c r="K50" i="3"/>
  <c r="M106" i="4"/>
  <c r="M139" i="4"/>
  <c r="M194" i="4"/>
  <c r="M183" i="4"/>
  <c r="M216" i="4"/>
  <c r="M172" i="4"/>
  <c r="M161" i="4"/>
  <c r="M128" i="4"/>
  <c r="M95" i="4"/>
  <c r="AG58" i="3"/>
  <c r="C17" i="4"/>
  <c r="E17" i="4" s="1"/>
  <c r="AI58" i="3"/>
  <c r="L51" i="3"/>
  <c r="N51" i="3"/>
  <c r="M51" i="3"/>
  <c r="X58" i="3"/>
  <c r="Z58" i="3" s="1"/>
  <c r="S57" i="3"/>
  <c r="X57" i="3" s="1"/>
  <c r="X70" i="3" s="1"/>
  <c r="AG59" i="3"/>
  <c r="AI59" i="3"/>
  <c r="C18" i="4"/>
  <c r="E18" i="4" s="1"/>
  <c r="T194" i="4" l="1"/>
  <c r="T150" i="4"/>
  <c r="T106" i="4"/>
  <c r="T183" i="4"/>
  <c r="T95" i="4"/>
  <c r="T172" i="4"/>
  <c r="T128" i="4"/>
  <c r="T205" i="4"/>
  <c r="T139" i="4"/>
  <c r="T216" i="4"/>
  <c r="T161" i="4"/>
  <c r="T117" i="4"/>
  <c r="T215" i="4"/>
  <c r="T127" i="4"/>
  <c r="T182" i="4"/>
  <c r="T138" i="4"/>
  <c r="T171" i="4"/>
  <c r="T204" i="4"/>
  <c r="T160" i="4"/>
  <c r="T193" i="4"/>
  <c r="T149" i="4"/>
  <c r="T105" i="4"/>
  <c r="T94" i="4"/>
  <c r="T116" i="4"/>
  <c r="N194" i="4"/>
  <c r="O194" i="4" s="1"/>
  <c r="Z194" i="4"/>
  <c r="AA194" i="4" s="1"/>
  <c r="Z139" i="4"/>
  <c r="AA139" i="4" s="1"/>
  <c r="N139" i="4"/>
  <c r="O139" i="4" s="1"/>
  <c r="Z95" i="4"/>
  <c r="AA95" i="4" s="1"/>
  <c r="N95" i="4"/>
  <c r="O95" i="4" s="1"/>
  <c r="H139" i="4"/>
  <c r="Z106" i="4"/>
  <c r="AA106" i="4" s="1"/>
  <c r="N106" i="4"/>
  <c r="O106" i="4" s="1"/>
  <c r="N183" i="4"/>
  <c r="O183" i="4" s="1"/>
  <c r="Z183" i="4"/>
  <c r="AA183" i="4" s="1"/>
  <c r="Z128" i="4"/>
  <c r="AA128" i="4" s="1"/>
  <c r="N128" i="4"/>
  <c r="O128" i="4" s="1"/>
  <c r="G139" i="4"/>
  <c r="Z51" i="4"/>
  <c r="AA51" i="4" s="1"/>
  <c r="Z84" i="4"/>
  <c r="AA84" i="4" s="1"/>
  <c r="Z29" i="4"/>
  <c r="AA29" i="4" s="1"/>
  <c r="E139" i="4"/>
  <c r="S69" i="3"/>
  <c r="Z57" i="3"/>
  <c r="Z61" i="3" s="1"/>
  <c r="D139" i="4"/>
  <c r="Z18" i="4"/>
  <c r="AA18" i="4" s="1"/>
  <c r="M127" i="4"/>
  <c r="M193" i="4"/>
  <c r="M182" i="4"/>
  <c r="M171" i="4"/>
  <c r="M204" i="4"/>
  <c r="M105" i="4"/>
  <c r="M160" i="4"/>
  <c r="M116" i="4"/>
  <c r="M94" i="4"/>
  <c r="M215" i="4"/>
  <c r="M138" i="4"/>
  <c r="K49" i="3"/>
  <c r="M149" i="4"/>
  <c r="N161" i="4"/>
  <c r="O161" i="4" s="1"/>
  <c r="Z161" i="4"/>
  <c r="AA161" i="4" s="1"/>
  <c r="N117" i="4"/>
  <c r="O117" i="4" s="1"/>
  <c r="Z117" i="4"/>
  <c r="AA117" i="4" s="1"/>
  <c r="Z172" i="4"/>
  <c r="AA172" i="4" s="1"/>
  <c r="N172" i="4"/>
  <c r="O172" i="4" s="1"/>
  <c r="Z150" i="4"/>
  <c r="AA150" i="4" s="1"/>
  <c r="N150" i="4"/>
  <c r="O150" i="4" s="1"/>
  <c r="Z216" i="4"/>
  <c r="AA216" i="4" s="1"/>
  <c r="N216" i="4"/>
  <c r="O216" i="4" s="1"/>
  <c r="Z73" i="4"/>
  <c r="AA73" i="4" s="1"/>
  <c r="Z7" i="4"/>
  <c r="AA7" i="4" s="1"/>
  <c r="C139" i="4"/>
  <c r="Z205" i="4"/>
  <c r="AA205" i="4" s="1"/>
  <c r="N205" i="4"/>
  <c r="O205" i="4" s="1"/>
  <c r="P51" i="3"/>
  <c r="Z62" i="4"/>
  <c r="AA62" i="4" s="1"/>
  <c r="F139" i="4"/>
  <c r="Z40" i="4"/>
  <c r="AA40" i="4" s="1"/>
  <c r="S161" i="4" l="1"/>
  <c r="R161" i="4"/>
  <c r="Z204" i="4"/>
  <c r="AA204" i="4" s="1"/>
  <c r="N204" i="4"/>
  <c r="O204" i="4" s="1"/>
  <c r="R216" i="4"/>
  <c r="S216" i="4"/>
  <c r="M192" i="4"/>
  <c r="M159" i="4"/>
  <c r="M203" i="4"/>
  <c r="M93" i="4"/>
  <c r="M104" i="4"/>
  <c r="M170" i="4"/>
  <c r="M115" i="4"/>
  <c r="M214" i="4"/>
  <c r="M126" i="4"/>
  <c r="M137" i="4"/>
  <c r="M181" i="4"/>
  <c r="M148" i="4"/>
  <c r="Z61" i="4"/>
  <c r="AA61" i="4" s="1"/>
  <c r="R106" i="4"/>
  <c r="S106" i="4"/>
  <c r="N149" i="4"/>
  <c r="O149" i="4" s="1"/>
  <c r="Z149" i="4"/>
  <c r="AA149" i="4" s="1"/>
  <c r="N138" i="4"/>
  <c r="O138" i="4" s="1"/>
  <c r="Z138" i="4"/>
  <c r="AA138" i="4" s="1"/>
  <c r="Z193" i="4"/>
  <c r="AA193" i="4" s="1"/>
  <c r="N193" i="4"/>
  <c r="O193" i="4" s="1"/>
  <c r="R150" i="4"/>
  <c r="S150" i="4"/>
  <c r="Z215" i="4"/>
  <c r="AA215" i="4" s="1"/>
  <c r="N215" i="4"/>
  <c r="O215" i="4" s="1"/>
  <c r="F138" i="4"/>
  <c r="Z39" i="4"/>
  <c r="AA39" i="4" s="1"/>
  <c r="Z171" i="4"/>
  <c r="AA171" i="4" s="1"/>
  <c r="N171" i="4"/>
  <c r="O171" i="4" s="1"/>
  <c r="N94" i="4"/>
  <c r="O94" i="4" s="1"/>
  <c r="Z94" i="4"/>
  <c r="AA94" i="4" s="1"/>
  <c r="Z17" i="4"/>
  <c r="AA17" i="4" s="1"/>
  <c r="D138" i="4"/>
  <c r="S95" i="4"/>
  <c r="R95" i="4"/>
  <c r="N182" i="4"/>
  <c r="O182" i="4" s="1"/>
  <c r="Z182" i="4"/>
  <c r="AA182" i="4" s="1"/>
  <c r="S172" i="4"/>
  <c r="R172" i="4"/>
  <c r="Z50" i="4"/>
  <c r="AA50" i="4" s="1"/>
  <c r="G138" i="4"/>
  <c r="Z72" i="4"/>
  <c r="AA72" i="4" s="1"/>
  <c r="AA57" i="3"/>
  <c r="AC57" i="3" s="1"/>
  <c r="AA58" i="3"/>
  <c r="AA59" i="3"/>
  <c r="S205" i="4"/>
  <c r="R205" i="4"/>
  <c r="Z83" i="4"/>
  <c r="AA83" i="4" s="1"/>
  <c r="Z6" i="4"/>
  <c r="AA6" i="4" s="1"/>
  <c r="C138" i="4"/>
  <c r="S139" i="4"/>
  <c r="R139" i="4"/>
  <c r="N116" i="4"/>
  <c r="O116" i="4" s="1"/>
  <c r="Z116" i="4"/>
  <c r="AA116" i="4" s="1"/>
  <c r="Z127" i="4"/>
  <c r="AA127" i="4" s="1"/>
  <c r="N127" i="4"/>
  <c r="O127" i="4" s="1"/>
  <c r="R183" i="4"/>
  <c r="S183" i="4"/>
  <c r="R117" i="4"/>
  <c r="S117" i="4"/>
  <c r="N160" i="4"/>
  <c r="O160" i="4" s="1"/>
  <c r="Z160" i="4"/>
  <c r="AA160" i="4" s="1"/>
  <c r="Z28" i="4"/>
  <c r="AA28" i="4" s="1"/>
  <c r="E138" i="4"/>
  <c r="H138" i="4"/>
  <c r="Z105" i="4"/>
  <c r="AA105" i="4" s="1"/>
  <c r="N105" i="4"/>
  <c r="O105" i="4" s="1"/>
  <c r="R128" i="4"/>
  <c r="S128" i="4"/>
  <c r="S194" i="4"/>
  <c r="R194" i="4"/>
  <c r="AB7" i="4" l="1"/>
  <c r="AB62" i="4"/>
  <c r="AB84" i="4"/>
  <c r="AB128" i="4"/>
  <c r="AB51" i="4"/>
  <c r="AB150" i="4"/>
  <c r="AB18" i="4"/>
  <c r="AB95" i="4"/>
  <c r="AB106" i="4"/>
  <c r="AB139" i="4"/>
  <c r="AB29" i="4"/>
  <c r="AB183" i="4"/>
  <c r="AB117" i="4"/>
  <c r="AB73" i="4"/>
  <c r="AB194" i="4"/>
  <c r="AB172" i="4"/>
  <c r="AB205" i="4"/>
  <c r="AB40" i="4"/>
  <c r="S105" i="4"/>
  <c r="R105" i="4"/>
  <c r="AB64" i="4"/>
  <c r="Z60" i="4"/>
  <c r="D43" i="4"/>
  <c r="AB196" i="4"/>
  <c r="Z192" i="4"/>
  <c r="N192" i="4"/>
  <c r="O192" i="4" s="1"/>
  <c r="D55" i="4"/>
  <c r="AB218" i="4"/>
  <c r="N214" i="4"/>
  <c r="O214" i="4" s="1"/>
  <c r="Z214" i="4"/>
  <c r="D57" i="4"/>
  <c r="AB216" i="4"/>
  <c r="AB119" i="4"/>
  <c r="N115" i="4"/>
  <c r="O115" i="4" s="1"/>
  <c r="Z115" i="4"/>
  <c r="D48" i="4"/>
  <c r="S171" i="4"/>
  <c r="R171" i="4"/>
  <c r="S193" i="4"/>
  <c r="R193" i="4"/>
  <c r="AB86" i="4"/>
  <c r="Z82" i="4"/>
  <c r="D45" i="4"/>
  <c r="Z170" i="4"/>
  <c r="N170" i="4"/>
  <c r="O170" i="4" s="1"/>
  <c r="D53" i="4"/>
  <c r="AB174" i="4"/>
  <c r="AB152" i="4"/>
  <c r="Z148" i="4"/>
  <c r="D51" i="4"/>
  <c r="N148" i="4"/>
  <c r="O148" i="4" s="1"/>
  <c r="H137" i="4"/>
  <c r="AB108" i="4"/>
  <c r="N104" i="4"/>
  <c r="O104" i="4" s="1"/>
  <c r="Z104" i="4"/>
  <c r="D47" i="4"/>
  <c r="S138" i="4"/>
  <c r="R138" i="4"/>
  <c r="AB185" i="4"/>
  <c r="D54" i="4"/>
  <c r="Z181" i="4"/>
  <c r="N181" i="4"/>
  <c r="O181" i="4" s="1"/>
  <c r="N93" i="4"/>
  <c r="O93" i="4" s="1"/>
  <c r="AB97" i="4"/>
  <c r="Z93" i="4"/>
  <c r="D46" i="4"/>
  <c r="AB9" i="4"/>
  <c r="D38" i="4"/>
  <c r="C137" i="4"/>
  <c r="Z5" i="4"/>
  <c r="F137" i="4"/>
  <c r="Z38" i="4"/>
  <c r="AB42" i="4"/>
  <c r="D41" i="4"/>
  <c r="S204" i="4"/>
  <c r="R204" i="4"/>
  <c r="S127" i="4"/>
  <c r="R127" i="4"/>
  <c r="AB141" i="4"/>
  <c r="N137" i="4"/>
  <c r="O137" i="4" s="1"/>
  <c r="Z137" i="4"/>
  <c r="D50" i="4"/>
  <c r="Z203" i="4"/>
  <c r="AB207" i="4"/>
  <c r="N203" i="4"/>
  <c r="O203" i="4" s="1"/>
  <c r="D56" i="4"/>
  <c r="D40" i="4"/>
  <c r="AB31" i="4"/>
  <c r="E137" i="4"/>
  <c r="Z27" i="4"/>
  <c r="D137" i="4"/>
  <c r="AB20" i="4"/>
  <c r="D39" i="4"/>
  <c r="Z16" i="4"/>
  <c r="AD57" i="3"/>
  <c r="AC58" i="3"/>
  <c r="S160" i="4"/>
  <c r="R160" i="4"/>
  <c r="R94" i="4"/>
  <c r="S94" i="4"/>
  <c r="R215" i="4"/>
  <c r="S215" i="4"/>
  <c r="Z71" i="4"/>
  <c r="D44" i="4"/>
  <c r="AB75" i="4"/>
  <c r="G137" i="4"/>
  <c r="Z49" i="4"/>
  <c r="AB53" i="4"/>
  <c r="D42" i="4"/>
  <c r="R116" i="4"/>
  <c r="S116" i="4"/>
  <c r="S182" i="4"/>
  <c r="R182" i="4"/>
  <c r="S149" i="4"/>
  <c r="R149" i="4"/>
  <c r="Z126" i="4"/>
  <c r="N126" i="4"/>
  <c r="O126" i="4" s="1"/>
  <c r="D49" i="4"/>
  <c r="AB130" i="4"/>
  <c r="D52" i="4"/>
  <c r="AB163" i="4"/>
  <c r="Z159" i="4"/>
  <c r="N159" i="4"/>
  <c r="O159" i="4" s="1"/>
  <c r="AB161" i="4"/>
  <c r="AB11" i="4" l="1"/>
  <c r="AB143" i="4"/>
  <c r="AB33" i="4"/>
  <c r="AB66" i="4"/>
  <c r="AB88" i="4"/>
  <c r="AB22" i="4"/>
  <c r="AB132" i="4"/>
  <c r="AB55" i="4"/>
  <c r="AB154" i="4"/>
  <c r="AB99" i="4"/>
  <c r="AB110" i="4"/>
  <c r="AB187" i="4"/>
  <c r="AB77" i="4"/>
  <c r="AB121" i="4"/>
  <c r="AB209" i="4"/>
  <c r="AB44" i="4"/>
  <c r="AB198" i="4"/>
  <c r="AB176" i="4"/>
  <c r="AB165" i="4"/>
  <c r="Z30" i="4"/>
  <c r="AA27" i="4"/>
  <c r="AA30" i="4" s="1"/>
  <c r="R148" i="4"/>
  <c r="U148" i="4"/>
  <c r="U149" i="4" s="1"/>
  <c r="U150" i="4" s="1"/>
  <c r="S148" i="4"/>
  <c r="R192" i="4"/>
  <c r="U192" i="4"/>
  <c r="U193" i="4" s="1"/>
  <c r="U194" i="4" s="1"/>
  <c r="S192" i="4"/>
  <c r="AA148" i="4"/>
  <c r="AA151" i="4" s="1"/>
  <c r="Z151" i="4"/>
  <c r="Z195" i="4"/>
  <c r="AA192" i="4"/>
  <c r="AA195" i="4" s="1"/>
  <c r="AA49" i="4"/>
  <c r="AA52" i="4" s="1"/>
  <c r="Z52" i="4"/>
  <c r="S137" i="4"/>
  <c r="R137" i="4"/>
  <c r="U137" i="4"/>
  <c r="U138" i="4" s="1"/>
  <c r="U139" i="4" s="1"/>
  <c r="Z8" i="4"/>
  <c r="AA5" i="4"/>
  <c r="AA8" i="4" s="1"/>
  <c r="Z85" i="4"/>
  <c r="AA82" i="4"/>
  <c r="AA85" i="4" s="1"/>
  <c r="AA115" i="4"/>
  <c r="AA118" i="4" s="1"/>
  <c r="Z118" i="4"/>
  <c r="AD58" i="3"/>
  <c r="AC59" i="3"/>
  <c r="U115" i="4"/>
  <c r="U116" i="4" s="1"/>
  <c r="U117" i="4" s="1"/>
  <c r="S115" i="4"/>
  <c r="R115" i="4"/>
  <c r="U159" i="4"/>
  <c r="U160" i="4" s="1"/>
  <c r="U161" i="4" s="1"/>
  <c r="S159" i="4"/>
  <c r="R159" i="4"/>
  <c r="Z74" i="4"/>
  <c r="AA71" i="4"/>
  <c r="AA74" i="4" s="1"/>
  <c r="AK57" i="3"/>
  <c r="AJ57" i="3"/>
  <c r="AB57" i="3"/>
  <c r="G58" i="3" s="1"/>
  <c r="AA93" i="4"/>
  <c r="AA96" i="4" s="1"/>
  <c r="Z96" i="4"/>
  <c r="U170" i="4"/>
  <c r="U171" i="4" s="1"/>
  <c r="U172" i="4" s="1"/>
  <c r="S170" i="4"/>
  <c r="R170" i="4"/>
  <c r="AA60" i="4"/>
  <c r="AA63" i="4" s="1"/>
  <c r="Z63" i="4"/>
  <c r="AA170" i="4"/>
  <c r="AA173" i="4" s="1"/>
  <c r="Z173" i="4"/>
  <c r="U93" i="4"/>
  <c r="U94" i="4" s="1"/>
  <c r="U95" i="4" s="1"/>
  <c r="S93" i="4"/>
  <c r="R93" i="4"/>
  <c r="Z107" i="4"/>
  <c r="AA104" i="4"/>
  <c r="AA107" i="4" s="1"/>
  <c r="U126" i="4"/>
  <c r="U127" i="4" s="1"/>
  <c r="U128" i="4" s="1"/>
  <c r="S126" i="4"/>
  <c r="R126" i="4"/>
  <c r="AA137" i="4"/>
  <c r="AA140" i="4" s="1"/>
  <c r="Z140" i="4"/>
  <c r="U203" i="4"/>
  <c r="U204" i="4" s="1"/>
  <c r="U205" i="4" s="1"/>
  <c r="S203" i="4"/>
  <c r="R203" i="4"/>
  <c r="U181" i="4"/>
  <c r="U182" i="4" s="1"/>
  <c r="U183" i="4" s="1"/>
  <c r="R181" i="4"/>
  <c r="S181" i="4"/>
  <c r="R104" i="4"/>
  <c r="U104" i="4"/>
  <c r="U105" i="4" s="1"/>
  <c r="U106" i="4" s="1"/>
  <c r="S104" i="4"/>
  <c r="AA214" i="4"/>
  <c r="AA217" i="4" s="1"/>
  <c r="Z217" i="4"/>
  <c r="AA126" i="4"/>
  <c r="AA129" i="4" s="1"/>
  <c r="Z129" i="4"/>
  <c r="Z41" i="4"/>
  <c r="AA38" i="4"/>
  <c r="AA41" i="4" s="1"/>
  <c r="Z162" i="4"/>
  <c r="AA159" i="4"/>
  <c r="AA162" i="4" s="1"/>
  <c r="Z19" i="4"/>
  <c r="AA16" i="4"/>
  <c r="AA19" i="4" s="1"/>
  <c r="U214" i="4"/>
  <c r="U215" i="4" s="1"/>
  <c r="U216" i="4" s="1"/>
  <c r="S214" i="4"/>
  <c r="R214" i="4"/>
  <c r="AA181" i="4"/>
  <c r="AA184" i="4" s="1"/>
  <c r="Z184" i="4"/>
  <c r="AA203" i="4"/>
  <c r="AA206" i="4" s="1"/>
  <c r="Z206" i="4"/>
  <c r="D188" i="4"/>
  <c r="F188" i="4" s="1"/>
  <c r="D190" i="4"/>
  <c r="F190" i="4" s="1"/>
  <c r="D191" i="4"/>
  <c r="AB220" i="4"/>
  <c r="D189" i="4"/>
  <c r="F189" i="4" s="1"/>
  <c r="AB16" i="4" l="1"/>
  <c r="AB104" i="4"/>
  <c r="V104" i="4" s="1"/>
  <c r="C47" i="4" s="1"/>
  <c r="AB159" i="4"/>
  <c r="V159" i="4" s="1"/>
  <c r="C52" i="4" s="1"/>
  <c r="AB5" i="4"/>
  <c r="AB27" i="4"/>
  <c r="AB214" i="4"/>
  <c r="V214" i="4" s="1"/>
  <c r="C57" i="4" s="1"/>
  <c r="AB170" i="4"/>
  <c r="V170" i="4" s="1"/>
  <c r="C53" i="4" s="1"/>
  <c r="AB203" i="4"/>
  <c r="V203" i="4" s="1"/>
  <c r="C56" i="4" s="1"/>
  <c r="AB181" i="4"/>
  <c r="V181" i="4" s="1"/>
  <c r="C54" i="4" s="1"/>
  <c r="AB60" i="4"/>
  <c r="AB137" i="4"/>
  <c r="V137" i="4" s="1"/>
  <c r="C50" i="4" s="1"/>
  <c r="H58" i="3"/>
  <c r="AB82" i="4"/>
  <c r="C45" i="4" s="1"/>
  <c r="AB192" i="4"/>
  <c r="V192" i="4" s="1"/>
  <c r="C55" i="4" s="1"/>
  <c r="AB71" i="4"/>
  <c r="C44" i="4" s="1"/>
  <c r="AB148" i="4"/>
  <c r="V148" i="4" s="1"/>
  <c r="C51" i="4" s="1"/>
  <c r="AB38" i="4"/>
  <c r="H61" i="3"/>
  <c r="AD59" i="3"/>
  <c r="AK58" i="3"/>
  <c r="AJ58" i="3"/>
  <c r="AB58" i="3"/>
  <c r="G59" i="3" s="1"/>
  <c r="H59" i="3" s="1"/>
  <c r="AB126" i="4"/>
  <c r="V126" i="4" s="1"/>
  <c r="C49" i="4" s="1"/>
  <c r="AB93" i="4"/>
  <c r="V93" i="4" s="1"/>
  <c r="C46" i="4" s="1"/>
  <c r="AB115" i="4"/>
  <c r="V115" i="4" s="1"/>
  <c r="C48" i="4" s="1"/>
  <c r="AB49" i="4"/>
  <c r="C43" i="4" l="1"/>
  <c r="E44" i="4" s="1"/>
  <c r="C39" i="4"/>
  <c r="C40" i="4"/>
  <c r="C41" i="4"/>
  <c r="C42" i="4"/>
  <c r="C38" i="4"/>
  <c r="E48" i="4"/>
  <c r="E53" i="4"/>
  <c r="E52" i="4"/>
  <c r="E55" i="4"/>
  <c r="E46" i="4"/>
  <c r="E49" i="4"/>
  <c r="E47" i="4"/>
  <c r="E51" i="4"/>
  <c r="E54" i="4"/>
  <c r="E56" i="4"/>
  <c r="E57" i="4"/>
  <c r="E50" i="4"/>
  <c r="AK59" i="3"/>
  <c r="AB59" i="3"/>
  <c r="G60" i="3" s="1"/>
  <c r="H60" i="3" s="1"/>
  <c r="AJ59" i="3"/>
  <c r="E45" i="4"/>
  <c r="E40" i="4" l="1"/>
  <c r="E41" i="4"/>
  <c r="G41" i="4" s="1"/>
  <c r="E43" i="4"/>
  <c r="E38" i="4"/>
  <c r="G38" i="4" s="1"/>
  <c r="E39" i="4"/>
  <c r="I60" i="3"/>
  <c r="I58" i="3"/>
  <c r="I59" i="3"/>
  <c r="I61" i="3"/>
</calcChain>
</file>

<file path=xl/sharedStrings.xml><?xml version="1.0" encoding="utf-8"?>
<sst xmlns="http://schemas.openxmlformats.org/spreadsheetml/2006/main" count="1510" uniqueCount="437">
  <si>
    <t>No. of Storey</t>
  </si>
  <si>
    <t>Base</t>
  </si>
  <si>
    <t>Elevation (m)</t>
  </si>
  <si>
    <t>Storey Height (m)</t>
  </si>
  <si>
    <t>Model Configuration</t>
  </si>
  <si>
    <t>Bay 1</t>
  </si>
  <si>
    <t>Bay 2</t>
  </si>
  <si>
    <t>Bay 3</t>
  </si>
  <si>
    <t>Bay 4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</si>
  <si>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</si>
  <si>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</si>
  <si>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</si>
  <si>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</si>
  <si>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</si>
  <si>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</si>
  <si>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</si>
  <si>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</si>
  <si>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</si>
  <si>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</si>
  <si>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</si>
  <si>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</si>
  <si>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</si>
  <si>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</si>
  <si>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</si>
  <si>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</si>
  <si>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</si>
  <si>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</si>
  <si>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</si>
  <si>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</si>
  <si>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</si>
  <si>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</si>
  <si>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</si>
  <si>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</si>
  <si>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</si>
  <si>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</si>
  <si>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</si>
  <si>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</si>
  <si>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</si>
  <si>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</si>
  <si>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</si>
  <si>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</si>
  <si>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</si>
  <si>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</si>
  <si>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</si>
  <si>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</si>
  <si>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</si>
  <si>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</si>
  <si>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</si>
  <si>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</si>
  <si>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</si>
  <si>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</si>
  <si>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</si>
  <si>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</si>
  <si>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</si>
  <si>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</si>
  <si>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</si>
  <si>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</si>
  <si>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</si>
  <si>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</si>
  <si>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</si>
  <si>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</si>
  <si>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</si>
  <si>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</si>
  <si>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</si>
  <si>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</si>
  <si>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</si>
  <si>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</si>
  <si>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</si>
  <si>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</si>
  <si>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</si>
  <si>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</si>
  <si>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</si>
  <si>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</si>
  <si>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</si>
  <si>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</si>
  <si>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</si>
  <si>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</si>
  <si>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</si>
  <si>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</si>
  <si>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</si>
  <si>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</si>
  <si>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</si>
  <si>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</si>
  <si>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</si>
  <si>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</si>
  <si>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</si>
  <si>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</si>
  <si>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</si>
  <si>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</si>
  <si>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</si>
  <si>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</si>
  <si>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</si>
  <si>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</si>
  <si>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</si>
  <si>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</si>
  <si>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</si>
  <si>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</si>
  <si>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</si>
  <si>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</si>
  <si>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</si>
  <si>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</si>
  <si>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</si>
  <si>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</si>
  <si>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</si>
  <si>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</si>
  <si>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</si>
  <si>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</si>
  <si>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</si>
  <si>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</si>
  <si>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</si>
  <si>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</si>
  <si>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</si>
  <si>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</si>
  <si>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</si>
  <si>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</si>
  <si>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</si>
  <si>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</si>
  <si>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</si>
  <si>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</si>
  <si>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</si>
  <si>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</si>
  <si>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</si>
  <si>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</si>
  <si>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</si>
  <si>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</si>
  <si>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</si>
  <si>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</si>
  <si>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</si>
  <si>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</si>
  <si>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</si>
  <si>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</si>
  <si>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</si>
  <si>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</si>
  <si>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</si>
  <si>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</si>
  <si>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</si>
  <si>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</si>
  <si>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</si>
  <si>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</si>
  <si>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</si>
  <si>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</si>
  <si>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</si>
  <si>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</si>
  <si>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</si>
  <si>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</si>
  <si>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</si>
  <si>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</si>
  <si>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</si>
  <si>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</si>
  <si>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</si>
  <si>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</si>
  <si>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</si>
  <si>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</si>
  <si>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</si>
  <si>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</si>
  <si>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</si>
  <si>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</si>
  <si>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</si>
  <si>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</si>
  <si>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</si>
  <si>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</si>
  <si>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</si>
  <si>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</si>
  <si>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</si>
  <si>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</si>
  <si>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</si>
  <si>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</si>
  <si>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</si>
  <si>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</si>
  <si>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</si>
  <si>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</si>
  <si>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</si>
  <si>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</si>
  <si>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</si>
  <si>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</si>
  <si>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</si>
  <si>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</si>
  <si>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</si>
  <si>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</si>
  <si>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</si>
  <si>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Infill Strut Capacities (Weak) (Bertoldi et al., 1993)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</si>
  <si>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</si>
  <si>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</si>
  <si>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</si>
  <si>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</si>
  <si>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</si>
  <si>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</si>
  <si>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</si>
  <si>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</si>
  <si>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</si>
  <si>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</si>
  <si>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</si>
  <si>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</si>
  <si>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</si>
  <si>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</si>
  <si>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</si>
  <si>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</si>
  <si>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</si>
  <si>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</si>
  <si>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</si>
  <si>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</si>
  <si>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Horizontal Yield Drift and Flexural Capacities (Weak)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</si>
  <si>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</si>
  <si>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</si>
  <si>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</si>
  <si>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</si>
  <si>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</si>
  <si>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</si>
  <si>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</si>
  <si>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</si>
  <si>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</si>
  <si>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</si>
  <si>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</si>
  <si>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</si>
  <si>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</si>
  <si>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</si>
  <si>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</si>
  <si>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</si>
  <si>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</si>
  <si>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</si>
  <si>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</si>
  <si>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</si>
  <si>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</si>
  <si>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</si>
  <si>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</si>
  <si>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</si>
  <si>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</si>
  <si>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</si>
  <si>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</si>
  <si>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</si>
  <si>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</si>
  <si>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</si>
  <si>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</si>
  <si>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</si>
  <si>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</si>
  <si>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</si>
  <si>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</si>
  <si>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</si>
  <si>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</si>
  <si>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</si>
  <si>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</si>
  <si>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</si>
  <si>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</si>
  <si>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DS1 (m)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</si>
  <si>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</si>
  <si>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</si>
  <si>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</si>
  <si>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</si>
  <si>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</si>
  <si>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</si>
  <si>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</si>
  <si>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</si>
  <si>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Column 4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</si>
  <si>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</si>
  <si>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</si>
  <si>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</si>
  <si>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</si>
  <si>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</si>
  <si>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</si>
  <si>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</si>
  <si>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</si>
  <si>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</si>
  <si>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</si>
  <si>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</si>
  <si>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</si>
  <si>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</si>
  <si>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</si>
  <si>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</si>
  <si>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</si>
  <si>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</si>
  <si>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</si>
  <si>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</si>
  <si>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</si>
  <si>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</si>
  <si>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</si>
  <si>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</si>
  <si>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</si>
  <si>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</si>
  <si>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</si>
  <si>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</si>
  <si>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</si>
  <si>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</si>
  <si>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</si>
  <si>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</si>
  <si>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</si>
  <si>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</si>
  <si>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</si>
  <si>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</si>
  <si>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</si>
  <si>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</si>
  <si>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</si>
  <si>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</si>
  <si>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</si>
  <si>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</si>
  <si>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</si>
  <si>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</si>
  <si>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</si>
  <si>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</si>
  <si>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</si>
  <si>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</si>
  <si>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</si>
  <si>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</si>
  <si>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</si>
  <si>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</si>
  <si>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</si>
  <si>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</si>
  <si>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</si>
  <si>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</si>
  <si>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</si>
  <si>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</si>
  <si>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</si>
  <si>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</si>
  <si>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</si>
  <si>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</si>
  <si>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</si>
  <si>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</si>
  <si>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</si>
  <si>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</si>
  <si>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</si>
  <si>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</si>
  <si>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</si>
  <si>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</si>
  <si>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</si>
  <si>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</si>
  <si>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</si>
  <si>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</si>
  <si>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</si>
  <si>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</si>
  <si>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</si>
  <si>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</si>
  <si>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</si>
  <si>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</si>
  <si>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</si>
  <si>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</si>
  <si>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</si>
  <si>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</si>
  <si>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</si>
  <si>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</si>
  <si>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</si>
  <si>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</si>
  <si>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</si>
  <si>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</si>
  <si>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</si>
  <si>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</si>
  <si>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</si>
  <si>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</si>
  <si>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</si>
  <si>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</si>
  <si>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</si>
  <si>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</si>
  <si>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</si>
  <si>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</si>
  <si>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</si>
  <si>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</si>
  <si>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</si>
  <si>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</si>
  <si>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</si>
  <si>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</si>
  <si>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</si>
  <si>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</si>
  <si>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</si>
  <si>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</si>
  <si>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</si>
  <si>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</si>
  <si>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</si>
  <si>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</si>
  <si>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</si>
  <si>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</si>
  <si>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</si>
  <si>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</si>
  <si>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</si>
  <si>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</si>
  <si>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</si>
  <si>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</si>
  <si>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</si>
  <si>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</si>
  <si>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</si>
  <si>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Cumul.</t>
  </si>
  <si>
    <t>2a</t>
  </si>
  <si>
    <t>2b</t>
  </si>
  <si>
    <t>3a</t>
  </si>
  <si>
    <t>3b</t>
  </si>
  <si>
    <t>Storey Shear Resistance and Stiffness (Weak Single Infill)</t>
  </si>
  <si>
    <t>Storey Shear Resistance and Stiffness (Weak)</t>
  </si>
  <si>
    <t>WeakSingle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</si>
  <si>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</si>
  <si>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</si>
  <si>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</si>
  <si>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</si>
  <si>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</si>
  <si>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</si>
  <si>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</si>
  <si>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</si>
  <si>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</si>
  <si>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</si>
  <si>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</si>
  <si>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</si>
  <si>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</si>
  <si>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 xml:space="preserve">Notes:     </t>
    </r>
    <r>
      <rPr>
        <b/>
        <sz val="12"/>
        <color theme="1"/>
        <rFont val="Times New Roman"/>
        <family val="1"/>
      </rPr>
      <t>Overestimates</t>
    </r>
  </si>
  <si>
    <r>
      <t xml:space="preserve">Notes:     </t>
    </r>
    <r>
      <rPr>
        <b/>
        <sz val="12"/>
        <color theme="1"/>
        <rFont val="Times New Roman"/>
        <family val="1"/>
      </rPr>
      <t>Underestimates</t>
    </r>
  </si>
  <si>
    <t>DS5</t>
  </si>
  <si>
    <t>Kcr. [kN/m]</t>
  </si>
  <si>
    <t>DSf 4</t>
  </si>
  <si>
    <t>Initial</t>
  </si>
  <si>
    <t>DSf 5</t>
  </si>
  <si>
    <t>Storey Stiffnesses (OpenSees)</t>
  </si>
  <si>
    <t>Load Coeff.</t>
  </si>
  <si>
    <t>Cumul. L. Coeff.</t>
  </si>
  <si>
    <t>K1 (kN/m)</t>
  </si>
  <si>
    <t>Structure Stiffness (kN/m)</t>
  </si>
  <si>
    <t>F,i [kN]</t>
  </si>
  <si>
    <t>V,i [kN]</t>
  </si>
  <si>
    <t>LFf,i [kN]</t>
  </si>
  <si>
    <t>LFv,i [kN]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</si>
  <si>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</si>
  <si>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</si>
  <si>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ΔV,k-1</t>
  </si>
  <si>
    <t>N.Stry</t>
  </si>
  <si>
    <t>ΔV</t>
  </si>
  <si>
    <t>μfr,i</t>
  </si>
  <si>
    <t>μinf,i</t>
  </si>
  <si>
    <t>δi,incr. [m]</t>
  </si>
  <si>
    <t>δi control</t>
  </si>
  <si>
    <t>Plotted!</t>
  </si>
  <si>
    <t>θ,i/θfr,i</t>
  </si>
  <si>
    <t>θ,i/θinf,i</t>
  </si>
  <si>
    <t>Unload.</t>
  </si>
  <si>
    <t>Unloading?</t>
  </si>
  <si>
    <t>Toggle</t>
  </si>
  <si>
    <t>θuu,i [rad]</t>
  </si>
  <si>
    <t>TEST BENCH</t>
  </si>
  <si>
    <t>θy,PL [rad]</t>
  </si>
  <si>
    <t>θy,Int [rad]</t>
  </si>
  <si>
    <t>Yield Drift of the Internal Element</t>
  </si>
  <si>
    <t>Frame</t>
  </si>
  <si>
    <t>Infıll</t>
  </si>
  <si>
    <t>Shear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</si>
</sst>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35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color theme="1"/>
      <name val="Times New Roman"/>
      <family val="1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sz val="12"/>
      <color theme="1"/>
      <name val="Times New Roman"/>
      <family val="1"/>
    </font>
    <font>
      <sz val="12"/>
      <color rgb="FFC00000"/>
      <name val="Times New Roman"/>
      <family val="1"/>
    </font>
    <font>
      <sz val="12"/>
      <color theme="5" tint="-0.249977111117893"/>
      <name val="Times New Roman"/>
      <family val="1"/>
    </font>
    <font>
      <sz val="12"/>
      <name val="Times New Roman"/>
      <family val="1"/>
    </font>
    <font>
      <sz val="12"/>
      <color theme="8" tint="-0.249977111117893"/>
      <name val="Times New Roman"/>
      <family val="1"/>
    </font>
    <font>
      <sz val="12"/>
      <color theme="7" tint="-0.499984740745262"/>
      <name val="Times New Roman"/>
      <family val="1"/>
    </font>
    <font>
      <i/>
      <sz val="12"/>
      <color theme="1"/>
      <name val="Times New Roman"/>
      <family val="1"/>
    </font>
    <font>
      <sz val="12"/>
      <color theme="4" tint="-0.499984740745262"/>
      <name val="Times New Roman"/>
      <family val="1"/>
    </font>
    <font>
      <b/>
      <sz val="12"/>
      <color theme="8" tint="-0.249977111117893"/>
      <name val="Times New Roman"/>
      <family val="1"/>
    </font>
    <font>
      <b/>
      <i/>
      <sz val="12"/>
      <color theme="8" tint="-0.249977111117893"/>
      <name val="Times New Roman"/>
      <family val="1"/>
    </font>
    <font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i/>
      <sz val="12"/>
      <name val="Times New Roman"/>
      <family val="1"/>
    </font>
    <font>
      <sz val="12"/>
      <color theme="0" tint="-0.14999847407452621"/>
      <name val="Times New Roman"/>
      <family val="1"/>
    </font>
    <font>
      <sz val="12"/>
      <color rgb="FF00B0F0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rgb="FF7030A0"/>
      <name val="Times New Roman"/>
      <family val="1"/>
    </font>
    <font>
      <sz val="12"/>
      <color rgb="FF0070C0"/>
      <name val="Times New Roman"/>
      <family val="1"/>
    </font>
    <font>
      <b/>
      <i/>
      <sz val="12"/>
      <color rgb="FF0070C0"/>
      <name val="Times New Roman"/>
      <family val="1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074">
    <xf numFmtId="0" fontId="0" fillId="0" borderId="0" xfId="0"/>
    <xf numFmtId="0" fontId="2" fillId="0" borderId="0" xfId="0" applyFont="1"/>
    <xf numFmtId="2" fontId="2" fillId="0" borderId="0" xfId="0" applyNumberFormat="1" applyFont="1" applyBorder="1" applyAlignment="1">
      <alignment horizontal="center" vertical="center"/>
    </xf>
    <xf numFmtId="0" fontId="2" fillId="0" borderId="0" xfId="0" applyFont="1" applyBorder="1"/>
    <xf numFmtId="0" fontId="1" fillId="0" borderId="0" xfId="0" applyFont="1" applyFill="1" applyBorder="1" applyAlignment="1">
      <alignment vertical="center"/>
    </xf>
    <xf numFmtId="0" fontId="1" fillId="0" borderId="0" xfId="0" applyFont="1"/>
    <xf numFmtId="49" fontId="3" fillId="0" borderId="1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3" fillId="0" borderId="29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 vertical="center"/>
    </xf>
    <xf numFmtId="168" fontId="2" fillId="0" borderId="23" xfId="0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/>
    </xf>
    <xf numFmtId="168" fontId="2" fillId="0" borderId="23" xfId="0" applyNumberFormat="1" applyFont="1" applyBorder="1" applyAlignment="1">
      <alignment horizontal="center"/>
    </xf>
    <xf numFmtId="168" fontId="2" fillId="0" borderId="12" xfId="0" applyNumberFormat="1" applyFont="1" applyBorder="1" applyAlignment="1">
      <alignment horizontal="center"/>
    </xf>
    <xf numFmtId="2" fontId="6" fillId="0" borderId="16" xfId="0" applyNumberFormat="1" applyFont="1" applyBorder="1" applyAlignment="1">
      <alignment horizontal="center" vertical="center"/>
    </xf>
    <xf numFmtId="2" fontId="6" fillId="0" borderId="67" xfId="0" applyNumberFormat="1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164" fontId="2" fillId="0" borderId="21" xfId="0" applyNumberFormat="1" applyFont="1" applyBorder="1" applyAlignment="1">
      <alignment horizont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2" xfId="0" applyNumberFormat="1" applyFont="1" applyBorder="1" applyAlignment="1">
      <alignment horizontal="center"/>
    </xf>
    <xf numFmtId="164" fontId="2" fillId="0" borderId="21" xfId="0" applyNumberFormat="1" applyFont="1" applyBorder="1" applyAlignment="1">
      <alignment horizontal="center" vertical="center"/>
    </xf>
    <xf numFmtId="164" fontId="2" fillId="0" borderId="60" xfId="0" applyNumberFormat="1" applyFont="1" applyBorder="1" applyAlignment="1">
      <alignment horizontal="center"/>
    </xf>
    <xf numFmtId="2" fontId="6" fillId="0" borderId="44" xfId="0" applyNumberFormat="1" applyFont="1" applyBorder="1" applyAlignment="1">
      <alignment horizontal="center" vertical="center"/>
    </xf>
    <xf numFmtId="2" fontId="6" fillId="0" borderId="45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17" xfId="0" applyNumberFormat="1" applyFont="1" applyBorder="1" applyAlignment="1">
      <alignment horizontal="center" vertical="center"/>
    </xf>
    <xf numFmtId="164" fontId="2" fillId="0" borderId="23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12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 vertical="center"/>
    </xf>
    <xf numFmtId="168" fontId="2" fillId="0" borderId="24" xfId="0" applyNumberFormat="1" applyFont="1" applyBorder="1" applyAlignment="1">
      <alignment horizontal="center" vertical="center"/>
    </xf>
    <xf numFmtId="168" fontId="2" fillId="0" borderId="19" xfId="0" applyNumberFormat="1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/>
    </xf>
    <xf numFmtId="168" fontId="2" fillId="0" borderId="24" xfId="0" applyNumberFormat="1" applyFont="1" applyBorder="1" applyAlignment="1">
      <alignment horizontal="center"/>
    </xf>
    <xf numFmtId="168" fontId="2" fillId="0" borderId="57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168" fontId="2" fillId="0" borderId="20" xfId="0" applyNumberFormat="1" applyFont="1" applyBorder="1" applyAlignment="1">
      <alignment horizontal="center" vertical="center"/>
    </xf>
    <xf numFmtId="168" fontId="2" fillId="0" borderId="22" xfId="0" applyNumberFormat="1" applyFont="1" applyBorder="1" applyAlignment="1">
      <alignment horizontal="center" vertical="center"/>
    </xf>
    <xf numFmtId="168" fontId="2" fillId="0" borderId="21" xfId="0" applyNumberFormat="1" applyFont="1" applyBorder="1" applyAlignment="1">
      <alignment horizontal="center" vertical="center"/>
    </xf>
    <xf numFmtId="168" fontId="2" fillId="0" borderId="20" xfId="0" applyNumberFormat="1" applyFont="1" applyBorder="1" applyAlignment="1">
      <alignment horizontal="center"/>
    </xf>
    <xf numFmtId="168" fontId="2" fillId="0" borderId="22" xfId="0" applyNumberFormat="1" applyFont="1" applyBorder="1" applyAlignment="1">
      <alignment horizontal="center"/>
    </xf>
    <xf numFmtId="168" fontId="2" fillId="0" borderId="60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164" fontId="2" fillId="0" borderId="19" xfId="0" applyNumberFormat="1" applyFont="1" applyBorder="1" applyAlignment="1">
      <alignment horizontal="center"/>
    </xf>
    <xf numFmtId="164" fontId="2" fillId="0" borderId="18" xfId="0" applyNumberFormat="1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/>
    </xf>
    <xf numFmtId="164" fontId="2" fillId="0" borderId="19" xfId="0" applyNumberFormat="1" applyFont="1" applyBorder="1" applyAlignment="1">
      <alignment horizontal="center" vertical="center"/>
    </xf>
    <xf numFmtId="164" fontId="2" fillId="0" borderId="57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 vertical="center"/>
    </xf>
    <xf numFmtId="168" fontId="2" fillId="0" borderId="36" xfId="0" applyNumberFormat="1" applyFont="1" applyBorder="1" applyAlignment="1">
      <alignment horizontal="center" vertical="center"/>
    </xf>
    <xf numFmtId="168" fontId="2" fillId="0" borderId="2" xfId="0" applyNumberFormat="1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/>
    </xf>
    <xf numFmtId="168" fontId="2" fillId="0" borderId="36" xfId="0" applyNumberFormat="1" applyFont="1" applyBorder="1" applyAlignment="1">
      <alignment horizontal="center"/>
    </xf>
    <xf numFmtId="168" fontId="2" fillId="0" borderId="15" xfId="0" applyNumberFormat="1" applyFont="1" applyBorder="1" applyAlignment="1">
      <alignment horizontal="center"/>
    </xf>
    <xf numFmtId="0" fontId="2" fillId="0" borderId="20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168" fontId="2" fillId="0" borderId="0" xfId="0" applyNumberFormat="1" applyFont="1" applyBorder="1" applyAlignment="1">
      <alignment horizontal="center"/>
    </xf>
    <xf numFmtId="0" fontId="2" fillId="0" borderId="17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/>
    </xf>
    <xf numFmtId="167" fontId="2" fillId="0" borderId="23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>
      <alignment vertical="center"/>
    </xf>
    <xf numFmtId="167" fontId="2" fillId="0" borderId="18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8" xfId="0" applyNumberFormat="1" applyFont="1" applyBorder="1" applyAlignment="1">
      <alignment horizontal="center"/>
    </xf>
    <xf numFmtId="167" fontId="2" fillId="0" borderId="24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/>
    </xf>
    <xf numFmtId="164" fontId="2" fillId="0" borderId="15" xfId="0" applyNumberFormat="1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2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/>
    </xf>
    <xf numFmtId="167" fontId="2" fillId="0" borderId="22" xfId="0" applyNumberFormat="1" applyFont="1" applyBorder="1" applyAlignment="1">
      <alignment horizontal="center"/>
    </xf>
    <xf numFmtId="167" fontId="2" fillId="0" borderId="35" xfId="0" applyNumberFormat="1" applyFont="1" applyBorder="1" applyAlignment="1">
      <alignment horizontal="center" vertical="center"/>
    </xf>
    <xf numFmtId="167" fontId="2" fillId="0" borderId="36" xfId="0" applyNumberFormat="1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/>
    </xf>
    <xf numFmtId="167" fontId="2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2" fillId="0" borderId="12" xfId="0" applyNumberFormat="1" applyFont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68" fontId="2" fillId="0" borderId="60" xfId="0" applyNumberFormat="1" applyFont="1" applyBorder="1" applyAlignment="1">
      <alignment horizontal="center" vertical="center"/>
    </xf>
    <xf numFmtId="0" fontId="4" fillId="0" borderId="0" xfId="0" applyFont="1" applyFill="1" applyBorder="1" applyAlignment="1"/>
    <xf numFmtId="168" fontId="2" fillId="0" borderId="15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/>
    </xf>
    <xf numFmtId="0" fontId="2" fillId="0" borderId="0" xfId="0" applyFont="1" applyFill="1" applyBorder="1"/>
    <xf numFmtId="0" fontId="2" fillId="0" borderId="10" xfId="0" applyFont="1" applyBorder="1" applyAlignment="1">
      <alignment horizontal="center" vertical="center"/>
    </xf>
    <xf numFmtId="167" fontId="2" fillId="0" borderId="51" xfId="0" applyNumberFormat="1" applyFont="1" applyBorder="1" applyAlignment="1">
      <alignment horizontal="center" vertical="center"/>
    </xf>
    <xf numFmtId="167" fontId="2" fillId="0" borderId="33" xfId="0" applyNumberFormat="1" applyFont="1" applyBorder="1" applyAlignment="1">
      <alignment horizontal="center" vertical="center"/>
    </xf>
    <xf numFmtId="167" fontId="2" fillId="0" borderId="10" xfId="0" applyNumberFormat="1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/>
    </xf>
    <xf numFmtId="0" fontId="5" fillId="0" borderId="0" xfId="0" applyFont="1" applyFill="1" applyBorder="1" applyAlignment="1"/>
    <xf numFmtId="0" fontId="7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1" fillId="2" borderId="0" xfId="0" applyFont="1" applyFill="1"/>
    <xf numFmtId="0" fontId="9" fillId="18" borderId="57" xfId="0" applyFont="1" applyFill="1" applyBorder="1" applyAlignment="1">
      <alignment horizontal="center" vertical="center" wrapText="1"/>
    </xf>
    <xf numFmtId="0" fontId="3" fillId="0" borderId="16" xfId="0" applyFont="1" applyBorder="1" applyAlignment="1">
      <alignment horizontal="center"/>
    </xf>
    <xf numFmtId="0" fontId="1" fillId="0" borderId="0" xfId="0" applyFont="1" applyAlignment="1">
      <alignment vertical="center" wrapText="1"/>
    </xf>
    <xf numFmtId="164" fontId="2" fillId="0" borderId="23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18" borderId="1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/>
    </xf>
    <xf numFmtId="0" fontId="1" fillId="0" borderId="0" xfId="0" applyFont="1" applyBorder="1"/>
    <xf numFmtId="1" fontId="2" fillId="0" borderId="0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2" fillId="32" borderId="35" xfId="0" applyNumberFormat="1" applyFont="1" applyFill="1" applyBorder="1" applyAlignment="1">
      <alignment horizontal="center" vertical="center"/>
    </xf>
    <xf numFmtId="2" fontId="2" fillId="32" borderId="2" xfId="0" applyNumberFormat="1" applyFont="1" applyFill="1" applyBorder="1" applyAlignment="1">
      <alignment horizontal="center" vertical="center"/>
    </xf>
    <xf numFmtId="0" fontId="16" fillId="2" borderId="0" xfId="0" applyFont="1" applyFill="1"/>
    <xf numFmtId="0" fontId="16" fillId="0" borderId="0" xfId="0" applyFont="1"/>
    <xf numFmtId="2" fontId="16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/>
    </xf>
    <xf numFmtId="2" fontId="19" fillId="0" borderId="1" xfId="0" applyNumberFormat="1" applyFont="1" applyBorder="1" applyAlignment="1">
      <alignment horizontal="center" vertical="center"/>
    </xf>
    <xf numFmtId="164" fontId="16" fillId="0" borderId="8" xfId="0" applyNumberFormat="1" applyFont="1" applyBorder="1" applyAlignment="1">
      <alignment horizontal="center"/>
    </xf>
    <xf numFmtId="2" fontId="19" fillId="18" borderId="1" xfId="0" applyNumberFormat="1" applyFont="1" applyFill="1" applyBorder="1" applyAlignment="1">
      <alignment horizontal="center" vertical="center"/>
    </xf>
    <xf numFmtId="2" fontId="19" fillId="18" borderId="29" xfId="0" applyNumberFormat="1" applyFont="1" applyFill="1" applyBorder="1" applyAlignment="1">
      <alignment horizontal="center" vertical="center"/>
    </xf>
    <xf numFmtId="2" fontId="16" fillId="2" borderId="0" xfId="0" applyNumberFormat="1" applyFont="1" applyFill="1" applyAlignment="1">
      <alignment horizontal="center" vertical="center"/>
    </xf>
    <xf numFmtId="164" fontId="20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/>
    </xf>
    <xf numFmtId="10" fontId="16" fillId="2" borderId="0" xfId="0" applyNumberFormat="1" applyFont="1" applyFill="1" applyAlignment="1">
      <alignment horizontal="center"/>
    </xf>
    <xf numFmtId="165" fontId="16" fillId="0" borderId="1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 vertical="center"/>
    </xf>
    <xf numFmtId="2" fontId="16" fillId="0" borderId="8" xfId="0" applyNumberFormat="1" applyFont="1" applyBorder="1" applyAlignment="1">
      <alignment horizontal="center"/>
    </xf>
    <xf numFmtId="2" fontId="16" fillId="18" borderId="1" xfId="0" applyNumberFormat="1" applyFont="1" applyFill="1" applyBorder="1" applyAlignment="1">
      <alignment horizontal="center"/>
    </xf>
    <xf numFmtId="2" fontId="16" fillId="18" borderId="29" xfId="0" applyNumberFormat="1" applyFont="1" applyFill="1" applyBorder="1" applyAlignment="1">
      <alignment horizontal="center"/>
    </xf>
    <xf numFmtId="2" fontId="21" fillId="0" borderId="1" xfId="0" applyNumberFormat="1" applyFont="1" applyBorder="1" applyAlignment="1">
      <alignment horizontal="center" vertical="center"/>
    </xf>
    <xf numFmtId="0" fontId="16" fillId="2" borderId="13" xfId="0" applyFont="1" applyFill="1" applyBorder="1"/>
    <xf numFmtId="0" fontId="16" fillId="2" borderId="0" xfId="0" applyFont="1" applyFill="1" applyBorder="1"/>
    <xf numFmtId="0" fontId="1" fillId="0" borderId="1" xfId="0" applyFont="1" applyBorder="1" applyAlignment="1">
      <alignment horizontal="center"/>
    </xf>
    <xf numFmtId="164" fontId="22" fillId="0" borderId="1" xfId="0" applyNumberFormat="1" applyFont="1" applyBorder="1" applyAlignment="1">
      <alignment horizontal="center"/>
    </xf>
    <xf numFmtId="0" fontId="16" fillId="2" borderId="12" xfId="0" applyFont="1" applyFill="1" applyBorder="1"/>
    <xf numFmtId="0" fontId="1" fillId="0" borderId="14" xfId="0" applyFont="1" applyBorder="1" applyAlignment="1">
      <alignment horizontal="center"/>
    </xf>
    <xf numFmtId="164" fontId="22" fillId="0" borderId="14" xfId="0" applyNumberFormat="1" applyFont="1" applyBorder="1" applyAlignment="1">
      <alignment horizontal="center"/>
    </xf>
    <xf numFmtId="2" fontId="1" fillId="31" borderId="1" xfId="0" applyNumberFormat="1" applyFont="1" applyFill="1" applyBorder="1" applyAlignment="1">
      <alignment horizontal="center"/>
    </xf>
    <xf numFmtId="2" fontId="1" fillId="31" borderId="6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2" fontId="16" fillId="0" borderId="1" xfId="0" applyNumberFormat="1" applyFont="1" applyBorder="1" applyAlignment="1" applyProtection="1">
      <alignment horizontal="center"/>
    </xf>
    <xf numFmtId="1" fontId="16" fillId="2" borderId="17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/>
    </xf>
    <xf numFmtId="166" fontId="16" fillId="0" borderId="1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wrapText="1"/>
    </xf>
    <xf numFmtId="1" fontId="16" fillId="2" borderId="18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/>
    </xf>
    <xf numFmtId="167" fontId="16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left" vertical="center"/>
    </xf>
    <xf numFmtId="0" fontId="9" fillId="2" borderId="3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center" vertical="center"/>
    </xf>
    <xf numFmtId="0" fontId="16" fillId="0" borderId="0" xfId="0" applyFont="1" applyBorder="1"/>
    <xf numFmtId="164" fontId="23" fillId="0" borderId="1" xfId="0" applyNumberFormat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/>
    </xf>
    <xf numFmtId="0" fontId="16" fillId="2" borderId="40" xfId="0" applyFont="1" applyFill="1" applyBorder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6" fillId="2" borderId="32" xfId="0" applyFont="1" applyFill="1" applyBorder="1" applyAlignment="1">
      <alignment horizontal="center"/>
    </xf>
    <xf numFmtId="2" fontId="22" fillId="0" borderId="1" xfId="0" applyNumberFormat="1" applyFont="1" applyBorder="1" applyAlignment="1">
      <alignment horizontal="center"/>
    </xf>
    <xf numFmtId="0" fontId="9" fillId="0" borderId="30" xfId="0" applyFont="1" applyBorder="1" applyAlignment="1">
      <alignment horizontal="center" vertical="center"/>
    </xf>
    <xf numFmtId="164" fontId="16" fillId="0" borderId="32" xfId="0" applyNumberFormat="1" applyFont="1" applyBorder="1" applyAlignment="1">
      <alignment horizontal="center"/>
    </xf>
    <xf numFmtId="0" fontId="1" fillId="0" borderId="66" xfId="0" applyFont="1" applyBorder="1" applyAlignment="1">
      <alignment horizontal="center" vertical="center"/>
    </xf>
    <xf numFmtId="164" fontId="17" fillId="0" borderId="12" xfId="0" applyNumberFormat="1" applyFont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/>
    </xf>
    <xf numFmtId="0" fontId="1" fillId="0" borderId="34" xfId="0" applyFont="1" applyBorder="1" applyAlignment="1">
      <alignment horizontal="center" vertical="center"/>
    </xf>
    <xf numFmtId="164" fontId="17" fillId="0" borderId="15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22" fillId="2" borderId="1" xfId="0" applyNumberFormat="1" applyFont="1" applyFill="1" applyBorder="1" applyAlignment="1">
      <alignment horizontal="center"/>
    </xf>
    <xf numFmtId="164" fontId="17" fillId="2" borderId="0" xfId="0" applyNumberFormat="1" applyFont="1" applyFill="1" applyBorder="1" applyAlignment="1">
      <alignment horizontal="center" vertical="center"/>
    </xf>
    <xf numFmtId="0" fontId="16" fillId="2" borderId="11" xfId="0" applyFont="1" applyFill="1" applyBorder="1"/>
    <xf numFmtId="0" fontId="16" fillId="2" borderId="2" xfId="0" applyFont="1" applyFill="1" applyBorder="1"/>
    <xf numFmtId="0" fontId="16" fillId="2" borderId="15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/>
    </xf>
    <xf numFmtId="1" fontId="16" fillId="2" borderId="17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2" fontId="16" fillId="2" borderId="0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 vertical="center" wrapText="1"/>
    </xf>
    <xf numFmtId="0" fontId="16" fillId="2" borderId="21" xfId="0" applyFont="1" applyFill="1" applyBorder="1"/>
    <xf numFmtId="1" fontId="16" fillId="2" borderId="18" xfId="0" applyNumberFormat="1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2" fontId="16" fillId="2" borderId="19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vertical="center"/>
    </xf>
    <xf numFmtId="0" fontId="16" fillId="2" borderId="0" xfId="0" applyFont="1" applyFill="1" applyAlignment="1">
      <alignment horizontal="center" vertical="center" wrapText="1"/>
    </xf>
    <xf numFmtId="0" fontId="16" fillId="2" borderId="0" xfId="0" applyFont="1" applyFill="1" applyAlignment="1">
      <alignment horizontal="center"/>
    </xf>
    <xf numFmtId="164" fontId="16" fillId="2" borderId="0" xfId="0" applyNumberFormat="1" applyFont="1" applyFill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164" fontId="16" fillId="2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center"/>
    </xf>
    <xf numFmtId="1" fontId="16" fillId="0" borderId="17" xfId="0" applyNumberFormat="1" applyFont="1" applyFill="1" applyBorder="1" applyAlignment="1">
      <alignment horizontal="center"/>
    </xf>
    <xf numFmtId="2" fontId="16" fillId="0" borderId="23" xfId="0" applyNumberFormat="1" applyFont="1" applyFill="1" applyBorder="1" applyAlignment="1">
      <alignment horizontal="center"/>
    </xf>
    <xf numFmtId="0" fontId="8" fillId="2" borderId="0" xfId="0" applyFont="1" applyFill="1"/>
    <xf numFmtId="164" fontId="16" fillId="2" borderId="1" xfId="0" applyNumberFormat="1" applyFont="1" applyFill="1" applyBorder="1" applyAlignment="1">
      <alignment horizontal="center" vertical="center"/>
    </xf>
    <xf numFmtId="1" fontId="16" fillId="0" borderId="18" xfId="0" applyNumberFormat="1" applyFont="1" applyFill="1" applyBorder="1" applyAlignment="1">
      <alignment horizontal="center"/>
    </xf>
    <xf numFmtId="2" fontId="16" fillId="0" borderId="24" xfId="0" applyNumberFormat="1" applyFont="1" applyFill="1" applyBorder="1" applyAlignment="1">
      <alignment horizontal="center"/>
    </xf>
    <xf numFmtId="164" fontId="16" fillId="0" borderId="0" xfId="0" applyNumberFormat="1" applyFont="1" applyAlignment="1">
      <alignment horizontal="center" vertical="center"/>
    </xf>
    <xf numFmtId="165" fontId="2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164" fontId="17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16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2" fontId="22" fillId="0" borderId="0" xfId="0" applyNumberFormat="1" applyFont="1" applyAlignment="1">
      <alignment horizontal="center"/>
    </xf>
    <xf numFmtId="169" fontId="16" fillId="0" borderId="0" xfId="0" applyNumberFormat="1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6" fillId="2" borderId="5" xfId="0" applyFont="1" applyFill="1" applyBorder="1"/>
    <xf numFmtId="0" fontId="16" fillId="2" borderId="10" xfId="0" applyFont="1" applyFill="1" applyBorder="1"/>
    <xf numFmtId="0" fontId="16" fillId="2" borderId="9" xfId="0" applyFont="1" applyFill="1" applyBorder="1"/>
    <xf numFmtId="0" fontId="1" fillId="0" borderId="13" xfId="0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0" fontId="16" fillId="0" borderId="2" xfId="0" applyFont="1" applyBorder="1" applyAlignment="1"/>
    <xf numFmtId="0" fontId="16" fillId="0" borderId="15" xfId="0" applyFont="1" applyBorder="1" applyAlignment="1"/>
    <xf numFmtId="0" fontId="16" fillId="0" borderId="0" xfId="0" applyFont="1" applyBorder="1" applyAlignment="1"/>
    <xf numFmtId="0" fontId="1" fillId="3" borderId="3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2" fontId="16" fillId="0" borderId="29" xfId="0" applyNumberFormat="1" applyFont="1" applyBorder="1" applyAlignment="1">
      <alignment horizontal="center" vertical="center"/>
    </xf>
    <xf numFmtId="0" fontId="16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6" fillId="4" borderId="12" xfId="0" applyFont="1" applyFill="1" applyBorder="1"/>
    <xf numFmtId="2" fontId="16" fillId="0" borderId="31" xfId="0" applyNumberFormat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2" fontId="16" fillId="0" borderId="32" xfId="0" applyNumberFormat="1" applyFont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1" fillId="16" borderId="14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 wrapText="1"/>
    </xf>
    <xf numFmtId="0" fontId="1" fillId="28" borderId="14" xfId="0" applyFont="1" applyFill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17" borderId="14" xfId="0" applyFont="1" applyFill="1" applyBorder="1" applyAlignment="1">
      <alignment horizontal="center" vertical="center" wrapText="1"/>
    </xf>
    <xf numFmtId="0" fontId="1" fillId="17" borderId="40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16" borderId="17" xfId="0" applyFont="1" applyFill="1" applyBorder="1" applyAlignment="1">
      <alignment horizontal="center" vertical="center"/>
    </xf>
    <xf numFmtId="0" fontId="1" fillId="28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2" fontId="16" fillId="0" borderId="20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/>
    </xf>
    <xf numFmtId="166" fontId="16" fillId="0" borderId="20" xfId="0" applyNumberFormat="1" applyFont="1" applyBorder="1" applyAlignment="1">
      <alignment horizontal="center" vertical="center"/>
    </xf>
    <xf numFmtId="2" fontId="16" fillId="0" borderId="60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/>
    </xf>
    <xf numFmtId="167" fontId="16" fillId="0" borderId="21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 wrapText="1"/>
    </xf>
    <xf numFmtId="2" fontId="16" fillId="0" borderId="0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 vertical="center"/>
    </xf>
    <xf numFmtId="2" fontId="11" fillId="0" borderId="19" xfId="0" applyNumberFormat="1" applyFont="1" applyBorder="1" applyAlignment="1">
      <alignment horizontal="center" vertical="center"/>
    </xf>
    <xf numFmtId="2" fontId="11" fillId="0" borderId="57" xfId="0" applyNumberFormat="1" applyFont="1" applyBorder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11" fontId="16" fillId="0" borderId="0" xfId="0" applyNumberFormat="1" applyFont="1" applyBorder="1" applyAlignment="1">
      <alignment horizontal="center" vertical="center"/>
    </xf>
    <xf numFmtId="11" fontId="16" fillId="0" borderId="12" xfId="0" applyNumberFormat="1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/>
    </xf>
    <xf numFmtId="2" fontId="16" fillId="0" borderId="14" xfId="0" applyNumberFormat="1" applyFont="1" applyBorder="1" applyAlignment="1">
      <alignment horizontal="center" vertical="center"/>
    </xf>
    <xf numFmtId="164" fontId="16" fillId="0" borderId="14" xfId="0" applyNumberFormat="1" applyFont="1" applyBorder="1" applyAlignment="1">
      <alignment horizontal="center"/>
    </xf>
    <xf numFmtId="0" fontId="16" fillId="0" borderId="23" xfId="0" applyFont="1" applyBorder="1" applyAlignment="1">
      <alignment horizontal="center" vertical="center"/>
    </xf>
    <xf numFmtId="166" fontId="16" fillId="0" borderId="17" xfId="0" applyNumberFormat="1" applyFont="1" applyBorder="1" applyAlignment="1">
      <alignment horizontal="center" vertical="center"/>
    </xf>
    <xf numFmtId="167" fontId="16" fillId="0" borderId="0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2" fontId="11" fillId="0" borderId="22" xfId="0" applyNumberFormat="1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2" fontId="16" fillId="0" borderId="18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/>
    </xf>
    <xf numFmtId="166" fontId="16" fillId="0" borderId="18" xfId="0" applyNumberFormat="1" applyFont="1" applyBorder="1" applyAlignment="1">
      <alignment horizontal="center" vertical="center"/>
    </xf>
    <xf numFmtId="2" fontId="16" fillId="0" borderId="57" xfId="0" applyNumberFormat="1" applyFont="1" applyBorder="1" applyAlignment="1">
      <alignment horizontal="center" vertical="center"/>
    </xf>
    <xf numFmtId="167" fontId="16" fillId="0" borderId="19" xfId="0" applyNumberFormat="1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2" fontId="25" fillId="0" borderId="23" xfId="0" applyNumberFormat="1" applyFont="1" applyBorder="1" applyAlignment="1">
      <alignment horizontal="center" vertical="center"/>
    </xf>
    <xf numFmtId="2" fontId="20" fillId="0" borderId="0" xfId="0" applyNumberFormat="1" applyFont="1" applyBorder="1" applyAlignment="1">
      <alignment horizontal="center" vertical="center"/>
    </xf>
    <xf numFmtId="2" fontId="20" fillId="0" borderId="12" xfId="0" applyNumberFormat="1" applyFont="1" applyBorder="1" applyAlignment="1">
      <alignment horizontal="center" vertical="center"/>
    </xf>
    <xf numFmtId="0" fontId="1" fillId="28" borderId="6" xfId="0" applyFont="1" applyFill="1" applyBorder="1" applyAlignment="1">
      <alignment horizontal="center" vertical="center"/>
    </xf>
    <xf numFmtId="0" fontId="1" fillId="0" borderId="53" xfId="0" applyFont="1" applyBorder="1" applyAlignment="1">
      <alignment horizontal="center"/>
    </xf>
    <xf numFmtId="2" fontId="16" fillId="0" borderId="44" xfId="0" applyNumberFormat="1" applyFont="1" applyBorder="1" applyAlignment="1">
      <alignment horizontal="center" vertical="center"/>
    </xf>
    <xf numFmtId="164" fontId="16" fillId="0" borderId="44" xfId="0" applyNumberFormat="1" applyFont="1" applyBorder="1" applyAlignment="1">
      <alignment horizontal="center"/>
    </xf>
    <xf numFmtId="164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 wrapText="1"/>
    </xf>
    <xf numFmtId="2" fontId="16" fillId="0" borderId="21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2" fontId="11" fillId="0" borderId="23" xfId="0" applyNumberFormat="1" applyFont="1" applyBorder="1" applyAlignment="1">
      <alignment horizontal="center" vertical="center"/>
    </xf>
    <xf numFmtId="0" fontId="1" fillId="29" borderId="6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2" fontId="25" fillId="0" borderId="24" xfId="0" applyNumberFormat="1" applyFont="1" applyBorder="1" applyAlignment="1">
      <alignment horizontal="center" vertical="center"/>
    </xf>
    <xf numFmtId="2" fontId="20" fillId="0" borderId="19" xfId="0" applyNumberFormat="1" applyFont="1" applyBorder="1" applyAlignment="1">
      <alignment horizontal="center" vertical="center"/>
    </xf>
    <xf numFmtId="2" fontId="20" fillId="0" borderId="57" xfId="0" applyNumberFormat="1" applyFont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11" fontId="16" fillId="0" borderId="19" xfId="0" applyNumberFormat="1" applyFont="1" applyBorder="1" applyAlignment="1">
      <alignment horizontal="center" vertical="center"/>
    </xf>
    <xf numFmtId="11" fontId="16" fillId="0" borderId="57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164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 wrapText="1"/>
    </xf>
    <xf numFmtId="2" fontId="16" fillId="0" borderId="19" xfId="0" applyNumberFormat="1" applyFont="1" applyBorder="1" applyAlignment="1">
      <alignment horizontal="center"/>
    </xf>
    <xf numFmtId="11" fontId="16" fillId="0" borderId="21" xfId="0" applyNumberFormat="1" applyFont="1" applyBorder="1" applyAlignment="1">
      <alignment horizontal="center" vertical="center"/>
    </xf>
    <xf numFmtId="11" fontId="16" fillId="0" borderId="60" xfId="0" applyNumberFormat="1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2" fontId="16" fillId="0" borderId="35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/>
    </xf>
    <xf numFmtId="166" fontId="16" fillId="0" borderId="35" xfId="0" applyNumberFormat="1" applyFont="1" applyBorder="1" applyAlignment="1">
      <alignment horizontal="center" vertical="center"/>
    </xf>
    <xf numFmtId="2" fontId="16" fillId="0" borderId="15" xfId="0" applyNumberFormat="1" applyFont="1" applyBorder="1" applyAlignment="1">
      <alignment horizontal="center" vertical="center"/>
    </xf>
    <xf numFmtId="167" fontId="16" fillId="0" borderId="2" xfId="0" applyNumberFormat="1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 wrapText="1"/>
    </xf>
    <xf numFmtId="2" fontId="16" fillId="0" borderId="2" xfId="0" applyNumberFormat="1" applyFont="1" applyBorder="1" applyAlignment="1">
      <alignment horizontal="center"/>
    </xf>
    <xf numFmtId="0" fontId="16" fillId="0" borderId="44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1" fillId="22" borderId="6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2" fontId="25" fillId="0" borderId="36" xfId="0" applyNumberFormat="1" applyFont="1" applyBorder="1" applyAlignment="1">
      <alignment horizontal="center" vertical="center"/>
    </xf>
    <xf numFmtId="2" fontId="20" fillId="0" borderId="2" xfId="0" applyNumberFormat="1" applyFont="1" applyBorder="1" applyAlignment="1">
      <alignment horizontal="center" vertical="center"/>
    </xf>
    <xf numFmtId="2" fontId="20" fillId="0" borderId="15" xfId="0" applyNumberFormat="1" applyFont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1" fillId="22" borderId="54" xfId="0" applyFont="1" applyFill="1" applyBorder="1" applyAlignment="1">
      <alignment horizontal="center" vertical="center"/>
    </xf>
    <xf numFmtId="11" fontId="16" fillId="0" borderId="2" xfId="0" applyNumberFormat="1" applyFont="1" applyBorder="1" applyAlignment="1">
      <alignment horizontal="center" vertical="center"/>
    </xf>
    <xf numFmtId="11" fontId="16" fillId="0" borderId="15" xfId="0" applyNumberFormat="1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2" fontId="16" fillId="0" borderId="0" xfId="0" applyNumberFormat="1" applyFont="1"/>
    <xf numFmtId="11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65" fontId="16" fillId="0" borderId="0" xfId="0" applyNumberFormat="1" applyFont="1" applyAlignment="1">
      <alignment horizontal="center"/>
    </xf>
    <xf numFmtId="0" fontId="1" fillId="0" borderId="30" xfId="0" applyFont="1" applyBorder="1" applyAlignment="1">
      <alignment horizontal="center"/>
    </xf>
    <xf numFmtId="166" fontId="16" fillId="0" borderId="0" xfId="0" applyNumberFormat="1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 wrapText="1"/>
    </xf>
    <xf numFmtId="0" fontId="16" fillId="0" borderId="0" xfId="0" applyFont="1" applyFill="1" applyBorder="1"/>
    <xf numFmtId="0" fontId="7" fillId="0" borderId="1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1" fillId="0" borderId="66" xfId="0" applyNumberFormat="1" applyFont="1" applyBorder="1" applyAlignment="1">
      <alignment horizontal="center" vertical="center"/>
    </xf>
    <xf numFmtId="166" fontId="16" fillId="0" borderId="23" xfId="0" applyNumberFormat="1" applyFont="1" applyBorder="1" applyAlignment="1">
      <alignment horizontal="center" vertical="center"/>
    </xf>
    <xf numFmtId="164" fontId="16" fillId="0" borderId="12" xfId="0" applyNumberFormat="1" applyFont="1" applyBorder="1" applyAlignment="1">
      <alignment horizontal="center"/>
    </xf>
    <xf numFmtId="167" fontId="16" fillId="2" borderId="0" xfId="0" applyNumberFormat="1" applyFont="1" applyFill="1" applyAlignment="1">
      <alignment horizontal="center"/>
    </xf>
    <xf numFmtId="2" fontId="16" fillId="0" borderId="23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/>
    </xf>
    <xf numFmtId="10" fontId="16" fillId="0" borderId="0" xfId="0" applyNumberFormat="1" applyFont="1" applyAlignment="1">
      <alignment horizontal="center" vertical="center"/>
    </xf>
    <xf numFmtId="1" fontId="1" fillId="0" borderId="66" xfId="0" applyNumberFormat="1" applyFon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166" fontId="16" fillId="0" borderId="36" xfId="0" applyNumberFormat="1" applyFont="1" applyBorder="1" applyAlignment="1">
      <alignment horizontal="center" vertical="center"/>
    </xf>
    <xf numFmtId="164" fontId="16" fillId="0" borderId="15" xfId="0" applyNumberFormat="1" applyFont="1" applyBorder="1" applyAlignment="1">
      <alignment horizontal="center"/>
    </xf>
    <xf numFmtId="2" fontId="16" fillId="0" borderId="36" xfId="0" applyNumberFormat="1" applyFont="1" applyBorder="1" applyAlignment="1">
      <alignment horizontal="center"/>
    </xf>
    <xf numFmtId="164" fontId="16" fillId="0" borderId="2" xfId="0" applyNumberFormat="1" applyFont="1" applyBorder="1" applyAlignment="1">
      <alignment horizontal="center"/>
    </xf>
    <xf numFmtId="2" fontId="16" fillId="0" borderId="15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27" fillId="18" borderId="12" xfId="0" applyFont="1" applyFill="1" applyBorder="1" applyAlignment="1">
      <alignment horizontal="center" vertical="center"/>
    </xf>
    <xf numFmtId="0" fontId="27" fillId="18" borderId="15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2" fontId="26" fillId="0" borderId="0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64" fontId="26" fillId="0" borderId="0" xfId="0" applyNumberFormat="1" applyFont="1" applyBorder="1" applyAlignment="1">
      <alignment horizontal="center" vertical="center"/>
    </xf>
    <xf numFmtId="2" fontId="26" fillId="0" borderId="23" xfId="0" applyNumberFormat="1" applyFont="1" applyBorder="1" applyAlignment="1">
      <alignment horizontal="center" vertical="center"/>
    </xf>
    <xf numFmtId="164" fontId="16" fillId="0" borderId="17" xfId="0" applyNumberFormat="1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2" fontId="26" fillId="0" borderId="19" xfId="0" applyNumberFormat="1" applyFont="1" applyBorder="1" applyAlignment="1">
      <alignment horizontal="center" vertical="center"/>
    </xf>
    <xf numFmtId="164" fontId="26" fillId="0" borderId="19" xfId="0" applyNumberFormat="1" applyFont="1" applyBorder="1" applyAlignment="1">
      <alignment horizontal="center" vertical="center"/>
    </xf>
    <xf numFmtId="2" fontId="26" fillId="0" borderId="24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64" fontId="26" fillId="0" borderId="1" xfId="0" applyNumberFormat="1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0" fontId="19" fillId="0" borderId="4" xfId="0" applyFont="1" applyBorder="1"/>
    <xf numFmtId="0" fontId="19" fillId="0" borderId="14" xfId="0" applyFont="1" applyBorder="1"/>
    <xf numFmtId="0" fontId="28" fillId="0" borderId="0" xfId="0" applyFont="1" applyBorder="1" applyAlignment="1">
      <alignment horizontal="center" vertical="center"/>
    </xf>
    <xf numFmtId="0" fontId="16" fillId="0" borderId="17" xfId="0" applyFont="1" applyBorder="1"/>
    <xf numFmtId="2" fontId="22" fillId="0" borderId="1" xfId="0" applyNumberFormat="1" applyFont="1" applyBorder="1" applyAlignment="1">
      <alignment horizontal="center" vertical="center"/>
    </xf>
    <xf numFmtId="0" fontId="16" fillId="0" borderId="21" xfId="0" applyFont="1" applyBorder="1"/>
    <xf numFmtId="0" fontId="16" fillId="0" borderId="22" xfId="0" applyFont="1" applyBorder="1"/>
    <xf numFmtId="0" fontId="16" fillId="0" borderId="23" xfId="0" applyFont="1" applyBorder="1"/>
    <xf numFmtId="0" fontId="16" fillId="0" borderId="18" xfId="0" applyFont="1" applyBorder="1"/>
    <xf numFmtId="0" fontId="16" fillId="0" borderId="19" xfId="0" applyFont="1" applyBorder="1"/>
    <xf numFmtId="0" fontId="16" fillId="0" borderId="24" xfId="0" applyFont="1" applyBorder="1"/>
    <xf numFmtId="0" fontId="1" fillId="0" borderId="16" xfId="0" applyFont="1" applyBorder="1" applyAlignment="1">
      <alignment horizontal="center"/>
    </xf>
    <xf numFmtId="164" fontId="16" fillId="0" borderId="17" xfId="0" applyNumberFormat="1" applyFont="1" applyBorder="1" applyAlignment="1">
      <alignment horizontal="center"/>
    </xf>
    <xf numFmtId="2" fontId="16" fillId="0" borderId="17" xfId="0" applyNumberFormat="1" applyFont="1" applyBorder="1" applyAlignment="1">
      <alignment horizontal="center"/>
    </xf>
    <xf numFmtId="164" fontId="16" fillId="0" borderId="18" xfId="0" applyNumberFormat="1" applyFont="1" applyBorder="1" applyAlignment="1">
      <alignment horizontal="center"/>
    </xf>
    <xf numFmtId="164" fontId="16" fillId="0" borderId="19" xfId="0" applyNumberFormat="1" applyFont="1" applyBorder="1" applyAlignment="1">
      <alignment horizontal="center"/>
    </xf>
    <xf numFmtId="2" fontId="16" fillId="0" borderId="18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164" fontId="16" fillId="0" borderId="23" xfId="0" applyNumberFormat="1" applyFont="1" applyBorder="1" applyAlignment="1">
      <alignment horizontal="center"/>
    </xf>
    <xf numFmtId="2" fontId="16" fillId="18" borderId="0" xfId="0" applyNumberFormat="1" applyFont="1" applyFill="1" applyAlignment="1">
      <alignment horizontal="center" vertical="center"/>
    </xf>
    <xf numFmtId="164" fontId="16" fillId="0" borderId="23" xfId="0" applyNumberFormat="1" applyFont="1" applyBorder="1" applyAlignment="1">
      <alignment horizontal="center" vertical="center"/>
    </xf>
    <xf numFmtId="164" fontId="16" fillId="0" borderId="24" xfId="0" applyNumberFormat="1" applyFont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164" fontId="16" fillId="0" borderId="0" xfId="0" applyNumberFormat="1" applyFont="1"/>
    <xf numFmtId="2" fontId="1" fillId="0" borderId="1" xfId="0" applyNumberFormat="1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7" fillId="0" borderId="1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167" fontId="16" fillId="0" borderId="0" xfId="0" applyNumberFormat="1" applyFont="1" applyBorder="1" applyAlignment="1">
      <alignment horizontal="center"/>
    </xf>
    <xf numFmtId="10" fontId="16" fillId="0" borderId="16" xfId="0" applyNumberFormat="1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167" fontId="16" fillId="0" borderId="19" xfId="0" applyNumberFormat="1" applyFont="1" applyBorder="1" applyAlignment="1">
      <alignment horizontal="center"/>
    </xf>
    <xf numFmtId="10" fontId="16" fillId="0" borderId="14" xfId="0" applyNumberFormat="1" applyFont="1" applyBorder="1" applyAlignment="1">
      <alignment horizontal="center"/>
    </xf>
    <xf numFmtId="168" fontId="16" fillId="0" borderId="1" xfId="0" applyNumberFormat="1" applyFont="1" applyBorder="1" applyAlignment="1">
      <alignment horizontal="center"/>
    </xf>
    <xf numFmtId="2" fontId="16" fillId="10" borderId="1" xfId="0" applyNumberFormat="1" applyFont="1" applyFill="1" applyBorder="1" applyAlignment="1">
      <alignment horizontal="center"/>
    </xf>
    <xf numFmtId="2" fontId="16" fillId="13" borderId="1" xfId="0" applyNumberFormat="1" applyFont="1" applyFill="1" applyBorder="1" applyAlignment="1">
      <alignment horizontal="center"/>
    </xf>
    <xf numFmtId="10" fontId="16" fillId="17" borderId="16" xfId="0" applyNumberFormat="1" applyFont="1" applyFill="1" applyBorder="1" applyAlignment="1">
      <alignment horizontal="center"/>
    </xf>
    <xf numFmtId="10" fontId="16" fillId="17" borderId="14" xfId="0" applyNumberFormat="1" applyFont="1" applyFill="1" applyBorder="1" applyAlignment="1">
      <alignment horizontal="center"/>
    </xf>
    <xf numFmtId="0" fontId="16" fillId="2" borderId="23" xfId="0" applyFont="1" applyFill="1" applyBorder="1"/>
    <xf numFmtId="0" fontId="16" fillId="2" borderId="17" xfId="0" applyFont="1" applyFill="1" applyBorder="1"/>
    <xf numFmtId="2" fontId="16" fillId="0" borderId="14" xfId="0" applyNumberFormat="1" applyFont="1" applyBorder="1" applyAlignment="1">
      <alignment horizontal="center"/>
    </xf>
    <xf numFmtId="168" fontId="16" fillId="0" borderId="14" xfId="0" applyNumberFormat="1" applyFont="1" applyBorder="1" applyAlignment="1">
      <alignment horizontal="center"/>
    </xf>
    <xf numFmtId="2" fontId="16" fillId="10" borderId="14" xfId="0" applyNumberFormat="1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4" xfId="0" applyFont="1" applyFill="1" applyBorder="1"/>
    <xf numFmtId="1" fontId="16" fillId="0" borderId="2" xfId="0" applyNumberFormat="1" applyFont="1" applyBorder="1" applyAlignment="1">
      <alignment horizontal="center" vertical="center"/>
    </xf>
    <xf numFmtId="1" fontId="16" fillId="0" borderId="2" xfId="0" applyNumberFormat="1" applyFont="1" applyBorder="1" applyAlignment="1">
      <alignment horizontal="center"/>
    </xf>
    <xf numFmtId="1" fontId="16" fillId="0" borderId="0" xfId="0" applyNumberFormat="1" applyFont="1" applyBorder="1" applyAlignment="1">
      <alignment horizontal="center" vertical="center"/>
    </xf>
    <xf numFmtId="2" fontId="2" fillId="33" borderId="35" xfId="0" applyNumberFormat="1" applyFont="1" applyFill="1" applyBorder="1" applyAlignment="1">
      <alignment horizontal="center" vertical="center"/>
    </xf>
    <xf numFmtId="2" fontId="2" fillId="33" borderId="2" xfId="0" applyNumberFormat="1" applyFont="1" applyFill="1" applyBorder="1" applyAlignment="1">
      <alignment horizontal="center" vertical="center"/>
    </xf>
    <xf numFmtId="2" fontId="2" fillId="21" borderId="35" xfId="0" applyNumberFormat="1" applyFont="1" applyFill="1" applyBorder="1" applyAlignment="1">
      <alignment horizontal="center" vertical="center"/>
    </xf>
    <xf numFmtId="2" fontId="2" fillId="21" borderId="2" xfId="0" applyNumberFormat="1" applyFont="1" applyFill="1" applyBorder="1" applyAlignment="1">
      <alignment horizontal="center" vertical="center"/>
    </xf>
    <xf numFmtId="2" fontId="2" fillId="24" borderId="35" xfId="0" applyNumberFormat="1" applyFont="1" applyFill="1" applyBorder="1" applyAlignment="1">
      <alignment horizontal="center" vertical="center"/>
    </xf>
    <xf numFmtId="2" fontId="2" fillId="24" borderId="2" xfId="0" applyNumberFormat="1" applyFont="1" applyFill="1" applyBorder="1" applyAlignment="1">
      <alignment horizontal="center" vertical="center"/>
    </xf>
    <xf numFmtId="2" fontId="2" fillId="32" borderId="17" xfId="0" applyNumberFormat="1" applyFont="1" applyFill="1" applyBorder="1" applyAlignment="1">
      <alignment horizontal="center" vertical="center"/>
    </xf>
    <xf numFmtId="2" fontId="2" fillId="32" borderId="0" xfId="0" applyNumberFormat="1" applyFont="1" applyFill="1" applyBorder="1" applyAlignment="1">
      <alignment horizontal="center" vertical="center"/>
    </xf>
    <xf numFmtId="2" fontId="2" fillId="10" borderId="17" xfId="0" applyNumberFormat="1" applyFont="1" applyFill="1" applyBorder="1" applyAlignment="1">
      <alignment horizontal="center" vertical="center"/>
    </xf>
    <xf numFmtId="2" fontId="2" fillId="10" borderId="35" xfId="0" applyNumberFormat="1" applyFont="1" applyFill="1" applyBorder="1" applyAlignment="1">
      <alignment horizontal="center" vertical="center"/>
    </xf>
    <xf numFmtId="2" fontId="2" fillId="33" borderId="17" xfId="0" applyNumberFormat="1" applyFont="1" applyFill="1" applyBorder="1" applyAlignment="1">
      <alignment horizontal="center" vertical="center"/>
    </xf>
    <xf numFmtId="2" fontId="2" fillId="33" borderId="0" xfId="0" applyNumberFormat="1" applyFont="1" applyFill="1" applyBorder="1" applyAlignment="1">
      <alignment horizontal="center" vertical="center"/>
    </xf>
    <xf numFmtId="2" fontId="2" fillId="21" borderId="17" xfId="0" applyNumberFormat="1" applyFont="1" applyFill="1" applyBorder="1" applyAlignment="1">
      <alignment horizontal="center" vertical="center"/>
    </xf>
    <xf numFmtId="2" fontId="2" fillId="21" borderId="0" xfId="0" applyNumberFormat="1" applyFont="1" applyFill="1" applyBorder="1" applyAlignment="1">
      <alignment horizontal="center" vertical="center"/>
    </xf>
    <xf numFmtId="2" fontId="2" fillId="24" borderId="17" xfId="0" applyNumberFormat="1" applyFont="1" applyFill="1" applyBorder="1" applyAlignment="1">
      <alignment horizontal="center" vertical="center"/>
    </xf>
    <xf numFmtId="2" fontId="2" fillId="24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2" fontId="22" fillId="2" borderId="0" xfId="0" applyNumberFormat="1" applyFont="1" applyFill="1" applyBorder="1" applyAlignment="1">
      <alignment horizontal="center"/>
    </xf>
    <xf numFmtId="0" fontId="16" fillId="2" borderId="0" xfId="0" applyFont="1" applyFill="1" applyBorder="1" applyAlignment="1"/>
    <xf numFmtId="164" fontId="16" fillId="0" borderId="0" xfId="0" applyNumberFormat="1" applyFont="1" applyFill="1" applyBorder="1" applyAlignment="1">
      <alignment horizontal="center" vertical="center"/>
    </xf>
    <xf numFmtId="2" fontId="19" fillId="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4" xfId="0" applyFont="1" applyFill="1" applyBorder="1" applyAlignment="1">
      <alignment horizontal="center" vertical="center"/>
    </xf>
    <xf numFmtId="0" fontId="1" fillId="0" borderId="66" xfId="0" applyFont="1" applyFill="1" applyBorder="1" applyAlignment="1">
      <alignment horizontal="center" vertical="center"/>
    </xf>
    <xf numFmtId="2" fontId="19" fillId="0" borderId="12" xfId="0" applyNumberFormat="1" applyFont="1" applyFill="1" applyBorder="1" applyAlignment="1">
      <alignment horizontal="center" vertical="center"/>
    </xf>
    <xf numFmtId="0" fontId="1" fillId="0" borderId="34" xfId="0" applyFont="1" applyFill="1" applyBorder="1" applyAlignment="1">
      <alignment horizontal="center" vertical="center"/>
    </xf>
    <xf numFmtId="2" fontId="16" fillId="0" borderId="2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16" fillId="0" borderId="44" xfId="0" applyNumberFormat="1" applyFont="1" applyFill="1" applyBorder="1" applyAlignment="1">
      <alignment horizontal="center" vertical="center"/>
    </xf>
    <xf numFmtId="164" fontId="16" fillId="0" borderId="2" xfId="0" applyNumberFormat="1" applyFont="1" applyFill="1" applyBorder="1" applyAlignment="1">
      <alignment horizontal="center" vertical="center"/>
    </xf>
    <xf numFmtId="2" fontId="16" fillId="0" borderId="15" xfId="0" applyNumberFormat="1" applyFont="1" applyFill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164" fontId="17" fillId="2" borderId="1" xfId="0" applyNumberFormat="1" applyFont="1" applyFill="1" applyBorder="1" applyAlignment="1">
      <alignment horizontal="center" vertical="center"/>
    </xf>
    <xf numFmtId="164" fontId="19" fillId="10" borderId="0" xfId="0" applyNumberFormat="1" applyFont="1" applyFill="1" applyBorder="1" applyAlignment="1">
      <alignment horizontal="center" vertical="center"/>
    </xf>
    <xf numFmtId="164" fontId="19" fillId="10" borderId="2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33" fillId="0" borderId="17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0" fontId="33" fillId="0" borderId="23" xfId="0" applyFont="1" applyBorder="1" applyAlignment="1">
      <alignment horizontal="center"/>
    </xf>
    <xf numFmtId="0" fontId="34" fillId="0" borderId="8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2" fontId="34" fillId="0" borderId="7" xfId="0" applyNumberFormat="1" applyFont="1" applyBorder="1" applyAlignment="1">
      <alignment horizontal="center" vertical="center"/>
    </xf>
    <xf numFmtId="2" fontId="34" fillId="0" borderId="6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 wrapText="1"/>
    </xf>
    <xf numFmtId="1" fontId="16" fillId="10" borderId="4" xfId="0" applyNumberFormat="1" applyFont="1" applyFill="1" applyBorder="1" applyAlignment="1">
      <alignment horizontal="center" vertical="center"/>
    </xf>
    <xf numFmtId="1" fontId="16" fillId="10" borderId="16" xfId="0" applyNumberFormat="1" applyFont="1" applyFill="1" applyBorder="1" applyAlignment="1">
      <alignment horizontal="center" vertical="center"/>
    </xf>
    <xf numFmtId="1" fontId="16" fillId="10" borderId="14" xfId="0" applyNumberFormat="1" applyFont="1" applyFill="1" applyBorder="1" applyAlignment="1">
      <alignment horizontal="center" vertical="center"/>
    </xf>
    <xf numFmtId="164" fontId="34" fillId="0" borderId="7" xfId="0" applyNumberFormat="1" applyFont="1" applyBorder="1" applyAlignment="1">
      <alignment horizontal="center" vertical="center"/>
    </xf>
    <xf numFmtId="1" fontId="16" fillId="0" borderId="0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16" fillId="0" borderId="67" xfId="0" applyNumberFormat="1" applyFont="1" applyBorder="1" applyAlignment="1">
      <alignment horizontal="center" vertical="center"/>
    </xf>
    <xf numFmtId="1" fontId="16" fillId="0" borderId="45" xfId="0" applyNumberFormat="1" applyFont="1" applyBorder="1" applyAlignment="1">
      <alignment horizontal="center" vertical="center"/>
    </xf>
    <xf numFmtId="1" fontId="2" fillId="0" borderId="17" xfId="0" applyNumberFormat="1" applyFont="1" applyBorder="1" applyAlignment="1">
      <alignment horizontal="center" vertical="center"/>
    </xf>
    <xf numFmtId="1" fontId="2" fillId="0" borderId="23" xfId="0" applyNumberFormat="1" applyFont="1" applyBorder="1" applyAlignment="1">
      <alignment horizontal="center" vertical="center"/>
    </xf>
    <xf numFmtId="0" fontId="3" fillId="0" borderId="66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1" fontId="2" fillId="0" borderId="35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" fontId="2" fillId="0" borderId="36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 vertical="center"/>
    </xf>
    <xf numFmtId="0" fontId="8" fillId="0" borderId="21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2" fontId="2" fillId="0" borderId="12" xfId="0" applyNumberFormat="1" applyFont="1" applyBorder="1" applyAlignment="1">
      <alignment horizontal="center" vertical="center"/>
    </xf>
    <xf numFmtId="2" fontId="2" fillId="0" borderId="15" xfId="0" applyNumberFormat="1" applyFont="1" applyBorder="1" applyAlignment="1">
      <alignment horizontal="center" vertical="center"/>
    </xf>
    <xf numFmtId="2" fontId="16" fillId="0" borderId="67" xfId="0" applyNumberFormat="1" applyFont="1" applyBorder="1" applyAlignment="1">
      <alignment horizontal="center"/>
    </xf>
    <xf numFmtId="2" fontId="16" fillId="0" borderId="45" xfId="0" applyNumberFormat="1" applyFont="1" applyBorder="1" applyAlignment="1">
      <alignment horizontal="center"/>
    </xf>
    <xf numFmtId="0" fontId="16" fillId="2" borderId="0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1" fontId="2" fillId="0" borderId="67" xfId="0" applyNumberFormat="1" applyFont="1" applyBorder="1" applyAlignment="1">
      <alignment horizontal="center" vertical="center"/>
    </xf>
    <xf numFmtId="1" fontId="2" fillId="0" borderId="45" xfId="0" applyNumberFormat="1" applyFont="1" applyBorder="1" applyAlignment="1">
      <alignment horizontal="center" vertical="center"/>
    </xf>
    <xf numFmtId="164" fontId="2" fillId="0" borderId="67" xfId="0" applyNumberFormat="1" applyFont="1" applyBorder="1" applyAlignment="1">
      <alignment horizontal="center"/>
    </xf>
    <xf numFmtId="164" fontId="2" fillId="0" borderId="45" xfId="0" applyNumberFormat="1" applyFont="1" applyBorder="1" applyAlignment="1">
      <alignment horizontal="center"/>
    </xf>
    <xf numFmtId="0" fontId="1" fillId="0" borderId="3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40" xfId="0" applyNumberFormat="1" applyFont="1" applyBorder="1" applyAlignment="1">
      <alignment horizontal="center" vertical="center"/>
    </xf>
    <xf numFmtId="1" fontId="16" fillId="0" borderId="38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 wrapText="1"/>
    </xf>
    <xf numFmtId="0" fontId="16" fillId="0" borderId="74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7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1" fontId="16" fillId="0" borderId="17" xfId="0" applyNumberFormat="1" applyFont="1" applyBorder="1" applyAlignment="1">
      <alignment horizontal="center" vertical="center"/>
    </xf>
    <xf numFmtId="1" fontId="16" fillId="0" borderId="18" xfId="0" applyNumberFormat="1" applyFont="1" applyBorder="1" applyAlignment="1">
      <alignment horizontal="center" vertical="center"/>
    </xf>
    <xf numFmtId="1" fontId="16" fillId="0" borderId="57" xfId="0" applyNumberFormat="1" applyFont="1" applyBorder="1" applyAlignment="1">
      <alignment horizontal="center" vertical="center"/>
    </xf>
    <xf numFmtId="1" fontId="16" fillId="0" borderId="20" xfId="0" applyNumberFormat="1" applyFont="1" applyBorder="1" applyAlignment="1">
      <alignment horizontal="center" vertical="center"/>
    </xf>
    <xf numFmtId="1" fontId="16" fillId="0" borderId="60" xfId="0" applyNumberFormat="1" applyFont="1" applyBorder="1" applyAlignment="1">
      <alignment horizontal="center" vertical="center"/>
    </xf>
    <xf numFmtId="1" fontId="16" fillId="0" borderId="35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64" fontId="16" fillId="0" borderId="0" xfId="0" applyNumberFormat="1" applyFont="1" applyBorder="1" applyAlignment="1">
      <alignment horizontal="center" vertical="center" wrapText="1"/>
    </xf>
    <xf numFmtId="2" fontId="26" fillId="0" borderId="1" xfId="0" applyNumberFormat="1" applyFont="1" applyBorder="1" applyAlignment="1">
      <alignment horizontal="center" vertical="center"/>
    </xf>
    <xf numFmtId="164" fontId="19" fillId="0" borderId="17" xfId="0" applyNumberFormat="1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2" fontId="19" fillId="0" borderId="23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44" xfId="0" applyFont="1" applyBorder="1" applyAlignment="1">
      <alignment horizontal="center"/>
    </xf>
    <xf numFmtId="0" fontId="1" fillId="27" borderId="5" xfId="0" applyFont="1" applyFill="1" applyBorder="1" applyAlignment="1">
      <alignment horizontal="center" vertical="center"/>
    </xf>
    <xf numFmtId="0" fontId="1" fillId="27" borderId="10" xfId="0" applyFont="1" applyFill="1" applyBorder="1" applyAlignment="1">
      <alignment horizontal="center" vertical="center"/>
    </xf>
    <xf numFmtId="0" fontId="1" fillId="27" borderId="9" xfId="0" applyFont="1" applyFill="1" applyBorder="1" applyAlignment="1">
      <alignment horizontal="center" vertical="center"/>
    </xf>
    <xf numFmtId="0" fontId="1" fillId="27" borderId="11" xfId="0" applyFont="1" applyFill="1" applyBorder="1" applyAlignment="1">
      <alignment horizontal="center" vertical="center"/>
    </xf>
    <xf numFmtId="0" fontId="1" fillId="27" borderId="2" xfId="0" applyFont="1" applyFill="1" applyBorder="1" applyAlignment="1">
      <alignment horizontal="center" vertical="center"/>
    </xf>
    <xf numFmtId="0" fontId="1" fillId="27" borderId="15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28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9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" fillId="25" borderId="29" xfId="0" applyFont="1" applyFill="1" applyBorder="1" applyAlignment="1">
      <alignment horizontal="center" vertical="center"/>
    </xf>
    <xf numFmtId="0" fontId="5" fillId="14" borderId="28" xfId="0" applyFont="1" applyFill="1" applyBorder="1" applyAlignment="1">
      <alignment horizontal="center" vertical="center"/>
    </xf>
    <xf numFmtId="0" fontId="5" fillId="14" borderId="1" xfId="0" applyFont="1" applyFill="1" applyBorder="1" applyAlignment="1">
      <alignment horizontal="center" vertical="center"/>
    </xf>
    <xf numFmtId="0" fontId="5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5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2" borderId="68" xfId="0" applyFont="1" applyFill="1" applyBorder="1" applyAlignment="1">
      <alignment horizontal="center" vertical="center"/>
    </xf>
    <xf numFmtId="0" fontId="1" fillId="2" borderId="69" xfId="0" applyFont="1" applyFill="1" applyBorder="1" applyAlignment="1">
      <alignment horizontal="center" vertical="center"/>
    </xf>
    <xf numFmtId="0" fontId="16" fillId="3" borderId="14" xfId="0" applyFont="1" applyFill="1" applyBorder="1" applyAlignment="1">
      <alignment horizontal="center" vertical="center" textRotation="90"/>
    </xf>
    <xf numFmtId="0" fontId="16" fillId="3" borderId="4" xfId="0" applyFont="1" applyFill="1" applyBorder="1" applyAlignment="1">
      <alignment horizontal="center" vertical="center" textRotation="90"/>
    </xf>
    <xf numFmtId="0" fontId="1" fillId="2" borderId="1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 textRotation="90"/>
    </xf>
    <xf numFmtId="0" fontId="3" fillId="16" borderId="26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6" borderId="27" xfId="0" applyFont="1" applyFill="1" applyBorder="1" applyAlignment="1">
      <alignment horizontal="center" wrapText="1"/>
    </xf>
    <xf numFmtId="0" fontId="3" fillId="16" borderId="29" xfId="0" applyFont="1" applyFill="1" applyBorder="1" applyAlignment="1">
      <alignment horizontal="center" wrapText="1"/>
    </xf>
    <xf numFmtId="0" fontId="3" fillId="35" borderId="46" xfId="0" applyFont="1" applyFill="1" applyBorder="1" applyAlignment="1">
      <alignment horizontal="center"/>
    </xf>
    <xf numFmtId="0" fontId="2" fillId="35" borderId="47" xfId="0" applyFont="1" applyFill="1" applyBorder="1" applyAlignment="1">
      <alignment horizontal="center"/>
    </xf>
    <xf numFmtId="0" fontId="2" fillId="35" borderId="48" xfId="0" applyFont="1" applyFill="1" applyBorder="1" applyAlignment="1">
      <alignment horizontal="center"/>
    </xf>
    <xf numFmtId="0" fontId="3" fillId="0" borderId="25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28" xfId="0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26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1" fillId="5" borderId="46" xfId="0" applyFont="1" applyFill="1" applyBorder="1" applyAlignment="1">
      <alignment horizontal="center" vertical="center" wrapText="1"/>
    </xf>
    <xf numFmtId="0" fontId="1" fillId="5" borderId="47" xfId="0" applyFont="1" applyFill="1" applyBorder="1" applyAlignment="1">
      <alignment horizontal="center" vertical="center" wrapText="1"/>
    </xf>
    <xf numFmtId="0" fontId="1" fillId="5" borderId="48" xfId="0" applyFont="1" applyFill="1" applyBorder="1" applyAlignment="1">
      <alignment horizontal="center" vertical="center" wrapText="1"/>
    </xf>
    <xf numFmtId="0" fontId="3" fillId="5" borderId="40" xfId="0" applyFont="1" applyFill="1" applyBorder="1" applyAlignment="1">
      <alignment horizontal="center" vertical="center"/>
    </xf>
    <xf numFmtId="0" fontId="3" fillId="5" borderId="29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8" borderId="6" xfId="0" applyFont="1" applyFill="1" applyBorder="1" applyAlignment="1">
      <alignment horizontal="center" vertical="center" wrapText="1"/>
    </xf>
    <xf numFmtId="0" fontId="3" fillId="34" borderId="41" xfId="0" applyFont="1" applyFill="1" applyBorder="1" applyAlignment="1">
      <alignment horizontal="center" vertical="center"/>
    </xf>
    <xf numFmtId="0" fontId="3" fillId="34" borderId="42" xfId="0" applyFont="1" applyFill="1" applyBorder="1" applyAlignment="1">
      <alignment horizontal="center" vertical="center"/>
    </xf>
    <xf numFmtId="0" fontId="3" fillId="34" borderId="43" xfId="0" applyFont="1" applyFill="1" applyBorder="1" applyAlignment="1">
      <alignment horizontal="center" vertical="center"/>
    </xf>
    <xf numFmtId="0" fontId="3" fillId="17" borderId="41" xfId="0" applyFont="1" applyFill="1" applyBorder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1" fillId="7" borderId="8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 vertical="center"/>
    </xf>
    <xf numFmtId="0" fontId="3" fillId="12" borderId="57" xfId="0" applyFont="1" applyFill="1" applyBorder="1" applyAlignment="1">
      <alignment horizontal="center" vertical="center"/>
    </xf>
    <xf numFmtId="0" fontId="3" fillId="23" borderId="70" xfId="0" applyFont="1" applyFill="1" applyBorder="1" applyAlignment="1">
      <alignment horizontal="center" vertical="center"/>
    </xf>
    <xf numFmtId="0" fontId="3" fillId="23" borderId="40" xfId="0" applyFont="1" applyFill="1" applyBorder="1" applyAlignment="1">
      <alignment horizontal="center" vertical="center"/>
    </xf>
    <xf numFmtId="0" fontId="1" fillId="12" borderId="4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23" borderId="5" xfId="0" applyFont="1" applyFill="1" applyBorder="1" applyAlignment="1">
      <alignment horizontal="center" vertical="center" wrapText="1"/>
    </xf>
    <xf numFmtId="0" fontId="1" fillId="23" borderId="10" xfId="0" applyFont="1" applyFill="1" applyBorder="1" applyAlignment="1">
      <alignment horizontal="center" vertical="center" wrapText="1"/>
    </xf>
    <xf numFmtId="0" fontId="1" fillId="23" borderId="9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/>
    </xf>
    <xf numFmtId="0" fontId="3" fillId="24" borderId="24" xfId="0" applyFont="1" applyFill="1" applyBorder="1" applyAlignment="1">
      <alignment horizontal="center" vertical="center" wrapText="1"/>
    </xf>
    <xf numFmtId="0" fontId="3" fillId="24" borderId="6" xfId="0" applyFont="1" applyFill="1" applyBorder="1" applyAlignment="1">
      <alignment horizontal="center" vertical="center" wrapText="1"/>
    </xf>
    <xf numFmtId="0" fontId="3" fillId="24" borderId="14" xfId="0" applyFont="1" applyFill="1" applyBorder="1" applyAlignment="1">
      <alignment horizontal="center" vertical="center" wrapText="1"/>
    </xf>
    <xf numFmtId="0" fontId="3" fillId="24" borderId="1" xfId="0" applyFont="1" applyFill="1" applyBorder="1" applyAlignment="1">
      <alignment horizontal="center" vertical="center" wrapText="1"/>
    </xf>
    <xf numFmtId="0" fontId="3" fillId="24" borderId="40" xfId="0" applyFont="1" applyFill="1" applyBorder="1" applyAlignment="1">
      <alignment horizontal="center" vertical="center" wrapText="1"/>
    </xf>
    <xf numFmtId="0" fontId="3" fillId="24" borderId="29" xfId="0" applyFont="1" applyFill="1" applyBorder="1" applyAlignment="1">
      <alignment horizontal="center" vertical="center" wrapText="1"/>
    </xf>
    <xf numFmtId="0" fontId="3" fillId="13" borderId="41" xfId="0" applyFont="1" applyFill="1" applyBorder="1" applyAlignment="1">
      <alignment horizontal="center"/>
    </xf>
    <xf numFmtId="0" fontId="3" fillId="13" borderId="42" xfId="0" applyFont="1" applyFill="1" applyBorder="1" applyAlignment="1">
      <alignment horizontal="center"/>
    </xf>
    <xf numFmtId="0" fontId="3" fillId="13" borderId="43" xfId="0" applyFont="1" applyFill="1" applyBorder="1" applyAlignment="1">
      <alignment horizontal="center"/>
    </xf>
    <xf numFmtId="0" fontId="3" fillId="0" borderId="28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3" fillId="12" borderId="39" xfId="0" applyFont="1" applyFill="1" applyBorder="1" applyAlignment="1">
      <alignment horizontal="center" vertical="center" wrapText="1"/>
    </xf>
    <xf numFmtId="0" fontId="3" fillId="12" borderId="28" xfId="0" applyFont="1" applyFill="1" applyBorder="1" applyAlignment="1">
      <alignment horizontal="center" vertical="center" wrapText="1"/>
    </xf>
    <xf numFmtId="0" fontId="3" fillId="12" borderId="14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3" fillId="12" borderId="14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2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16" borderId="41" xfId="0" applyFont="1" applyFill="1" applyBorder="1" applyAlignment="1">
      <alignment horizontal="center" vertical="center"/>
    </xf>
    <xf numFmtId="0" fontId="3" fillId="16" borderId="42" xfId="0" applyFont="1" applyFill="1" applyBorder="1" applyAlignment="1">
      <alignment horizontal="center" vertical="center"/>
    </xf>
    <xf numFmtId="0" fontId="3" fillId="16" borderId="43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28" borderId="41" xfId="0" applyFont="1" applyFill="1" applyBorder="1" applyAlignment="1">
      <alignment horizontal="center" vertical="center"/>
    </xf>
    <xf numFmtId="0" fontId="3" fillId="28" borderId="42" xfId="0" applyFont="1" applyFill="1" applyBorder="1" applyAlignment="1">
      <alignment horizontal="center" vertical="center"/>
    </xf>
    <xf numFmtId="0" fontId="3" fillId="28" borderId="43" xfId="0" applyFont="1" applyFill="1" applyBorder="1" applyAlignment="1">
      <alignment horizontal="center" vertical="center"/>
    </xf>
    <xf numFmtId="0" fontId="1" fillId="10" borderId="41" xfId="0" applyFont="1" applyFill="1" applyBorder="1" applyAlignment="1">
      <alignment horizontal="center" vertical="center"/>
    </xf>
    <xf numFmtId="0" fontId="1" fillId="10" borderId="42" xfId="0" applyFont="1" applyFill="1" applyBorder="1" applyAlignment="1">
      <alignment horizontal="center" vertical="center"/>
    </xf>
    <xf numFmtId="0" fontId="1" fillId="10" borderId="43" xfId="0" applyFont="1" applyFill="1" applyBorder="1" applyAlignment="1">
      <alignment horizontal="center" vertical="center"/>
    </xf>
    <xf numFmtId="0" fontId="3" fillId="0" borderId="65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3" fillId="23" borderId="50" xfId="0" applyFont="1" applyFill="1" applyBorder="1" applyAlignment="1">
      <alignment horizontal="center" vertical="center"/>
    </xf>
    <xf numFmtId="0" fontId="3" fillId="23" borderId="8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3" borderId="26" xfId="0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3" fillId="23" borderId="25" xfId="0" applyFont="1" applyFill="1" applyBorder="1" applyAlignment="1">
      <alignment horizontal="center" vertical="center" wrapText="1"/>
    </xf>
    <xf numFmtId="0" fontId="3" fillId="23" borderId="28" xfId="0" applyFont="1" applyFill="1" applyBorder="1" applyAlignment="1">
      <alignment horizontal="center" vertical="center" wrapText="1"/>
    </xf>
    <xf numFmtId="0" fontId="3" fillId="23" borderId="58" xfId="0" applyFont="1" applyFill="1" applyBorder="1" applyAlignment="1">
      <alignment horizontal="center" vertical="center" wrapText="1"/>
    </xf>
    <xf numFmtId="0" fontId="3" fillId="23" borderId="6" xfId="0" applyFont="1" applyFill="1" applyBorder="1" applyAlignment="1">
      <alignment horizontal="center" vertical="center" wrapText="1"/>
    </xf>
    <xf numFmtId="0" fontId="3" fillId="17" borderId="14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3" fillId="16" borderId="14" xfId="0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28" borderId="14" xfId="0" applyFont="1" applyFill="1" applyBorder="1" applyAlignment="1">
      <alignment horizontal="center" vertical="center" wrapText="1"/>
    </xf>
    <xf numFmtId="0" fontId="3" fillId="28" borderId="1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/>
    </xf>
    <xf numFmtId="0" fontId="3" fillId="0" borderId="1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3" fillId="0" borderId="62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left"/>
    </xf>
    <xf numFmtId="0" fontId="16" fillId="0" borderId="1" xfId="0" applyFont="1" applyBorder="1" applyAlignment="1">
      <alignment horizontal="left"/>
    </xf>
    <xf numFmtId="0" fontId="16" fillId="0" borderId="30" xfId="0" applyFont="1" applyBorder="1" applyAlignment="1">
      <alignment horizontal="left"/>
    </xf>
    <xf numFmtId="0" fontId="16" fillId="0" borderId="31" xfId="0" applyFont="1" applyBorder="1" applyAlignment="1">
      <alignment horizontal="left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71" xfId="0" applyFont="1" applyFill="1" applyBorder="1" applyAlignment="1">
      <alignment horizontal="center" vertical="center" wrapText="1"/>
    </xf>
    <xf numFmtId="0" fontId="1" fillId="5" borderId="72" xfId="0" applyFont="1" applyFill="1" applyBorder="1" applyAlignment="1">
      <alignment horizontal="center" vertical="center" wrapText="1"/>
    </xf>
    <xf numFmtId="0" fontId="1" fillId="5" borderId="70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5" borderId="50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12" borderId="1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center" vertical="center" wrapText="1"/>
    </xf>
    <xf numFmtId="0" fontId="1" fillId="23" borderId="18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 vertical="center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 vertical="center" wrapText="1"/>
    </xf>
    <xf numFmtId="0" fontId="1" fillId="12" borderId="40" xfId="0" applyFont="1" applyFill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1" fillId="23" borderId="40" xfId="0" applyFont="1" applyFill="1" applyBorder="1" applyAlignment="1">
      <alignment horizontal="center" vertical="center"/>
    </xf>
    <xf numFmtId="0" fontId="1" fillId="23" borderId="29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1" fillId="8" borderId="39" xfId="0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1" fontId="16" fillId="0" borderId="21" xfId="0" applyNumberFormat="1" applyFont="1" applyBorder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1" fontId="16" fillId="0" borderId="19" xfId="0" applyNumberFormat="1" applyFont="1" applyBorder="1" applyAlignment="1">
      <alignment horizontal="center" vertical="center"/>
    </xf>
    <xf numFmtId="1" fontId="16" fillId="0" borderId="60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57" xfId="0" applyNumberFormat="1" applyFont="1" applyBorder="1" applyAlignment="1">
      <alignment horizontal="center" vertical="center"/>
    </xf>
    <xf numFmtId="0" fontId="1" fillId="8" borderId="41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1" fillId="8" borderId="43" xfId="0" applyFont="1" applyFill="1" applyBorder="1" applyAlignment="1">
      <alignment horizont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6" fillId="0" borderId="63" xfId="0" applyFont="1" applyBorder="1" applyAlignment="1">
      <alignment horizontal="center" vertical="center"/>
    </xf>
    <xf numFmtId="0" fontId="16" fillId="0" borderId="62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0" borderId="30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7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1" fontId="16" fillId="0" borderId="2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0" fontId="7" fillId="12" borderId="46" xfId="0" applyFont="1" applyFill="1" applyBorder="1" applyAlignment="1">
      <alignment horizontal="center"/>
    </xf>
    <xf numFmtId="0" fontId="7" fillId="12" borderId="47" xfId="0" applyFont="1" applyFill="1" applyBorder="1" applyAlignment="1">
      <alignment horizontal="center"/>
    </xf>
    <xf numFmtId="0" fontId="7" fillId="12" borderId="48" xfId="0" applyFont="1" applyFill="1" applyBorder="1" applyAlignment="1">
      <alignment horizontal="center"/>
    </xf>
    <xf numFmtId="0" fontId="1" fillId="12" borderId="39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16" fillId="0" borderId="64" xfId="0" applyFont="1" applyBorder="1" applyAlignment="1">
      <alignment horizontal="center" vertic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" fillId="0" borderId="28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26" fillId="18" borderId="51" xfId="0" applyFont="1" applyFill="1" applyBorder="1" applyAlignment="1">
      <alignment horizontal="center" vertical="center" wrapText="1"/>
    </xf>
    <xf numFmtId="0" fontId="26" fillId="18" borderId="10" xfId="0" applyFont="1" applyFill="1" applyBorder="1" applyAlignment="1">
      <alignment horizontal="center" vertical="center" wrapText="1"/>
    </xf>
    <xf numFmtId="0" fontId="26" fillId="18" borderId="33" xfId="0" applyFont="1" applyFill="1" applyBorder="1" applyAlignment="1">
      <alignment horizontal="center" vertical="center" wrapText="1"/>
    </xf>
    <xf numFmtId="0" fontId="26" fillId="18" borderId="17" xfId="0" applyFont="1" applyFill="1" applyBorder="1" applyAlignment="1">
      <alignment horizontal="center" vertical="center" wrapText="1"/>
    </xf>
    <xf numFmtId="0" fontId="26" fillId="18" borderId="0" xfId="0" applyFont="1" applyFill="1" applyBorder="1" applyAlignment="1">
      <alignment horizontal="center" vertical="center" wrapText="1"/>
    </xf>
    <xf numFmtId="0" fontId="26" fillId="18" borderId="23" xfId="0" applyFont="1" applyFill="1" applyBorder="1" applyAlignment="1">
      <alignment horizontal="center" vertical="center" wrapText="1"/>
    </xf>
    <xf numFmtId="0" fontId="26" fillId="18" borderId="35" xfId="0" applyFont="1" applyFill="1" applyBorder="1" applyAlignment="1">
      <alignment horizontal="center" vertical="center" wrapText="1"/>
    </xf>
    <xf numFmtId="0" fontId="26" fillId="18" borderId="2" xfId="0" applyFont="1" applyFill="1" applyBorder="1" applyAlignment="1">
      <alignment horizontal="center" vertical="center" wrapText="1"/>
    </xf>
    <xf numFmtId="0" fontId="26" fillId="18" borderId="36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9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 vertical="top"/>
    </xf>
    <xf numFmtId="0" fontId="16" fillId="0" borderId="17" xfId="0" applyFont="1" applyBorder="1" applyAlignment="1">
      <alignment horizontal="left"/>
    </xf>
    <xf numFmtId="0" fontId="16" fillId="0" borderId="0" xfId="0" applyFont="1" applyAlignment="1">
      <alignment horizontal="left"/>
    </xf>
    <xf numFmtId="0" fontId="16" fillId="0" borderId="23" xfId="0" applyFont="1" applyBorder="1" applyAlignment="1">
      <alignment horizontal="left"/>
    </xf>
    <xf numFmtId="0" fontId="16" fillId="0" borderId="35" xfId="0" applyFont="1" applyBorder="1" applyAlignment="1">
      <alignment horizontal="left"/>
    </xf>
    <xf numFmtId="0" fontId="16" fillId="0" borderId="2" xfId="0" applyFont="1" applyBorder="1" applyAlignment="1">
      <alignment horizontal="left"/>
    </xf>
    <xf numFmtId="0" fontId="16" fillId="0" borderId="36" xfId="0" applyFont="1" applyBorder="1" applyAlignment="1">
      <alignment horizontal="left"/>
    </xf>
    <xf numFmtId="0" fontId="1" fillId="10" borderId="1" xfId="0" applyFont="1" applyFill="1" applyBorder="1" applyAlignment="1">
      <alignment horizontal="center" vertic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26" borderId="1" xfId="0" applyFont="1" applyFill="1" applyBorder="1" applyAlignment="1">
      <alignment horizont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1" fillId="26" borderId="8" xfId="0" applyFont="1" applyFill="1" applyBorder="1" applyAlignment="1">
      <alignment horizontal="center" wrapText="1"/>
    </xf>
    <xf numFmtId="0" fontId="1" fillId="26" borderId="7" xfId="0" applyFont="1" applyFill="1" applyBorder="1" applyAlignment="1">
      <alignment horizontal="center" wrapText="1"/>
    </xf>
    <xf numFmtId="0" fontId="1" fillId="26" borderId="6" xfId="0" applyFont="1" applyFill="1" applyBorder="1" applyAlignment="1">
      <alignment horizontal="center" wrapText="1"/>
    </xf>
    <xf numFmtId="0" fontId="1" fillId="14" borderId="46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1" fillId="18" borderId="16" xfId="0" applyFont="1" applyFill="1" applyBorder="1" applyAlignment="1">
      <alignment horizontal="center" vertical="center"/>
    </xf>
    <xf numFmtId="0" fontId="1" fillId="18" borderId="14" xfId="0" applyFont="1" applyFill="1" applyBorder="1" applyAlignment="1">
      <alignment horizontal="center" vertical="center"/>
    </xf>
    <xf numFmtId="0" fontId="1" fillId="18" borderId="16" xfId="0" applyFont="1" applyFill="1" applyBorder="1" applyAlignment="1">
      <alignment horizontal="center" vertical="center" wrapText="1"/>
    </xf>
    <xf numFmtId="0" fontId="1" fillId="18" borderId="14" xfId="0" applyFont="1" applyFill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57" xfId="0" applyFont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26" borderId="25" xfId="0" applyFont="1" applyFill="1" applyBorder="1" applyAlignment="1">
      <alignment horizontal="center"/>
    </xf>
    <xf numFmtId="0" fontId="1" fillId="26" borderId="27" xfId="0" applyFont="1" applyFill="1" applyBorder="1" applyAlignment="1">
      <alignment horizontal="center"/>
    </xf>
    <xf numFmtId="0" fontId="16" fillId="2" borderId="30" xfId="0" applyFont="1" applyFill="1" applyBorder="1" applyAlignment="1">
      <alignment horizontal="center"/>
    </xf>
    <xf numFmtId="0" fontId="16" fillId="2" borderId="31" xfId="0" applyFont="1" applyFill="1" applyBorder="1" applyAlignment="1">
      <alignment horizontal="center"/>
    </xf>
    <xf numFmtId="0" fontId="16" fillId="2" borderId="28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9" fillId="15" borderId="41" xfId="0" applyFont="1" applyFill="1" applyBorder="1" applyAlignment="1">
      <alignment horizontal="center" vertical="center"/>
    </xf>
    <xf numFmtId="0" fontId="9" fillId="15" borderId="42" xfId="0" applyFont="1" applyFill="1" applyBorder="1" applyAlignment="1">
      <alignment horizontal="center" vertical="center"/>
    </xf>
    <xf numFmtId="0" fontId="9" fillId="15" borderId="43" xfId="0" applyFont="1" applyFill="1" applyBorder="1" applyAlignment="1">
      <alignment horizontal="center" vertical="center"/>
    </xf>
    <xf numFmtId="0" fontId="1" fillId="16" borderId="46" xfId="0" applyFont="1" applyFill="1" applyBorder="1" applyAlignment="1">
      <alignment horizontal="center" vertical="center"/>
    </xf>
    <xf numFmtId="0" fontId="1" fillId="16" borderId="47" xfId="0" applyFont="1" applyFill="1" applyBorder="1" applyAlignment="1">
      <alignment horizontal="center" vertical="center"/>
    </xf>
    <xf numFmtId="0" fontId="1" fillId="16" borderId="48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18" borderId="1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 vertical="center"/>
    </xf>
    <xf numFmtId="0" fontId="1" fillId="14" borderId="47" xfId="0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 vertical="center" wrapText="1"/>
    </xf>
    <xf numFmtId="0" fontId="1" fillId="0" borderId="18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39" xfId="0" applyFont="1" applyFill="1" applyBorder="1" applyAlignment="1">
      <alignment horizontal="center" vertical="center" wrapText="1"/>
    </xf>
    <xf numFmtId="0" fontId="1" fillId="0" borderId="28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0" borderId="67" xfId="0" applyFont="1" applyFill="1" applyBorder="1" applyAlignment="1">
      <alignment horizontal="center" vertical="center" wrapText="1"/>
    </xf>
    <xf numFmtId="0" fontId="1" fillId="0" borderId="40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7" borderId="4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10" borderId="4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1" fillId="8" borderId="8" xfId="0" applyFont="1" applyFill="1" applyBorder="1" applyAlignment="1">
      <alignment horizontal="center"/>
    </xf>
    <xf numFmtId="0" fontId="11" fillId="8" borderId="7" xfId="0" applyFont="1" applyFill="1" applyBorder="1" applyAlignment="1">
      <alignment horizontal="center"/>
    </xf>
    <xf numFmtId="0" fontId="11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16" borderId="23" xfId="0" applyNumberFormat="1" applyFont="1" applyFill="1" applyBorder="1" applyAlignment="1">
      <alignment horizontal="center" vertical="center"/>
    </xf>
    <xf numFmtId="2" fontId="1" fillId="16" borderId="24" xfId="0" applyNumberFormat="1" applyFont="1" applyFill="1" applyBorder="1" applyAlignment="1">
      <alignment horizontal="center" vertical="center"/>
    </xf>
    <xf numFmtId="0" fontId="10" fillId="24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0" fontId="10" fillId="24" borderId="8" xfId="0" applyFont="1" applyFill="1" applyBorder="1" applyAlignment="1">
      <alignment horizontal="center"/>
    </xf>
    <xf numFmtId="0" fontId="10" fillId="24" borderId="7" xfId="0" applyFont="1" applyFill="1" applyBorder="1" applyAlignment="1">
      <alignment horizontal="center"/>
    </xf>
    <xf numFmtId="0" fontId="10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2" borderId="20" xfId="0" applyFont="1" applyFill="1" applyBorder="1" applyAlignment="1">
      <alignment horizontal="center" wrapText="1"/>
    </xf>
    <xf numFmtId="0" fontId="1" fillId="12" borderId="21" xfId="0" applyFont="1" applyFill="1" applyBorder="1" applyAlignment="1">
      <alignment horizontal="center" wrapText="1"/>
    </xf>
    <xf numFmtId="0" fontId="1" fillId="12" borderId="22" xfId="0" applyFont="1" applyFill="1" applyBorder="1" applyAlignment="1">
      <alignment horizontal="center" wrapText="1"/>
    </xf>
    <xf numFmtId="0" fontId="1" fillId="9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2" fontId="16" fillId="18" borderId="0" xfId="0" applyNumberFormat="1" applyFont="1" applyFill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21" borderId="1" xfId="0" applyFont="1" applyFill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" fillId="13" borderId="1" xfId="0" applyFont="1" applyFill="1" applyBorder="1" applyAlignment="1">
      <alignment horizontal="center" wrapText="1"/>
    </xf>
    <xf numFmtId="0" fontId="11" fillId="0" borderId="1" xfId="0" applyFont="1" applyBorder="1" applyAlignment="1">
      <alignment horizontal="center"/>
    </xf>
    <xf numFmtId="0" fontId="16" fillId="0" borderId="0" xfId="0" applyFont="1" applyAlignment="1">
      <alignment horizontal="center" vertical="center"/>
    </xf>
  </cellXfs>
  <cellStyles count="1"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FF66"/>
      <color rgb="FF00FF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'System Capacities'!$J$44:$M$44</c:f>
              <c:strCache>
                <c:ptCount val="1"/>
                <c:pt idx="0">
                  <c:v>Storey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Capacities'!$L$46:$L$55</c:f>
              <c:numCache>
                <c:formatCode>0.0000</c:formatCode>
                <c:ptCount val="10"/>
                <c:pt idx="0" formatCode="General">
                  <c:v>0</c:v>
                </c:pt>
                <c:pt idx="1">
                  <c:v>1.7443905747548439E-3</c:v>
                </c:pt>
                <c:pt idx="2">
                  <c:v>4.7504278680878037E-3</c:v>
                </c:pt>
                <c:pt idx="3">
                  <c:v>8.1000948897978157E-3</c:v>
                </c:pt>
                <c:pt idx="4">
                  <c:v>1.4127677725404499E-2</c:v>
                </c:pt>
                <c:pt idx="5">
                  <c:v>2.4445445866362128E-2</c:v>
                </c:pt>
                <c:pt idx="6">
                  <c:v>4.7151067178483844E-2</c:v>
                </c:pt>
                <c:pt idx="7">
                  <c:v>0.08</c:v>
                </c:pt>
                <c:pt idx="8">
                  <c:v>0.12683115798692521</c:v>
                </c:pt>
                <c:pt idx="9">
                  <c:v>0.13</c:v>
                </c:pt>
              </c:numCache>
            </c:numRef>
          </c:xVal>
          <c:yVal>
            <c:numRef>
              <c:f>'System Capacities'!$K$46:$K$55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244.17848343237631</c:v>
                </c:pt>
                <c:pt idx="2">
                  <c:v>346.03015280246001</c:v>
                </c:pt>
                <c:pt idx="3">
                  <c:v>312.22274937476266</c:v>
                </c:pt>
                <c:pt idx="4">
                  <c:v>159.31889173839335</c:v>
                </c:pt>
                <c:pt idx="5">
                  <c:v>165.55090909090907</c:v>
                </c:pt>
                <c:pt idx="6">
                  <c:v>137.87818181818182</c:v>
                </c:pt>
                <c:pt idx="7">
                  <c:v>97.888939193605097</c:v>
                </c:pt>
                <c:pt idx="8">
                  <c:v>40.878181818181822</c:v>
                </c:pt>
                <c:pt idx="9">
                  <c:v>40.878181818181822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5-4B7C-8B20-4BE9798F0C88}"/>
            </c:ext>
          </c:extLst>
        </c:ser>
        <c:ser>
          <c:idx val="1"/>
          <c:order val="1"/>
          <c:tx>
            <c:strRef>
              <c:f>'System Capacities'!$AC$45:$AD$45</c:f>
              <c:strCache>
                <c:ptCount val="1"/>
                <c:pt idx="0">
                  <c:v>Frame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Capacities'!$AD$47:$AD$52</c:f>
              <c:numCache>
                <c:formatCode>General</c:formatCode>
                <c:ptCount val="6"/>
                <c:pt idx="0">
                  <c:v>0</c:v>
                </c:pt>
                <c:pt idx="1">
                  <c:v>8.1000948897978157E-3</c:v>
                </c:pt>
                <c:pt idx="2">
                  <c:v>2.4445445866362128E-2</c:v>
                </c:pt>
                <c:pt idx="3">
                  <c:v>4.7151067178483844E-2</c:v>
                </c:pt>
                <c:pt idx="4">
                  <c:v>0.12683115798692521</c:v>
                </c:pt>
                <c:pt idx="5">
                  <c:v>0.13</c:v>
                </c:pt>
              </c:numCache>
            </c:numRef>
          </c:xVal>
          <c:yVal>
            <c:numRef>
              <c:f>'System Capacities'!$AC$47:$AC$52</c:f>
              <c:numCache>
                <c:formatCode>General</c:formatCode>
                <c:ptCount val="6"/>
                <c:pt idx="0">
                  <c:v>0</c:v>
                </c:pt>
                <c:pt idx="1">
                  <c:v>128.61818181818182</c:v>
                </c:pt>
                <c:pt idx="2">
                  <c:v>138.49090909090907</c:v>
                </c:pt>
                <c:pt idx="3">
                  <c:v>110.81818181818181</c:v>
                </c:pt>
                <c:pt idx="4">
                  <c:v>13.818181818181818</c:v>
                </c:pt>
                <c:pt idx="5">
                  <c:v>13.818181818181818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61-4FFA-AD41-6EA97693F27D}"/>
            </c:ext>
          </c:extLst>
        </c:ser>
        <c:ser>
          <c:idx val="2"/>
          <c:order val="2"/>
          <c:tx>
            <c:strRef>
              <c:f>'System Capacities'!$AE$45:$AF$45</c:f>
              <c:strCache>
                <c:ptCount val="1"/>
                <c:pt idx="0">
                  <c:v>Infıll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Capacities'!$AF$47:$AF$51</c:f>
              <c:numCache>
                <c:formatCode>General</c:formatCode>
                <c:ptCount val="5"/>
                <c:pt idx="0">
                  <c:v>0</c:v>
                </c:pt>
                <c:pt idx="1">
                  <c:v>1.7443905747548439E-3</c:v>
                </c:pt>
                <c:pt idx="2">
                  <c:v>4.7504278680878037E-3</c:v>
                </c:pt>
                <c:pt idx="3">
                  <c:v>1.4127677725404499E-2</c:v>
                </c:pt>
                <c:pt idx="4">
                  <c:v>0.08</c:v>
                </c:pt>
              </c:numCache>
            </c:numRef>
          </c:xVal>
          <c:yVal>
            <c:numRef>
              <c:f>'System Capacities'!$AE$47:$AE$51</c:f>
              <c:numCache>
                <c:formatCode>General</c:formatCode>
                <c:ptCount val="5"/>
                <c:pt idx="0">
                  <c:v>0</c:v>
                </c:pt>
                <c:pt idx="1">
                  <c:v>216.47999999999996</c:v>
                </c:pt>
                <c:pt idx="2">
                  <c:v>270.59999999999997</c:v>
                </c:pt>
                <c:pt idx="3">
                  <c:v>27.059999999999995</c:v>
                </c:pt>
                <c:pt idx="4">
                  <c:v>27.059999999999995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61-4FFA-AD41-6EA97693F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92592"/>
        <c:axId val="1206951952"/>
      </c:scatterChart>
      <c:valAx>
        <c:axId val="10066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51952"/>
        <c:crosses val="autoZero"/>
        <c:crossBetween val="midCat"/>
      </c:valAx>
      <c:valAx>
        <c:axId val="1206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line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Mechanism'!$D$5:$D$8</c:f>
              <c:numCache>
                <c:formatCode>0.0000</c:formatCode>
                <c:ptCount val="4"/>
                <c:pt idx="0">
                  <c:v>0.19999999993730322</c:v>
                </c:pt>
                <c:pt idx="1">
                  <c:v>0.19915043508080341</c:v>
                </c:pt>
                <c:pt idx="2">
                  <c:v>0.19506198235761751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'Yield Mechanism'!$K$49:$K$52</c:f>
              <c:numCache>
                <c:formatCode>0.0000</c:formatCode>
                <c:ptCount val="4"/>
                <c:pt idx="0">
                  <c:v>0.19999999993730164</c:v>
                </c:pt>
                <c:pt idx="1">
                  <c:v>0.19915043508080266</c:v>
                </c:pt>
                <c:pt idx="2">
                  <c:v>0.19506198235761751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0.19999999993730322</c:v>
                      </c:pt>
                      <c:pt idx="1">
                        <c:v>0.19915043508080341</c:v>
                      </c:pt>
                      <c:pt idx="2">
                        <c:v>0.19506198235761751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20636179736894872"/>
          <c:h val="8.5938952336526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'Yield Mechanism'!$E$56:$I$56</c:f>
              <c:strCache>
                <c:ptCount val="1"/>
                <c:pt idx="0">
                  <c:v>Horizontal Force Pattern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8286149479945E-2"/>
                  <c:y val="-2.39647795175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F5-4796-9BB4-FE38835249E0}"/>
                </c:ext>
              </c:extLst>
            </c:dLbl>
            <c:dLbl>
              <c:idx val="1"/>
              <c:layout>
                <c:manualLayout>
                  <c:x val="4.5925684609442803E-2"/>
                  <c:y val="-2.396477951758485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F5-4796-9BB4-FE38835249E0}"/>
                </c:ext>
              </c:extLst>
            </c:dLbl>
            <c:dLbl>
              <c:idx val="2"/>
              <c:layout>
                <c:manualLayout>
                  <c:x val="7.8248896365929299E-2"/>
                  <c:y val="-3.525225621772209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F5-4796-9BB4-FE38835249E0}"/>
                </c:ext>
              </c:extLst>
            </c:dLbl>
            <c:dLbl>
              <c:idx val="3"/>
              <c:layout>
                <c:manualLayout>
                  <c:x val="4.0820705269292504E-2"/>
                  <c:y val="-2.81975832801363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5742475884209"/>
                      <c:h val="4.79295590351695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5-4796-9BB4-FE3883524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Mechanism'!$H$58:$H$61</c:f>
              <c:numCache>
                <c:formatCode>0.00</c:formatCode>
                <c:ptCount val="4"/>
                <c:pt idx="0">
                  <c:v>0.3223273202128879</c:v>
                </c:pt>
                <c:pt idx="1">
                  <c:v>0.3423504766768507</c:v>
                </c:pt>
                <c:pt idx="2">
                  <c:v>0.33532220311026134</c:v>
                </c:pt>
                <c:pt idx="3">
                  <c:v>0</c:v>
                </c:pt>
              </c:numCache>
            </c:numRef>
          </c:xVal>
          <c:yVal>
            <c:numRef>
              <c:f>'Yield Mechanism'!$E$58:$E$61</c:f>
              <c:numCache>
                <c:formatCode>0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GB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1.1858046813659274E-2</c:v>
                </c:pt>
                <c:pt idx="2">
                  <c:v>1.8482293170831509E-2</c:v>
                </c:pt>
                <c:pt idx="3">
                  <c:v>2.4905172195710968E-2</c:v>
                </c:pt>
                <c:pt idx="4">
                  <c:v>3.2699269935775876E-2</c:v>
                </c:pt>
                <c:pt idx="5">
                  <c:v>4.521088792392218E-2</c:v>
                </c:pt>
                <c:pt idx="6">
                  <c:v>7.3497679380479117E-2</c:v>
                </c:pt>
                <c:pt idx="7">
                  <c:v>0.13524399533529052</c:v>
                </c:pt>
                <c:pt idx="8">
                  <c:v>0.19999999993730164</c:v>
                </c:pt>
                <c:pt idx="9">
                  <c:v>0.19999999993730164</c:v>
                </c:pt>
                <c:pt idx="10">
                  <c:v>0.19999999993730164</c:v>
                </c:pt>
                <c:pt idx="11">
                  <c:v>0.19999999993730164</c:v>
                </c:pt>
                <c:pt idx="12">
                  <c:v>0.19999999993730164</c:v>
                </c:pt>
                <c:pt idx="13">
                  <c:v>0.19999999993730164</c:v>
                </c:pt>
                <c:pt idx="14">
                  <c:v>0.19999999993730164</c:v>
                </c:pt>
                <c:pt idx="15">
                  <c:v>0.19999999993730164</c:v>
                </c:pt>
                <c:pt idx="16">
                  <c:v>0.19999999993730164</c:v>
                </c:pt>
                <c:pt idx="17">
                  <c:v>0.19999999993730164</c:v>
                </c:pt>
                <c:pt idx="18">
                  <c:v>0.19999999993730164</c:v>
                </c:pt>
                <c:pt idx="19">
                  <c:v>0.19999999993730164</c:v>
                </c:pt>
                <c:pt idx="20">
                  <c:v>0.19999999993730164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-244.58028608654999</c:v>
                </c:pt>
                <c:pt idx="2">
                  <c:v>-310.05695506527309</c:v>
                </c:pt>
                <c:pt idx="3">
                  <c:v>-345.99686778453838</c:v>
                </c:pt>
                <c:pt idx="4">
                  <c:v>-311.84093536070583</c:v>
                </c:pt>
                <c:pt idx="5">
                  <c:v>-158.5132660437703</c:v>
                </c:pt>
                <c:pt idx="6">
                  <c:v>-165.5441925273077</c:v>
                </c:pt>
                <c:pt idx="7">
                  <c:v>-137.89355150441932</c:v>
                </c:pt>
                <c:pt idx="8">
                  <c:v>-108.92848352767136</c:v>
                </c:pt>
                <c:pt idx="9">
                  <c:v>-108.92848352767136</c:v>
                </c:pt>
                <c:pt idx="10">
                  <c:v>-108.92848352767136</c:v>
                </c:pt>
                <c:pt idx="11">
                  <c:v>-108.92848352767136</c:v>
                </c:pt>
                <c:pt idx="12">
                  <c:v>-108.92848352767136</c:v>
                </c:pt>
                <c:pt idx="13">
                  <c:v>-108.92848352767136</c:v>
                </c:pt>
                <c:pt idx="14">
                  <c:v>-108.92848352767136</c:v>
                </c:pt>
                <c:pt idx="15">
                  <c:v>-108.92848352767136</c:v>
                </c:pt>
                <c:pt idx="16">
                  <c:v>-108.92848352767136</c:v>
                </c:pt>
                <c:pt idx="17">
                  <c:v>-108.92848352767136</c:v>
                </c:pt>
                <c:pt idx="18">
                  <c:v>-108.92848352767136</c:v>
                </c:pt>
                <c:pt idx="19">
                  <c:v>-108.92848352767136</c:v>
                </c:pt>
                <c:pt idx="20">
                  <c:v>-108.92848352767136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1C-4988-9924-0F49371E9F63}"/>
            </c:ext>
          </c:extLst>
        </c:ser>
        <c:ser>
          <c:idx val="0"/>
          <c:order val="1"/>
          <c:tx>
            <c:v>Galli_3st_3bay_WeakSingle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457"/>
              <c:pt idx="0">
                <c:v>3.9157699999999999E-5</c:v>
              </c:pt>
              <c:pt idx="1">
                <c:v>7.9150899999999995E-5</c:v>
              </c:pt>
              <c:pt idx="2">
                <c:v>1.19144E-4</c:v>
              </c:pt>
              <c:pt idx="3">
                <c:v>1.59137E-4</c:v>
              </c:pt>
              <c:pt idx="4">
                <c:v>1.9913099999999999E-4</c:v>
              </c:pt>
              <c:pt idx="5">
                <c:v>2.3912400000000001E-4</c:v>
              </c:pt>
              <c:pt idx="6">
                <c:v>2.79117E-4</c:v>
              </c:pt>
              <c:pt idx="7">
                <c:v>3.1911E-4</c:v>
              </c:pt>
              <c:pt idx="8">
                <c:v>3.5910400000000001E-4</c:v>
              </c:pt>
              <c:pt idx="9">
                <c:v>3.99097E-4</c:v>
              </c:pt>
              <c:pt idx="10">
                <c:v>4.3909E-4</c:v>
              </c:pt>
              <c:pt idx="11">
                <c:v>4.7908299999999999E-4</c:v>
              </c:pt>
              <c:pt idx="12">
                <c:v>5.1907600000000004E-4</c:v>
              </c:pt>
              <c:pt idx="13">
                <c:v>5.5906900000000004E-4</c:v>
              </c:pt>
              <c:pt idx="14">
                <c:v>5.9906200000000003E-4</c:v>
              </c:pt>
              <c:pt idx="15">
                <c:v>6.3905500000000003E-4</c:v>
              </c:pt>
              <c:pt idx="16">
                <c:v>6.7904800000000002E-4</c:v>
              </c:pt>
              <c:pt idx="17">
                <c:v>7.1904100000000002E-4</c:v>
              </c:pt>
              <c:pt idx="18">
                <c:v>7.5903400000000001E-4</c:v>
              </c:pt>
              <c:pt idx="19">
                <c:v>7.9902599999999999E-4</c:v>
              </c:pt>
              <c:pt idx="20">
                <c:v>8.3901899999999998E-4</c:v>
              </c:pt>
              <c:pt idx="21">
                <c:v>8.7901400000000001E-4</c:v>
              </c:pt>
              <c:pt idx="22">
                <c:v>9.1901000000000005E-4</c:v>
              </c:pt>
              <c:pt idx="23">
                <c:v>9.5900499999999997E-4</c:v>
              </c:pt>
              <c:pt idx="24">
                <c:v>9.9900100000000001E-4</c:v>
              </c:pt>
              <c:pt idx="25">
                <c:v>1.039E-3</c:v>
              </c:pt>
              <c:pt idx="26">
                <c:v>1.0790000000000001E-3</c:v>
              </c:pt>
              <c:pt idx="27">
                <c:v>1.119E-3</c:v>
              </c:pt>
              <c:pt idx="28">
                <c:v>1.1590000000000001E-3</c:v>
              </c:pt>
              <c:pt idx="29">
                <c:v>1.1990200000000001E-3</c:v>
              </c:pt>
              <c:pt idx="30">
                <c:v>1.2390400000000001E-3</c:v>
              </c:pt>
              <c:pt idx="31">
                <c:v>1.27906E-3</c:v>
              </c:pt>
              <c:pt idx="32">
                <c:v>1.31908E-3</c:v>
              </c:pt>
              <c:pt idx="33">
                <c:v>1.3591E-3</c:v>
              </c:pt>
              <c:pt idx="34">
                <c:v>1.39912E-3</c:v>
              </c:pt>
              <c:pt idx="35">
                <c:v>1.43914E-3</c:v>
              </c:pt>
              <c:pt idx="36">
                <c:v>1.47916E-3</c:v>
              </c:pt>
              <c:pt idx="37">
                <c:v>1.51918E-3</c:v>
              </c:pt>
              <c:pt idx="38">
                <c:v>1.5592E-3</c:v>
              </c:pt>
              <c:pt idx="39">
                <c:v>1.5992199999999999E-3</c:v>
              </c:pt>
              <c:pt idx="40">
                <c:v>1.6392500000000001E-3</c:v>
              </c:pt>
              <c:pt idx="41">
                <c:v>1.6792899999999999E-3</c:v>
              </c:pt>
              <c:pt idx="42">
                <c:v>1.71933E-3</c:v>
              </c:pt>
              <c:pt idx="43">
                <c:v>1.7593699999999999E-3</c:v>
              </c:pt>
              <c:pt idx="44">
                <c:v>1.79941E-3</c:v>
              </c:pt>
              <c:pt idx="45">
                <c:v>1.8394500000000001E-3</c:v>
              </c:pt>
              <c:pt idx="46">
                <c:v>1.8794899999999999E-3</c:v>
              </c:pt>
              <c:pt idx="47">
                <c:v>1.91953E-3</c:v>
              </c:pt>
              <c:pt idx="48">
                <c:v>1.9595699999999999E-3</c:v>
              </c:pt>
              <c:pt idx="49">
                <c:v>1.9995999999999998E-3</c:v>
              </c:pt>
              <c:pt idx="50">
                <c:v>2.0396400000000001E-3</c:v>
              </c:pt>
              <c:pt idx="51">
                <c:v>2.07968E-3</c:v>
              </c:pt>
              <c:pt idx="52">
                <c:v>2.1197199999999999E-3</c:v>
              </c:pt>
              <c:pt idx="53">
                <c:v>2.1597600000000002E-3</c:v>
              </c:pt>
              <c:pt idx="54">
                <c:v>2.1998E-3</c:v>
              </c:pt>
              <c:pt idx="55">
                <c:v>2.2398399999999999E-3</c:v>
              </c:pt>
              <c:pt idx="56">
                <c:v>2.2798800000000002E-3</c:v>
              </c:pt>
              <c:pt idx="57">
                <c:v>2.3199200000000001E-3</c:v>
              </c:pt>
              <c:pt idx="58">
                <c:v>2.3599599999999999E-3</c:v>
              </c:pt>
              <c:pt idx="59">
                <c:v>2.3999999999999998E-3</c:v>
              </c:pt>
              <c:pt idx="60">
                <c:v>2.4400300000000002E-3</c:v>
              </c:pt>
              <c:pt idx="61">
                <c:v>2.48007E-3</c:v>
              </c:pt>
              <c:pt idx="62">
                <c:v>2.5201099999999999E-3</c:v>
              </c:pt>
              <c:pt idx="63">
                <c:v>2.5601500000000002E-3</c:v>
              </c:pt>
              <c:pt idx="64">
                <c:v>2.6001900000000001E-3</c:v>
              </c:pt>
              <c:pt idx="65">
                <c:v>2.6402299999999999E-3</c:v>
              </c:pt>
              <c:pt idx="66">
                <c:v>2.6802699999999998E-3</c:v>
              </c:pt>
              <c:pt idx="67">
                <c:v>2.7203100000000001E-3</c:v>
              </c:pt>
              <c:pt idx="68">
                <c:v>2.76035E-3</c:v>
              </c:pt>
              <c:pt idx="69">
                <c:v>2.8003899999999998E-3</c:v>
              </c:pt>
              <c:pt idx="70">
                <c:v>2.8404300000000001E-3</c:v>
              </c:pt>
              <c:pt idx="71">
                <c:v>2.8804600000000001E-3</c:v>
              </c:pt>
              <c:pt idx="72">
                <c:v>2.9204999999999999E-3</c:v>
              </c:pt>
              <c:pt idx="73">
                <c:v>2.9605399999999998E-3</c:v>
              </c:pt>
              <c:pt idx="74">
                <c:v>3.0005800000000001E-3</c:v>
              </c:pt>
              <c:pt idx="75">
                <c:v>3.04062E-3</c:v>
              </c:pt>
              <c:pt idx="76">
                <c:v>3.0806599999999998E-3</c:v>
              </c:pt>
              <c:pt idx="77">
                <c:v>3.1207299999999999E-3</c:v>
              </c:pt>
              <c:pt idx="78">
                <c:v>3.1608000000000001E-3</c:v>
              </c:pt>
              <c:pt idx="79">
                <c:v>3.2008700000000002E-3</c:v>
              </c:pt>
              <c:pt idx="80">
                <c:v>3.2409399999999999E-3</c:v>
              </c:pt>
              <c:pt idx="81">
                <c:v>3.28101E-3</c:v>
              </c:pt>
              <c:pt idx="82">
                <c:v>3.3210800000000001E-3</c:v>
              </c:pt>
              <c:pt idx="83">
                <c:v>3.3611499999999998E-3</c:v>
              </c:pt>
              <c:pt idx="84">
                <c:v>3.4012199999999999E-3</c:v>
              </c:pt>
              <c:pt idx="85">
                <c:v>3.4412900000000001E-3</c:v>
              </c:pt>
              <c:pt idx="86">
                <c:v>3.4813600000000002E-3</c:v>
              </c:pt>
              <c:pt idx="87">
                <c:v>3.5214299999999999E-3</c:v>
              </c:pt>
              <c:pt idx="88">
                <c:v>3.5615E-3</c:v>
              </c:pt>
              <c:pt idx="89">
                <c:v>3.6015700000000001E-3</c:v>
              </c:pt>
              <c:pt idx="90">
                <c:v>3.6416399999999998E-3</c:v>
              </c:pt>
              <c:pt idx="91">
                <c:v>3.6817199999999999E-3</c:v>
              </c:pt>
              <c:pt idx="92">
                <c:v>3.72179E-3</c:v>
              </c:pt>
              <c:pt idx="93">
                <c:v>3.7618600000000001E-3</c:v>
              </c:pt>
              <c:pt idx="94">
                <c:v>3.8019299999999998E-3</c:v>
              </c:pt>
              <c:pt idx="95">
                <c:v>3.8419999999999999E-3</c:v>
              </c:pt>
              <c:pt idx="96">
                <c:v>3.8820700000000001E-3</c:v>
              </c:pt>
              <c:pt idx="97">
                <c:v>3.9221400000000002E-3</c:v>
              </c:pt>
              <c:pt idx="98">
                <c:v>3.9622099999999999E-3</c:v>
              </c:pt>
              <c:pt idx="99">
                <c:v>4.0022800000000004E-3</c:v>
              </c:pt>
              <c:pt idx="100">
                <c:v>4.0423500000000001E-3</c:v>
              </c:pt>
              <c:pt idx="101">
                <c:v>4.0824199999999998E-3</c:v>
              </c:pt>
              <c:pt idx="102">
                <c:v>4.1224900000000004E-3</c:v>
              </c:pt>
              <c:pt idx="103">
                <c:v>4.16256E-3</c:v>
              </c:pt>
              <c:pt idx="104">
                <c:v>4.2026299999999997E-3</c:v>
              </c:pt>
              <c:pt idx="105">
                <c:v>4.2427000000000003E-3</c:v>
              </c:pt>
              <c:pt idx="106">
                <c:v>4.28277E-3</c:v>
              </c:pt>
              <c:pt idx="107">
                <c:v>4.3228499999999996E-3</c:v>
              </c:pt>
              <c:pt idx="108">
                <c:v>4.3629200000000002E-3</c:v>
              </c:pt>
              <c:pt idx="109">
                <c:v>4.4029899999999999E-3</c:v>
              </c:pt>
              <c:pt idx="110">
                <c:v>4.4430600000000004E-3</c:v>
              </c:pt>
              <c:pt idx="111">
                <c:v>4.4831300000000001E-3</c:v>
              </c:pt>
              <c:pt idx="112">
                <c:v>4.5231999999999998E-3</c:v>
              </c:pt>
              <c:pt idx="113">
                <c:v>4.5632700000000003E-3</c:v>
              </c:pt>
              <c:pt idx="114">
                <c:v>4.60334E-3</c:v>
              </c:pt>
              <c:pt idx="115">
                <c:v>4.6434099999999997E-3</c:v>
              </c:pt>
              <c:pt idx="116">
                <c:v>4.6834800000000003E-3</c:v>
              </c:pt>
              <c:pt idx="117">
                <c:v>4.72355E-3</c:v>
              </c:pt>
              <c:pt idx="118">
                <c:v>4.7636199999999997E-3</c:v>
              </c:pt>
              <c:pt idx="119">
                <c:v>4.8036900000000002E-3</c:v>
              </c:pt>
              <c:pt idx="120">
                <c:v>4.8437599999999999E-3</c:v>
              </c:pt>
              <c:pt idx="121">
                <c:v>4.8838299999999996E-3</c:v>
              </c:pt>
              <c:pt idx="122">
                <c:v>4.9239000000000002E-3</c:v>
              </c:pt>
              <c:pt idx="123">
                <c:v>4.9639799999999998E-3</c:v>
              </c:pt>
              <c:pt idx="124">
                <c:v>5.0040500000000003E-3</c:v>
              </c:pt>
              <c:pt idx="125">
                <c:v>5.04412E-3</c:v>
              </c:pt>
              <c:pt idx="126">
                <c:v>5.0841899999999997E-3</c:v>
              </c:pt>
              <c:pt idx="127">
                <c:v>5.1242600000000003E-3</c:v>
              </c:pt>
              <c:pt idx="128">
                <c:v>5.16433E-3</c:v>
              </c:pt>
              <c:pt idx="129">
                <c:v>5.2043999999999997E-3</c:v>
              </c:pt>
              <c:pt idx="130">
                <c:v>5.2444700000000002E-3</c:v>
              </c:pt>
              <c:pt idx="131">
                <c:v>5.2845399999999999E-3</c:v>
              </c:pt>
              <c:pt idx="132">
                <c:v>5.3246099999999996E-3</c:v>
              </c:pt>
              <c:pt idx="133">
                <c:v>5.3646800000000001E-3</c:v>
              </c:pt>
              <c:pt idx="134">
                <c:v>5.4047499999999998E-3</c:v>
              </c:pt>
              <c:pt idx="135">
                <c:v>5.4448200000000004E-3</c:v>
              </c:pt>
              <c:pt idx="136">
                <c:v>5.4848900000000001E-3</c:v>
              </c:pt>
              <c:pt idx="137">
                <c:v>5.5249599999999998E-3</c:v>
              </c:pt>
              <c:pt idx="138">
                <c:v>5.5650300000000003E-3</c:v>
              </c:pt>
              <c:pt idx="139">
                <c:v>5.60511E-3</c:v>
              </c:pt>
              <c:pt idx="140">
                <c:v>5.6451799999999996E-3</c:v>
              </c:pt>
              <c:pt idx="141">
                <c:v>5.6852500000000002E-3</c:v>
              </c:pt>
              <c:pt idx="142">
                <c:v>5.7253199999999999E-3</c:v>
              </c:pt>
              <c:pt idx="143">
                <c:v>5.7653899999999996E-3</c:v>
              </c:pt>
              <c:pt idx="144">
                <c:v>5.8054600000000001E-3</c:v>
              </c:pt>
              <c:pt idx="145">
                <c:v>5.8455299999999998E-3</c:v>
              </c:pt>
              <c:pt idx="146">
                <c:v>5.8856000000000004E-3</c:v>
              </c:pt>
              <c:pt idx="147">
                <c:v>5.9256700000000001E-3</c:v>
              </c:pt>
              <c:pt idx="148">
                <c:v>5.9657399999999998E-3</c:v>
              </c:pt>
              <c:pt idx="149">
                <c:v>6.0058100000000003E-3</c:v>
              </c:pt>
              <c:pt idx="150">
                <c:v>6.04588E-3</c:v>
              </c:pt>
              <c:pt idx="151">
                <c:v>6.0859499999999997E-3</c:v>
              </c:pt>
              <c:pt idx="152">
                <c:v>6.1260200000000002E-3</c:v>
              </c:pt>
              <c:pt idx="153">
                <c:v>6.1660899999999999E-3</c:v>
              </c:pt>
              <c:pt idx="154">
                <c:v>6.2061699999999996E-3</c:v>
              </c:pt>
              <c:pt idx="155">
                <c:v>6.2462400000000001E-3</c:v>
              </c:pt>
              <c:pt idx="156">
                <c:v>6.2863099999999998E-3</c:v>
              </c:pt>
              <c:pt idx="157">
                <c:v>6.3263800000000004E-3</c:v>
              </c:pt>
              <c:pt idx="158">
                <c:v>6.3664500000000001E-3</c:v>
              </c:pt>
              <c:pt idx="159">
                <c:v>6.4065199999999997E-3</c:v>
              </c:pt>
              <c:pt idx="160">
                <c:v>6.4465900000000003E-3</c:v>
              </c:pt>
              <c:pt idx="161">
                <c:v>6.48666E-3</c:v>
              </c:pt>
              <c:pt idx="162">
                <c:v>6.5267299999999997E-3</c:v>
              </c:pt>
              <c:pt idx="163">
                <c:v>6.5668000000000002E-3</c:v>
              </c:pt>
              <c:pt idx="164">
                <c:v>6.6068699999999999E-3</c:v>
              </c:pt>
              <c:pt idx="165">
                <c:v>6.6469399999999996E-3</c:v>
              </c:pt>
              <c:pt idx="166">
                <c:v>6.6870100000000002E-3</c:v>
              </c:pt>
              <c:pt idx="167">
                <c:v>6.7270799999999999E-3</c:v>
              </c:pt>
              <c:pt idx="168">
                <c:v>6.7671500000000004E-3</c:v>
              </c:pt>
              <c:pt idx="169">
                <c:v>6.8072300000000001E-3</c:v>
              </c:pt>
              <c:pt idx="170">
                <c:v>6.8472999999999997E-3</c:v>
              </c:pt>
              <c:pt idx="171">
                <c:v>6.8873700000000003E-3</c:v>
              </c:pt>
              <c:pt idx="172">
                <c:v>6.92744E-3</c:v>
              </c:pt>
              <c:pt idx="173">
                <c:v>6.9675099999999997E-3</c:v>
              </c:pt>
              <c:pt idx="174">
                <c:v>7.0075800000000002E-3</c:v>
              </c:pt>
              <c:pt idx="175">
                <c:v>7.0476499999999999E-3</c:v>
              </c:pt>
              <c:pt idx="176">
                <c:v>7.0877199999999996E-3</c:v>
              </c:pt>
              <c:pt idx="177">
                <c:v>7.1277900000000002E-3</c:v>
              </c:pt>
              <c:pt idx="178">
                <c:v>7.1678599999999999E-3</c:v>
              </c:pt>
              <c:pt idx="179">
                <c:v>7.2079300000000004E-3</c:v>
              </c:pt>
              <c:pt idx="180">
                <c:v>7.2480000000000001E-3</c:v>
              </c:pt>
              <c:pt idx="181">
                <c:v>7.2880699999999998E-3</c:v>
              </c:pt>
              <c:pt idx="182">
                <c:v>7.3281400000000003E-3</c:v>
              </c:pt>
              <c:pt idx="183">
                <c:v>7.36821E-3</c:v>
              </c:pt>
              <c:pt idx="184">
                <c:v>7.4082799999999997E-3</c:v>
              </c:pt>
              <c:pt idx="185">
                <c:v>7.4483600000000002E-3</c:v>
              </c:pt>
              <c:pt idx="186">
                <c:v>7.4884299999999999E-3</c:v>
              </c:pt>
              <c:pt idx="187">
                <c:v>7.5284999999999996E-3</c:v>
              </c:pt>
              <c:pt idx="188">
                <c:v>7.5685700000000002E-3</c:v>
              </c:pt>
              <c:pt idx="189">
                <c:v>7.6086399999999998E-3</c:v>
              </c:pt>
              <c:pt idx="190">
                <c:v>7.6487100000000004E-3</c:v>
              </c:pt>
              <c:pt idx="191">
                <c:v>7.6887800000000001E-3</c:v>
              </c:pt>
              <c:pt idx="192">
                <c:v>7.7288499999999998E-3</c:v>
              </c:pt>
              <c:pt idx="193">
                <c:v>7.7689200000000003E-3</c:v>
              </c:pt>
              <c:pt idx="194">
                <c:v>7.80899E-3</c:v>
              </c:pt>
              <c:pt idx="195">
                <c:v>7.8490599999999997E-3</c:v>
              </c:pt>
              <c:pt idx="196">
                <c:v>7.8891299999999994E-3</c:v>
              </c:pt>
              <c:pt idx="197">
                <c:v>7.9292000000000008E-3</c:v>
              </c:pt>
              <c:pt idx="198">
                <c:v>7.9692700000000005E-3</c:v>
              </c:pt>
              <c:pt idx="199">
                <c:v>8.0093400000000002E-3</c:v>
              </c:pt>
              <c:pt idx="200">
                <c:v>8.0494199999999998E-3</c:v>
              </c:pt>
              <c:pt idx="201">
                <c:v>8.0894899999999995E-3</c:v>
              </c:pt>
              <c:pt idx="202">
                <c:v>8.1295599999999992E-3</c:v>
              </c:pt>
              <c:pt idx="203">
                <c:v>8.1696300000000006E-3</c:v>
              </c:pt>
              <c:pt idx="204">
                <c:v>8.2097000000000003E-3</c:v>
              </c:pt>
              <c:pt idx="205">
                <c:v>8.24977E-3</c:v>
              </c:pt>
              <c:pt idx="206">
                <c:v>8.2898399999999997E-3</c:v>
              </c:pt>
              <c:pt idx="207">
                <c:v>8.3299099999999994E-3</c:v>
              </c:pt>
              <c:pt idx="208">
                <c:v>8.3699800000000008E-3</c:v>
              </c:pt>
              <c:pt idx="209">
                <c:v>8.4100500000000005E-3</c:v>
              </c:pt>
              <c:pt idx="210">
                <c:v>8.4501200000000002E-3</c:v>
              </c:pt>
              <c:pt idx="211">
                <c:v>8.4901899999999999E-3</c:v>
              </c:pt>
              <c:pt idx="212">
                <c:v>8.5302599999999996E-3</c:v>
              </c:pt>
              <c:pt idx="213">
                <c:v>8.5703299999999993E-3</c:v>
              </c:pt>
              <c:pt idx="214">
                <c:v>8.6104000000000007E-3</c:v>
              </c:pt>
              <c:pt idx="215">
                <c:v>8.6504800000000003E-3</c:v>
              </c:pt>
              <c:pt idx="216">
                <c:v>8.69055E-3</c:v>
              </c:pt>
              <c:pt idx="217">
                <c:v>8.7306199999999997E-3</c:v>
              </c:pt>
              <c:pt idx="218">
                <c:v>8.7706899999999994E-3</c:v>
              </c:pt>
              <c:pt idx="219">
                <c:v>8.8107600000000008E-3</c:v>
              </c:pt>
              <c:pt idx="220">
                <c:v>8.8508300000000005E-3</c:v>
              </c:pt>
              <c:pt idx="221">
                <c:v>8.8909000000000002E-3</c:v>
              </c:pt>
              <c:pt idx="222">
                <c:v>8.9309699999999999E-3</c:v>
              </c:pt>
              <c:pt idx="223">
                <c:v>8.9710399999999996E-3</c:v>
              </c:pt>
              <c:pt idx="224">
                <c:v>9.0111099999999993E-3</c:v>
              </c:pt>
              <c:pt idx="225">
                <c:v>9.0511800000000007E-3</c:v>
              </c:pt>
              <c:pt idx="226">
                <c:v>9.0912500000000004E-3</c:v>
              </c:pt>
              <c:pt idx="227">
                <c:v>9.1313200000000001E-3</c:v>
              </c:pt>
              <c:pt idx="228">
                <c:v>9.1713899999999998E-3</c:v>
              </c:pt>
              <c:pt idx="229">
                <c:v>9.2114599999999994E-3</c:v>
              </c:pt>
              <c:pt idx="230">
                <c:v>9.2515300000000009E-3</c:v>
              </c:pt>
              <c:pt idx="231">
                <c:v>9.2916000000000006E-3</c:v>
              </c:pt>
              <c:pt idx="232">
                <c:v>9.3316700000000002E-3</c:v>
              </c:pt>
              <c:pt idx="233">
                <c:v>9.3717399999999999E-3</c:v>
              </c:pt>
              <c:pt idx="234">
                <c:v>9.4118099999999996E-3</c:v>
              </c:pt>
              <c:pt idx="235">
                <c:v>9.4518799999999993E-3</c:v>
              </c:pt>
              <c:pt idx="236">
                <c:v>9.4919500000000007E-3</c:v>
              </c:pt>
              <c:pt idx="237">
                <c:v>9.5320300000000004E-3</c:v>
              </c:pt>
              <c:pt idx="238">
                <c:v>9.5721000000000001E-3</c:v>
              </c:pt>
              <c:pt idx="239">
                <c:v>9.6121699999999997E-3</c:v>
              </c:pt>
              <c:pt idx="240">
                <c:v>9.6522399999999994E-3</c:v>
              </c:pt>
              <c:pt idx="241">
                <c:v>9.6923100000000009E-3</c:v>
              </c:pt>
              <c:pt idx="242">
                <c:v>9.7323800000000005E-3</c:v>
              </c:pt>
              <c:pt idx="243">
                <c:v>9.7724500000000002E-3</c:v>
              </c:pt>
              <c:pt idx="244">
                <c:v>9.8125199999999999E-3</c:v>
              </c:pt>
              <c:pt idx="245">
                <c:v>9.8525899999999996E-3</c:v>
              </c:pt>
              <c:pt idx="246">
                <c:v>9.8926599999999993E-3</c:v>
              </c:pt>
              <c:pt idx="247">
                <c:v>9.9327300000000007E-3</c:v>
              </c:pt>
              <c:pt idx="248">
                <c:v>9.9728000000000004E-3</c:v>
              </c:pt>
              <c:pt idx="249">
                <c:v>1.00129E-2</c:v>
              </c:pt>
              <c:pt idx="250">
                <c:v>1.00529E-2</c:v>
              </c:pt>
              <c:pt idx="251">
                <c:v>1.0093E-2</c:v>
              </c:pt>
              <c:pt idx="252">
                <c:v>1.0133100000000001E-2</c:v>
              </c:pt>
              <c:pt idx="253">
                <c:v>1.0173099999999999E-2</c:v>
              </c:pt>
              <c:pt idx="254">
                <c:v>1.02132E-2</c:v>
              </c:pt>
              <c:pt idx="255">
                <c:v>1.02533E-2</c:v>
              </c:pt>
              <c:pt idx="256">
                <c:v>1.0293399999999999E-2</c:v>
              </c:pt>
              <c:pt idx="257">
                <c:v>1.03334E-2</c:v>
              </c:pt>
              <c:pt idx="258">
                <c:v>1.0373500000000001E-2</c:v>
              </c:pt>
              <c:pt idx="259">
                <c:v>1.04136E-2</c:v>
              </c:pt>
              <c:pt idx="260">
                <c:v>1.04536E-2</c:v>
              </c:pt>
              <c:pt idx="261">
                <c:v>1.04937E-2</c:v>
              </c:pt>
              <c:pt idx="262">
                <c:v>1.0533799999999999E-2</c:v>
              </c:pt>
              <c:pt idx="263">
                <c:v>1.0573900000000001E-2</c:v>
              </c:pt>
              <c:pt idx="264">
                <c:v>1.0613900000000001E-2</c:v>
              </c:pt>
              <c:pt idx="265">
                <c:v>1.0654E-2</c:v>
              </c:pt>
              <c:pt idx="266">
                <c:v>1.06941E-2</c:v>
              </c:pt>
              <c:pt idx="267">
                <c:v>1.07341E-2</c:v>
              </c:pt>
              <c:pt idx="268">
                <c:v>1.0774199999999999E-2</c:v>
              </c:pt>
              <c:pt idx="269">
                <c:v>1.0814300000000001E-2</c:v>
              </c:pt>
              <c:pt idx="270">
                <c:v>1.0854300000000001E-2</c:v>
              </c:pt>
              <c:pt idx="271">
                <c:v>1.08944E-2</c:v>
              </c:pt>
              <c:pt idx="272">
                <c:v>1.09345E-2</c:v>
              </c:pt>
              <c:pt idx="273">
                <c:v>1.0974599999999999E-2</c:v>
              </c:pt>
              <c:pt idx="274">
                <c:v>1.1014599999999999E-2</c:v>
              </c:pt>
              <c:pt idx="275">
                <c:v>1.1054700000000001E-2</c:v>
              </c:pt>
              <c:pt idx="276">
                <c:v>1.10948E-2</c:v>
              </c:pt>
              <c:pt idx="277">
                <c:v>1.11348E-2</c:v>
              </c:pt>
              <c:pt idx="278">
                <c:v>1.11749E-2</c:v>
              </c:pt>
              <c:pt idx="279">
                <c:v>1.1214999999999999E-2</c:v>
              </c:pt>
              <c:pt idx="280">
                <c:v>1.1254999999999999E-2</c:v>
              </c:pt>
              <c:pt idx="281">
                <c:v>1.1295100000000001E-2</c:v>
              </c:pt>
              <c:pt idx="282">
                <c:v>1.13352E-2</c:v>
              </c:pt>
              <c:pt idx="283">
                <c:v>1.13753E-2</c:v>
              </c:pt>
              <c:pt idx="284">
                <c:v>1.14153E-2</c:v>
              </c:pt>
              <c:pt idx="285">
                <c:v>1.1455399999999999E-2</c:v>
              </c:pt>
              <c:pt idx="286">
                <c:v>1.1495500000000001E-2</c:v>
              </c:pt>
              <c:pt idx="287">
                <c:v>1.1535500000000001E-2</c:v>
              </c:pt>
              <c:pt idx="288">
                <c:v>1.15756E-2</c:v>
              </c:pt>
              <c:pt idx="289">
                <c:v>1.16157E-2</c:v>
              </c:pt>
              <c:pt idx="290">
                <c:v>1.16557E-2</c:v>
              </c:pt>
              <c:pt idx="291">
                <c:v>1.1695799999999999E-2</c:v>
              </c:pt>
              <c:pt idx="292">
                <c:v>1.17359E-2</c:v>
              </c:pt>
              <c:pt idx="293">
                <c:v>1.1775900000000001E-2</c:v>
              </c:pt>
              <c:pt idx="294">
                <c:v>1.1816E-2</c:v>
              </c:pt>
              <c:pt idx="295">
                <c:v>1.18561E-2</c:v>
              </c:pt>
              <c:pt idx="296">
                <c:v>1.1896199999999999E-2</c:v>
              </c:pt>
              <c:pt idx="297">
                <c:v>1.1936199999999999E-2</c:v>
              </c:pt>
              <c:pt idx="298">
                <c:v>1.19763E-2</c:v>
              </c:pt>
              <c:pt idx="299">
                <c:v>1.2016300000000001E-2</c:v>
              </c:pt>
              <c:pt idx="300">
                <c:v>1.20564E-2</c:v>
              </c:pt>
              <c:pt idx="301">
                <c:v>1.20965E-2</c:v>
              </c:pt>
              <c:pt idx="302">
                <c:v>1.21365E-2</c:v>
              </c:pt>
              <c:pt idx="303">
                <c:v>1.2176599999999999E-2</c:v>
              </c:pt>
              <c:pt idx="304">
                <c:v>1.22167E-2</c:v>
              </c:pt>
              <c:pt idx="305">
                <c:v>1.2256700000000001E-2</c:v>
              </c:pt>
              <c:pt idx="306">
                <c:v>1.22968E-2</c:v>
              </c:pt>
              <c:pt idx="307">
                <c:v>1.23369E-2</c:v>
              </c:pt>
              <c:pt idx="308">
                <c:v>1.23769E-2</c:v>
              </c:pt>
              <c:pt idx="309">
                <c:v>1.2416999999999999E-2</c:v>
              </c:pt>
              <c:pt idx="310">
                <c:v>1.24571E-2</c:v>
              </c:pt>
              <c:pt idx="311">
                <c:v>1.2497100000000001E-2</c:v>
              </c:pt>
              <c:pt idx="312">
                <c:v>1.25372E-2</c:v>
              </c:pt>
              <c:pt idx="313">
                <c:v>1.25772E-2</c:v>
              </c:pt>
              <c:pt idx="314">
                <c:v>1.26173E-2</c:v>
              </c:pt>
              <c:pt idx="315">
                <c:v>1.26573E-2</c:v>
              </c:pt>
              <c:pt idx="316">
                <c:v>1.2697399999999999E-2</c:v>
              </c:pt>
              <c:pt idx="317">
                <c:v>1.2737500000000001E-2</c:v>
              </c:pt>
              <c:pt idx="318">
                <c:v>1.2777500000000001E-2</c:v>
              </c:pt>
              <c:pt idx="319">
                <c:v>1.28176E-2</c:v>
              </c:pt>
              <c:pt idx="320">
                <c:v>1.28576E-2</c:v>
              </c:pt>
              <c:pt idx="321">
                <c:v>1.28977E-2</c:v>
              </c:pt>
              <c:pt idx="322">
                <c:v>1.29377E-2</c:v>
              </c:pt>
              <c:pt idx="323">
                <c:v>1.2977799999999999E-2</c:v>
              </c:pt>
              <c:pt idx="324">
                <c:v>1.30178E-2</c:v>
              </c:pt>
              <c:pt idx="325">
                <c:v>1.3057900000000001E-2</c:v>
              </c:pt>
              <c:pt idx="326">
                <c:v>1.3097900000000001E-2</c:v>
              </c:pt>
              <c:pt idx="327">
                <c:v>1.3138E-2</c:v>
              </c:pt>
              <c:pt idx="328">
                <c:v>1.3178E-2</c:v>
              </c:pt>
              <c:pt idx="329">
                <c:v>1.32181E-2</c:v>
              </c:pt>
              <c:pt idx="330">
                <c:v>1.32581E-2</c:v>
              </c:pt>
              <c:pt idx="331">
                <c:v>1.32982E-2</c:v>
              </c:pt>
              <c:pt idx="332">
                <c:v>1.33382E-2</c:v>
              </c:pt>
              <c:pt idx="333">
                <c:v>1.33782E-2</c:v>
              </c:pt>
              <c:pt idx="334">
                <c:v>1.3418299999999999E-2</c:v>
              </c:pt>
              <c:pt idx="335">
                <c:v>1.3458299999999999E-2</c:v>
              </c:pt>
              <c:pt idx="336">
                <c:v>1.34983E-2</c:v>
              </c:pt>
              <c:pt idx="337">
                <c:v>1.3538400000000001E-2</c:v>
              </c:pt>
              <c:pt idx="338">
                <c:v>1.3578399999999999E-2</c:v>
              </c:pt>
              <c:pt idx="339">
                <c:v>1.3618399999999999E-2</c:v>
              </c:pt>
              <c:pt idx="340">
                <c:v>1.3658500000000001E-2</c:v>
              </c:pt>
              <c:pt idx="341">
                <c:v>1.3698500000000001E-2</c:v>
              </c:pt>
              <c:pt idx="342">
                <c:v>1.3738500000000001E-2</c:v>
              </c:pt>
              <c:pt idx="343">
                <c:v>1.37786E-2</c:v>
              </c:pt>
              <c:pt idx="344">
                <c:v>1.38186E-2</c:v>
              </c:pt>
              <c:pt idx="345">
                <c:v>1.38587E-2</c:v>
              </c:pt>
              <c:pt idx="346">
                <c:v>1.38987E-2</c:v>
              </c:pt>
              <c:pt idx="347">
                <c:v>1.39387E-2</c:v>
              </c:pt>
              <c:pt idx="348">
                <c:v>1.39787E-2</c:v>
              </c:pt>
              <c:pt idx="349">
                <c:v>1.40188E-2</c:v>
              </c:pt>
              <c:pt idx="350">
                <c:v>1.40588E-2</c:v>
              </c:pt>
              <c:pt idx="351">
                <c:v>1.40988E-2</c:v>
              </c:pt>
              <c:pt idx="352">
                <c:v>1.4138899999999999E-2</c:v>
              </c:pt>
              <c:pt idx="353">
                <c:v>1.4178899999999999E-2</c:v>
              </c:pt>
              <c:pt idx="354">
                <c:v>1.42189E-2</c:v>
              </c:pt>
              <c:pt idx="355">
                <c:v>1.42589E-2</c:v>
              </c:pt>
              <c:pt idx="356">
                <c:v>1.4298999999999999E-2</c:v>
              </c:pt>
              <c:pt idx="357">
                <c:v>1.4338999999999999E-2</c:v>
              </c:pt>
              <c:pt idx="358">
                <c:v>1.4378999999999999E-2</c:v>
              </c:pt>
              <c:pt idx="359">
                <c:v>1.4419100000000001E-2</c:v>
              </c:pt>
              <c:pt idx="360">
                <c:v>1.4459100000000001E-2</c:v>
              </c:pt>
              <c:pt idx="361">
                <c:v>1.4499099999999999E-2</c:v>
              </c:pt>
              <c:pt idx="362">
                <c:v>1.4539099999999999E-2</c:v>
              </c:pt>
              <c:pt idx="363">
                <c:v>1.45792E-2</c:v>
              </c:pt>
              <c:pt idx="364">
                <c:v>1.4619200000000001E-2</c:v>
              </c:pt>
              <c:pt idx="365">
                <c:v>1.4659200000000001E-2</c:v>
              </c:pt>
              <c:pt idx="366">
                <c:v>1.46993E-2</c:v>
              </c:pt>
              <c:pt idx="367">
                <c:v>1.47393E-2</c:v>
              </c:pt>
              <c:pt idx="368">
                <c:v>1.47793E-2</c:v>
              </c:pt>
              <c:pt idx="369">
                <c:v>1.48194E-2</c:v>
              </c:pt>
              <c:pt idx="370">
                <c:v>1.48594E-2</c:v>
              </c:pt>
              <c:pt idx="371">
                <c:v>1.48994E-2</c:v>
              </c:pt>
              <c:pt idx="372">
                <c:v>1.49394E-2</c:v>
              </c:pt>
              <c:pt idx="373">
                <c:v>1.49795E-2</c:v>
              </c:pt>
              <c:pt idx="374">
                <c:v>1.50195E-2</c:v>
              </c:pt>
              <c:pt idx="375">
                <c:v>1.50595E-2</c:v>
              </c:pt>
              <c:pt idx="376">
                <c:v>1.50995E-2</c:v>
              </c:pt>
              <c:pt idx="377">
                <c:v>1.51396E-2</c:v>
              </c:pt>
              <c:pt idx="378">
                <c:v>1.51796E-2</c:v>
              </c:pt>
              <c:pt idx="379">
                <c:v>1.52196E-2</c:v>
              </c:pt>
              <c:pt idx="380">
                <c:v>1.52596E-2</c:v>
              </c:pt>
              <c:pt idx="381">
                <c:v>1.5299699999999999E-2</c:v>
              </c:pt>
              <c:pt idx="382">
                <c:v>1.53397E-2</c:v>
              </c:pt>
              <c:pt idx="383">
                <c:v>1.53797E-2</c:v>
              </c:pt>
              <c:pt idx="384">
                <c:v>1.54197E-2</c:v>
              </c:pt>
              <c:pt idx="385">
                <c:v>1.5459799999999999E-2</c:v>
              </c:pt>
              <c:pt idx="386">
                <c:v>1.5499799999999999E-2</c:v>
              </c:pt>
              <c:pt idx="387">
                <c:v>1.5539799999999999E-2</c:v>
              </c:pt>
              <c:pt idx="388">
                <c:v>1.55798E-2</c:v>
              </c:pt>
              <c:pt idx="389">
                <c:v>1.5619900000000001E-2</c:v>
              </c:pt>
              <c:pt idx="390">
                <c:v>1.5659900000000001E-2</c:v>
              </c:pt>
              <c:pt idx="391">
                <c:v>1.5699899999999999E-2</c:v>
              </c:pt>
              <c:pt idx="392">
                <c:v>1.5739900000000001E-2</c:v>
              </c:pt>
              <c:pt idx="393">
                <c:v>1.5779899999999999E-2</c:v>
              </c:pt>
              <c:pt idx="394">
                <c:v>1.5820000000000001E-2</c:v>
              </c:pt>
              <c:pt idx="395">
                <c:v>1.5859999999999999E-2</c:v>
              </c:pt>
              <c:pt idx="396">
                <c:v>1.5900000000000001E-2</c:v>
              </c:pt>
              <c:pt idx="397">
                <c:v>1.5939999999999999E-2</c:v>
              </c:pt>
              <c:pt idx="398">
                <c:v>1.5980100000000001E-2</c:v>
              </c:pt>
              <c:pt idx="399">
                <c:v>1.6020099999999999E-2</c:v>
              </c:pt>
              <c:pt idx="400">
                <c:v>1.6060100000000001E-2</c:v>
              </c:pt>
              <c:pt idx="401">
                <c:v>1.6100099999999999E-2</c:v>
              </c:pt>
              <c:pt idx="402">
                <c:v>1.61402E-2</c:v>
              </c:pt>
              <c:pt idx="403">
                <c:v>1.6180199999999999E-2</c:v>
              </c:pt>
              <c:pt idx="404">
                <c:v>1.6220200000000001E-2</c:v>
              </c:pt>
              <c:pt idx="405">
                <c:v>1.6260199999999999E-2</c:v>
              </c:pt>
              <c:pt idx="406">
                <c:v>1.6300200000000001E-2</c:v>
              </c:pt>
              <c:pt idx="407">
                <c:v>1.6340299999999999E-2</c:v>
              </c:pt>
              <c:pt idx="408">
                <c:v>1.63803E-2</c:v>
              </c:pt>
              <c:pt idx="409">
                <c:v>1.6420299999999999E-2</c:v>
              </c:pt>
              <c:pt idx="410">
                <c:v>1.6460300000000001E-2</c:v>
              </c:pt>
              <c:pt idx="411">
                <c:v>1.6500399999999998E-2</c:v>
              </c:pt>
              <c:pt idx="412">
                <c:v>1.65404E-2</c:v>
              </c:pt>
              <c:pt idx="413">
                <c:v>1.6580399999999999E-2</c:v>
              </c:pt>
              <c:pt idx="414">
                <c:v>1.66204E-2</c:v>
              </c:pt>
              <c:pt idx="415">
                <c:v>1.6660399999999999E-2</c:v>
              </c:pt>
              <c:pt idx="416">
                <c:v>1.67005E-2</c:v>
              </c:pt>
              <c:pt idx="417">
                <c:v>1.6740499999999998E-2</c:v>
              </c:pt>
              <c:pt idx="418">
                <c:v>1.67805E-2</c:v>
              </c:pt>
              <c:pt idx="419">
                <c:v>1.6820499999999999E-2</c:v>
              </c:pt>
              <c:pt idx="420">
                <c:v>1.68606E-2</c:v>
              </c:pt>
              <c:pt idx="421">
                <c:v>1.6900600000000002E-2</c:v>
              </c:pt>
              <c:pt idx="422">
                <c:v>1.69406E-2</c:v>
              </c:pt>
              <c:pt idx="423">
                <c:v>1.6980599999999998E-2</c:v>
              </c:pt>
              <c:pt idx="424">
                <c:v>1.70207E-2</c:v>
              </c:pt>
              <c:pt idx="425">
                <c:v>1.7060700000000002E-2</c:v>
              </c:pt>
              <c:pt idx="426">
                <c:v>1.71007E-2</c:v>
              </c:pt>
              <c:pt idx="427">
                <c:v>1.7140699999999998E-2</c:v>
              </c:pt>
              <c:pt idx="428">
                <c:v>1.71807E-2</c:v>
              </c:pt>
              <c:pt idx="429">
                <c:v>1.7220800000000001E-2</c:v>
              </c:pt>
              <c:pt idx="430">
                <c:v>1.72608E-2</c:v>
              </c:pt>
              <c:pt idx="431">
                <c:v>1.7300800000000002E-2</c:v>
              </c:pt>
              <c:pt idx="432">
                <c:v>1.73408E-2</c:v>
              </c:pt>
              <c:pt idx="433">
                <c:v>1.7380900000000001E-2</c:v>
              </c:pt>
              <c:pt idx="434">
                <c:v>1.74209E-2</c:v>
              </c:pt>
              <c:pt idx="435">
                <c:v>1.7460900000000001E-2</c:v>
              </c:pt>
              <c:pt idx="436">
                <c:v>1.75009E-2</c:v>
              </c:pt>
              <c:pt idx="437">
                <c:v>1.7541000000000001E-2</c:v>
              </c:pt>
              <c:pt idx="438">
                <c:v>1.7580999999999999E-2</c:v>
              </c:pt>
              <c:pt idx="439">
                <c:v>1.7621000000000001E-2</c:v>
              </c:pt>
              <c:pt idx="440">
                <c:v>1.7661E-2</c:v>
              </c:pt>
              <c:pt idx="441">
                <c:v>1.7701000000000001E-2</c:v>
              </c:pt>
              <c:pt idx="442">
                <c:v>1.7741099999999999E-2</c:v>
              </c:pt>
              <c:pt idx="443">
                <c:v>1.7781100000000001E-2</c:v>
              </c:pt>
              <c:pt idx="444">
                <c:v>1.7821099999999999E-2</c:v>
              </c:pt>
              <c:pt idx="445">
                <c:v>1.7861100000000001E-2</c:v>
              </c:pt>
              <c:pt idx="446">
                <c:v>1.7901199999999999E-2</c:v>
              </c:pt>
              <c:pt idx="447">
                <c:v>1.7941200000000001E-2</c:v>
              </c:pt>
              <c:pt idx="448">
                <c:v>1.7981199999999999E-2</c:v>
              </c:pt>
              <c:pt idx="449">
                <c:v>1.8021200000000001E-2</c:v>
              </c:pt>
              <c:pt idx="450">
                <c:v>1.8061199999999999E-2</c:v>
              </c:pt>
              <c:pt idx="451">
                <c:v>1.8101300000000001E-2</c:v>
              </c:pt>
              <c:pt idx="452">
                <c:v>1.8141299999999999E-2</c:v>
              </c:pt>
              <c:pt idx="453">
                <c:v>1.8181300000000001E-2</c:v>
              </c:pt>
              <c:pt idx="454">
                <c:v>1.8221299999999999E-2</c:v>
              </c:pt>
              <c:pt idx="455">
                <c:v>1.8261400000000001E-2</c:v>
              </c:pt>
              <c:pt idx="456">
                <c:v>1.8301399999999999E-2</c:v>
              </c:pt>
              <c:pt idx="457">
                <c:v>1.8341400000000001E-2</c:v>
              </c:pt>
              <c:pt idx="458">
                <c:v>1.8381399999999999E-2</c:v>
              </c:pt>
              <c:pt idx="459">
                <c:v>1.84215E-2</c:v>
              </c:pt>
              <c:pt idx="460">
                <c:v>1.8461499999999999E-2</c:v>
              </c:pt>
              <c:pt idx="461">
                <c:v>1.8501500000000001E-2</c:v>
              </c:pt>
              <c:pt idx="462">
                <c:v>1.8541499999999999E-2</c:v>
              </c:pt>
              <c:pt idx="463">
                <c:v>1.8581500000000001E-2</c:v>
              </c:pt>
              <c:pt idx="464">
                <c:v>1.8621599999999999E-2</c:v>
              </c:pt>
              <c:pt idx="465">
                <c:v>1.86616E-2</c:v>
              </c:pt>
              <c:pt idx="466">
                <c:v>1.8701599999999999E-2</c:v>
              </c:pt>
              <c:pt idx="467">
                <c:v>1.8741600000000001E-2</c:v>
              </c:pt>
              <c:pt idx="468">
                <c:v>1.8781699999999998E-2</c:v>
              </c:pt>
              <c:pt idx="469">
                <c:v>1.88217E-2</c:v>
              </c:pt>
              <c:pt idx="470">
                <c:v>1.8861699999999999E-2</c:v>
              </c:pt>
              <c:pt idx="471">
                <c:v>1.89017E-2</c:v>
              </c:pt>
              <c:pt idx="472">
                <c:v>1.8941800000000002E-2</c:v>
              </c:pt>
              <c:pt idx="473">
                <c:v>1.89818E-2</c:v>
              </c:pt>
              <c:pt idx="474">
                <c:v>1.9021799999999998E-2</c:v>
              </c:pt>
              <c:pt idx="475">
                <c:v>1.90618E-2</c:v>
              </c:pt>
              <c:pt idx="476">
                <c:v>1.9101799999999999E-2</c:v>
              </c:pt>
              <c:pt idx="477">
                <c:v>1.91419E-2</c:v>
              </c:pt>
              <c:pt idx="478">
                <c:v>1.9181900000000002E-2</c:v>
              </c:pt>
              <c:pt idx="479">
                <c:v>1.92219E-2</c:v>
              </c:pt>
              <c:pt idx="480">
                <c:v>1.9261899999999998E-2</c:v>
              </c:pt>
              <c:pt idx="481">
                <c:v>1.9302E-2</c:v>
              </c:pt>
              <c:pt idx="482">
                <c:v>1.9342000000000002E-2</c:v>
              </c:pt>
              <c:pt idx="483">
                <c:v>1.9382E-2</c:v>
              </c:pt>
              <c:pt idx="484">
                <c:v>1.9421999999999998E-2</c:v>
              </c:pt>
              <c:pt idx="485">
                <c:v>1.9462E-2</c:v>
              </c:pt>
              <c:pt idx="486">
                <c:v>1.9502100000000001E-2</c:v>
              </c:pt>
              <c:pt idx="487">
                <c:v>1.95421E-2</c:v>
              </c:pt>
              <c:pt idx="488">
                <c:v>1.9582100000000002E-2</c:v>
              </c:pt>
              <c:pt idx="489">
                <c:v>1.96221E-2</c:v>
              </c:pt>
              <c:pt idx="490">
                <c:v>1.9662200000000001E-2</c:v>
              </c:pt>
              <c:pt idx="491">
                <c:v>1.97022E-2</c:v>
              </c:pt>
              <c:pt idx="492">
                <c:v>1.9742200000000001E-2</c:v>
              </c:pt>
              <c:pt idx="493">
                <c:v>1.97822E-2</c:v>
              </c:pt>
              <c:pt idx="494">
                <c:v>1.9822300000000001E-2</c:v>
              </c:pt>
              <c:pt idx="495">
                <c:v>1.9862299999999999E-2</c:v>
              </c:pt>
              <c:pt idx="496">
                <c:v>1.9902300000000001E-2</c:v>
              </c:pt>
              <c:pt idx="497">
                <c:v>1.99423E-2</c:v>
              </c:pt>
              <c:pt idx="498">
                <c:v>1.9982300000000001E-2</c:v>
              </c:pt>
              <c:pt idx="499">
                <c:v>2.0022399999999999E-2</c:v>
              </c:pt>
              <c:pt idx="500">
                <c:v>2.0062400000000001E-2</c:v>
              </c:pt>
              <c:pt idx="501">
                <c:v>2.0102399999999999E-2</c:v>
              </c:pt>
              <c:pt idx="502">
                <c:v>2.0142400000000001E-2</c:v>
              </c:pt>
              <c:pt idx="503">
                <c:v>2.0182499999999999E-2</c:v>
              </c:pt>
              <c:pt idx="504">
                <c:v>2.0222500000000001E-2</c:v>
              </c:pt>
              <c:pt idx="505">
                <c:v>2.0262499999999999E-2</c:v>
              </c:pt>
              <c:pt idx="506">
                <c:v>2.0302500000000001E-2</c:v>
              </c:pt>
              <c:pt idx="507">
                <c:v>2.0342599999999999E-2</c:v>
              </c:pt>
              <c:pt idx="508">
                <c:v>2.0382600000000001E-2</c:v>
              </c:pt>
              <c:pt idx="509">
                <c:v>2.0422599999999999E-2</c:v>
              </c:pt>
              <c:pt idx="510">
                <c:v>2.0462600000000001E-2</c:v>
              </c:pt>
              <c:pt idx="511">
                <c:v>2.0502599999999999E-2</c:v>
              </c:pt>
              <c:pt idx="512">
                <c:v>2.0542700000000001E-2</c:v>
              </c:pt>
              <c:pt idx="513">
                <c:v>2.0582699999999999E-2</c:v>
              </c:pt>
              <c:pt idx="514">
                <c:v>2.0622700000000001E-2</c:v>
              </c:pt>
              <c:pt idx="515">
                <c:v>2.0662699999999999E-2</c:v>
              </c:pt>
              <c:pt idx="516">
                <c:v>2.07028E-2</c:v>
              </c:pt>
              <c:pt idx="517">
                <c:v>2.0742799999999999E-2</c:v>
              </c:pt>
              <c:pt idx="518">
                <c:v>2.0782800000000001E-2</c:v>
              </c:pt>
              <c:pt idx="519">
                <c:v>2.0822799999999999E-2</c:v>
              </c:pt>
              <c:pt idx="520">
                <c:v>2.08629E-2</c:v>
              </c:pt>
              <c:pt idx="521">
                <c:v>2.0902899999999999E-2</c:v>
              </c:pt>
              <c:pt idx="522">
                <c:v>2.09429E-2</c:v>
              </c:pt>
              <c:pt idx="523">
                <c:v>2.0982899999999999E-2</c:v>
              </c:pt>
              <c:pt idx="524">
                <c:v>2.1022900000000001E-2</c:v>
              </c:pt>
              <c:pt idx="525">
                <c:v>2.1062999999999998E-2</c:v>
              </c:pt>
              <c:pt idx="526">
                <c:v>2.1103E-2</c:v>
              </c:pt>
              <c:pt idx="527">
                <c:v>2.1142999999999999E-2</c:v>
              </c:pt>
              <c:pt idx="528">
                <c:v>2.1183E-2</c:v>
              </c:pt>
              <c:pt idx="529">
                <c:v>2.1223100000000002E-2</c:v>
              </c:pt>
              <c:pt idx="530">
                <c:v>2.12631E-2</c:v>
              </c:pt>
              <c:pt idx="531">
                <c:v>2.1303099999999998E-2</c:v>
              </c:pt>
              <c:pt idx="532">
                <c:v>2.13431E-2</c:v>
              </c:pt>
              <c:pt idx="533">
                <c:v>2.1383099999999999E-2</c:v>
              </c:pt>
              <c:pt idx="534">
                <c:v>2.14232E-2</c:v>
              </c:pt>
              <c:pt idx="535">
                <c:v>2.1463200000000002E-2</c:v>
              </c:pt>
              <c:pt idx="536">
                <c:v>2.15032E-2</c:v>
              </c:pt>
              <c:pt idx="537">
                <c:v>2.1543199999999998E-2</c:v>
              </c:pt>
              <c:pt idx="538">
                <c:v>2.15833E-2</c:v>
              </c:pt>
              <c:pt idx="539">
                <c:v>2.1623300000000002E-2</c:v>
              </c:pt>
              <c:pt idx="540">
                <c:v>2.16633E-2</c:v>
              </c:pt>
              <c:pt idx="541">
                <c:v>2.1703299999999998E-2</c:v>
              </c:pt>
              <c:pt idx="542">
                <c:v>2.17434E-2</c:v>
              </c:pt>
              <c:pt idx="543">
                <c:v>2.1783400000000001E-2</c:v>
              </c:pt>
              <c:pt idx="544">
                <c:v>2.18234E-2</c:v>
              </c:pt>
              <c:pt idx="545">
                <c:v>2.1863400000000002E-2</c:v>
              </c:pt>
              <c:pt idx="546">
                <c:v>2.19034E-2</c:v>
              </c:pt>
              <c:pt idx="547">
                <c:v>2.1943500000000001E-2</c:v>
              </c:pt>
              <c:pt idx="548">
                <c:v>2.19835E-2</c:v>
              </c:pt>
              <c:pt idx="549">
                <c:v>2.2023500000000001E-2</c:v>
              </c:pt>
              <c:pt idx="550">
                <c:v>2.20635E-2</c:v>
              </c:pt>
              <c:pt idx="551">
                <c:v>2.2103600000000001E-2</c:v>
              </c:pt>
              <c:pt idx="552">
                <c:v>2.2143599999999999E-2</c:v>
              </c:pt>
              <c:pt idx="553">
                <c:v>2.2183600000000001E-2</c:v>
              </c:pt>
              <c:pt idx="554">
                <c:v>2.22236E-2</c:v>
              </c:pt>
              <c:pt idx="555">
                <c:v>2.2263700000000001E-2</c:v>
              </c:pt>
              <c:pt idx="556">
                <c:v>2.2303699999999999E-2</c:v>
              </c:pt>
              <c:pt idx="557">
                <c:v>2.2343700000000001E-2</c:v>
              </c:pt>
              <c:pt idx="558">
                <c:v>2.2383699999999999E-2</c:v>
              </c:pt>
              <c:pt idx="559">
                <c:v>2.2423700000000001E-2</c:v>
              </c:pt>
              <c:pt idx="560">
                <c:v>2.2463799999999999E-2</c:v>
              </c:pt>
              <c:pt idx="561">
                <c:v>2.2503800000000001E-2</c:v>
              </c:pt>
              <c:pt idx="562">
                <c:v>2.2543799999999999E-2</c:v>
              </c:pt>
              <c:pt idx="563">
                <c:v>2.2583800000000001E-2</c:v>
              </c:pt>
              <c:pt idx="564">
                <c:v>2.2623899999999999E-2</c:v>
              </c:pt>
              <c:pt idx="565">
                <c:v>2.2663900000000001E-2</c:v>
              </c:pt>
              <c:pt idx="566">
                <c:v>2.2703899999999999E-2</c:v>
              </c:pt>
              <c:pt idx="567">
                <c:v>2.2743900000000001E-2</c:v>
              </c:pt>
              <c:pt idx="568">
                <c:v>2.2783999999999999E-2</c:v>
              </c:pt>
              <c:pt idx="569">
                <c:v>2.2824000000000001E-2</c:v>
              </c:pt>
              <c:pt idx="570">
                <c:v>2.2863999999999999E-2</c:v>
              </c:pt>
              <c:pt idx="571">
                <c:v>2.2904000000000001E-2</c:v>
              </c:pt>
              <c:pt idx="572">
                <c:v>2.2944099999999999E-2</c:v>
              </c:pt>
              <c:pt idx="573">
                <c:v>2.29841E-2</c:v>
              </c:pt>
              <c:pt idx="574">
                <c:v>2.3024099999999999E-2</c:v>
              </c:pt>
              <c:pt idx="575">
                <c:v>2.3064100000000001E-2</c:v>
              </c:pt>
              <c:pt idx="576">
                <c:v>2.3104099999999999E-2</c:v>
              </c:pt>
              <c:pt idx="577">
                <c:v>2.31442E-2</c:v>
              </c:pt>
              <c:pt idx="578">
                <c:v>2.3184199999999999E-2</c:v>
              </c:pt>
              <c:pt idx="579">
                <c:v>2.32242E-2</c:v>
              </c:pt>
              <c:pt idx="580">
                <c:v>2.3264199999999999E-2</c:v>
              </c:pt>
              <c:pt idx="581">
                <c:v>2.33043E-2</c:v>
              </c:pt>
              <c:pt idx="582">
                <c:v>2.3344299999999998E-2</c:v>
              </c:pt>
              <c:pt idx="583">
                <c:v>2.33843E-2</c:v>
              </c:pt>
              <c:pt idx="584">
                <c:v>2.3424299999999999E-2</c:v>
              </c:pt>
              <c:pt idx="585">
                <c:v>2.34644E-2</c:v>
              </c:pt>
              <c:pt idx="586">
                <c:v>2.3504400000000002E-2</c:v>
              </c:pt>
              <c:pt idx="587">
                <c:v>2.35444E-2</c:v>
              </c:pt>
              <c:pt idx="588">
                <c:v>2.3584399999999998E-2</c:v>
              </c:pt>
              <c:pt idx="589">
                <c:v>2.36245E-2</c:v>
              </c:pt>
              <c:pt idx="590">
                <c:v>2.3664500000000002E-2</c:v>
              </c:pt>
              <c:pt idx="591">
                <c:v>2.37045E-2</c:v>
              </c:pt>
              <c:pt idx="592">
                <c:v>2.3744500000000002E-2</c:v>
              </c:pt>
              <c:pt idx="593">
                <c:v>2.3784599999999999E-2</c:v>
              </c:pt>
              <c:pt idx="594">
                <c:v>2.3824600000000001E-2</c:v>
              </c:pt>
              <c:pt idx="595">
                <c:v>2.38646E-2</c:v>
              </c:pt>
              <c:pt idx="596">
                <c:v>2.3904600000000002E-2</c:v>
              </c:pt>
              <c:pt idx="597">
                <c:v>2.39446E-2</c:v>
              </c:pt>
              <c:pt idx="598">
                <c:v>2.3984700000000001E-2</c:v>
              </c:pt>
              <c:pt idx="599">
                <c:v>2.40247E-2</c:v>
              </c:pt>
              <c:pt idx="600">
                <c:v>2.4064700000000001E-2</c:v>
              </c:pt>
              <c:pt idx="601">
                <c:v>2.41047E-2</c:v>
              </c:pt>
              <c:pt idx="602">
                <c:v>2.4144800000000001E-2</c:v>
              </c:pt>
              <c:pt idx="603">
                <c:v>2.4184799999999999E-2</c:v>
              </c:pt>
              <c:pt idx="604">
                <c:v>2.4224800000000001E-2</c:v>
              </c:pt>
              <c:pt idx="605">
                <c:v>2.42648E-2</c:v>
              </c:pt>
              <c:pt idx="606">
                <c:v>2.4304900000000001E-2</c:v>
              </c:pt>
              <c:pt idx="607">
                <c:v>2.4344899999999999E-2</c:v>
              </c:pt>
              <c:pt idx="608">
                <c:v>2.4384900000000001E-2</c:v>
              </c:pt>
              <c:pt idx="609">
                <c:v>2.4424899999999999E-2</c:v>
              </c:pt>
              <c:pt idx="610">
                <c:v>2.4465000000000001E-2</c:v>
              </c:pt>
              <c:pt idx="611">
                <c:v>2.4504999999999999E-2</c:v>
              </c:pt>
              <c:pt idx="612">
                <c:v>2.4545000000000001E-2</c:v>
              </c:pt>
              <c:pt idx="613">
                <c:v>2.4584999999999999E-2</c:v>
              </c:pt>
              <c:pt idx="614">
                <c:v>2.46251E-2</c:v>
              </c:pt>
              <c:pt idx="615">
                <c:v>2.4665099999999999E-2</c:v>
              </c:pt>
              <c:pt idx="616">
                <c:v>2.4705100000000001E-2</c:v>
              </c:pt>
              <c:pt idx="617">
                <c:v>2.4745099999999999E-2</c:v>
              </c:pt>
              <c:pt idx="618">
                <c:v>2.4785100000000001E-2</c:v>
              </c:pt>
              <c:pt idx="619">
                <c:v>2.4825199999999999E-2</c:v>
              </c:pt>
              <c:pt idx="620">
                <c:v>2.48652E-2</c:v>
              </c:pt>
              <c:pt idx="621">
                <c:v>2.4905199999999999E-2</c:v>
              </c:pt>
              <c:pt idx="622">
                <c:v>2.4945200000000001E-2</c:v>
              </c:pt>
              <c:pt idx="623">
                <c:v>2.4985299999999998E-2</c:v>
              </c:pt>
              <c:pt idx="624">
                <c:v>2.50253E-2</c:v>
              </c:pt>
              <c:pt idx="625">
                <c:v>2.5065299999999999E-2</c:v>
              </c:pt>
              <c:pt idx="626">
                <c:v>2.5105300000000001E-2</c:v>
              </c:pt>
              <c:pt idx="627">
                <c:v>2.5145399999999998E-2</c:v>
              </c:pt>
              <c:pt idx="628">
                <c:v>2.51854E-2</c:v>
              </c:pt>
              <c:pt idx="629">
                <c:v>2.5225399999999999E-2</c:v>
              </c:pt>
              <c:pt idx="630">
                <c:v>2.52654E-2</c:v>
              </c:pt>
              <c:pt idx="631">
                <c:v>2.5305500000000002E-2</c:v>
              </c:pt>
              <c:pt idx="632">
                <c:v>2.53455E-2</c:v>
              </c:pt>
              <c:pt idx="633">
                <c:v>2.5385499999999998E-2</c:v>
              </c:pt>
              <c:pt idx="634">
                <c:v>2.54255E-2</c:v>
              </c:pt>
              <c:pt idx="635">
                <c:v>2.5465600000000001E-2</c:v>
              </c:pt>
              <c:pt idx="636">
                <c:v>2.55056E-2</c:v>
              </c:pt>
              <c:pt idx="637">
                <c:v>2.5545600000000002E-2</c:v>
              </c:pt>
              <c:pt idx="638">
                <c:v>2.55856E-2</c:v>
              </c:pt>
              <c:pt idx="639">
                <c:v>2.5625700000000001E-2</c:v>
              </c:pt>
              <c:pt idx="640">
                <c:v>2.56657E-2</c:v>
              </c:pt>
              <c:pt idx="641">
                <c:v>2.5705700000000001E-2</c:v>
              </c:pt>
              <c:pt idx="642">
                <c:v>2.57457E-2</c:v>
              </c:pt>
              <c:pt idx="643">
                <c:v>2.5785800000000001E-2</c:v>
              </c:pt>
              <c:pt idx="644">
                <c:v>2.5825799999999999E-2</c:v>
              </c:pt>
              <c:pt idx="645">
                <c:v>2.5865800000000001E-2</c:v>
              </c:pt>
              <c:pt idx="646">
                <c:v>2.59058E-2</c:v>
              </c:pt>
              <c:pt idx="647">
                <c:v>2.5945800000000002E-2</c:v>
              </c:pt>
              <c:pt idx="648">
                <c:v>2.5985899999999999E-2</c:v>
              </c:pt>
              <c:pt idx="649">
                <c:v>2.6025900000000001E-2</c:v>
              </c:pt>
              <c:pt idx="650">
                <c:v>2.6065899999999999E-2</c:v>
              </c:pt>
              <c:pt idx="651">
                <c:v>2.6105900000000001E-2</c:v>
              </c:pt>
              <c:pt idx="652">
                <c:v>2.6145999999999999E-2</c:v>
              </c:pt>
              <c:pt idx="653">
                <c:v>2.6186000000000001E-2</c:v>
              </c:pt>
              <c:pt idx="654">
                <c:v>2.6225999999999999E-2</c:v>
              </c:pt>
              <c:pt idx="655">
                <c:v>2.6266000000000001E-2</c:v>
              </c:pt>
              <c:pt idx="656">
                <c:v>2.6306099999999999E-2</c:v>
              </c:pt>
              <c:pt idx="657">
                <c:v>2.6346100000000001E-2</c:v>
              </c:pt>
              <c:pt idx="658">
                <c:v>2.6386099999999999E-2</c:v>
              </c:pt>
              <c:pt idx="659">
                <c:v>2.6426100000000001E-2</c:v>
              </c:pt>
              <c:pt idx="660">
                <c:v>2.6466199999999999E-2</c:v>
              </c:pt>
              <c:pt idx="661">
                <c:v>2.6506200000000001E-2</c:v>
              </c:pt>
              <c:pt idx="662">
                <c:v>2.6546199999999999E-2</c:v>
              </c:pt>
              <c:pt idx="663">
                <c:v>2.6586200000000001E-2</c:v>
              </c:pt>
              <c:pt idx="664">
                <c:v>2.6626299999999999E-2</c:v>
              </c:pt>
              <c:pt idx="665">
                <c:v>2.66663E-2</c:v>
              </c:pt>
              <c:pt idx="666">
                <c:v>2.6706299999999999E-2</c:v>
              </c:pt>
              <c:pt idx="667">
                <c:v>2.6746300000000001E-2</c:v>
              </c:pt>
              <c:pt idx="668">
                <c:v>2.6786399999999998E-2</c:v>
              </c:pt>
              <c:pt idx="669">
                <c:v>2.68264E-2</c:v>
              </c:pt>
              <c:pt idx="670">
                <c:v>2.6866399999999999E-2</c:v>
              </c:pt>
              <c:pt idx="671">
                <c:v>2.69064E-2</c:v>
              </c:pt>
              <c:pt idx="672">
                <c:v>2.6946500000000002E-2</c:v>
              </c:pt>
              <c:pt idx="673">
                <c:v>2.69865E-2</c:v>
              </c:pt>
              <c:pt idx="674">
                <c:v>2.7026499999999998E-2</c:v>
              </c:pt>
              <c:pt idx="675">
                <c:v>2.70665E-2</c:v>
              </c:pt>
              <c:pt idx="676">
                <c:v>2.7106499999999999E-2</c:v>
              </c:pt>
              <c:pt idx="677">
                <c:v>2.71466E-2</c:v>
              </c:pt>
              <c:pt idx="678">
                <c:v>2.7186599999999998E-2</c:v>
              </c:pt>
              <c:pt idx="679">
                <c:v>2.72266E-2</c:v>
              </c:pt>
              <c:pt idx="680">
                <c:v>2.7266599999999998E-2</c:v>
              </c:pt>
              <c:pt idx="681">
                <c:v>2.73067E-2</c:v>
              </c:pt>
              <c:pt idx="682">
                <c:v>2.7346700000000002E-2</c:v>
              </c:pt>
              <c:pt idx="683">
                <c:v>2.73867E-2</c:v>
              </c:pt>
              <c:pt idx="684">
                <c:v>2.7426699999999998E-2</c:v>
              </c:pt>
              <c:pt idx="685">
                <c:v>2.74668E-2</c:v>
              </c:pt>
              <c:pt idx="686">
                <c:v>2.7506800000000001E-2</c:v>
              </c:pt>
              <c:pt idx="687">
                <c:v>2.75468E-2</c:v>
              </c:pt>
              <c:pt idx="688">
                <c:v>2.7586800000000002E-2</c:v>
              </c:pt>
              <c:pt idx="689">
                <c:v>2.7626899999999999E-2</c:v>
              </c:pt>
              <c:pt idx="690">
                <c:v>2.7666900000000001E-2</c:v>
              </c:pt>
              <c:pt idx="691">
                <c:v>2.77069E-2</c:v>
              </c:pt>
              <c:pt idx="692">
                <c:v>2.7746900000000001E-2</c:v>
              </c:pt>
              <c:pt idx="693">
                <c:v>2.7786999999999999E-2</c:v>
              </c:pt>
              <c:pt idx="694">
                <c:v>2.7827000000000001E-2</c:v>
              </c:pt>
              <c:pt idx="695">
                <c:v>2.7866999999999999E-2</c:v>
              </c:pt>
              <c:pt idx="696">
                <c:v>2.7907000000000001E-2</c:v>
              </c:pt>
              <c:pt idx="697">
                <c:v>2.7947099999999999E-2</c:v>
              </c:pt>
              <c:pt idx="698">
                <c:v>2.7987100000000001E-2</c:v>
              </c:pt>
              <c:pt idx="699">
                <c:v>2.8027099999999999E-2</c:v>
              </c:pt>
              <c:pt idx="700">
                <c:v>2.8067100000000001E-2</c:v>
              </c:pt>
              <c:pt idx="701">
                <c:v>2.8107199999999999E-2</c:v>
              </c:pt>
              <c:pt idx="702">
                <c:v>2.8147200000000001E-2</c:v>
              </c:pt>
              <c:pt idx="703">
                <c:v>2.8187199999999999E-2</c:v>
              </c:pt>
              <c:pt idx="704">
                <c:v>2.8227200000000001E-2</c:v>
              </c:pt>
              <c:pt idx="705">
                <c:v>2.8267199999999999E-2</c:v>
              </c:pt>
              <c:pt idx="706">
                <c:v>2.8307300000000001E-2</c:v>
              </c:pt>
              <c:pt idx="707">
                <c:v>2.8347299999999999E-2</c:v>
              </c:pt>
              <c:pt idx="708">
                <c:v>2.8387300000000001E-2</c:v>
              </c:pt>
              <c:pt idx="709">
                <c:v>2.8427299999999999E-2</c:v>
              </c:pt>
              <c:pt idx="710">
                <c:v>2.84674E-2</c:v>
              </c:pt>
              <c:pt idx="711">
                <c:v>2.8507399999999999E-2</c:v>
              </c:pt>
              <c:pt idx="712">
                <c:v>2.8547400000000001E-2</c:v>
              </c:pt>
              <c:pt idx="713">
                <c:v>2.8587399999999999E-2</c:v>
              </c:pt>
              <c:pt idx="714">
                <c:v>2.86275E-2</c:v>
              </c:pt>
              <c:pt idx="715">
                <c:v>2.8667499999999999E-2</c:v>
              </c:pt>
              <c:pt idx="716">
                <c:v>2.87075E-2</c:v>
              </c:pt>
              <c:pt idx="717">
                <c:v>2.8747499999999999E-2</c:v>
              </c:pt>
              <c:pt idx="718">
                <c:v>2.87876E-2</c:v>
              </c:pt>
              <c:pt idx="719">
                <c:v>2.8827599999999998E-2</c:v>
              </c:pt>
              <c:pt idx="720">
                <c:v>2.88676E-2</c:v>
              </c:pt>
              <c:pt idx="721">
                <c:v>2.8907599999999999E-2</c:v>
              </c:pt>
              <c:pt idx="722">
                <c:v>2.89477E-2</c:v>
              </c:pt>
              <c:pt idx="723">
                <c:v>2.8987700000000002E-2</c:v>
              </c:pt>
              <c:pt idx="724">
                <c:v>2.90277E-2</c:v>
              </c:pt>
              <c:pt idx="725">
                <c:v>2.9067699999999998E-2</c:v>
              </c:pt>
              <c:pt idx="726">
                <c:v>2.91078E-2</c:v>
              </c:pt>
              <c:pt idx="727">
                <c:v>2.9147800000000001E-2</c:v>
              </c:pt>
              <c:pt idx="728">
                <c:v>2.91878E-2</c:v>
              </c:pt>
              <c:pt idx="729">
                <c:v>2.9227800000000002E-2</c:v>
              </c:pt>
              <c:pt idx="730">
                <c:v>2.92678E-2</c:v>
              </c:pt>
              <c:pt idx="731">
                <c:v>2.9307900000000001E-2</c:v>
              </c:pt>
              <c:pt idx="732">
                <c:v>2.93479E-2</c:v>
              </c:pt>
              <c:pt idx="733">
                <c:v>2.9387900000000002E-2</c:v>
              </c:pt>
              <c:pt idx="734">
                <c:v>2.94279E-2</c:v>
              </c:pt>
              <c:pt idx="735">
                <c:v>2.9468000000000001E-2</c:v>
              </c:pt>
              <c:pt idx="736">
                <c:v>2.9508E-2</c:v>
              </c:pt>
              <c:pt idx="737">
                <c:v>2.9548000000000001E-2</c:v>
              </c:pt>
              <c:pt idx="738">
                <c:v>2.9588E-2</c:v>
              </c:pt>
              <c:pt idx="739">
                <c:v>2.9628000000000002E-2</c:v>
              </c:pt>
              <c:pt idx="740">
                <c:v>2.9668E-2</c:v>
              </c:pt>
              <c:pt idx="741">
                <c:v>2.9708100000000001E-2</c:v>
              </c:pt>
              <c:pt idx="742">
                <c:v>2.97481E-2</c:v>
              </c:pt>
              <c:pt idx="743">
                <c:v>2.9788100000000001E-2</c:v>
              </c:pt>
              <c:pt idx="744">
                <c:v>2.98281E-2</c:v>
              </c:pt>
              <c:pt idx="745">
                <c:v>2.9868100000000002E-2</c:v>
              </c:pt>
              <c:pt idx="746">
                <c:v>2.99081E-2</c:v>
              </c:pt>
              <c:pt idx="747">
                <c:v>2.9948200000000001E-2</c:v>
              </c:pt>
              <c:pt idx="748">
                <c:v>2.99882E-2</c:v>
              </c:pt>
              <c:pt idx="749">
                <c:v>3.0028200000000001E-2</c:v>
              </c:pt>
              <c:pt idx="750">
                <c:v>3.00682E-2</c:v>
              </c:pt>
              <c:pt idx="751">
                <c:v>3.0108200000000002E-2</c:v>
              </c:pt>
              <c:pt idx="752">
                <c:v>3.01482E-2</c:v>
              </c:pt>
              <c:pt idx="753">
                <c:v>3.0188300000000001E-2</c:v>
              </c:pt>
              <c:pt idx="754">
                <c:v>3.02283E-2</c:v>
              </c:pt>
              <c:pt idx="755">
                <c:v>3.0268300000000001E-2</c:v>
              </c:pt>
              <c:pt idx="756">
                <c:v>3.03083E-2</c:v>
              </c:pt>
              <c:pt idx="757">
                <c:v>3.0348300000000002E-2</c:v>
              </c:pt>
              <c:pt idx="758">
                <c:v>3.03883E-2</c:v>
              </c:pt>
              <c:pt idx="759">
                <c:v>3.0428299999999998E-2</c:v>
              </c:pt>
              <c:pt idx="760">
                <c:v>3.04683E-2</c:v>
              </c:pt>
              <c:pt idx="761">
                <c:v>3.0508299999999999E-2</c:v>
              </c:pt>
              <c:pt idx="762">
                <c:v>3.05483E-2</c:v>
              </c:pt>
              <c:pt idx="763">
                <c:v>3.0588299999999999E-2</c:v>
              </c:pt>
              <c:pt idx="764">
                <c:v>3.06284E-2</c:v>
              </c:pt>
              <c:pt idx="765">
                <c:v>3.0668399999999998E-2</c:v>
              </c:pt>
              <c:pt idx="766">
                <c:v>3.07084E-2</c:v>
              </c:pt>
              <c:pt idx="767">
                <c:v>3.0748399999999999E-2</c:v>
              </c:pt>
              <c:pt idx="768">
                <c:v>3.07884E-2</c:v>
              </c:pt>
              <c:pt idx="769">
                <c:v>3.0828399999999999E-2</c:v>
              </c:pt>
              <c:pt idx="770">
                <c:v>3.0868400000000001E-2</c:v>
              </c:pt>
              <c:pt idx="771">
                <c:v>3.0908399999999999E-2</c:v>
              </c:pt>
              <c:pt idx="772">
                <c:v>3.0948400000000001E-2</c:v>
              </c:pt>
              <c:pt idx="773">
                <c:v>3.0988399999999999E-2</c:v>
              </c:pt>
              <c:pt idx="774">
                <c:v>3.1028400000000001E-2</c:v>
              </c:pt>
              <c:pt idx="775">
                <c:v>3.1068399999999999E-2</c:v>
              </c:pt>
              <c:pt idx="776">
                <c:v>3.1108400000000001E-2</c:v>
              </c:pt>
              <c:pt idx="777">
                <c:v>3.1148499999999999E-2</c:v>
              </c:pt>
              <c:pt idx="778">
                <c:v>3.1188500000000001E-2</c:v>
              </c:pt>
              <c:pt idx="779">
                <c:v>3.1228499999999999E-2</c:v>
              </c:pt>
              <c:pt idx="780">
                <c:v>3.1268499999999998E-2</c:v>
              </c:pt>
              <c:pt idx="781">
                <c:v>3.1308500000000003E-2</c:v>
              </c:pt>
              <c:pt idx="782">
                <c:v>3.1348500000000001E-2</c:v>
              </c:pt>
              <c:pt idx="783">
                <c:v>3.13885E-2</c:v>
              </c:pt>
              <c:pt idx="784">
                <c:v>3.1428499999999998E-2</c:v>
              </c:pt>
              <c:pt idx="785">
                <c:v>3.1468500000000003E-2</c:v>
              </c:pt>
              <c:pt idx="786">
                <c:v>3.1508500000000002E-2</c:v>
              </c:pt>
              <c:pt idx="787">
                <c:v>3.15485E-2</c:v>
              </c:pt>
              <c:pt idx="788">
                <c:v>3.1588499999999999E-2</c:v>
              </c:pt>
              <c:pt idx="789">
                <c:v>3.1628499999999997E-2</c:v>
              </c:pt>
              <c:pt idx="790">
                <c:v>3.1668599999999998E-2</c:v>
              </c:pt>
              <c:pt idx="791">
                <c:v>3.1708600000000003E-2</c:v>
              </c:pt>
              <c:pt idx="792">
                <c:v>3.1748600000000002E-2</c:v>
              </c:pt>
              <c:pt idx="793">
                <c:v>3.17886E-2</c:v>
              </c:pt>
              <c:pt idx="794">
                <c:v>3.1828599999999999E-2</c:v>
              </c:pt>
              <c:pt idx="795">
                <c:v>3.1868599999999997E-2</c:v>
              </c:pt>
              <c:pt idx="796">
                <c:v>3.1908600000000002E-2</c:v>
              </c:pt>
              <c:pt idx="797">
                <c:v>3.1948600000000001E-2</c:v>
              </c:pt>
              <c:pt idx="798">
                <c:v>3.1988599999999999E-2</c:v>
              </c:pt>
              <c:pt idx="799">
                <c:v>3.2028599999999997E-2</c:v>
              </c:pt>
              <c:pt idx="800">
                <c:v>3.2068600000000003E-2</c:v>
              </c:pt>
              <c:pt idx="801">
                <c:v>3.2108600000000001E-2</c:v>
              </c:pt>
              <c:pt idx="802">
                <c:v>3.2148700000000002E-2</c:v>
              </c:pt>
              <c:pt idx="803">
                <c:v>3.2188700000000001E-2</c:v>
              </c:pt>
              <c:pt idx="804">
                <c:v>3.2228699999999999E-2</c:v>
              </c:pt>
              <c:pt idx="805">
                <c:v>3.2268699999999997E-2</c:v>
              </c:pt>
              <c:pt idx="806">
                <c:v>3.2308700000000003E-2</c:v>
              </c:pt>
              <c:pt idx="807">
                <c:v>3.2348700000000001E-2</c:v>
              </c:pt>
              <c:pt idx="808">
                <c:v>3.2388699999999999E-2</c:v>
              </c:pt>
              <c:pt idx="809">
                <c:v>3.2428699999999998E-2</c:v>
              </c:pt>
              <c:pt idx="810">
                <c:v>3.2468700000000003E-2</c:v>
              </c:pt>
              <c:pt idx="811">
                <c:v>3.2508700000000001E-2</c:v>
              </c:pt>
              <c:pt idx="812">
                <c:v>3.25487E-2</c:v>
              </c:pt>
              <c:pt idx="813">
                <c:v>3.2588699999999998E-2</c:v>
              </c:pt>
              <c:pt idx="814">
                <c:v>3.2628699999999997E-2</c:v>
              </c:pt>
              <c:pt idx="815">
                <c:v>3.2668799999999998E-2</c:v>
              </c:pt>
              <c:pt idx="816">
                <c:v>3.2708800000000003E-2</c:v>
              </c:pt>
              <c:pt idx="817">
                <c:v>3.2748800000000002E-2</c:v>
              </c:pt>
              <c:pt idx="818">
                <c:v>3.27888E-2</c:v>
              </c:pt>
              <c:pt idx="819">
                <c:v>3.2828799999999998E-2</c:v>
              </c:pt>
              <c:pt idx="820">
                <c:v>3.2868799999999997E-2</c:v>
              </c:pt>
              <c:pt idx="821">
                <c:v>3.2908800000000002E-2</c:v>
              </c:pt>
              <c:pt idx="822">
                <c:v>3.29488E-2</c:v>
              </c:pt>
              <c:pt idx="823">
                <c:v>3.2988799999999999E-2</c:v>
              </c:pt>
              <c:pt idx="824">
                <c:v>3.3028799999999997E-2</c:v>
              </c:pt>
              <c:pt idx="825">
                <c:v>3.3068800000000002E-2</c:v>
              </c:pt>
              <c:pt idx="826">
                <c:v>3.3108800000000001E-2</c:v>
              </c:pt>
              <c:pt idx="827">
                <c:v>3.3148799999999999E-2</c:v>
              </c:pt>
              <c:pt idx="828">
                <c:v>3.31889E-2</c:v>
              </c:pt>
              <c:pt idx="829">
                <c:v>3.3228899999999999E-2</c:v>
              </c:pt>
              <c:pt idx="830">
                <c:v>3.3268899999999997E-2</c:v>
              </c:pt>
              <c:pt idx="831">
                <c:v>3.3308900000000002E-2</c:v>
              </c:pt>
              <c:pt idx="832">
                <c:v>3.3348900000000001E-2</c:v>
              </c:pt>
              <c:pt idx="833">
                <c:v>3.3388899999999999E-2</c:v>
              </c:pt>
              <c:pt idx="834">
                <c:v>3.3428899999999998E-2</c:v>
              </c:pt>
              <c:pt idx="835">
                <c:v>3.3468900000000003E-2</c:v>
              </c:pt>
              <c:pt idx="836">
                <c:v>3.3508900000000001E-2</c:v>
              </c:pt>
              <c:pt idx="837">
                <c:v>3.35489E-2</c:v>
              </c:pt>
              <c:pt idx="838">
                <c:v>3.3588899999999998E-2</c:v>
              </c:pt>
              <c:pt idx="839">
                <c:v>3.3628900000000003E-2</c:v>
              </c:pt>
              <c:pt idx="840">
                <c:v>3.3668900000000002E-2</c:v>
              </c:pt>
              <c:pt idx="841">
                <c:v>3.3709000000000003E-2</c:v>
              </c:pt>
              <c:pt idx="842">
                <c:v>3.3749000000000001E-2</c:v>
              </c:pt>
              <c:pt idx="843">
                <c:v>3.3789E-2</c:v>
              </c:pt>
              <c:pt idx="844">
                <c:v>3.3828999999999998E-2</c:v>
              </c:pt>
              <c:pt idx="845">
                <c:v>3.3869000000000003E-2</c:v>
              </c:pt>
              <c:pt idx="846">
                <c:v>3.3909000000000002E-2</c:v>
              </c:pt>
              <c:pt idx="847">
                <c:v>3.3949E-2</c:v>
              </c:pt>
              <c:pt idx="848">
                <c:v>3.3988999999999998E-2</c:v>
              </c:pt>
              <c:pt idx="849">
                <c:v>3.4028999999999997E-2</c:v>
              </c:pt>
              <c:pt idx="850">
                <c:v>3.4069000000000002E-2</c:v>
              </c:pt>
              <c:pt idx="851">
                <c:v>3.4109E-2</c:v>
              </c:pt>
              <c:pt idx="852">
                <c:v>3.4148999999999999E-2</c:v>
              </c:pt>
              <c:pt idx="853">
                <c:v>3.4188999999999997E-2</c:v>
              </c:pt>
              <c:pt idx="854">
                <c:v>3.4229000000000002E-2</c:v>
              </c:pt>
              <c:pt idx="855">
                <c:v>3.4269000000000001E-2</c:v>
              </c:pt>
              <c:pt idx="856">
                <c:v>3.4308999999999999E-2</c:v>
              </c:pt>
              <c:pt idx="857">
                <c:v>3.4348999999999998E-2</c:v>
              </c:pt>
              <c:pt idx="858">
                <c:v>3.4389000000000003E-2</c:v>
              </c:pt>
              <c:pt idx="859">
                <c:v>3.4429000000000001E-2</c:v>
              </c:pt>
              <c:pt idx="860">
                <c:v>3.4469E-2</c:v>
              </c:pt>
              <c:pt idx="861">
                <c:v>3.4509100000000001E-2</c:v>
              </c:pt>
              <c:pt idx="862">
                <c:v>3.4549099999999999E-2</c:v>
              </c:pt>
              <c:pt idx="863">
                <c:v>3.4589099999999998E-2</c:v>
              </c:pt>
              <c:pt idx="864">
                <c:v>3.4629100000000003E-2</c:v>
              </c:pt>
              <c:pt idx="865">
                <c:v>3.4669100000000001E-2</c:v>
              </c:pt>
              <c:pt idx="866">
                <c:v>3.47091E-2</c:v>
              </c:pt>
              <c:pt idx="867">
                <c:v>3.4749099999999998E-2</c:v>
              </c:pt>
              <c:pt idx="868">
                <c:v>3.4789100000000003E-2</c:v>
              </c:pt>
              <c:pt idx="869">
                <c:v>3.4829100000000002E-2</c:v>
              </c:pt>
              <c:pt idx="870">
                <c:v>3.48691E-2</c:v>
              </c:pt>
              <c:pt idx="871">
                <c:v>3.4909099999999998E-2</c:v>
              </c:pt>
              <c:pt idx="872">
                <c:v>3.4949099999999997E-2</c:v>
              </c:pt>
              <c:pt idx="873">
                <c:v>3.4989100000000002E-2</c:v>
              </c:pt>
              <c:pt idx="874">
                <c:v>3.5029100000000001E-2</c:v>
              </c:pt>
              <c:pt idx="875">
                <c:v>3.5069099999999999E-2</c:v>
              </c:pt>
              <c:pt idx="876">
                <c:v>3.5109099999999997E-2</c:v>
              </c:pt>
              <c:pt idx="877">
                <c:v>3.5149100000000003E-2</c:v>
              </c:pt>
              <c:pt idx="878">
                <c:v>3.5189100000000001E-2</c:v>
              </c:pt>
              <c:pt idx="879">
                <c:v>3.5229099999999999E-2</c:v>
              </c:pt>
              <c:pt idx="880">
                <c:v>3.5269099999999998E-2</c:v>
              </c:pt>
              <c:pt idx="881">
                <c:v>3.5309100000000003E-2</c:v>
              </c:pt>
              <c:pt idx="882">
                <c:v>3.5349100000000001E-2</c:v>
              </c:pt>
              <c:pt idx="883">
                <c:v>3.53891E-2</c:v>
              </c:pt>
              <c:pt idx="884">
                <c:v>3.5429099999999998E-2</c:v>
              </c:pt>
              <c:pt idx="885">
                <c:v>3.5469100000000003E-2</c:v>
              </c:pt>
              <c:pt idx="886">
                <c:v>3.5509199999999998E-2</c:v>
              </c:pt>
              <c:pt idx="887">
                <c:v>3.5549200000000003E-2</c:v>
              </c:pt>
              <c:pt idx="888">
                <c:v>3.5589200000000001E-2</c:v>
              </c:pt>
              <c:pt idx="889">
                <c:v>3.56292E-2</c:v>
              </c:pt>
              <c:pt idx="890">
                <c:v>3.5669199999999998E-2</c:v>
              </c:pt>
              <c:pt idx="891">
                <c:v>3.5709200000000003E-2</c:v>
              </c:pt>
              <c:pt idx="892">
                <c:v>3.5749200000000002E-2</c:v>
              </c:pt>
              <c:pt idx="893">
                <c:v>3.57892E-2</c:v>
              </c:pt>
              <c:pt idx="894">
                <c:v>3.5829199999999999E-2</c:v>
              </c:pt>
              <c:pt idx="895">
                <c:v>3.5869199999999997E-2</c:v>
              </c:pt>
              <c:pt idx="896">
                <c:v>3.5909200000000002E-2</c:v>
              </c:pt>
              <c:pt idx="897">
                <c:v>3.5949200000000001E-2</c:v>
              </c:pt>
              <c:pt idx="898">
                <c:v>3.5989199999999999E-2</c:v>
              </c:pt>
              <c:pt idx="899">
                <c:v>3.6029199999999997E-2</c:v>
              </c:pt>
              <c:pt idx="900">
                <c:v>3.6069200000000003E-2</c:v>
              </c:pt>
              <c:pt idx="901">
                <c:v>3.6109200000000001E-2</c:v>
              </c:pt>
              <c:pt idx="902">
                <c:v>3.6149199999999999E-2</c:v>
              </c:pt>
              <c:pt idx="903">
                <c:v>3.6189199999999998E-2</c:v>
              </c:pt>
              <c:pt idx="904">
                <c:v>3.6229200000000003E-2</c:v>
              </c:pt>
              <c:pt idx="905">
                <c:v>3.6269200000000001E-2</c:v>
              </c:pt>
              <c:pt idx="906">
                <c:v>3.63092E-2</c:v>
              </c:pt>
              <c:pt idx="907">
                <c:v>3.6349199999999998E-2</c:v>
              </c:pt>
              <c:pt idx="908">
                <c:v>3.6389199999999997E-2</c:v>
              </c:pt>
              <c:pt idx="909">
                <c:v>3.6429200000000002E-2</c:v>
              </c:pt>
              <c:pt idx="910">
                <c:v>3.64692E-2</c:v>
              </c:pt>
              <c:pt idx="911">
                <c:v>3.6509199999999999E-2</c:v>
              </c:pt>
              <c:pt idx="912">
                <c:v>3.6549199999999997E-2</c:v>
              </c:pt>
              <c:pt idx="913">
                <c:v>3.6589200000000002E-2</c:v>
              </c:pt>
              <c:pt idx="914">
                <c:v>3.6629200000000001E-2</c:v>
              </c:pt>
              <c:pt idx="915">
                <c:v>3.6669199999999999E-2</c:v>
              </c:pt>
              <c:pt idx="916">
                <c:v>3.6709199999999997E-2</c:v>
              </c:pt>
              <c:pt idx="917">
                <c:v>3.6749200000000003E-2</c:v>
              </c:pt>
              <c:pt idx="918">
                <c:v>3.6789299999999997E-2</c:v>
              </c:pt>
              <c:pt idx="919">
                <c:v>3.6829300000000002E-2</c:v>
              </c:pt>
              <c:pt idx="920">
                <c:v>3.6869300000000001E-2</c:v>
              </c:pt>
              <c:pt idx="921">
                <c:v>3.6909299999999999E-2</c:v>
              </c:pt>
              <c:pt idx="922">
                <c:v>3.6949299999999997E-2</c:v>
              </c:pt>
              <c:pt idx="923">
                <c:v>3.6989300000000003E-2</c:v>
              </c:pt>
              <c:pt idx="924">
                <c:v>3.7029300000000001E-2</c:v>
              </c:pt>
              <c:pt idx="925">
                <c:v>3.7069299999999999E-2</c:v>
              </c:pt>
              <c:pt idx="926">
                <c:v>3.7109299999999998E-2</c:v>
              </c:pt>
              <c:pt idx="927">
                <c:v>3.7149300000000003E-2</c:v>
              </c:pt>
              <c:pt idx="928">
                <c:v>3.7189300000000002E-2</c:v>
              </c:pt>
              <c:pt idx="929">
                <c:v>3.72293E-2</c:v>
              </c:pt>
              <c:pt idx="930">
                <c:v>3.7269299999999998E-2</c:v>
              </c:pt>
              <c:pt idx="931">
                <c:v>3.7309299999999997E-2</c:v>
              </c:pt>
              <c:pt idx="932">
                <c:v>3.7349300000000002E-2</c:v>
              </c:pt>
              <c:pt idx="933">
                <c:v>3.73893E-2</c:v>
              </c:pt>
              <c:pt idx="934">
                <c:v>3.7429299999999999E-2</c:v>
              </c:pt>
              <c:pt idx="935">
                <c:v>3.7469299999999997E-2</c:v>
              </c:pt>
              <c:pt idx="936">
                <c:v>3.7509300000000002E-2</c:v>
              </c:pt>
              <c:pt idx="937">
                <c:v>3.7549300000000001E-2</c:v>
              </c:pt>
              <c:pt idx="938">
                <c:v>3.7589299999999999E-2</c:v>
              </c:pt>
              <c:pt idx="939">
                <c:v>3.7629299999999997E-2</c:v>
              </c:pt>
              <c:pt idx="940">
                <c:v>3.7669300000000003E-2</c:v>
              </c:pt>
              <c:pt idx="941">
                <c:v>3.7709300000000001E-2</c:v>
              </c:pt>
              <c:pt idx="942">
                <c:v>3.77493E-2</c:v>
              </c:pt>
              <c:pt idx="943">
                <c:v>3.7789299999999998E-2</c:v>
              </c:pt>
              <c:pt idx="944">
                <c:v>3.7829300000000003E-2</c:v>
              </c:pt>
              <c:pt idx="945">
                <c:v>3.7869300000000002E-2</c:v>
              </c:pt>
              <c:pt idx="946">
                <c:v>3.79093E-2</c:v>
              </c:pt>
              <c:pt idx="947">
                <c:v>3.7949299999999998E-2</c:v>
              </c:pt>
              <c:pt idx="948">
                <c:v>3.7989299999999997E-2</c:v>
              </c:pt>
              <c:pt idx="949">
                <c:v>3.8029300000000002E-2</c:v>
              </c:pt>
              <c:pt idx="950">
                <c:v>3.80693E-2</c:v>
              </c:pt>
              <c:pt idx="951">
                <c:v>3.8109299999999999E-2</c:v>
              </c:pt>
              <c:pt idx="952">
                <c:v>3.8149299999999997E-2</c:v>
              </c:pt>
              <c:pt idx="953">
                <c:v>3.8189300000000002E-2</c:v>
              </c:pt>
              <c:pt idx="954">
                <c:v>3.8229300000000001E-2</c:v>
              </c:pt>
              <c:pt idx="955">
                <c:v>3.8269299999999999E-2</c:v>
              </c:pt>
              <c:pt idx="956">
                <c:v>3.8309299999999998E-2</c:v>
              </c:pt>
              <c:pt idx="957">
                <c:v>3.8349300000000003E-2</c:v>
              </c:pt>
              <c:pt idx="958">
                <c:v>3.8389300000000001E-2</c:v>
              </c:pt>
              <c:pt idx="959">
                <c:v>3.84293E-2</c:v>
              </c:pt>
              <c:pt idx="960">
                <c:v>3.8469200000000002E-2</c:v>
              </c:pt>
              <c:pt idx="961">
                <c:v>3.85092E-2</c:v>
              </c:pt>
              <c:pt idx="962">
                <c:v>3.8549199999999999E-2</c:v>
              </c:pt>
              <c:pt idx="963">
                <c:v>3.8589199999999997E-2</c:v>
              </c:pt>
              <c:pt idx="964">
                <c:v>3.8629200000000002E-2</c:v>
              </c:pt>
              <c:pt idx="965">
                <c:v>3.8669200000000001E-2</c:v>
              </c:pt>
              <c:pt idx="966">
                <c:v>3.8709199999999999E-2</c:v>
              </c:pt>
              <c:pt idx="967">
                <c:v>3.8749199999999998E-2</c:v>
              </c:pt>
              <c:pt idx="968">
                <c:v>3.8789200000000003E-2</c:v>
              </c:pt>
              <c:pt idx="969">
                <c:v>3.8829200000000001E-2</c:v>
              </c:pt>
              <c:pt idx="970">
                <c:v>3.88692E-2</c:v>
              </c:pt>
              <c:pt idx="971">
                <c:v>3.8909199999999998E-2</c:v>
              </c:pt>
              <c:pt idx="972">
                <c:v>3.8949200000000003E-2</c:v>
              </c:pt>
              <c:pt idx="973">
                <c:v>3.8989200000000002E-2</c:v>
              </c:pt>
              <c:pt idx="974">
                <c:v>3.90292E-2</c:v>
              </c:pt>
              <c:pt idx="975">
                <c:v>3.9069199999999998E-2</c:v>
              </c:pt>
              <c:pt idx="976">
                <c:v>3.9109199999999997E-2</c:v>
              </c:pt>
              <c:pt idx="977">
                <c:v>3.9149200000000002E-2</c:v>
              </c:pt>
              <c:pt idx="978">
                <c:v>3.91892E-2</c:v>
              </c:pt>
              <c:pt idx="979">
                <c:v>3.9229199999999999E-2</c:v>
              </c:pt>
              <c:pt idx="980">
                <c:v>3.9269199999999997E-2</c:v>
              </c:pt>
              <c:pt idx="981">
                <c:v>3.9309200000000002E-2</c:v>
              </c:pt>
              <c:pt idx="982">
                <c:v>3.9349200000000001E-2</c:v>
              </c:pt>
              <c:pt idx="983">
                <c:v>3.9389199999999999E-2</c:v>
              </c:pt>
              <c:pt idx="984">
                <c:v>3.9429199999999998E-2</c:v>
              </c:pt>
              <c:pt idx="985">
                <c:v>3.9469200000000003E-2</c:v>
              </c:pt>
              <c:pt idx="986">
                <c:v>3.9509200000000001E-2</c:v>
              </c:pt>
              <c:pt idx="987">
                <c:v>3.95492E-2</c:v>
              </c:pt>
              <c:pt idx="988">
                <c:v>3.9589199999999998E-2</c:v>
              </c:pt>
              <c:pt idx="989">
                <c:v>3.9629200000000003E-2</c:v>
              </c:pt>
              <c:pt idx="990">
                <c:v>3.9669200000000002E-2</c:v>
              </c:pt>
              <c:pt idx="991">
                <c:v>3.97092E-2</c:v>
              </c:pt>
              <c:pt idx="992">
                <c:v>3.9749199999999998E-2</c:v>
              </c:pt>
              <c:pt idx="993">
                <c:v>3.9789199999999997E-2</c:v>
              </c:pt>
              <c:pt idx="994">
                <c:v>3.9829200000000002E-2</c:v>
              </c:pt>
              <c:pt idx="995">
                <c:v>3.98692E-2</c:v>
              </c:pt>
              <c:pt idx="996">
                <c:v>3.9909199999999999E-2</c:v>
              </c:pt>
              <c:pt idx="997">
                <c:v>3.9949199999999997E-2</c:v>
              </c:pt>
              <c:pt idx="998">
                <c:v>3.9989200000000003E-2</c:v>
              </c:pt>
              <c:pt idx="999">
                <c:v>4.0029200000000001E-2</c:v>
              </c:pt>
              <c:pt idx="1000">
                <c:v>4.0069199999999999E-2</c:v>
              </c:pt>
              <c:pt idx="1001">
                <c:v>4.0109199999999998E-2</c:v>
              </c:pt>
              <c:pt idx="1002">
                <c:v>4.0149200000000003E-2</c:v>
              </c:pt>
              <c:pt idx="1003">
                <c:v>4.0189200000000001E-2</c:v>
              </c:pt>
              <c:pt idx="1004">
                <c:v>4.02292E-2</c:v>
              </c:pt>
              <c:pt idx="1005">
                <c:v>4.0269199999999998E-2</c:v>
              </c:pt>
              <c:pt idx="1006">
                <c:v>4.0309200000000003E-2</c:v>
              </c:pt>
              <c:pt idx="1007">
                <c:v>4.0349200000000002E-2</c:v>
              </c:pt>
              <c:pt idx="1008">
                <c:v>4.03892E-2</c:v>
              </c:pt>
              <c:pt idx="1009">
                <c:v>4.0429199999999998E-2</c:v>
              </c:pt>
              <c:pt idx="1010">
                <c:v>4.0469199999999997E-2</c:v>
              </c:pt>
              <c:pt idx="1011">
                <c:v>4.0509200000000002E-2</c:v>
              </c:pt>
              <c:pt idx="1012">
                <c:v>4.0549200000000001E-2</c:v>
              </c:pt>
              <c:pt idx="1013">
                <c:v>4.0589199999999999E-2</c:v>
              </c:pt>
              <c:pt idx="1014">
                <c:v>4.0629199999999997E-2</c:v>
              </c:pt>
              <c:pt idx="1015">
                <c:v>4.0669200000000003E-2</c:v>
              </c:pt>
              <c:pt idx="1016">
                <c:v>4.0709200000000001E-2</c:v>
              </c:pt>
              <c:pt idx="1017">
                <c:v>4.0749100000000003E-2</c:v>
              </c:pt>
              <c:pt idx="1018">
                <c:v>4.0789100000000002E-2</c:v>
              </c:pt>
              <c:pt idx="1019">
                <c:v>4.08291E-2</c:v>
              </c:pt>
              <c:pt idx="1020">
                <c:v>4.0869099999999998E-2</c:v>
              </c:pt>
              <c:pt idx="1021">
                <c:v>4.0909099999999997E-2</c:v>
              </c:pt>
              <c:pt idx="1022">
                <c:v>4.0949100000000002E-2</c:v>
              </c:pt>
              <c:pt idx="1023">
                <c:v>4.0989100000000001E-2</c:v>
              </c:pt>
              <c:pt idx="1024">
                <c:v>4.1029099999999999E-2</c:v>
              </c:pt>
              <c:pt idx="1025">
                <c:v>4.1069099999999997E-2</c:v>
              </c:pt>
              <c:pt idx="1026">
                <c:v>4.1109100000000003E-2</c:v>
              </c:pt>
              <c:pt idx="1027">
                <c:v>4.1149100000000001E-2</c:v>
              </c:pt>
              <c:pt idx="1028">
                <c:v>4.1189099999999999E-2</c:v>
              </c:pt>
              <c:pt idx="1029">
                <c:v>4.1229000000000002E-2</c:v>
              </c:pt>
              <c:pt idx="1030">
                <c:v>4.1269E-2</c:v>
              </c:pt>
              <c:pt idx="1031">
                <c:v>4.1308999999999998E-2</c:v>
              </c:pt>
              <c:pt idx="1032">
                <c:v>4.1348999999999997E-2</c:v>
              </c:pt>
              <c:pt idx="1033">
                <c:v>4.1389000000000002E-2</c:v>
              </c:pt>
              <c:pt idx="1034">
                <c:v>4.1429000000000001E-2</c:v>
              </c:pt>
              <c:pt idx="1035">
                <c:v>4.1468999999999999E-2</c:v>
              </c:pt>
              <c:pt idx="1036">
                <c:v>4.1508999999999997E-2</c:v>
              </c:pt>
              <c:pt idx="1037">
                <c:v>4.1549000000000003E-2</c:v>
              </c:pt>
              <c:pt idx="1038">
                <c:v>4.1589000000000001E-2</c:v>
              </c:pt>
              <c:pt idx="1039">
                <c:v>4.1628999999999999E-2</c:v>
              </c:pt>
              <c:pt idx="1040">
                <c:v>4.1668999999999998E-2</c:v>
              </c:pt>
              <c:pt idx="1041">
                <c:v>4.17089E-2</c:v>
              </c:pt>
              <c:pt idx="1042">
                <c:v>4.1748899999999999E-2</c:v>
              </c:pt>
              <c:pt idx="1043">
                <c:v>4.1788899999999997E-2</c:v>
              </c:pt>
              <c:pt idx="1044">
                <c:v>4.1828900000000002E-2</c:v>
              </c:pt>
              <c:pt idx="1045">
                <c:v>4.1868900000000001E-2</c:v>
              </c:pt>
              <c:pt idx="1046">
                <c:v>4.1908899999999999E-2</c:v>
              </c:pt>
              <c:pt idx="1047">
                <c:v>4.1948899999999997E-2</c:v>
              </c:pt>
              <c:pt idx="1048">
                <c:v>4.1988900000000003E-2</c:v>
              </c:pt>
              <c:pt idx="1049">
                <c:v>4.2028900000000001E-2</c:v>
              </c:pt>
              <c:pt idx="1050">
                <c:v>4.2068899999999999E-2</c:v>
              </c:pt>
              <c:pt idx="1051">
                <c:v>4.2108899999999998E-2</c:v>
              </c:pt>
              <c:pt idx="1052">
                <c:v>4.21488E-2</c:v>
              </c:pt>
              <c:pt idx="1053">
                <c:v>4.2188799999999999E-2</c:v>
              </c:pt>
              <c:pt idx="1054">
                <c:v>4.2228799999999997E-2</c:v>
              </c:pt>
              <c:pt idx="1055">
                <c:v>4.2268800000000002E-2</c:v>
              </c:pt>
              <c:pt idx="1056">
                <c:v>4.2308800000000001E-2</c:v>
              </c:pt>
              <c:pt idx="1057">
                <c:v>4.2348799999999999E-2</c:v>
              </c:pt>
              <c:pt idx="1058">
                <c:v>4.2388799999999997E-2</c:v>
              </c:pt>
              <c:pt idx="1059">
                <c:v>4.2428800000000003E-2</c:v>
              </c:pt>
              <c:pt idx="1060">
                <c:v>4.2468800000000001E-2</c:v>
              </c:pt>
              <c:pt idx="1061">
                <c:v>4.2508799999999999E-2</c:v>
              </c:pt>
              <c:pt idx="1062">
                <c:v>4.2548799999999998E-2</c:v>
              </c:pt>
              <c:pt idx="1063">
                <c:v>4.2588800000000003E-2</c:v>
              </c:pt>
              <c:pt idx="1064">
                <c:v>4.2628699999999999E-2</c:v>
              </c:pt>
              <c:pt idx="1065">
                <c:v>4.2668699999999997E-2</c:v>
              </c:pt>
              <c:pt idx="1066">
                <c:v>4.2708700000000002E-2</c:v>
              </c:pt>
              <c:pt idx="1067">
                <c:v>4.2748700000000001E-2</c:v>
              </c:pt>
              <c:pt idx="1068">
                <c:v>4.2788699999999999E-2</c:v>
              </c:pt>
              <c:pt idx="1069">
                <c:v>4.2828699999999997E-2</c:v>
              </c:pt>
              <c:pt idx="1070">
                <c:v>4.2868700000000003E-2</c:v>
              </c:pt>
              <c:pt idx="1071">
                <c:v>4.2908700000000001E-2</c:v>
              </c:pt>
              <c:pt idx="1072">
                <c:v>4.2948699999999999E-2</c:v>
              </c:pt>
              <c:pt idx="1073">
                <c:v>4.2988699999999998E-2</c:v>
              </c:pt>
              <c:pt idx="1074">
                <c:v>4.3028700000000003E-2</c:v>
              </c:pt>
              <c:pt idx="1075">
                <c:v>4.3068599999999999E-2</c:v>
              </c:pt>
              <c:pt idx="1076">
                <c:v>4.3108599999999997E-2</c:v>
              </c:pt>
              <c:pt idx="1077">
                <c:v>4.3148600000000002E-2</c:v>
              </c:pt>
              <c:pt idx="1078">
                <c:v>4.3188600000000001E-2</c:v>
              </c:pt>
              <c:pt idx="1079">
                <c:v>4.3228599999999999E-2</c:v>
              </c:pt>
              <c:pt idx="1080">
                <c:v>4.3268599999999997E-2</c:v>
              </c:pt>
              <c:pt idx="1081">
                <c:v>4.3308600000000003E-2</c:v>
              </c:pt>
              <c:pt idx="1082">
                <c:v>4.3348600000000001E-2</c:v>
              </c:pt>
              <c:pt idx="1083">
                <c:v>4.3388599999999999E-2</c:v>
              </c:pt>
              <c:pt idx="1084">
                <c:v>4.3428599999999998E-2</c:v>
              </c:pt>
              <c:pt idx="1085">
                <c:v>4.3468600000000003E-2</c:v>
              </c:pt>
              <c:pt idx="1086">
                <c:v>4.3508499999999999E-2</c:v>
              </c:pt>
              <c:pt idx="1087">
                <c:v>4.3548499999999997E-2</c:v>
              </c:pt>
              <c:pt idx="1088">
                <c:v>4.3588500000000002E-2</c:v>
              </c:pt>
              <c:pt idx="1089">
                <c:v>4.3628500000000001E-2</c:v>
              </c:pt>
              <c:pt idx="1090">
                <c:v>4.3668499999999999E-2</c:v>
              </c:pt>
              <c:pt idx="1091">
                <c:v>4.3708499999999997E-2</c:v>
              </c:pt>
              <c:pt idx="1092">
                <c:v>4.3748500000000003E-2</c:v>
              </c:pt>
              <c:pt idx="1093">
                <c:v>4.3788500000000001E-2</c:v>
              </c:pt>
              <c:pt idx="1094">
                <c:v>4.3828499999999999E-2</c:v>
              </c:pt>
              <c:pt idx="1095">
                <c:v>4.3868499999999998E-2</c:v>
              </c:pt>
              <c:pt idx="1096">
                <c:v>4.3908500000000003E-2</c:v>
              </c:pt>
              <c:pt idx="1097">
                <c:v>4.3948500000000001E-2</c:v>
              </c:pt>
              <c:pt idx="1098">
                <c:v>4.3988399999999997E-2</c:v>
              </c:pt>
              <c:pt idx="1099">
                <c:v>4.4028400000000002E-2</c:v>
              </c:pt>
              <c:pt idx="1100">
                <c:v>4.4068400000000001E-2</c:v>
              </c:pt>
              <c:pt idx="1101">
                <c:v>4.4108399999999999E-2</c:v>
              </c:pt>
              <c:pt idx="1102">
                <c:v>4.4148399999999997E-2</c:v>
              </c:pt>
              <c:pt idx="1103">
                <c:v>4.4188400000000003E-2</c:v>
              </c:pt>
              <c:pt idx="1104">
                <c:v>4.4228400000000001E-2</c:v>
              </c:pt>
              <c:pt idx="1105">
                <c:v>4.4268399999999999E-2</c:v>
              </c:pt>
              <c:pt idx="1106">
                <c:v>4.4308399999999998E-2</c:v>
              </c:pt>
              <c:pt idx="1107">
                <c:v>4.4348400000000003E-2</c:v>
              </c:pt>
              <c:pt idx="1108">
                <c:v>4.4388400000000001E-2</c:v>
              </c:pt>
              <c:pt idx="1109">
                <c:v>4.4428299999999997E-2</c:v>
              </c:pt>
              <c:pt idx="1110">
                <c:v>4.4468300000000002E-2</c:v>
              </c:pt>
              <c:pt idx="1111">
                <c:v>4.4508300000000001E-2</c:v>
              </c:pt>
              <c:pt idx="1112">
                <c:v>4.4548299999999999E-2</c:v>
              </c:pt>
              <c:pt idx="1113">
                <c:v>4.4588299999999997E-2</c:v>
              </c:pt>
              <c:pt idx="1114">
                <c:v>4.4628300000000003E-2</c:v>
              </c:pt>
              <c:pt idx="1115">
                <c:v>4.4668300000000001E-2</c:v>
              </c:pt>
              <c:pt idx="1116">
                <c:v>4.4708299999999999E-2</c:v>
              </c:pt>
              <c:pt idx="1117">
                <c:v>4.4748299999999998E-2</c:v>
              </c:pt>
              <c:pt idx="1118">
                <c:v>4.4788300000000003E-2</c:v>
              </c:pt>
              <c:pt idx="1119">
                <c:v>4.4828300000000001E-2</c:v>
              </c:pt>
              <c:pt idx="1120">
                <c:v>4.48683E-2</c:v>
              </c:pt>
              <c:pt idx="1121">
                <c:v>4.4908200000000002E-2</c:v>
              </c:pt>
              <c:pt idx="1122">
                <c:v>4.4948200000000001E-2</c:v>
              </c:pt>
              <c:pt idx="1123">
                <c:v>4.4988199999999999E-2</c:v>
              </c:pt>
              <c:pt idx="1124">
                <c:v>4.5028199999999997E-2</c:v>
              </c:pt>
              <c:pt idx="1125">
                <c:v>4.5068200000000003E-2</c:v>
              </c:pt>
              <c:pt idx="1126">
                <c:v>4.5108200000000001E-2</c:v>
              </c:pt>
              <c:pt idx="1127">
                <c:v>4.5148199999999999E-2</c:v>
              </c:pt>
              <c:pt idx="1128">
                <c:v>4.5188199999999998E-2</c:v>
              </c:pt>
              <c:pt idx="1129">
                <c:v>4.5228200000000003E-2</c:v>
              </c:pt>
              <c:pt idx="1130">
                <c:v>4.5268200000000001E-2</c:v>
              </c:pt>
              <c:pt idx="1131">
                <c:v>4.53082E-2</c:v>
              </c:pt>
              <c:pt idx="1132">
                <c:v>4.5348100000000002E-2</c:v>
              </c:pt>
              <c:pt idx="1133">
                <c:v>4.5388100000000001E-2</c:v>
              </c:pt>
              <c:pt idx="1134">
                <c:v>4.5428099999999999E-2</c:v>
              </c:pt>
              <c:pt idx="1135">
                <c:v>4.5468099999999997E-2</c:v>
              </c:pt>
              <c:pt idx="1136">
                <c:v>4.5508100000000003E-2</c:v>
              </c:pt>
              <c:pt idx="1137">
                <c:v>4.5548100000000001E-2</c:v>
              </c:pt>
              <c:pt idx="1138">
                <c:v>4.5588099999999999E-2</c:v>
              </c:pt>
              <c:pt idx="1139">
                <c:v>4.5628099999999998E-2</c:v>
              </c:pt>
              <c:pt idx="1140">
                <c:v>4.5668100000000003E-2</c:v>
              </c:pt>
              <c:pt idx="1141">
                <c:v>4.5708100000000002E-2</c:v>
              </c:pt>
              <c:pt idx="1142">
                <c:v>4.57481E-2</c:v>
              </c:pt>
              <c:pt idx="1143">
                <c:v>4.5788099999999998E-2</c:v>
              </c:pt>
              <c:pt idx="1144">
                <c:v>4.5828000000000001E-2</c:v>
              </c:pt>
              <c:pt idx="1145">
                <c:v>4.5867999999999999E-2</c:v>
              </c:pt>
              <c:pt idx="1146">
                <c:v>4.5907999999999997E-2</c:v>
              </c:pt>
              <c:pt idx="1147">
                <c:v>4.5948000000000003E-2</c:v>
              </c:pt>
              <c:pt idx="1148">
                <c:v>4.5988000000000001E-2</c:v>
              </c:pt>
              <c:pt idx="1149">
                <c:v>4.6027999999999999E-2</c:v>
              </c:pt>
              <c:pt idx="1150">
                <c:v>4.6067999999999998E-2</c:v>
              </c:pt>
              <c:pt idx="1151">
                <c:v>4.6108000000000003E-2</c:v>
              </c:pt>
              <c:pt idx="1152">
                <c:v>4.6148000000000002E-2</c:v>
              </c:pt>
              <c:pt idx="1153">
                <c:v>4.6188E-2</c:v>
              </c:pt>
              <c:pt idx="1154">
                <c:v>4.6227999999999998E-2</c:v>
              </c:pt>
              <c:pt idx="1155">
                <c:v>4.6267900000000001E-2</c:v>
              </c:pt>
              <c:pt idx="1156">
                <c:v>4.6307899999999999E-2</c:v>
              </c:pt>
              <c:pt idx="1157">
                <c:v>4.6347899999999997E-2</c:v>
              </c:pt>
              <c:pt idx="1158">
                <c:v>4.6387900000000003E-2</c:v>
              </c:pt>
              <c:pt idx="1159">
                <c:v>4.6427900000000001E-2</c:v>
              </c:pt>
              <c:pt idx="1160">
                <c:v>4.6467899999999999E-2</c:v>
              </c:pt>
              <c:pt idx="1161">
                <c:v>4.6507899999999998E-2</c:v>
              </c:pt>
              <c:pt idx="1162">
                <c:v>4.6547900000000003E-2</c:v>
              </c:pt>
              <c:pt idx="1163">
                <c:v>4.6587900000000002E-2</c:v>
              </c:pt>
              <c:pt idx="1164">
                <c:v>4.66279E-2</c:v>
              </c:pt>
              <c:pt idx="1165">
                <c:v>4.6667899999999998E-2</c:v>
              </c:pt>
              <c:pt idx="1166">
                <c:v>4.6707899999999997E-2</c:v>
              </c:pt>
              <c:pt idx="1167">
                <c:v>4.6747799999999999E-2</c:v>
              </c:pt>
              <c:pt idx="1168">
                <c:v>4.6787799999999997E-2</c:v>
              </c:pt>
              <c:pt idx="1169">
                <c:v>4.6827800000000003E-2</c:v>
              </c:pt>
              <c:pt idx="1170">
                <c:v>4.6867800000000001E-2</c:v>
              </c:pt>
              <c:pt idx="1171">
                <c:v>4.6907799999999999E-2</c:v>
              </c:pt>
              <c:pt idx="1172">
                <c:v>4.6947799999999998E-2</c:v>
              </c:pt>
              <c:pt idx="1173">
                <c:v>4.6987800000000003E-2</c:v>
              </c:pt>
              <c:pt idx="1174">
                <c:v>4.7027800000000002E-2</c:v>
              </c:pt>
              <c:pt idx="1175">
                <c:v>4.70678E-2</c:v>
              </c:pt>
              <c:pt idx="1176">
                <c:v>4.7107799999999998E-2</c:v>
              </c:pt>
              <c:pt idx="1177">
                <c:v>4.7147799999999997E-2</c:v>
              </c:pt>
              <c:pt idx="1178">
                <c:v>4.7187699999999999E-2</c:v>
              </c:pt>
              <c:pt idx="1179">
                <c:v>4.7227699999999997E-2</c:v>
              </c:pt>
              <c:pt idx="1180">
                <c:v>4.7267700000000003E-2</c:v>
              </c:pt>
              <c:pt idx="1181">
                <c:v>4.7307700000000001E-2</c:v>
              </c:pt>
              <c:pt idx="1182">
                <c:v>4.73477E-2</c:v>
              </c:pt>
              <c:pt idx="1183">
                <c:v>4.7387699999999998E-2</c:v>
              </c:pt>
              <c:pt idx="1184">
                <c:v>4.7427700000000003E-2</c:v>
              </c:pt>
              <c:pt idx="1185">
                <c:v>4.7467700000000002E-2</c:v>
              </c:pt>
              <c:pt idx="1186">
                <c:v>4.75077E-2</c:v>
              </c:pt>
              <c:pt idx="1187">
                <c:v>4.7547699999999998E-2</c:v>
              </c:pt>
              <c:pt idx="1188">
                <c:v>4.7587699999999997E-2</c:v>
              </c:pt>
              <c:pt idx="1189">
                <c:v>4.7627700000000002E-2</c:v>
              </c:pt>
              <c:pt idx="1190">
                <c:v>4.7667599999999997E-2</c:v>
              </c:pt>
              <c:pt idx="1191">
                <c:v>4.7707600000000003E-2</c:v>
              </c:pt>
              <c:pt idx="1192">
                <c:v>4.7747600000000001E-2</c:v>
              </c:pt>
              <c:pt idx="1193">
                <c:v>4.77876E-2</c:v>
              </c:pt>
              <c:pt idx="1194">
                <c:v>4.7827599999999998E-2</c:v>
              </c:pt>
              <c:pt idx="1195">
                <c:v>4.7867600000000003E-2</c:v>
              </c:pt>
              <c:pt idx="1196">
                <c:v>4.7907600000000002E-2</c:v>
              </c:pt>
              <c:pt idx="1197">
                <c:v>4.79476E-2</c:v>
              </c:pt>
              <c:pt idx="1198">
                <c:v>4.7987599999999998E-2</c:v>
              </c:pt>
              <c:pt idx="1199">
                <c:v>4.8027599999999997E-2</c:v>
              </c:pt>
              <c:pt idx="1200">
                <c:v>4.8067600000000002E-2</c:v>
              </c:pt>
              <c:pt idx="1201">
                <c:v>4.8107499999999997E-2</c:v>
              </c:pt>
              <c:pt idx="1202">
                <c:v>4.8147500000000003E-2</c:v>
              </c:pt>
              <c:pt idx="1203">
                <c:v>4.8187500000000001E-2</c:v>
              </c:pt>
              <c:pt idx="1204">
                <c:v>4.82275E-2</c:v>
              </c:pt>
              <c:pt idx="1205">
                <c:v>4.8267499999999998E-2</c:v>
              </c:pt>
              <c:pt idx="1206">
                <c:v>4.8307500000000003E-2</c:v>
              </c:pt>
              <c:pt idx="1207">
                <c:v>4.8347500000000002E-2</c:v>
              </c:pt>
              <c:pt idx="1208">
                <c:v>4.83875E-2</c:v>
              </c:pt>
              <c:pt idx="1209">
                <c:v>4.8427499999999998E-2</c:v>
              </c:pt>
              <c:pt idx="1210">
                <c:v>4.8467499999999997E-2</c:v>
              </c:pt>
              <c:pt idx="1211">
                <c:v>4.8507500000000002E-2</c:v>
              </c:pt>
              <c:pt idx="1212">
                <c:v>4.8547399999999997E-2</c:v>
              </c:pt>
              <c:pt idx="1213">
                <c:v>4.8587400000000003E-2</c:v>
              </c:pt>
              <c:pt idx="1214">
                <c:v>4.8627400000000001E-2</c:v>
              </c:pt>
              <c:pt idx="1215">
                <c:v>4.86674E-2</c:v>
              </c:pt>
              <c:pt idx="1216">
                <c:v>4.8707399999999998E-2</c:v>
              </c:pt>
              <c:pt idx="1217">
                <c:v>4.8747400000000003E-2</c:v>
              </c:pt>
              <c:pt idx="1218">
                <c:v>4.8787400000000002E-2</c:v>
              </c:pt>
              <c:pt idx="1219">
                <c:v>4.88274E-2</c:v>
              </c:pt>
              <c:pt idx="1220">
                <c:v>4.8867300000000002E-2</c:v>
              </c:pt>
              <c:pt idx="1221">
                <c:v>4.8907300000000001E-2</c:v>
              </c:pt>
              <c:pt idx="1222">
                <c:v>4.8947299999999999E-2</c:v>
              </c:pt>
              <c:pt idx="1223">
                <c:v>4.8987299999999998E-2</c:v>
              </c:pt>
              <c:pt idx="1224">
                <c:v>4.9027300000000003E-2</c:v>
              </c:pt>
              <c:pt idx="1225">
                <c:v>4.9067300000000001E-2</c:v>
              </c:pt>
              <c:pt idx="1226">
                <c:v>4.91073E-2</c:v>
              </c:pt>
              <c:pt idx="1227">
                <c:v>4.9147299999999998E-2</c:v>
              </c:pt>
              <c:pt idx="1228">
                <c:v>4.9187300000000003E-2</c:v>
              </c:pt>
              <c:pt idx="1229">
                <c:v>4.9227199999999999E-2</c:v>
              </c:pt>
              <c:pt idx="1230">
                <c:v>4.9267199999999997E-2</c:v>
              </c:pt>
              <c:pt idx="1231">
                <c:v>4.9307200000000002E-2</c:v>
              </c:pt>
              <c:pt idx="1232">
                <c:v>4.9347200000000001E-2</c:v>
              </c:pt>
              <c:pt idx="1233">
                <c:v>4.9387199999999999E-2</c:v>
              </c:pt>
              <c:pt idx="1234">
                <c:v>4.9427199999999998E-2</c:v>
              </c:pt>
              <c:pt idx="1235">
                <c:v>4.9467200000000003E-2</c:v>
              </c:pt>
              <c:pt idx="1236">
                <c:v>4.9507200000000001E-2</c:v>
              </c:pt>
              <c:pt idx="1237">
                <c:v>4.9547099999999997E-2</c:v>
              </c:pt>
              <c:pt idx="1238">
                <c:v>4.9587100000000002E-2</c:v>
              </c:pt>
              <c:pt idx="1239">
                <c:v>4.96271E-2</c:v>
              </c:pt>
              <c:pt idx="1240">
                <c:v>4.9667099999999999E-2</c:v>
              </c:pt>
              <c:pt idx="1241">
                <c:v>4.9707099999999997E-2</c:v>
              </c:pt>
              <c:pt idx="1242">
                <c:v>4.9747100000000002E-2</c:v>
              </c:pt>
              <c:pt idx="1243">
                <c:v>4.9787100000000001E-2</c:v>
              </c:pt>
              <c:pt idx="1244">
                <c:v>4.9827099999999999E-2</c:v>
              </c:pt>
              <c:pt idx="1245">
                <c:v>4.9867000000000002E-2</c:v>
              </c:pt>
              <c:pt idx="1246">
                <c:v>4.9907E-2</c:v>
              </c:pt>
              <c:pt idx="1247">
                <c:v>4.9946999999999998E-2</c:v>
              </c:pt>
              <c:pt idx="1248">
                <c:v>4.9986999999999997E-2</c:v>
              </c:pt>
              <c:pt idx="1249">
                <c:v>5.0027000000000002E-2</c:v>
              </c:pt>
              <c:pt idx="1250">
                <c:v>5.0067E-2</c:v>
              </c:pt>
              <c:pt idx="1251">
                <c:v>5.0106999999999999E-2</c:v>
              </c:pt>
              <c:pt idx="1252">
                <c:v>5.0146999999999997E-2</c:v>
              </c:pt>
              <c:pt idx="1253">
                <c:v>5.0187000000000002E-2</c:v>
              </c:pt>
              <c:pt idx="1254">
                <c:v>5.0226899999999998E-2</c:v>
              </c:pt>
              <c:pt idx="1255">
                <c:v>5.0266900000000003E-2</c:v>
              </c:pt>
              <c:pt idx="1256">
                <c:v>5.0306900000000002E-2</c:v>
              </c:pt>
              <c:pt idx="1257">
                <c:v>5.03469E-2</c:v>
              </c:pt>
              <c:pt idx="1258">
                <c:v>5.0386899999999998E-2</c:v>
              </c:pt>
              <c:pt idx="1259">
                <c:v>5.0426899999999997E-2</c:v>
              </c:pt>
              <c:pt idx="1260">
                <c:v>5.0466900000000002E-2</c:v>
              </c:pt>
              <c:pt idx="1261">
                <c:v>5.05069E-2</c:v>
              </c:pt>
              <c:pt idx="1262">
                <c:v>5.0546800000000003E-2</c:v>
              </c:pt>
              <c:pt idx="1263">
                <c:v>5.0586800000000001E-2</c:v>
              </c:pt>
              <c:pt idx="1264">
                <c:v>5.06268E-2</c:v>
              </c:pt>
              <c:pt idx="1265">
                <c:v>5.0666799999999998E-2</c:v>
              </c:pt>
              <c:pt idx="1266">
                <c:v>5.0706800000000003E-2</c:v>
              </c:pt>
              <c:pt idx="1267">
                <c:v>5.0746800000000002E-2</c:v>
              </c:pt>
              <c:pt idx="1268">
                <c:v>5.07868E-2</c:v>
              </c:pt>
              <c:pt idx="1269">
                <c:v>5.0826799999999998E-2</c:v>
              </c:pt>
              <c:pt idx="1270">
                <c:v>5.0866700000000001E-2</c:v>
              </c:pt>
              <c:pt idx="1271">
                <c:v>5.0906699999999999E-2</c:v>
              </c:pt>
              <c:pt idx="1272">
                <c:v>5.0946699999999998E-2</c:v>
              </c:pt>
              <c:pt idx="1273">
                <c:v>5.0986700000000003E-2</c:v>
              </c:pt>
              <c:pt idx="1274">
                <c:v>5.1026700000000001E-2</c:v>
              </c:pt>
              <c:pt idx="1275">
                <c:v>5.10667E-2</c:v>
              </c:pt>
              <c:pt idx="1276">
                <c:v>5.1106699999999998E-2</c:v>
              </c:pt>
              <c:pt idx="1277">
                <c:v>5.1146700000000003E-2</c:v>
              </c:pt>
              <c:pt idx="1278">
                <c:v>5.1186700000000002E-2</c:v>
              </c:pt>
              <c:pt idx="1279">
                <c:v>5.1226599999999997E-2</c:v>
              </c:pt>
              <c:pt idx="1280">
                <c:v>5.1266600000000002E-2</c:v>
              </c:pt>
              <c:pt idx="1281">
                <c:v>5.1306600000000001E-2</c:v>
              </c:pt>
              <c:pt idx="1282">
                <c:v>5.1346599999999999E-2</c:v>
              </c:pt>
              <c:pt idx="1283">
                <c:v>5.1386599999999998E-2</c:v>
              </c:pt>
              <c:pt idx="1284">
                <c:v>5.1426600000000003E-2</c:v>
              </c:pt>
              <c:pt idx="1285">
                <c:v>5.1466600000000001E-2</c:v>
              </c:pt>
              <c:pt idx="1286">
                <c:v>5.15066E-2</c:v>
              </c:pt>
              <c:pt idx="1287">
                <c:v>5.1546500000000002E-2</c:v>
              </c:pt>
              <c:pt idx="1288">
                <c:v>5.15865E-2</c:v>
              </c:pt>
              <c:pt idx="1289">
                <c:v>5.1626499999999999E-2</c:v>
              </c:pt>
              <c:pt idx="1290">
                <c:v>5.1666499999999997E-2</c:v>
              </c:pt>
              <c:pt idx="1291">
                <c:v>5.1706500000000002E-2</c:v>
              </c:pt>
              <c:pt idx="1292">
                <c:v>5.1746500000000001E-2</c:v>
              </c:pt>
              <c:pt idx="1293">
                <c:v>5.1786499999999999E-2</c:v>
              </c:pt>
              <c:pt idx="1294">
                <c:v>5.1826499999999998E-2</c:v>
              </c:pt>
              <c:pt idx="1295">
                <c:v>5.18664E-2</c:v>
              </c:pt>
              <c:pt idx="1296">
                <c:v>5.1906399999999998E-2</c:v>
              </c:pt>
              <c:pt idx="1297">
                <c:v>5.1946399999999997E-2</c:v>
              </c:pt>
              <c:pt idx="1298">
                <c:v>5.1986400000000002E-2</c:v>
              </c:pt>
              <c:pt idx="1299">
                <c:v>5.20264E-2</c:v>
              </c:pt>
              <c:pt idx="1300">
                <c:v>5.2066399999999999E-2</c:v>
              </c:pt>
              <c:pt idx="1301">
                <c:v>5.2106399999999997E-2</c:v>
              </c:pt>
              <c:pt idx="1302">
                <c:v>5.2146400000000002E-2</c:v>
              </c:pt>
              <c:pt idx="1303">
                <c:v>5.2186299999999998E-2</c:v>
              </c:pt>
              <c:pt idx="1304">
                <c:v>5.2226300000000003E-2</c:v>
              </c:pt>
              <c:pt idx="1305">
                <c:v>5.2266300000000002E-2</c:v>
              </c:pt>
              <c:pt idx="1306">
                <c:v>5.23063E-2</c:v>
              </c:pt>
              <c:pt idx="1307">
                <c:v>5.2346299999999998E-2</c:v>
              </c:pt>
              <c:pt idx="1308">
                <c:v>5.2386299999999997E-2</c:v>
              </c:pt>
              <c:pt idx="1309">
                <c:v>5.2426300000000002E-2</c:v>
              </c:pt>
              <c:pt idx="1310">
                <c:v>5.24663E-2</c:v>
              </c:pt>
              <c:pt idx="1311">
                <c:v>5.2506299999999999E-2</c:v>
              </c:pt>
              <c:pt idx="1312">
                <c:v>5.2546200000000001E-2</c:v>
              </c:pt>
              <c:pt idx="1313">
                <c:v>5.25862E-2</c:v>
              </c:pt>
              <c:pt idx="1314">
                <c:v>5.2626199999999998E-2</c:v>
              </c:pt>
              <c:pt idx="1315">
                <c:v>5.2666200000000003E-2</c:v>
              </c:pt>
              <c:pt idx="1316">
                <c:v>5.2706200000000002E-2</c:v>
              </c:pt>
              <c:pt idx="1317">
                <c:v>5.27462E-2</c:v>
              </c:pt>
              <c:pt idx="1318">
                <c:v>5.2786199999999998E-2</c:v>
              </c:pt>
              <c:pt idx="1319">
                <c:v>5.2826199999999997E-2</c:v>
              </c:pt>
              <c:pt idx="1320">
                <c:v>5.2866099999999999E-2</c:v>
              </c:pt>
              <c:pt idx="1321">
                <c:v>5.2906099999999998E-2</c:v>
              </c:pt>
              <c:pt idx="1322">
                <c:v>5.2946100000000003E-2</c:v>
              </c:pt>
              <c:pt idx="1323">
                <c:v>5.2986100000000001E-2</c:v>
              </c:pt>
              <c:pt idx="1324">
                <c:v>5.30261E-2</c:v>
              </c:pt>
              <c:pt idx="1325">
                <c:v>5.3066099999999998E-2</c:v>
              </c:pt>
              <c:pt idx="1326">
                <c:v>5.3106100000000003E-2</c:v>
              </c:pt>
              <c:pt idx="1327">
                <c:v>5.3146100000000002E-2</c:v>
              </c:pt>
              <c:pt idx="1328">
                <c:v>5.3185999999999997E-2</c:v>
              </c:pt>
              <c:pt idx="1329">
                <c:v>5.3226000000000002E-2</c:v>
              </c:pt>
              <c:pt idx="1330">
                <c:v>5.3266000000000001E-2</c:v>
              </c:pt>
              <c:pt idx="1331">
                <c:v>5.3305999999999999E-2</c:v>
              </c:pt>
              <c:pt idx="1332">
                <c:v>5.3345999999999998E-2</c:v>
              </c:pt>
              <c:pt idx="1333">
                <c:v>5.3386000000000003E-2</c:v>
              </c:pt>
              <c:pt idx="1334">
                <c:v>5.3426000000000001E-2</c:v>
              </c:pt>
              <c:pt idx="1335">
                <c:v>5.3466E-2</c:v>
              </c:pt>
              <c:pt idx="1336">
                <c:v>5.3505900000000002E-2</c:v>
              </c:pt>
              <c:pt idx="1337">
                <c:v>5.35459E-2</c:v>
              </c:pt>
              <c:pt idx="1338">
                <c:v>5.3585899999999999E-2</c:v>
              </c:pt>
              <c:pt idx="1339">
                <c:v>5.3625899999999997E-2</c:v>
              </c:pt>
              <c:pt idx="1340">
                <c:v>5.3665900000000002E-2</c:v>
              </c:pt>
              <c:pt idx="1341">
                <c:v>5.3705900000000001E-2</c:v>
              </c:pt>
              <c:pt idx="1342">
                <c:v>5.3745899999999999E-2</c:v>
              </c:pt>
              <c:pt idx="1343">
                <c:v>5.3785899999999998E-2</c:v>
              </c:pt>
              <c:pt idx="1344">
                <c:v>5.3825900000000003E-2</c:v>
              </c:pt>
              <c:pt idx="1345">
                <c:v>5.3865799999999998E-2</c:v>
              </c:pt>
              <c:pt idx="1346">
                <c:v>5.3905799999999997E-2</c:v>
              </c:pt>
              <c:pt idx="1347">
                <c:v>5.3945800000000002E-2</c:v>
              </c:pt>
              <c:pt idx="1348">
                <c:v>5.39858E-2</c:v>
              </c:pt>
              <c:pt idx="1349">
                <c:v>5.4025799999999999E-2</c:v>
              </c:pt>
              <c:pt idx="1350">
                <c:v>5.4065799999999997E-2</c:v>
              </c:pt>
              <c:pt idx="1351">
                <c:v>5.4105800000000003E-2</c:v>
              </c:pt>
              <c:pt idx="1352">
                <c:v>5.4145800000000001E-2</c:v>
              </c:pt>
              <c:pt idx="1353">
                <c:v>5.4185700000000003E-2</c:v>
              </c:pt>
              <c:pt idx="1354">
                <c:v>5.4225700000000002E-2</c:v>
              </c:pt>
              <c:pt idx="1355">
                <c:v>5.42657E-2</c:v>
              </c:pt>
              <c:pt idx="1356">
                <c:v>5.4305699999999998E-2</c:v>
              </c:pt>
              <c:pt idx="1357">
                <c:v>5.4345699999999997E-2</c:v>
              </c:pt>
              <c:pt idx="1358">
                <c:v>5.4385700000000002E-2</c:v>
              </c:pt>
              <c:pt idx="1359">
                <c:v>5.44257E-2</c:v>
              </c:pt>
              <c:pt idx="1360">
                <c:v>5.4465699999999999E-2</c:v>
              </c:pt>
              <c:pt idx="1361">
                <c:v>5.4505600000000001E-2</c:v>
              </c:pt>
              <c:pt idx="1362">
                <c:v>5.45456E-2</c:v>
              </c:pt>
              <c:pt idx="1363">
                <c:v>5.4585599999999998E-2</c:v>
              </c:pt>
              <c:pt idx="1364">
                <c:v>5.4625600000000003E-2</c:v>
              </c:pt>
              <c:pt idx="1365">
                <c:v>5.4665600000000002E-2</c:v>
              </c:pt>
              <c:pt idx="1366">
                <c:v>5.47056E-2</c:v>
              </c:pt>
              <c:pt idx="1367">
                <c:v>5.4745599999999998E-2</c:v>
              </c:pt>
              <c:pt idx="1368">
                <c:v>5.4785599999999997E-2</c:v>
              </c:pt>
              <c:pt idx="1369">
                <c:v>5.4825499999999999E-2</c:v>
              </c:pt>
              <c:pt idx="1370">
                <c:v>5.4865499999999998E-2</c:v>
              </c:pt>
              <c:pt idx="1371">
                <c:v>5.4905500000000003E-2</c:v>
              </c:pt>
              <c:pt idx="1372">
                <c:v>5.4945500000000001E-2</c:v>
              </c:pt>
              <c:pt idx="1373">
                <c:v>5.49855E-2</c:v>
              </c:pt>
              <c:pt idx="1374">
                <c:v>5.5025499999999998E-2</c:v>
              </c:pt>
              <c:pt idx="1375">
                <c:v>5.5065500000000003E-2</c:v>
              </c:pt>
              <c:pt idx="1376">
                <c:v>5.5105500000000002E-2</c:v>
              </c:pt>
              <c:pt idx="1377">
                <c:v>5.51455E-2</c:v>
              </c:pt>
              <c:pt idx="1378">
                <c:v>5.5185400000000003E-2</c:v>
              </c:pt>
              <c:pt idx="1379">
                <c:v>5.5225400000000001E-2</c:v>
              </c:pt>
              <c:pt idx="1380">
                <c:v>5.5265399999999999E-2</c:v>
              </c:pt>
              <c:pt idx="1381">
                <c:v>5.5305399999999998E-2</c:v>
              </c:pt>
              <c:pt idx="1382">
                <c:v>5.5345400000000003E-2</c:v>
              </c:pt>
              <c:pt idx="1383">
                <c:v>5.5385400000000001E-2</c:v>
              </c:pt>
              <c:pt idx="1384">
                <c:v>5.54254E-2</c:v>
              </c:pt>
              <c:pt idx="1385">
                <c:v>5.5465399999999998E-2</c:v>
              </c:pt>
              <c:pt idx="1386">
                <c:v>5.55053E-2</c:v>
              </c:pt>
              <c:pt idx="1387">
                <c:v>5.5545299999999999E-2</c:v>
              </c:pt>
              <c:pt idx="1388">
                <c:v>5.5585299999999997E-2</c:v>
              </c:pt>
              <c:pt idx="1389">
                <c:v>5.5625300000000003E-2</c:v>
              </c:pt>
              <c:pt idx="1390">
                <c:v>5.5665300000000001E-2</c:v>
              </c:pt>
              <c:pt idx="1391">
                <c:v>5.5705299999999999E-2</c:v>
              </c:pt>
              <c:pt idx="1392">
                <c:v>5.5745299999999998E-2</c:v>
              </c:pt>
              <c:pt idx="1393">
                <c:v>5.5785300000000003E-2</c:v>
              </c:pt>
              <c:pt idx="1394">
                <c:v>5.5825199999999998E-2</c:v>
              </c:pt>
              <c:pt idx="1395">
                <c:v>5.5865199999999997E-2</c:v>
              </c:pt>
              <c:pt idx="1396">
                <c:v>5.5905200000000002E-2</c:v>
              </c:pt>
              <c:pt idx="1397">
                <c:v>5.59452E-2</c:v>
              </c:pt>
              <c:pt idx="1398">
                <c:v>5.5985199999999999E-2</c:v>
              </c:pt>
              <c:pt idx="1399">
                <c:v>5.6025199999999997E-2</c:v>
              </c:pt>
              <c:pt idx="1400">
                <c:v>5.6065200000000003E-2</c:v>
              </c:pt>
              <c:pt idx="1401">
                <c:v>5.6105200000000001E-2</c:v>
              </c:pt>
              <c:pt idx="1402">
                <c:v>5.6145100000000003E-2</c:v>
              </c:pt>
              <c:pt idx="1403">
                <c:v>5.6185100000000002E-2</c:v>
              </c:pt>
              <c:pt idx="1404">
                <c:v>5.62251E-2</c:v>
              </c:pt>
              <c:pt idx="1405">
                <c:v>5.6265099999999998E-2</c:v>
              </c:pt>
              <c:pt idx="1406">
                <c:v>5.6305099999999997E-2</c:v>
              </c:pt>
              <c:pt idx="1407">
                <c:v>5.6345100000000002E-2</c:v>
              </c:pt>
              <c:pt idx="1408">
                <c:v>5.63851E-2</c:v>
              </c:pt>
              <c:pt idx="1409">
                <c:v>5.6425099999999999E-2</c:v>
              </c:pt>
              <c:pt idx="1410">
                <c:v>5.6465099999999997E-2</c:v>
              </c:pt>
              <c:pt idx="1411">
                <c:v>5.6505E-2</c:v>
              </c:pt>
              <c:pt idx="1412">
                <c:v>5.6544999999999998E-2</c:v>
              </c:pt>
              <c:pt idx="1413">
                <c:v>5.6585000000000003E-2</c:v>
              </c:pt>
              <c:pt idx="1414">
                <c:v>5.6625000000000002E-2</c:v>
              </c:pt>
              <c:pt idx="1415">
                <c:v>5.6665E-2</c:v>
              </c:pt>
              <c:pt idx="1416">
                <c:v>5.6704999999999998E-2</c:v>
              </c:pt>
              <c:pt idx="1417">
                <c:v>5.6744999999999997E-2</c:v>
              </c:pt>
              <c:pt idx="1418">
                <c:v>5.6785000000000002E-2</c:v>
              </c:pt>
              <c:pt idx="1419">
                <c:v>5.6824899999999998E-2</c:v>
              </c:pt>
              <c:pt idx="1420">
                <c:v>5.6864900000000003E-2</c:v>
              </c:pt>
              <c:pt idx="1421">
                <c:v>5.6904900000000001E-2</c:v>
              </c:pt>
              <c:pt idx="1422">
                <c:v>5.69449E-2</c:v>
              </c:pt>
              <c:pt idx="1423">
                <c:v>5.6984899999999998E-2</c:v>
              </c:pt>
              <c:pt idx="1424">
                <c:v>5.7024900000000003E-2</c:v>
              </c:pt>
              <c:pt idx="1425">
                <c:v>5.7064900000000002E-2</c:v>
              </c:pt>
              <c:pt idx="1426">
                <c:v>5.71049E-2</c:v>
              </c:pt>
              <c:pt idx="1427">
                <c:v>5.7144800000000003E-2</c:v>
              </c:pt>
              <c:pt idx="1428">
                <c:v>5.7184800000000001E-2</c:v>
              </c:pt>
              <c:pt idx="1429">
                <c:v>5.7224799999999999E-2</c:v>
              </c:pt>
              <c:pt idx="1430">
                <c:v>5.7264799999999998E-2</c:v>
              </c:pt>
              <c:pt idx="1431">
                <c:v>5.7304800000000003E-2</c:v>
              </c:pt>
              <c:pt idx="1432">
                <c:v>5.7344800000000001E-2</c:v>
              </c:pt>
              <c:pt idx="1433">
                <c:v>5.73848E-2</c:v>
              </c:pt>
              <c:pt idx="1434">
                <c:v>5.7424799999999998E-2</c:v>
              </c:pt>
              <c:pt idx="1435">
                <c:v>5.7464700000000001E-2</c:v>
              </c:pt>
              <c:pt idx="1436">
                <c:v>5.7504699999999999E-2</c:v>
              </c:pt>
              <c:pt idx="1437">
                <c:v>5.7544699999999997E-2</c:v>
              </c:pt>
              <c:pt idx="1438">
                <c:v>5.7584700000000003E-2</c:v>
              </c:pt>
              <c:pt idx="1439">
                <c:v>5.7624700000000001E-2</c:v>
              </c:pt>
              <c:pt idx="1440">
                <c:v>5.7664699999999999E-2</c:v>
              </c:pt>
              <c:pt idx="1441">
                <c:v>5.7704699999999998E-2</c:v>
              </c:pt>
              <c:pt idx="1442">
                <c:v>5.7744700000000003E-2</c:v>
              </c:pt>
              <c:pt idx="1443">
                <c:v>5.7784599999999998E-2</c:v>
              </c:pt>
              <c:pt idx="1444">
                <c:v>5.7824599999999997E-2</c:v>
              </c:pt>
              <c:pt idx="1445">
                <c:v>5.7864600000000002E-2</c:v>
              </c:pt>
              <c:pt idx="1446">
                <c:v>5.7904600000000001E-2</c:v>
              </c:pt>
              <c:pt idx="1447">
                <c:v>5.7944599999999999E-2</c:v>
              </c:pt>
              <c:pt idx="1448">
                <c:v>5.7984599999999997E-2</c:v>
              </c:pt>
              <c:pt idx="1449">
                <c:v>5.8024600000000003E-2</c:v>
              </c:pt>
              <c:pt idx="1450">
                <c:v>5.8064600000000001E-2</c:v>
              </c:pt>
              <c:pt idx="1451">
                <c:v>5.8104599999999999E-2</c:v>
              </c:pt>
              <c:pt idx="1452">
                <c:v>5.8144500000000002E-2</c:v>
              </c:pt>
              <c:pt idx="1453">
                <c:v>5.81845E-2</c:v>
              </c:pt>
              <c:pt idx="1454">
                <c:v>5.8224499999999998E-2</c:v>
              </c:pt>
              <c:pt idx="1455">
                <c:v>5.8264499999999997E-2</c:v>
              </c:pt>
              <c:pt idx="1456">
                <c:v>5.8304500000000002E-2</c:v>
              </c:pt>
              <c:pt idx="1457">
                <c:v>5.8344500000000001E-2</c:v>
              </c:pt>
              <c:pt idx="1458">
                <c:v>5.8384499999999999E-2</c:v>
              </c:pt>
              <c:pt idx="1459">
                <c:v>5.8424499999999997E-2</c:v>
              </c:pt>
              <c:pt idx="1460">
                <c:v>5.84644E-2</c:v>
              </c:pt>
              <c:pt idx="1461">
                <c:v>5.8504399999999998E-2</c:v>
              </c:pt>
              <c:pt idx="1462">
                <c:v>5.8544400000000003E-2</c:v>
              </c:pt>
              <c:pt idx="1463">
                <c:v>5.8584400000000002E-2</c:v>
              </c:pt>
              <c:pt idx="1464">
                <c:v>5.86244E-2</c:v>
              </c:pt>
              <c:pt idx="1465">
                <c:v>5.8664399999999998E-2</c:v>
              </c:pt>
              <c:pt idx="1466">
                <c:v>5.8704399999999997E-2</c:v>
              </c:pt>
              <c:pt idx="1467">
                <c:v>5.8744400000000002E-2</c:v>
              </c:pt>
              <c:pt idx="1468">
                <c:v>5.8784299999999998E-2</c:v>
              </c:pt>
              <c:pt idx="1469">
                <c:v>5.8824300000000003E-2</c:v>
              </c:pt>
              <c:pt idx="1470">
                <c:v>5.8864300000000001E-2</c:v>
              </c:pt>
              <c:pt idx="1471">
                <c:v>5.89043E-2</c:v>
              </c:pt>
              <c:pt idx="1472">
                <c:v>5.8944299999999998E-2</c:v>
              </c:pt>
              <c:pt idx="1473">
                <c:v>5.8984300000000003E-2</c:v>
              </c:pt>
              <c:pt idx="1474">
                <c:v>5.9024300000000002E-2</c:v>
              </c:pt>
              <c:pt idx="1475">
                <c:v>5.90643E-2</c:v>
              </c:pt>
              <c:pt idx="1476">
                <c:v>5.9104200000000003E-2</c:v>
              </c:pt>
              <c:pt idx="1477">
                <c:v>5.9144200000000001E-2</c:v>
              </c:pt>
              <c:pt idx="1478">
                <c:v>5.9184199999999999E-2</c:v>
              </c:pt>
              <c:pt idx="1479">
                <c:v>5.9224199999999998E-2</c:v>
              </c:pt>
              <c:pt idx="1480">
                <c:v>5.9264200000000003E-2</c:v>
              </c:pt>
              <c:pt idx="1481">
                <c:v>5.9304200000000001E-2</c:v>
              </c:pt>
              <c:pt idx="1482">
                <c:v>5.93442E-2</c:v>
              </c:pt>
              <c:pt idx="1483">
                <c:v>5.9384199999999998E-2</c:v>
              </c:pt>
              <c:pt idx="1484">
                <c:v>5.9424200000000003E-2</c:v>
              </c:pt>
              <c:pt idx="1485">
                <c:v>5.9464099999999999E-2</c:v>
              </c:pt>
              <c:pt idx="1486">
                <c:v>5.9504099999999997E-2</c:v>
              </c:pt>
              <c:pt idx="1487">
                <c:v>5.9544100000000003E-2</c:v>
              </c:pt>
              <c:pt idx="1488">
                <c:v>5.9584100000000001E-2</c:v>
              </c:pt>
              <c:pt idx="1489">
                <c:v>5.9624099999999999E-2</c:v>
              </c:pt>
              <c:pt idx="1490">
                <c:v>5.9664099999999998E-2</c:v>
              </c:pt>
              <c:pt idx="1491">
                <c:v>5.9704100000000003E-2</c:v>
              </c:pt>
              <c:pt idx="1492">
                <c:v>5.9744100000000001E-2</c:v>
              </c:pt>
              <c:pt idx="1493">
                <c:v>5.9783999999999997E-2</c:v>
              </c:pt>
              <c:pt idx="1494">
                <c:v>5.9824000000000002E-2</c:v>
              </c:pt>
              <c:pt idx="1495">
                <c:v>5.9864000000000001E-2</c:v>
              </c:pt>
              <c:pt idx="1496">
                <c:v>5.9903999999999999E-2</c:v>
              </c:pt>
              <c:pt idx="1497">
                <c:v>5.9943999999999997E-2</c:v>
              </c:pt>
              <c:pt idx="1498">
                <c:v>5.9984000000000003E-2</c:v>
              </c:pt>
              <c:pt idx="1499">
                <c:v>6.0024000000000001E-2</c:v>
              </c:pt>
              <c:pt idx="1500">
                <c:v>6.0063999999999999E-2</c:v>
              </c:pt>
              <c:pt idx="1501">
                <c:v>6.0103900000000002E-2</c:v>
              </c:pt>
              <c:pt idx="1502">
                <c:v>6.01439E-2</c:v>
              </c:pt>
              <c:pt idx="1503">
                <c:v>6.0183899999999999E-2</c:v>
              </c:pt>
              <c:pt idx="1504">
                <c:v>6.0223899999999997E-2</c:v>
              </c:pt>
              <c:pt idx="1505">
                <c:v>6.0263900000000002E-2</c:v>
              </c:pt>
              <c:pt idx="1506">
                <c:v>6.0303900000000001E-2</c:v>
              </c:pt>
              <c:pt idx="1507">
                <c:v>6.0343899999999999E-2</c:v>
              </c:pt>
              <c:pt idx="1508">
                <c:v>6.0383899999999997E-2</c:v>
              </c:pt>
              <c:pt idx="1509">
                <c:v>6.04238E-2</c:v>
              </c:pt>
              <c:pt idx="1510">
                <c:v>6.0463799999999998E-2</c:v>
              </c:pt>
              <c:pt idx="1511">
                <c:v>6.0503800000000003E-2</c:v>
              </c:pt>
              <c:pt idx="1512">
                <c:v>6.0543800000000002E-2</c:v>
              </c:pt>
              <c:pt idx="1513">
                <c:v>6.05838E-2</c:v>
              </c:pt>
              <c:pt idx="1514">
                <c:v>6.0623799999999999E-2</c:v>
              </c:pt>
              <c:pt idx="1515">
                <c:v>6.0663799999999997E-2</c:v>
              </c:pt>
              <c:pt idx="1516">
                <c:v>6.0703800000000002E-2</c:v>
              </c:pt>
              <c:pt idx="1517">
                <c:v>6.0743699999999998E-2</c:v>
              </c:pt>
              <c:pt idx="1518">
                <c:v>6.0783700000000003E-2</c:v>
              </c:pt>
              <c:pt idx="1519">
                <c:v>6.0823700000000001E-2</c:v>
              </c:pt>
              <c:pt idx="1520">
                <c:v>6.08637E-2</c:v>
              </c:pt>
              <c:pt idx="1521">
                <c:v>6.0903699999999998E-2</c:v>
              </c:pt>
              <c:pt idx="1522">
                <c:v>6.0943700000000003E-2</c:v>
              </c:pt>
              <c:pt idx="1523">
                <c:v>6.0983700000000002E-2</c:v>
              </c:pt>
              <c:pt idx="1524">
                <c:v>6.10237E-2</c:v>
              </c:pt>
              <c:pt idx="1525">
                <c:v>6.1063699999999999E-2</c:v>
              </c:pt>
              <c:pt idx="1526">
                <c:v>6.1103600000000001E-2</c:v>
              </c:pt>
              <c:pt idx="1527">
                <c:v>6.1143599999999999E-2</c:v>
              </c:pt>
              <c:pt idx="1528">
                <c:v>6.1183599999999998E-2</c:v>
              </c:pt>
              <c:pt idx="1529">
                <c:v>6.1223600000000003E-2</c:v>
              </c:pt>
              <c:pt idx="1530">
                <c:v>6.1263600000000001E-2</c:v>
              </c:pt>
              <c:pt idx="1531">
                <c:v>6.13036E-2</c:v>
              </c:pt>
              <c:pt idx="1532">
                <c:v>6.1343599999999998E-2</c:v>
              </c:pt>
              <c:pt idx="1533">
                <c:v>6.1383600000000003E-2</c:v>
              </c:pt>
              <c:pt idx="1534">
                <c:v>6.1423499999999999E-2</c:v>
              </c:pt>
              <c:pt idx="1535">
                <c:v>6.1463499999999997E-2</c:v>
              </c:pt>
              <c:pt idx="1536">
                <c:v>6.1503500000000003E-2</c:v>
              </c:pt>
              <c:pt idx="1537">
                <c:v>6.1543500000000001E-2</c:v>
              </c:pt>
              <c:pt idx="1538">
                <c:v>6.1583499999999999E-2</c:v>
              </c:pt>
              <c:pt idx="1539">
                <c:v>6.1623499999999998E-2</c:v>
              </c:pt>
              <c:pt idx="1540">
                <c:v>6.1663500000000003E-2</c:v>
              </c:pt>
              <c:pt idx="1541">
                <c:v>6.1703500000000001E-2</c:v>
              </c:pt>
              <c:pt idx="1542">
                <c:v>6.1743399999999997E-2</c:v>
              </c:pt>
              <c:pt idx="1543">
                <c:v>6.1783400000000002E-2</c:v>
              </c:pt>
              <c:pt idx="1544">
                <c:v>6.1823400000000001E-2</c:v>
              </c:pt>
              <c:pt idx="1545">
                <c:v>6.1863399999999999E-2</c:v>
              </c:pt>
              <c:pt idx="1546">
                <c:v>6.1903399999999997E-2</c:v>
              </c:pt>
              <c:pt idx="1547">
                <c:v>6.1943400000000003E-2</c:v>
              </c:pt>
              <c:pt idx="1548">
                <c:v>6.1983400000000001E-2</c:v>
              </c:pt>
              <c:pt idx="1549">
                <c:v>6.2023399999999999E-2</c:v>
              </c:pt>
              <c:pt idx="1550">
                <c:v>6.2063300000000002E-2</c:v>
              </c:pt>
              <c:pt idx="1551">
                <c:v>6.21033E-2</c:v>
              </c:pt>
              <c:pt idx="1552">
                <c:v>6.2143299999999999E-2</c:v>
              </c:pt>
              <c:pt idx="1553">
                <c:v>6.2183299999999997E-2</c:v>
              </c:pt>
              <c:pt idx="1554">
                <c:v>6.2223300000000002E-2</c:v>
              </c:pt>
              <c:pt idx="1555">
                <c:v>6.2263300000000001E-2</c:v>
              </c:pt>
              <c:pt idx="1556">
                <c:v>6.2303299999999999E-2</c:v>
              </c:pt>
              <c:pt idx="1557">
                <c:v>6.2343299999999997E-2</c:v>
              </c:pt>
              <c:pt idx="1558">
                <c:v>6.23832E-2</c:v>
              </c:pt>
              <c:pt idx="1559">
                <c:v>6.2423199999999998E-2</c:v>
              </c:pt>
              <c:pt idx="1560">
                <c:v>6.2463200000000003E-2</c:v>
              </c:pt>
              <c:pt idx="1561">
                <c:v>6.2503199999999995E-2</c:v>
              </c:pt>
              <c:pt idx="1562">
                <c:v>6.2543199999999993E-2</c:v>
              </c:pt>
              <c:pt idx="1563">
                <c:v>6.2583200000000005E-2</c:v>
              </c:pt>
              <c:pt idx="1564">
                <c:v>6.2623200000000004E-2</c:v>
              </c:pt>
              <c:pt idx="1565">
                <c:v>6.2663200000000002E-2</c:v>
              </c:pt>
              <c:pt idx="1566">
                <c:v>6.2703099999999998E-2</c:v>
              </c:pt>
              <c:pt idx="1567">
                <c:v>6.2743099999999996E-2</c:v>
              </c:pt>
              <c:pt idx="1568">
                <c:v>6.2783099999999994E-2</c:v>
              </c:pt>
              <c:pt idx="1569">
                <c:v>6.2823100000000007E-2</c:v>
              </c:pt>
              <c:pt idx="1570">
                <c:v>6.2863100000000005E-2</c:v>
              </c:pt>
              <c:pt idx="1571">
                <c:v>6.2903100000000003E-2</c:v>
              </c:pt>
              <c:pt idx="1572">
                <c:v>6.2943100000000002E-2</c:v>
              </c:pt>
              <c:pt idx="1573">
                <c:v>6.29831E-2</c:v>
              </c:pt>
              <c:pt idx="1574">
                <c:v>6.3023099999999999E-2</c:v>
              </c:pt>
              <c:pt idx="1575">
                <c:v>6.3062999999999994E-2</c:v>
              </c:pt>
              <c:pt idx="1576">
                <c:v>6.3103000000000006E-2</c:v>
              </c:pt>
              <c:pt idx="1577">
                <c:v>6.3143000000000005E-2</c:v>
              </c:pt>
              <c:pt idx="1578">
                <c:v>6.3183000000000003E-2</c:v>
              </c:pt>
              <c:pt idx="1579">
                <c:v>6.3223000000000001E-2</c:v>
              </c:pt>
              <c:pt idx="1580">
                <c:v>6.3263E-2</c:v>
              </c:pt>
              <c:pt idx="1581">
                <c:v>6.3302999999999998E-2</c:v>
              </c:pt>
              <c:pt idx="1582">
                <c:v>6.3342999999999997E-2</c:v>
              </c:pt>
              <c:pt idx="1583">
                <c:v>6.3382900000000006E-2</c:v>
              </c:pt>
              <c:pt idx="1584">
                <c:v>6.3422900000000004E-2</c:v>
              </c:pt>
              <c:pt idx="1585">
                <c:v>6.3462900000000003E-2</c:v>
              </c:pt>
              <c:pt idx="1586">
                <c:v>6.3502900000000001E-2</c:v>
              </c:pt>
              <c:pt idx="1587">
                <c:v>6.3542899999999999E-2</c:v>
              </c:pt>
              <c:pt idx="1588">
                <c:v>6.3582899999999998E-2</c:v>
              </c:pt>
              <c:pt idx="1589">
                <c:v>6.3622899999999996E-2</c:v>
              </c:pt>
              <c:pt idx="1590">
                <c:v>6.3662899999999994E-2</c:v>
              </c:pt>
              <c:pt idx="1591">
                <c:v>6.3702800000000004E-2</c:v>
              </c:pt>
              <c:pt idx="1592">
                <c:v>6.3742800000000002E-2</c:v>
              </c:pt>
              <c:pt idx="1593">
                <c:v>6.3782800000000001E-2</c:v>
              </c:pt>
              <c:pt idx="1594">
                <c:v>6.3822799999999999E-2</c:v>
              </c:pt>
              <c:pt idx="1595">
                <c:v>6.3862799999999997E-2</c:v>
              </c:pt>
              <c:pt idx="1596">
                <c:v>6.3902799999999996E-2</c:v>
              </c:pt>
              <c:pt idx="1597">
                <c:v>6.3942799999999994E-2</c:v>
              </c:pt>
              <c:pt idx="1598">
                <c:v>6.3982800000000006E-2</c:v>
              </c:pt>
              <c:pt idx="1599">
                <c:v>6.4022700000000002E-2</c:v>
              </c:pt>
              <c:pt idx="1600">
                <c:v>6.40627E-2</c:v>
              </c:pt>
              <c:pt idx="1601">
                <c:v>6.4102699999999999E-2</c:v>
              </c:pt>
              <c:pt idx="1602">
                <c:v>6.4142699999999997E-2</c:v>
              </c:pt>
              <c:pt idx="1603">
                <c:v>6.4182699999999995E-2</c:v>
              </c:pt>
              <c:pt idx="1604">
                <c:v>6.4222699999999994E-2</c:v>
              </c:pt>
              <c:pt idx="1605">
                <c:v>6.4262700000000006E-2</c:v>
              </c:pt>
              <c:pt idx="1606">
                <c:v>6.4302700000000004E-2</c:v>
              </c:pt>
              <c:pt idx="1607">
                <c:v>6.43426E-2</c:v>
              </c:pt>
              <c:pt idx="1608">
                <c:v>6.4382599999999998E-2</c:v>
              </c:pt>
              <c:pt idx="1609">
                <c:v>6.4422599999999997E-2</c:v>
              </c:pt>
              <c:pt idx="1610">
                <c:v>6.4462599999999995E-2</c:v>
              </c:pt>
              <c:pt idx="1611">
                <c:v>6.4502599999999993E-2</c:v>
              </c:pt>
              <c:pt idx="1612">
                <c:v>6.4542600000000006E-2</c:v>
              </c:pt>
              <c:pt idx="1613">
                <c:v>6.4582600000000004E-2</c:v>
              </c:pt>
              <c:pt idx="1614">
                <c:v>6.4622600000000002E-2</c:v>
              </c:pt>
              <c:pt idx="1615">
                <c:v>6.4662499999999998E-2</c:v>
              </c:pt>
              <c:pt idx="1616">
                <c:v>6.4702499999999996E-2</c:v>
              </c:pt>
              <c:pt idx="1617">
                <c:v>6.4742499999999994E-2</c:v>
              </c:pt>
              <c:pt idx="1618">
                <c:v>6.4782500000000007E-2</c:v>
              </c:pt>
              <c:pt idx="1619">
                <c:v>6.4822500000000005E-2</c:v>
              </c:pt>
              <c:pt idx="1620">
                <c:v>6.4862500000000003E-2</c:v>
              </c:pt>
              <c:pt idx="1621">
                <c:v>6.4902500000000002E-2</c:v>
              </c:pt>
              <c:pt idx="1622">
                <c:v>6.49425E-2</c:v>
              </c:pt>
              <c:pt idx="1623">
                <c:v>6.4982499999999999E-2</c:v>
              </c:pt>
              <c:pt idx="1624">
                <c:v>6.5022399999999994E-2</c:v>
              </c:pt>
              <c:pt idx="1625">
                <c:v>6.5062400000000006E-2</c:v>
              </c:pt>
              <c:pt idx="1626">
                <c:v>6.5102400000000005E-2</c:v>
              </c:pt>
              <c:pt idx="1627">
                <c:v>6.5142400000000003E-2</c:v>
              </c:pt>
              <c:pt idx="1628">
                <c:v>6.5182400000000001E-2</c:v>
              </c:pt>
              <c:pt idx="1629">
                <c:v>6.52224E-2</c:v>
              </c:pt>
              <c:pt idx="1630">
                <c:v>6.5262399999999998E-2</c:v>
              </c:pt>
              <c:pt idx="1631">
                <c:v>6.5302399999999997E-2</c:v>
              </c:pt>
              <c:pt idx="1632">
                <c:v>6.5342300000000006E-2</c:v>
              </c:pt>
              <c:pt idx="1633">
                <c:v>6.5382300000000004E-2</c:v>
              </c:pt>
              <c:pt idx="1634">
                <c:v>6.5422300000000003E-2</c:v>
              </c:pt>
              <c:pt idx="1635">
                <c:v>6.5462300000000001E-2</c:v>
              </c:pt>
              <c:pt idx="1636">
                <c:v>6.5502299999999999E-2</c:v>
              </c:pt>
              <c:pt idx="1637">
                <c:v>6.5542299999999998E-2</c:v>
              </c:pt>
              <c:pt idx="1638">
                <c:v>6.5582299999999996E-2</c:v>
              </c:pt>
              <c:pt idx="1639">
                <c:v>6.5622299999999995E-2</c:v>
              </c:pt>
              <c:pt idx="1640">
                <c:v>6.5662200000000004E-2</c:v>
              </c:pt>
              <c:pt idx="1641">
                <c:v>6.5702200000000002E-2</c:v>
              </c:pt>
              <c:pt idx="1642">
                <c:v>6.5742200000000001E-2</c:v>
              </c:pt>
              <c:pt idx="1643">
                <c:v>6.5782199999999999E-2</c:v>
              </c:pt>
              <c:pt idx="1644">
                <c:v>6.5822199999999997E-2</c:v>
              </c:pt>
              <c:pt idx="1645">
                <c:v>6.5862199999999996E-2</c:v>
              </c:pt>
              <c:pt idx="1646">
                <c:v>6.5902199999999994E-2</c:v>
              </c:pt>
              <c:pt idx="1647">
                <c:v>6.5942200000000006E-2</c:v>
              </c:pt>
              <c:pt idx="1648">
                <c:v>6.5982100000000002E-2</c:v>
              </c:pt>
              <c:pt idx="1649">
                <c:v>6.60221E-2</c:v>
              </c:pt>
              <c:pt idx="1650">
                <c:v>6.6062099999999999E-2</c:v>
              </c:pt>
              <c:pt idx="1651">
                <c:v>6.6102099999999997E-2</c:v>
              </c:pt>
              <c:pt idx="1652">
                <c:v>6.6142099999999995E-2</c:v>
              </c:pt>
              <c:pt idx="1653">
                <c:v>6.6182099999999994E-2</c:v>
              </c:pt>
              <c:pt idx="1654">
                <c:v>6.6222100000000006E-2</c:v>
              </c:pt>
              <c:pt idx="1655">
                <c:v>6.6262100000000004E-2</c:v>
              </c:pt>
              <c:pt idx="1656">
                <c:v>6.6302100000000003E-2</c:v>
              </c:pt>
              <c:pt idx="1657">
                <c:v>6.6342100000000001E-2</c:v>
              </c:pt>
              <c:pt idx="1658">
                <c:v>6.6381999999999997E-2</c:v>
              </c:pt>
              <c:pt idx="1659">
                <c:v>6.6421999999999995E-2</c:v>
              </c:pt>
              <c:pt idx="1660">
                <c:v>6.6461999999999993E-2</c:v>
              </c:pt>
              <c:pt idx="1661">
                <c:v>6.6502000000000006E-2</c:v>
              </c:pt>
              <c:pt idx="1662">
                <c:v>6.6542000000000004E-2</c:v>
              </c:pt>
              <c:pt idx="1663">
                <c:v>6.6582000000000002E-2</c:v>
              </c:pt>
              <c:pt idx="1664">
                <c:v>6.6622000000000001E-2</c:v>
              </c:pt>
              <c:pt idx="1665">
                <c:v>6.6661999999999999E-2</c:v>
              </c:pt>
              <c:pt idx="1666">
                <c:v>6.6701999999999997E-2</c:v>
              </c:pt>
              <c:pt idx="1667">
                <c:v>6.6741999999999996E-2</c:v>
              </c:pt>
              <c:pt idx="1668">
                <c:v>6.6781999999999994E-2</c:v>
              </c:pt>
              <c:pt idx="1669">
                <c:v>6.6822000000000006E-2</c:v>
              </c:pt>
              <c:pt idx="1670">
                <c:v>6.6862000000000005E-2</c:v>
              </c:pt>
              <c:pt idx="1671">
                <c:v>6.6902000000000003E-2</c:v>
              </c:pt>
              <c:pt idx="1672">
                <c:v>6.6942000000000002E-2</c:v>
              </c:pt>
              <c:pt idx="1673">
                <c:v>6.6982E-2</c:v>
              </c:pt>
              <c:pt idx="1674">
                <c:v>6.7021999999999998E-2</c:v>
              </c:pt>
              <c:pt idx="1675">
                <c:v>6.7061999999999997E-2</c:v>
              </c:pt>
              <c:pt idx="1676">
                <c:v>6.7101999999999995E-2</c:v>
              </c:pt>
              <c:pt idx="1677">
                <c:v>6.7141999999999993E-2</c:v>
              </c:pt>
              <c:pt idx="1678">
                <c:v>6.7182000000000006E-2</c:v>
              </c:pt>
              <c:pt idx="1679">
                <c:v>6.7221900000000001E-2</c:v>
              </c:pt>
              <c:pt idx="1680">
                <c:v>6.7261899999999999E-2</c:v>
              </c:pt>
              <c:pt idx="1681">
                <c:v>6.7301899999999998E-2</c:v>
              </c:pt>
              <c:pt idx="1682">
                <c:v>6.7341899999999996E-2</c:v>
              </c:pt>
              <c:pt idx="1683">
                <c:v>6.7381899999999995E-2</c:v>
              </c:pt>
              <c:pt idx="1684">
                <c:v>6.7421900000000007E-2</c:v>
              </c:pt>
              <c:pt idx="1685">
                <c:v>6.7461900000000005E-2</c:v>
              </c:pt>
              <c:pt idx="1686">
                <c:v>6.7501900000000004E-2</c:v>
              </c:pt>
              <c:pt idx="1687">
                <c:v>6.7541900000000002E-2</c:v>
              </c:pt>
              <c:pt idx="1688">
                <c:v>6.75819E-2</c:v>
              </c:pt>
              <c:pt idx="1689">
                <c:v>6.7621899999999999E-2</c:v>
              </c:pt>
              <c:pt idx="1690">
                <c:v>6.7661899999999997E-2</c:v>
              </c:pt>
              <c:pt idx="1691">
                <c:v>6.7701899999999995E-2</c:v>
              </c:pt>
              <c:pt idx="1692">
                <c:v>6.7741899999999994E-2</c:v>
              </c:pt>
              <c:pt idx="1693">
                <c:v>6.7781900000000006E-2</c:v>
              </c:pt>
              <c:pt idx="1694">
                <c:v>6.7821900000000004E-2</c:v>
              </c:pt>
              <c:pt idx="1695">
                <c:v>6.7861900000000003E-2</c:v>
              </c:pt>
              <c:pt idx="1696">
                <c:v>6.7901900000000001E-2</c:v>
              </c:pt>
              <c:pt idx="1697">
                <c:v>6.79419E-2</c:v>
              </c:pt>
              <c:pt idx="1698">
                <c:v>6.7981899999999998E-2</c:v>
              </c:pt>
              <c:pt idx="1699">
                <c:v>6.8021899999999996E-2</c:v>
              </c:pt>
              <c:pt idx="1700">
                <c:v>6.8061899999999995E-2</c:v>
              </c:pt>
              <c:pt idx="1701">
                <c:v>6.8101900000000007E-2</c:v>
              </c:pt>
              <c:pt idx="1702">
                <c:v>6.8141900000000005E-2</c:v>
              </c:pt>
              <c:pt idx="1703">
                <c:v>6.8181900000000004E-2</c:v>
              </c:pt>
              <c:pt idx="1704">
                <c:v>6.8221900000000002E-2</c:v>
              </c:pt>
              <c:pt idx="1705">
                <c:v>6.82619E-2</c:v>
              </c:pt>
              <c:pt idx="1706">
                <c:v>6.8301899999999999E-2</c:v>
              </c:pt>
              <c:pt idx="1707">
                <c:v>6.8341899999999997E-2</c:v>
              </c:pt>
              <c:pt idx="1708">
                <c:v>6.8381899999999995E-2</c:v>
              </c:pt>
              <c:pt idx="1709">
                <c:v>6.8421899999999994E-2</c:v>
              </c:pt>
              <c:pt idx="1710">
                <c:v>6.8461900000000006E-2</c:v>
              </c:pt>
              <c:pt idx="1711">
                <c:v>6.8501900000000004E-2</c:v>
              </c:pt>
              <c:pt idx="1712">
                <c:v>6.8541900000000003E-2</c:v>
              </c:pt>
              <c:pt idx="1713">
                <c:v>6.8581900000000001E-2</c:v>
              </c:pt>
              <c:pt idx="1714">
                <c:v>6.86219E-2</c:v>
              </c:pt>
              <c:pt idx="1715">
                <c:v>6.8661899999999998E-2</c:v>
              </c:pt>
              <c:pt idx="1716">
                <c:v>6.8701899999999996E-2</c:v>
              </c:pt>
              <c:pt idx="1717">
                <c:v>6.8741899999999995E-2</c:v>
              </c:pt>
              <c:pt idx="1718">
                <c:v>6.8781900000000007E-2</c:v>
              </c:pt>
              <c:pt idx="1719">
                <c:v>6.8821900000000005E-2</c:v>
              </c:pt>
              <c:pt idx="1720">
                <c:v>6.8861900000000004E-2</c:v>
              </c:pt>
              <c:pt idx="1721">
                <c:v>6.8901900000000002E-2</c:v>
              </c:pt>
              <c:pt idx="1722">
                <c:v>6.89419E-2</c:v>
              </c:pt>
              <c:pt idx="1723">
                <c:v>6.8981899999999999E-2</c:v>
              </c:pt>
              <c:pt idx="1724">
                <c:v>6.9021899999999997E-2</c:v>
              </c:pt>
              <c:pt idx="1725">
                <c:v>6.9061899999999996E-2</c:v>
              </c:pt>
              <c:pt idx="1726">
                <c:v>6.9101899999999994E-2</c:v>
              </c:pt>
              <c:pt idx="1727">
                <c:v>6.9141900000000006E-2</c:v>
              </c:pt>
              <c:pt idx="1728">
                <c:v>6.9181900000000005E-2</c:v>
              </c:pt>
              <c:pt idx="1729">
                <c:v>6.9221900000000003E-2</c:v>
              </c:pt>
              <c:pt idx="1730">
                <c:v>6.9261900000000001E-2</c:v>
              </c:pt>
              <c:pt idx="1731">
                <c:v>6.93019E-2</c:v>
              </c:pt>
              <c:pt idx="1732">
                <c:v>6.9341899999999998E-2</c:v>
              </c:pt>
              <c:pt idx="1733">
                <c:v>6.9381899999999996E-2</c:v>
              </c:pt>
              <c:pt idx="1734">
                <c:v>6.9421899999999995E-2</c:v>
              </c:pt>
              <c:pt idx="1735">
                <c:v>6.9461899999999993E-2</c:v>
              </c:pt>
              <c:pt idx="1736">
                <c:v>6.9501900000000005E-2</c:v>
              </c:pt>
              <c:pt idx="1737">
                <c:v>6.9541900000000004E-2</c:v>
              </c:pt>
              <c:pt idx="1738">
                <c:v>6.9581900000000002E-2</c:v>
              </c:pt>
              <c:pt idx="1739">
                <c:v>6.96219E-2</c:v>
              </c:pt>
              <c:pt idx="1740">
                <c:v>6.9661899999999999E-2</c:v>
              </c:pt>
              <c:pt idx="1741">
                <c:v>6.9701899999999997E-2</c:v>
              </c:pt>
              <c:pt idx="1742">
                <c:v>6.9741899999999996E-2</c:v>
              </c:pt>
              <c:pt idx="1743">
                <c:v>6.9781899999999994E-2</c:v>
              </c:pt>
              <c:pt idx="1744">
                <c:v>6.9821900000000006E-2</c:v>
              </c:pt>
              <c:pt idx="1745">
                <c:v>6.9861900000000005E-2</c:v>
              </c:pt>
              <c:pt idx="1746">
                <c:v>6.9901900000000003E-2</c:v>
              </c:pt>
              <c:pt idx="1747">
                <c:v>6.9941900000000001E-2</c:v>
              </c:pt>
              <c:pt idx="1748">
                <c:v>6.99819E-2</c:v>
              </c:pt>
              <c:pt idx="1749">
                <c:v>7.0021899999999998E-2</c:v>
              </c:pt>
              <c:pt idx="1750">
                <c:v>7.0061899999999996E-2</c:v>
              </c:pt>
              <c:pt idx="1751">
                <c:v>7.0101899999999995E-2</c:v>
              </c:pt>
              <c:pt idx="1752">
                <c:v>7.0141899999999993E-2</c:v>
              </c:pt>
              <c:pt idx="1753">
                <c:v>7.0181900000000005E-2</c:v>
              </c:pt>
              <c:pt idx="1754">
                <c:v>7.0221900000000004E-2</c:v>
              </c:pt>
              <c:pt idx="1755">
                <c:v>7.0261900000000002E-2</c:v>
              </c:pt>
              <c:pt idx="1756">
                <c:v>7.0301900000000001E-2</c:v>
              </c:pt>
              <c:pt idx="1757">
                <c:v>7.0341899999999999E-2</c:v>
              </c:pt>
              <c:pt idx="1758">
                <c:v>7.0381899999999997E-2</c:v>
              </c:pt>
              <c:pt idx="1759">
                <c:v>7.0421899999999996E-2</c:v>
              </c:pt>
              <c:pt idx="1760">
                <c:v>7.0461899999999994E-2</c:v>
              </c:pt>
              <c:pt idx="1761">
                <c:v>7.0501900000000006E-2</c:v>
              </c:pt>
              <c:pt idx="1762">
                <c:v>7.0541900000000005E-2</c:v>
              </c:pt>
              <c:pt idx="1763">
                <c:v>7.0581900000000003E-2</c:v>
              </c:pt>
              <c:pt idx="1764">
                <c:v>7.0621900000000001E-2</c:v>
              </c:pt>
              <c:pt idx="1765">
                <c:v>7.06619E-2</c:v>
              </c:pt>
              <c:pt idx="1766">
                <c:v>7.0701899999999998E-2</c:v>
              </c:pt>
              <c:pt idx="1767">
                <c:v>7.0741899999999996E-2</c:v>
              </c:pt>
              <c:pt idx="1768">
                <c:v>7.0781899999999995E-2</c:v>
              </c:pt>
              <c:pt idx="1769">
                <c:v>7.0821899999999993E-2</c:v>
              </c:pt>
              <c:pt idx="1770">
                <c:v>7.0861900000000005E-2</c:v>
              </c:pt>
              <c:pt idx="1771">
                <c:v>7.0901900000000004E-2</c:v>
              </c:pt>
              <c:pt idx="1772">
                <c:v>7.0941900000000002E-2</c:v>
              </c:pt>
              <c:pt idx="1773">
                <c:v>7.0981900000000001E-2</c:v>
              </c:pt>
              <c:pt idx="1774">
                <c:v>7.1021899999999999E-2</c:v>
              </c:pt>
              <c:pt idx="1775">
                <c:v>7.1061899999999997E-2</c:v>
              </c:pt>
              <c:pt idx="1776">
                <c:v>7.1101899999999996E-2</c:v>
              </c:pt>
              <c:pt idx="1777">
                <c:v>7.1141899999999994E-2</c:v>
              </c:pt>
              <c:pt idx="1778">
                <c:v>7.1181900000000006E-2</c:v>
              </c:pt>
              <c:pt idx="1779">
                <c:v>7.1221900000000005E-2</c:v>
              </c:pt>
              <c:pt idx="1780">
                <c:v>7.1261900000000003E-2</c:v>
              </c:pt>
              <c:pt idx="1781">
                <c:v>7.1301900000000001E-2</c:v>
              </c:pt>
              <c:pt idx="1782">
                <c:v>7.13419E-2</c:v>
              </c:pt>
              <c:pt idx="1783">
                <c:v>7.1381899999999998E-2</c:v>
              </c:pt>
              <c:pt idx="1784">
                <c:v>7.1421899999999997E-2</c:v>
              </c:pt>
              <c:pt idx="1785">
                <c:v>7.1461899999999995E-2</c:v>
              </c:pt>
              <c:pt idx="1786">
                <c:v>7.1501899999999993E-2</c:v>
              </c:pt>
              <c:pt idx="1787">
                <c:v>7.1541900000000005E-2</c:v>
              </c:pt>
              <c:pt idx="1788">
                <c:v>7.1581900000000004E-2</c:v>
              </c:pt>
              <c:pt idx="1789">
                <c:v>7.1621900000000002E-2</c:v>
              </c:pt>
              <c:pt idx="1790">
                <c:v>7.1661900000000001E-2</c:v>
              </c:pt>
              <c:pt idx="1791">
                <c:v>7.1701899999999999E-2</c:v>
              </c:pt>
              <c:pt idx="1792">
                <c:v>7.1741899999999997E-2</c:v>
              </c:pt>
              <c:pt idx="1793">
                <c:v>7.1781899999999996E-2</c:v>
              </c:pt>
              <c:pt idx="1794">
                <c:v>7.1821899999999994E-2</c:v>
              </c:pt>
              <c:pt idx="1795">
                <c:v>7.1861900000000006E-2</c:v>
              </c:pt>
              <c:pt idx="1796">
                <c:v>7.1901900000000005E-2</c:v>
              </c:pt>
              <c:pt idx="1797">
                <c:v>7.1941900000000003E-2</c:v>
              </c:pt>
              <c:pt idx="1798">
                <c:v>7.1981900000000001E-2</c:v>
              </c:pt>
              <c:pt idx="1799">
                <c:v>7.20219E-2</c:v>
              </c:pt>
              <c:pt idx="1800">
                <c:v>7.2061899999999998E-2</c:v>
              </c:pt>
              <c:pt idx="1801">
                <c:v>7.2101899999999997E-2</c:v>
              </c:pt>
              <c:pt idx="1802">
                <c:v>7.2141899999999995E-2</c:v>
              </c:pt>
              <c:pt idx="1803">
                <c:v>7.2181899999999993E-2</c:v>
              </c:pt>
              <c:pt idx="1804">
                <c:v>7.2221900000000006E-2</c:v>
              </c:pt>
              <c:pt idx="1805">
                <c:v>7.2261900000000004E-2</c:v>
              </c:pt>
              <c:pt idx="1806">
                <c:v>7.2301900000000002E-2</c:v>
              </c:pt>
              <c:pt idx="1807">
                <c:v>7.2341900000000001E-2</c:v>
              </c:pt>
              <c:pt idx="1808">
                <c:v>7.2381899999999999E-2</c:v>
              </c:pt>
              <c:pt idx="1809">
                <c:v>7.2421899999999997E-2</c:v>
              </c:pt>
              <c:pt idx="1810">
                <c:v>7.2461899999999996E-2</c:v>
              </c:pt>
              <c:pt idx="1811">
                <c:v>7.2501899999999994E-2</c:v>
              </c:pt>
              <c:pt idx="1812">
                <c:v>7.2541900000000006E-2</c:v>
              </c:pt>
              <c:pt idx="1813">
                <c:v>7.2581900000000005E-2</c:v>
              </c:pt>
              <c:pt idx="1814">
                <c:v>7.2621900000000003E-2</c:v>
              </c:pt>
              <c:pt idx="1815">
                <c:v>7.2661900000000001E-2</c:v>
              </c:pt>
              <c:pt idx="1816">
                <c:v>7.27019E-2</c:v>
              </c:pt>
              <c:pt idx="1817">
                <c:v>7.2741899999999998E-2</c:v>
              </c:pt>
              <c:pt idx="1818">
                <c:v>7.2781899999999997E-2</c:v>
              </c:pt>
              <c:pt idx="1819">
                <c:v>7.2821899999999995E-2</c:v>
              </c:pt>
              <c:pt idx="1820">
                <c:v>7.2861899999999993E-2</c:v>
              </c:pt>
              <c:pt idx="1821">
                <c:v>7.2901900000000006E-2</c:v>
              </c:pt>
              <c:pt idx="1822">
                <c:v>7.2941900000000004E-2</c:v>
              </c:pt>
              <c:pt idx="1823">
                <c:v>7.2981900000000002E-2</c:v>
              </c:pt>
              <c:pt idx="1824">
                <c:v>7.3021900000000001E-2</c:v>
              </c:pt>
              <c:pt idx="1825">
                <c:v>7.3061899999999999E-2</c:v>
              </c:pt>
              <c:pt idx="1826">
                <c:v>7.3101899999999997E-2</c:v>
              </c:pt>
              <c:pt idx="1827">
                <c:v>7.3141899999999996E-2</c:v>
              </c:pt>
              <c:pt idx="1828">
                <c:v>7.3181899999999994E-2</c:v>
              </c:pt>
              <c:pt idx="1829">
                <c:v>7.3221900000000006E-2</c:v>
              </c:pt>
              <c:pt idx="1830">
                <c:v>7.3261900000000005E-2</c:v>
              </c:pt>
              <c:pt idx="1831">
                <c:v>7.3301900000000003E-2</c:v>
              </c:pt>
              <c:pt idx="1832">
                <c:v>7.3341900000000002E-2</c:v>
              </c:pt>
              <c:pt idx="1833">
                <c:v>7.33819E-2</c:v>
              </c:pt>
              <c:pt idx="1834">
                <c:v>7.3421899999999998E-2</c:v>
              </c:pt>
              <c:pt idx="1835">
                <c:v>7.3461899999999997E-2</c:v>
              </c:pt>
              <c:pt idx="1836">
                <c:v>7.3501899999999995E-2</c:v>
              </c:pt>
              <c:pt idx="1837">
                <c:v>7.3541899999999993E-2</c:v>
              </c:pt>
              <c:pt idx="1838">
                <c:v>7.3581900000000006E-2</c:v>
              </c:pt>
              <c:pt idx="1839">
                <c:v>7.3621900000000004E-2</c:v>
              </c:pt>
              <c:pt idx="1840">
                <c:v>7.3661900000000002E-2</c:v>
              </c:pt>
              <c:pt idx="1841">
                <c:v>7.3701900000000001E-2</c:v>
              </c:pt>
              <c:pt idx="1842">
                <c:v>7.3741899999999999E-2</c:v>
              </c:pt>
              <c:pt idx="1843">
                <c:v>7.3781899999999997E-2</c:v>
              </c:pt>
              <c:pt idx="1844">
                <c:v>7.3821899999999996E-2</c:v>
              </c:pt>
              <c:pt idx="1845">
                <c:v>7.3861899999999994E-2</c:v>
              </c:pt>
              <c:pt idx="1846">
                <c:v>7.3901900000000006E-2</c:v>
              </c:pt>
              <c:pt idx="1847">
                <c:v>7.3941900000000005E-2</c:v>
              </c:pt>
              <c:pt idx="1848">
                <c:v>7.3981900000000003E-2</c:v>
              </c:pt>
              <c:pt idx="1849">
                <c:v>7.4021900000000002E-2</c:v>
              </c:pt>
              <c:pt idx="1850">
                <c:v>7.40619E-2</c:v>
              </c:pt>
              <c:pt idx="1851">
                <c:v>7.4101899999999998E-2</c:v>
              </c:pt>
              <c:pt idx="1852">
                <c:v>7.4141899999999997E-2</c:v>
              </c:pt>
              <c:pt idx="1853">
                <c:v>7.4181899999999995E-2</c:v>
              </c:pt>
              <c:pt idx="1854">
                <c:v>7.4221899999999993E-2</c:v>
              </c:pt>
              <c:pt idx="1855">
                <c:v>7.4261900000000006E-2</c:v>
              </c:pt>
              <c:pt idx="1856">
                <c:v>7.4301900000000004E-2</c:v>
              </c:pt>
              <c:pt idx="1857">
                <c:v>7.4341900000000002E-2</c:v>
              </c:pt>
              <c:pt idx="1858">
                <c:v>7.4381900000000001E-2</c:v>
              </c:pt>
              <c:pt idx="1859">
                <c:v>7.4421899999999999E-2</c:v>
              </c:pt>
              <c:pt idx="1860">
                <c:v>7.4461899999999998E-2</c:v>
              </c:pt>
              <c:pt idx="1861">
                <c:v>7.4501899999999996E-2</c:v>
              </c:pt>
              <c:pt idx="1862">
                <c:v>7.4541899999999994E-2</c:v>
              </c:pt>
              <c:pt idx="1863">
                <c:v>7.4581900000000007E-2</c:v>
              </c:pt>
              <c:pt idx="1864">
                <c:v>7.4621900000000005E-2</c:v>
              </c:pt>
              <c:pt idx="1865">
                <c:v>7.4661900000000003E-2</c:v>
              </c:pt>
              <c:pt idx="1866">
                <c:v>7.4701900000000002E-2</c:v>
              </c:pt>
              <c:pt idx="1867">
                <c:v>7.47419E-2</c:v>
              </c:pt>
              <c:pt idx="1868">
                <c:v>7.4781899999999998E-2</c:v>
              </c:pt>
              <c:pt idx="1869">
                <c:v>7.4821899999999997E-2</c:v>
              </c:pt>
              <c:pt idx="1870">
                <c:v>7.4861899999999995E-2</c:v>
              </c:pt>
              <c:pt idx="1871">
                <c:v>7.4901899999999993E-2</c:v>
              </c:pt>
              <c:pt idx="1872">
                <c:v>7.4941900000000006E-2</c:v>
              </c:pt>
              <c:pt idx="1873">
                <c:v>7.4981900000000004E-2</c:v>
              </c:pt>
              <c:pt idx="1874">
                <c:v>7.5021900000000002E-2</c:v>
              </c:pt>
              <c:pt idx="1875">
                <c:v>7.5061900000000001E-2</c:v>
              </c:pt>
              <c:pt idx="1876">
                <c:v>7.5101899999999999E-2</c:v>
              </c:pt>
              <c:pt idx="1877">
                <c:v>7.5141899999999998E-2</c:v>
              </c:pt>
              <c:pt idx="1878">
                <c:v>7.5181899999999996E-2</c:v>
              </c:pt>
              <c:pt idx="1879">
                <c:v>7.5221899999999994E-2</c:v>
              </c:pt>
              <c:pt idx="1880">
                <c:v>7.5261900000000007E-2</c:v>
              </c:pt>
              <c:pt idx="1881">
                <c:v>7.5301900000000005E-2</c:v>
              </c:pt>
              <c:pt idx="1882">
                <c:v>7.5341900000000003E-2</c:v>
              </c:pt>
              <c:pt idx="1883">
                <c:v>7.5381900000000002E-2</c:v>
              </c:pt>
              <c:pt idx="1884">
                <c:v>7.54219E-2</c:v>
              </c:pt>
              <c:pt idx="1885">
                <c:v>7.5461899999999998E-2</c:v>
              </c:pt>
              <c:pt idx="1886">
                <c:v>7.5501899999999997E-2</c:v>
              </c:pt>
              <c:pt idx="1887">
                <c:v>7.5541899999999995E-2</c:v>
              </c:pt>
              <c:pt idx="1888">
                <c:v>7.5581899999999994E-2</c:v>
              </c:pt>
              <c:pt idx="1889">
                <c:v>7.5621900000000006E-2</c:v>
              </c:pt>
              <c:pt idx="1890">
                <c:v>7.5661900000000004E-2</c:v>
              </c:pt>
              <c:pt idx="1891">
                <c:v>7.5701900000000003E-2</c:v>
              </c:pt>
              <c:pt idx="1892">
                <c:v>7.5741900000000001E-2</c:v>
              </c:pt>
              <c:pt idx="1893">
                <c:v>7.5781899999999999E-2</c:v>
              </c:pt>
              <c:pt idx="1894">
                <c:v>7.5821899999999998E-2</c:v>
              </c:pt>
              <c:pt idx="1895">
                <c:v>7.5861899999999996E-2</c:v>
              </c:pt>
              <c:pt idx="1896">
                <c:v>7.5901899999999994E-2</c:v>
              </c:pt>
              <c:pt idx="1897">
                <c:v>7.5941900000000007E-2</c:v>
              </c:pt>
              <c:pt idx="1898">
                <c:v>7.5981900000000005E-2</c:v>
              </c:pt>
              <c:pt idx="1899">
                <c:v>7.6021900000000003E-2</c:v>
              </c:pt>
              <c:pt idx="1900">
                <c:v>7.6061900000000002E-2</c:v>
              </c:pt>
              <c:pt idx="1901">
                <c:v>7.61019E-2</c:v>
              </c:pt>
              <c:pt idx="1902">
                <c:v>7.6141899999999998E-2</c:v>
              </c:pt>
              <c:pt idx="1903">
                <c:v>7.6181899999999997E-2</c:v>
              </c:pt>
              <c:pt idx="1904">
                <c:v>7.6221899999999995E-2</c:v>
              </c:pt>
              <c:pt idx="1905">
                <c:v>7.6261899999999994E-2</c:v>
              </c:pt>
              <c:pt idx="1906">
                <c:v>7.6301900000000006E-2</c:v>
              </c:pt>
              <c:pt idx="1907">
                <c:v>7.6341900000000004E-2</c:v>
              </c:pt>
              <c:pt idx="1908">
                <c:v>7.6381900000000003E-2</c:v>
              </c:pt>
              <c:pt idx="1909">
                <c:v>7.6421900000000001E-2</c:v>
              </c:pt>
              <c:pt idx="1910">
                <c:v>7.6461899999999999E-2</c:v>
              </c:pt>
              <c:pt idx="1911">
                <c:v>7.6501899999999998E-2</c:v>
              </c:pt>
              <c:pt idx="1912">
                <c:v>7.6541899999999996E-2</c:v>
              </c:pt>
              <c:pt idx="1913">
                <c:v>7.6581899999999994E-2</c:v>
              </c:pt>
              <c:pt idx="1914">
                <c:v>7.6621900000000007E-2</c:v>
              </c:pt>
              <c:pt idx="1915">
                <c:v>7.6661900000000005E-2</c:v>
              </c:pt>
              <c:pt idx="1916">
                <c:v>7.6701900000000003E-2</c:v>
              </c:pt>
              <c:pt idx="1917">
                <c:v>7.6741900000000002E-2</c:v>
              </c:pt>
              <c:pt idx="1918">
                <c:v>7.67819E-2</c:v>
              </c:pt>
              <c:pt idx="1919">
                <c:v>7.6821899999999999E-2</c:v>
              </c:pt>
              <c:pt idx="1920">
                <c:v>7.6861899999999997E-2</c:v>
              </c:pt>
              <c:pt idx="1921">
                <c:v>7.6901899999999995E-2</c:v>
              </c:pt>
              <c:pt idx="1922">
                <c:v>7.6941899999999994E-2</c:v>
              </c:pt>
              <c:pt idx="1923">
                <c:v>7.6981900000000006E-2</c:v>
              </c:pt>
              <c:pt idx="1924">
                <c:v>7.7021900000000004E-2</c:v>
              </c:pt>
              <c:pt idx="1925">
                <c:v>7.7061900000000003E-2</c:v>
              </c:pt>
              <c:pt idx="1926">
                <c:v>7.7101900000000001E-2</c:v>
              </c:pt>
              <c:pt idx="1927">
                <c:v>7.7141899999999999E-2</c:v>
              </c:pt>
              <c:pt idx="1928">
                <c:v>7.7181899999999998E-2</c:v>
              </c:pt>
              <c:pt idx="1929">
                <c:v>7.7221899999999996E-2</c:v>
              </c:pt>
              <c:pt idx="1930">
                <c:v>7.7261899999999994E-2</c:v>
              </c:pt>
              <c:pt idx="1931">
                <c:v>7.7301900000000007E-2</c:v>
              </c:pt>
              <c:pt idx="1932">
                <c:v>7.7341900000000005E-2</c:v>
              </c:pt>
              <c:pt idx="1933">
                <c:v>7.7381900000000003E-2</c:v>
              </c:pt>
              <c:pt idx="1934">
                <c:v>7.7421900000000002E-2</c:v>
              </c:pt>
              <c:pt idx="1935">
                <c:v>7.74619E-2</c:v>
              </c:pt>
              <c:pt idx="1936">
                <c:v>7.7501799999999996E-2</c:v>
              </c:pt>
              <c:pt idx="1937">
                <c:v>7.7541799999999994E-2</c:v>
              </c:pt>
              <c:pt idx="1938">
                <c:v>7.7581800000000006E-2</c:v>
              </c:pt>
              <c:pt idx="1939">
                <c:v>7.7621800000000005E-2</c:v>
              </c:pt>
              <c:pt idx="1940">
                <c:v>7.7661800000000003E-2</c:v>
              </c:pt>
              <c:pt idx="1941">
                <c:v>7.7701800000000001E-2</c:v>
              </c:pt>
              <c:pt idx="1942">
                <c:v>7.77418E-2</c:v>
              </c:pt>
              <c:pt idx="1943">
                <c:v>7.7781799999999998E-2</c:v>
              </c:pt>
              <c:pt idx="1944">
                <c:v>7.7821799999999997E-2</c:v>
              </c:pt>
              <c:pt idx="1945">
                <c:v>7.7861799999999995E-2</c:v>
              </c:pt>
              <c:pt idx="1946">
                <c:v>7.7901799999999993E-2</c:v>
              </c:pt>
              <c:pt idx="1947">
                <c:v>7.7941800000000006E-2</c:v>
              </c:pt>
              <c:pt idx="1948">
                <c:v>7.7981800000000004E-2</c:v>
              </c:pt>
              <c:pt idx="1949">
                <c:v>7.8021800000000002E-2</c:v>
              </c:pt>
              <c:pt idx="1950">
                <c:v>7.8061800000000001E-2</c:v>
              </c:pt>
              <c:pt idx="1951">
                <c:v>7.8101799999999999E-2</c:v>
              </c:pt>
              <c:pt idx="1952">
                <c:v>7.8141799999999997E-2</c:v>
              </c:pt>
              <c:pt idx="1953">
                <c:v>7.8181799999999996E-2</c:v>
              </c:pt>
              <c:pt idx="1954">
                <c:v>7.8221799999999994E-2</c:v>
              </c:pt>
              <c:pt idx="1955">
                <c:v>7.8261800000000006E-2</c:v>
              </c:pt>
              <c:pt idx="1956">
                <c:v>7.8301800000000005E-2</c:v>
              </c:pt>
              <c:pt idx="1957">
                <c:v>7.8341800000000003E-2</c:v>
              </c:pt>
              <c:pt idx="1958">
                <c:v>7.8381800000000001E-2</c:v>
              </c:pt>
              <c:pt idx="1959">
                <c:v>7.84218E-2</c:v>
              </c:pt>
              <c:pt idx="1960">
                <c:v>7.8461799999999998E-2</c:v>
              </c:pt>
              <c:pt idx="1961">
                <c:v>7.8501799999999997E-2</c:v>
              </c:pt>
              <c:pt idx="1962">
                <c:v>7.8541799999999995E-2</c:v>
              </c:pt>
              <c:pt idx="1963">
                <c:v>7.8581799999999993E-2</c:v>
              </c:pt>
              <c:pt idx="1964">
                <c:v>7.8621800000000006E-2</c:v>
              </c:pt>
              <c:pt idx="1965">
                <c:v>7.8661800000000004E-2</c:v>
              </c:pt>
              <c:pt idx="1966">
                <c:v>7.8701800000000002E-2</c:v>
              </c:pt>
              <c:pt idx="1967">
                <c:v>7.8741800000000001E-2</c:v>
              </c:pt>
              <c:pt idx="1968">
                <c:v>7.8781799999999999E-2</c:v>
              </c:pt>
              <c:pt idx="1969">
                <c:v>7.8821799999999997E-2</c:v>
              </c:pt>
              <c:pt idx="1970">
                <c:v>7.8861799999999996E-2</c:v>
              </c:pt>
              <c:pt idx="1971">
                <c:v>7.8901799999999994E-2</c:v>
              </c:pt>
              <c:pt idx="1972">
                <c:v>7.8941800000000006E-2</c:v>
              </c:pt>
              <c:pt idx="1973">
                <c:v>7.8981800000000005E-2</c:v>
              </c:pt>
              <c:pt idx="1974">
                <c:v>7.9021800000000003E-2</c:v>
              </c:pt>
              <c:pt idx="1975">
                <c:v>7.9061800000000002E-2</c:v>
              </c:pt>
              <c:pt idx="1976">
                <c:v>7.91018E-2</c:v>
              </c:pt>
              <c:pt idx="1977">
                <c:v>7.9141799999999998E-2</c:v>
              </c:pt>
              <c:pt idx="1978">
                <c:v>7.9181799999999997E-2</c:v>
              </c:pt>
              <c:pt idx="1979">
                <c:v>7.9221799999999995E-2</c:v>
              </c:pt>
              <c:pt idx="1980">
                <c:v>7.9261799999999993E-2</c:v>
              </c:pt>
              <c:pt idx="1981">
                <c:v>7.9301800000000006E-2</c:v>
              </c:pt>
              <c:pt idx="1982">
                <c:v>7.9341800000000004E-2</c:v>
              </c:pt>
              <c:pt idx="1983">
                <c:v>7.9381800000000002E-2</c:v>
              </c:pt>
              <c:pt idx="1984">
                <c:v>7.9421800000000001E-2</c:v>
              </c:pt>
              <c:pt idx="1985">
                <c:v>7.9461799999999999E-2</c:v>
              </c:pt>
              <c:pt idx="1986">
                <c:v>7.9501799999999997E-2</c:v>
              </c:pt>
              <c:pt idx="1987">
                <c:v>7.9541799999999996E-2</c:v>
              </c:pt>
              <c:pt idx="1988">
                <c:v>7.9581799999999994E-2</c:v>
              </c:pt>
              <c:pt idx="1989">
                <c:v>7.9621800000000006E-2</c:v>
              </c:pt>
              <c:pt idx="1990">
                <c:v>7.9661800000000005E-2</c:v>
              </c:pt>
              <c:pt idx="1991">
                <c:v>7.9701800000000003E-2</c:v>
              </c:pt>
              <c:pt idx="1992">
                <c:v>7.9741800000000002E-2</c:v>
              </c:pt>
              <c:pt idx="1993">
                <c:v>7.97818E-2</c:v>
              </c:pt>
              <c:pt idx="1994">
                <c:v>7.9821799999999998E-2</c:v>
              </c:pt>
              <c:pt idx="1995">
                <c:v>7.9861799999999997E-2</c:v>
              </c:pt>
              <c:pt idx="1996">
                <c:v>7.9901799999999995E-2</c:v>
              </c:pt>
              <c:pt idx="1997">
                <c:v>7.9941799999999993E-2</c:v>
              </c:pt>
              <c:pt idx="1998">
                <c:v>7.9981800000000006E-2</c:v>
              </c:pt>
              <c:pt idx="1999">
                <c:v>8.0021800000000004E-2</c:v>
              </c:pt>
              <c:pt idx="2000">
                <c:v>8.0061800000000002E-2</c:v>
              </c:pt>
              <c:pt idx="2001">
                <c:v>8.0101800000000001E-2</c:v>
              </c:pt>
              <c:pt idx="2002">
                <c:v>8.0141799999999999E-2</c:v>
              </c:pt>
              <c:pt idx="2003">
                <c:v>8.0181799999999998E-2</c:v>
              </c:pt>
              <c:pt idx="2004">
                <c:v>8.0221799999999996E-2</c:v>
              </c:pt>
              <c:pt idx="2005">
                <c:v>8.0261799999999994E-2</c:v>
              </c:pt>
              <c:pt idx="2006">
                <c:v>8.0301800000000007E-2</c:v>
              </c:pt>
              <c:pt idx="2007">
                <c:v>8.0341800000000005E-2</c:v>
              </c:pt>
              <c:pt idx="2008">
                <c:v>8.0381800000000003E-2</c:v>
              </c:pt>
              <c:pt idx="2009">
                <c:v>8.0421800000000002E-2</c:v>
              </c:pt>
              <c:pt idx="2010">
                <c:v>8.04618E-2</c:v>
              </c:pt>
              <c:pt idx="2011">
                <c:v>8.0501799999999998E-2</c:v>
              </c:pt>
              <c:pt idx="2012">
                <c:v>8.0541799999999997E-2</c:v>
              </c:pt>
              <c:pt idx="2013">
                <c:v>8.0581799999999995E-2</c:v>
              </c:pt>
              <c:pt idx="2014">
                <c:v>8.0621799999999993E-2</c:v>
              </c:pt>
              <c:pt idx="2015">
                <c:v>8.0661800000000006E-2</c:v>
              </c:pt>
              <c:pt idx="2016">
                <c:v>8.0701800000000004E-2</c:v>
              </c:pt>
              <c:pt idx="2017">
                <c:v>8.0741800000000002E-2</c:v>
              </c:pt>
              <c:pt idx="2018">
                <c:v>8.0781800000000001E-2</c:v>
              </c:pt>
              <c:pt idx="2019">
                <c:v>8.0821799999999999E-2</c:v>
              </c:pt>
              <c:pt idx="2020">
                <c:v>8.0861799999999998E-2</c:v>
              </c:pt>
              <c:pt idx="2021">
                <c:v>8.0901799999999996E-2</c:v>
              </c:pt>
              <c:pt idx="2022">
                <c:v>8.0941799999999994E-2</c:v>
              </c:pt>
              <c:pt idx="2023">
                <c:v>8.0981800000000007E-2</c:v>
              </c:pt>
              <c:pt idx="2024">
                <c:v>8.1021800000000005E-2</c:v>
              </c:pt>
              <c:pt idx="2025">
                <c:v>8.1061800000000003E-2</c:v>
              </c:pt>
              <c:pt idx="2026">
                <c:v>8.1101800000000002E-2</c:v>
              </c:pt>
              <c:pt idx="2027">
                <c:v>8.11418E-2</c:v>
              </c:pt>
              <c:pt idx="2028">
                <c:v>8.1181799999999998E-2</c:v>
              </c:pt>
              <c:pt idx="2029">
                <c:v>8.1221799999999997E-2</c:v>
              </c:pt>
              <c:pt idx="2030">
                <c:v>8.1261799999999995E-2</c:v>
              </c:pt>
              <c:pt idx="2031">
                <c:v>8.1301799999999994E-2</c:v>
              </c:pt>
              <c:pt idx="2032">
                <c:v>8.1341800000000006E-2</c:v>
              </c:pt>
              <c:pt idx="2033">
                <c:v>8.1381800000000004E-2</c:v>
              </c:pt>
              <c:pt idx="2034">
                <c:v>8.1421800000000003E-2</c:v>
              </c:pt>
              <c:pt idx="2035">
                <c:v>8.1461800000000001E-2</c:v>
              </c:pt>
              <c:pt idx="2036">
                <c:v>8.1501799999999999E-2</c:v>
              </c:pt>
              <c:pt idx="2037">
                <c:v>8.1541799999999998E-2</c:v>
              </c:pt>
              <c:pt idx="2038">
                <c:v>8.1581799999999996E-2</c:v>
              </c:pt>
              <c:pt idx="2039">
                <c:v>8.1621799999999994E-2</c:v>
              </c:pt>
              <c:pt idx="2040">
                <c:v>8.1661800000000007E-2</c:v>
              </c:pt>
              <c:pt idx="2041">
                <c:v>8.1701800000000005E-2</c:v>
              </c:pt>
              <c:pt idx="2042">
                <c:v>8.1741800000000003E-2</c:v>
              </c:pt>
              <c:pt idx="2043">
                <c:v>8.1781800000000002E-2</c:v>
              </c:pt>
              <c:pt idx="2044">
                <c:v>8.18218E-2</c:v>
              </c:pt>
              <c:pt idx="2045">
                <c:v>8.1861799999999998E-2</c:v>
              </c:pt>
              <c:pt idx="2046">
                <c:v>8.1901799999999997E-2</c:v>
              </c:pt>
              <c:pt idx="2047">
                <c:v>8.1941799999999995E-2</c:v>
              </c:pt>
              <c:pt idx="2048">
                <c:v>8.1981799999999994E-2</c:v>
              </c:pt>
              <c:pt idx="2049">
                <c:v>8.2021800000000006E-2</c:v>
              </c:pt>
              <c:pt idx="2050">
                <c:v>8.2061800000000004E-2</c:v>
              </c:pt>
              <c:pt idx="2051">
                <c:v>8.2101800000000003E-2</c:v>
              </c:pt>
              <c:pt idx="2052">
                <c:v>8.2141800000000001E-2</c:v>
              </c:pt>
              <c:pt idx="2053">
                <c:v>8.2181799999999999E-2</c:v>
              </c:pt>
              <c:pt idx="2054">
                <c:v>8.2221799999999998E-2</c:v>
              </c:pt>
              <c:pt idx="2055">
                <c:v>8.2261799999999996E-2</c:v>
              </c:pt>
              <c:pt idx="2056">
                <c:v>8.2301799999999994E-2</c:v>
              </c:pt>
              <c:pt idx="2057">
                <c:v>8.2341800000000007E-2</c:v>
              </c:pt>
              <c:pt idx="2058">
                <c:v>8.2381800000000005E-2</c:v>
              </c:pt>
              <c:pt idx="2059">
                <c:v>8.2421800000000003E-2</c:v>
              </c:pt>
              <c:pt idx="2060">
                <c:v>8.2461800000000002E-2</c:v>
              </c:pt>
              <c:pt idx="2061">
                <c:v>8.2501699999999997E-2</c:v>
              </c:pt>
              <c:pt idx="2062">
                <c:v>8.2541699999999996E-2</c:v>
              </c:pt>
              <c:pt idx="2063">
                <c:v>8.2581699999999994E-2</c:v>
              </c:pt>
              <c:pt idx="2064">
                <c:v>8.2621700000000006E-2</c:v>
              </c:pt>
              <c:pt idx="2065">
                <c:v>8.2661700000000005E-2</c:v>
              </c:pt>
              <c:pt idx="2066">
                <c:v>8.2701700000000003E-2</c:v>
              </c:pt>
              <c:pt idx="2067">
                <c:v>8.2741700000000001E-2</c:v>
              </c:pt>
              <c:pt idx="2068">
                <c:v>8.27817E-2</c:v>
              </c:pt>
              <c:pt idx="2069">
                <c:v>8.2821699999999998E-2</c:v>
              </c:pt>
              <c:pt idx="2070">
                <c:v>8.2861699999999996E-2</c:v>
              </c:pt>
              <c:pt idx="2071">
                <c:v>8.2901699999999995E-2</c:v>
              </c:pt>
              <c:pt idx="2072">
                <c:v>8.2941699999999993E-2</c:v>
              </c:pt>
              <c:pt idx="2073">
                <c:v>8.2981700000000005E-2</c:v>
              </c:pt>
              <c:pt idx="2074">
                <c:v>8.3021700000000004E-2</c:v>
              </c:pt>
              <c:pt idx="2075">
                <c:v>8.3061700000000002E-2</c:v>
              </c:pt>
              <c:pt idx="2076">
                <c:v>8.3101700000000001E-2</c:v>
              </c:pt>
              <c:pt idx="2077">
                <c:v>8.3141699999999999E-2</c:v>
              </c:pt>
              <c:pt idx="2078">
                <c:v>8.3181699999999997E-2</c:v>
              </c:pt>
              <c:pt idx="2079">
                <c:v>8.3221699999999996E-2</c:v>
              </c:pt>
              <c:pt idx="2080">
                <c:v>8.3261699999999994E-2</c:v>
              </c:pt>
              <c:pt idx="2081">
                <c:v>8.3301700000000006E-2</c:v>
              </c:pt>
              <c:pt idx="2082">
                <c:v>8.3341700000000005E-2</c:v>
              </c:pt>
              <c:pt idx="2083">
                <c:v>8.3381700000000003E-2</c:v>
              </c:pt>
              <c:pt idx="2084">
                <c:v>8.3421700000000001E-2</c:v>
              </c:pt>
              <c:pt idx="2085">
                <c:v>8.34617E-2</c:v>
              </c:pt>
              <c:pt idx="2086">
                <c:v>8.3501699999999998E-2</c:v>
              </c:pt>
              <c:pt idx="2087">
                <c:v>8.3541699999999997E-2</c:v>
              </c:pt>
              <c:pt idx="2088">
                <c:v>8.3581699999999995E-2</c:v>
              </c:pt>
              <c:pt idx="2089">
                <c:v>8.3621699999999993E-2</c:v>
              </c:pt>
              <c:pt idx="2090">
                <c:v>8.3661700000000006E-2</c:v>
              </c:pt>
              <c:pt idx="2091">
                <c:v>8.3701700000000004E-2</c:v>
              </c:pt>
              <c:pt idx="2092">
                <c:v>8.3741700000000002E-2</c:v>
              </c:pt>
              <c:pt idx="2093">
                <c:v>8.3781700000000001E-2</c:v>
              </c:pt>
              <c:pt idx="2094">
                <c:v>8.3821699999999999E-2</c:v>
              </c:pt>
              <c:pt idx="2095">
                <c:v>8.3861699999999997E-2</c:v>
              </c:pt>
              <c:pt idx="2096">
                <c:v>8.3901699999999996E-2</c:v>
              </c:pt>
              <c:pt idx="2097">
                <c:v>8.3941699999999994E-2</c:v>
              </c:pt>
              <c:pt idx="2098">
                <c:v>8.3981700000000006E-2</c:v>
              </c:pt>
              <c:pt idx="2099">
                <c:v>8.4021700000000005E-2</c:v>
              </c:pt>
              <c:pt idx="2100">
                <c:v>8.4061700000000003E-2</c:v>
              </c:pt>
              <c:pt idx="2101">
                <c:v>8.4101700000000001E-2</c:v>
              </c:pt>
              <c:pt idx="2102">
                <c:v>8.41417E-2</c:v>
              </c:pt>
              <c:pt idx="2103">
                <c:v>8.4181699999999998E-2</c:v>
              </c:pt>
              <c:pt idx="2104">
                <c:v>8.4221699999999997E-2</c:v>
              </c:pt>
              <c:pt idx="2105">
                <c:v>8.4261699999999995E-2</c:v>
              </c:pt>
              <c:pt idx="2106">
                <c:v>8.4301699999999993E-2</c:v>
              </c:pt>
              <c:pt idx="2107">
                <c:v>8.4341700000000006E-2</c:v>
              </c:pt>
              <c:pt idx="2108">
                <c:v>8.4381700000000004E-2</c:v>
              </c:pt>
              <c:pt idx="2109">
                <c:v>8.4421700000000002E-2</c:v>
              </c:pt>
              <c:pt idx="2110">
                <c:v>8.4461700000000001E-2</c:v>
              </c:pt>
              <c:pt idx="2111">
                <c:v>8.4501699999999999E-2</c:v>
              </c:pt>
              <c:pt idx="2112">
                <c:v>8.4541699999999997E-2</c:v>
              </c:pt>
              <c:pt idx="2113">
                <c:v>8.4581699999999996E-2</c:v>
              </c:pt>
              <c:pt idx="2114">
                <c:v>8.4621699999999994E-2</c:v>
              </c:pt>
              <c:pt idx="2115">
                <c:v>8.4661700000000006E-2</c:v>
              </c:pt>
              <c:pt idx="2116">
                <c:v>8.4701700000000005E-2</c:v>
              </c:pt>
              <c:pt idx="2117">
                <c:v>8.4741700000000003E-2</c:v>
              </c:pt>
              <c:pt idx="2118">
                <c:v>8.4781700000000002E-2</c:v>
              </c:pt>
              <c:pt idx="2119">
                <c:v>8.48217E-2</c:v>
              </c:pt>
              <c:pt idx="2120">
                <c:v>8.4861699999999998E-2</c:v>
              </c:pt>
              <c:pt idx="2121">
                <c:v>8.4901699999999997E-2</c:v>
              </c:pt>
              <c:pt idx="2122">
                <c:v>8.4941699999999995E-2</c:v>
              </c:pt>
              <c:pt idx="2123">
                <c:v>8.4981699999999993E-2</c:v>
              </c:pt>
              <c:pt idx="2124">
                <c:v>8.5021700000000006E-2</c:v>
              </c:pt>
              <c:pt idx="2125">
                <c:v>8.5061700000000004E-2</c:v>
              </c:pt>
              <c:pt idx="2126">
                <c:v>8.5101599999999999E-2</c:v>
              </c:pt>
              <c:pt idx="2127">
                <c:v>8.5141599999999998E-2</c:v>
              </c:pt>
              <c:pt idx="2128">
                <c:v>8.5181599999999996E-2</c:v>
              </c:pt>
              <c:pt idx="2129">
                <c:v>8.5221599999999995E-2</c:v>
              </c:pt>
              <c:pt idx="2130">
                <c:v>8.5261600000000007E-2</c:v>
              </c:pt>
              <c:pt idx="2131">
                <c:v>8.5301600000000005E-2</c:v>
              </c:pt>
              <c:pt idx="2132">
                <c:v>8.5341600000000004E-2</c:v>
              </c:pt>
              <c:pt idx="2133">
                <c:v>8.5381600000000002E-2</c:v>
              </c:pt>
              <c:pt idx="2134">
                <c:v>8.54216E-2</c:v>
              </c:pt>
              <c:pt idx="2135">
                <c:v>8.5461599999999999E-2</c:v>
              </c:pt>
              <c:pt idx="2136">
                <c:v>8.5501599999999997E-2</c:v>
              </c:pt>
              <c:pt idx="2137">
                <c:v>8.5541599999999995E-2</c:v>
              </c:pt>
              <c:pt idx="2138">
                <c:v>8.5581599999999994E-2</c:v>
              </c:pt>
              <c:pt idx="2139">
                <c:v>8.5621600000000006E-2</c:v>
              </c:pt>
              <c:pt idx="2140">
                <c:v>8.5661600000000004E-2</c:v>
              </c:pt>
              <c:pt idx="2141">
                <c:v>8.5701600000000003E-2</c:v>
              </c:pt>
              <c:pt idx="2142">
                <c:v>8.5741600000000001E-2</c:v>
              </c:pt>
              <c:pt idx="2143">
                <c:v>8.57816E-2</c:v>
              </c:pt>
              <c:pt idx="2144">
                <c:v>8.5821599999999998E-2</c:v>
              </c:pt>
              <c:pt idx="2145">
                <c:v>8.5861599999999996E-2</c:v>
              </c:pt>
              <c:pt idx="2146">
                <c:v>8.5901599999999995E-2</c:v>
              </c:pt>
              <c:pt idx="2147">
                <c:v>8.5941600000000007E-2</c:v>
              </c:pt>
              <c:pt idx="2148">
                <c:v>8.5981600000000005E-2</c:v>
              </c:pt>
              <c:pt idx="2149">
                <c:v>8.6021600000000004E-2</c:v>
              </c:pt>
              <c:pt idx="2150">
                <c:v>8.6061600000000002E-2</c:v>
              </c:pt>
              <c:pt idx="2151">
                <c:v>8.61016E-2</c:v>
              </c:pt>
              <c:pt idx="2152">
                <c:v>8.6141599999999999E-2</c:v>
              </c:pt>
              <c:pt idx="2153">
                <c:v>8.6181599999999997E-2</c:v>
              </c:pt>
              <c:pt idx="2154">
                <c:v>8.6221599999999995E-2</c:v>
              </c:pt>
              <c:pt idx="2155">
                <c:v>8.6261599999999994E-2</c:v>
              </c:pt>
              <c:pt idx="2156">
                <c:v>8.6301600000000006E-2</c:v>
              </c:pt>
              <c:pt idx="2157">
                <c:v>8.6341600000000004E-2</c:v>
              </c:pt>
              <c:pt idx="2158">
                <c:v>8.6381600000000003E-2</c:v>
              </c:pt>
              <c:pt idx="2159">
                <c:v>8.6421600000000001E-2</c:v>
              </c:pt>
              <c:pt idx="2160">
                <c:v>8.64616E-2</c:v>
              </c:pt>
              <c:pt idx="2161">
                <c:v>8.6501599999999998E-2</c:v>
              </c:pt>
              <c:pt idx="2162">
                <c:v>8.6541599999999996E-2</c:v>
              </c:pt>
              <c:pt idx="2163">
                <c:v>8.6581599999999995E-2</c:v>
              </c:pt>
              <c:pt idx="2164">
                <c:v>8.6621600000000007E-2</c:v>
              </c:pt>
              <c:pt idx="2165">
                <c:v>8.6661600000000005E-2</c:v>
              </c:pt>
              <c:pt idx="2166">
                <c:v>8.6701600000000004E-2</c:v>
              </c:pt>
              <c:pt idx="2167">
                <c:v>8.6741600000000002E-2</c:v>
              </c:pt>
              <c:pt idx="2168">
                <c:v>8.67816E-2</c:v>
              </c:pt>
              <c:pt idx="2169">
                <c:v>8.6821599999999999E-2</c:v>
              </c:pt>
              <c:pt idx="2170">
                <c:v>8.6861599999999997E-2</c:v>
              </c:pt>
              <c:pt idx="2171">
                <c:v>8.6901599999999996E-2</c:v>
              </c:pt>
              <c:pt idx="2172">
                <c:v>8.6941599999999994E-2</c:v>
              </c:pt>
              <c:pt idx="2173">
                <c:v>8.6981600000000006E-2</c:v>
              </c:pt>
              <c:pt idx="2174">
                <c:v>8.7021600000000005E-2</c:v>
              </c:pt>
              <c:pt idx="2175">
                <c:v>8.7061600000000003E-2</c:v>
              </c:pt>
              <c:pt idx="2176">
                <c:v>8.7101600000000001E-2</c:v>
              </c:pt>
              <c:pt idx="2177">
                <c:v>8.71416E-2</c:v>
              </c:pt>
              <c:pt idx="2178">
                <c:v>8.7181599999999998E-2</c:v>
              </c:pt>
              <c:pt idx="2179">
                <c:v>8.7221499999999993E-2</c:v>
              </c:pt>
              <c:pt idx="2180">
                <c:v>8.7261500000000006E-2</c:v>
              </c:pt>
              <c:pt idx="2181">
                <c:v>8.7301500000000004E-2</c:v>
              </c:pt>
              <c:pt idx="2182">
                <c:v>8.7341500000000002E-2</c:v>
              </c:pt>
              <c:pt idx="2183">
                <c:v>8.7381500000000001E-2</c:v>
              </c:pt>
              <c:pt idx="2184">
                <c:v>8.7421499999999999E-2</c:v>
              </c:pt>
              <c:pt idx="2185">
                <c:v>8.7461499999999998E-2</c:v>
              </c:pt>
              <c:pt idx="2186">
                <c:v>8.7501499999999996E-2</c:v>
              </c:pt>
              <c:pt idx="2187">
                <c:v>8.7541499999999994E-2</c:v>
              </c:pt>
              <c:pt idx="2188">
                <c:v>8.7581500000000007E-2</c:v>
              </c:pt>
              <c:pt idx="2189">
                <c:v>8.7621500000000005E-2</c:v>
              </c:pt>
              <c:pt idx="2190">
                <c:v>8.7661500000000003E-2</c:v>
              </c:pt>
              <c:pt idx="2191">
                <c:v>8.7701500000000002E-2</c:v>
              </c:pt>
              <c:pt idx="2192">
                <c:v>8.77415E-2</c:v>
              </c:pt>
              <c:pt idx="2193">
                <c:v>8.7781499999999998E-2</c:v>
              </c:pt>
              <c:pt idx="2194">
                <c:v>8.7821499999999997E-2</c:v>
              </c:pt>
              <c:pt idx="2195">
                <c:v>8.7861499999999995E-2</c:v>
              </c:pt>
              <c:pt idx="2196">
                <c:v>8.7901499999999994E-2</c:v>
              </c:pt>
              <c:pt idx="2197">
                <c:v>8.7941500000000006E-2</c:v>
              </c:pt>
              <c:pt idx="2198">
                <c:v>8.7981500000000004E-2</c:v>
              </c:pt>
              <c:pt idx="2199">
                <c:v>8.8021500000000003E-2</c:v>
              </c:pt>
              <c:pt idx="2200">
                <c:v>8.8061500000000001E-2</c:v>
              </c:pt>
              <c:pt idx="2201">
                <c:v>8.8101499999999999E-2</c:v>
              </c:pt>
              <c:pt idx="2202">
                <c:v>8.8141499999999998E-2</c:v>
              </c:pt>
              <c:pt idx="2203">
                <c:v>8.8181499999999996E-2</c:v>
              </c:pt>
              <c:pt idx="2204">
                <c:v>8.8221499999999994E-2</c:v>
              </c:pt>
              <c:pt idx="2205">
                <c:v>8.8261500000000007E-2</c:v>
              </c:pt>
              <c:pt idx="2206">
                <c:v>8.8301500000000005E-2</c:v>
              </c:pt>
              <c:pt idx="2207">
                <c:v>8.8341500000000003E-2</c:v>
              </c:pt>
              <c:pt idx="2208">
                <c:v>8.8381500000000002E-2</c:v>
              </c:pt>
              <c:pt idx="2209">
                <c:v>8.84215E-2</c:v>
              </c:pt>
              <c:pt idx="2210">
                <c:v>8.8461499999999998E-2</c:v>
              </c:pt>
              <c:pt idx="2211">
                <c:v>8.8501499999999997E-2</c:v>
              </c:pt>
              <c:pt idx="2212">
                <c:v>8.8541499999999995E-2</c:v>
              </c:pt>
              <c:pt idx="2213">
                <c:v>8.8581499999999994E-2</c:v>
              </c:pt>
              <c:pt idx="2214">
                <c:v>8.8621500000000006E-2</c:v>
              </c:pt>
              <c:pt idx="2215">
                <c:v>8.8661500000000004E-2</c:v>
              </c:pt>
              <c:pt idx="2216">
                <c:v>8.8701500000000003E-2</c:v>
              </c:pt>
              <c:pt idx="2217">
                <c:v>8.8741500000000001E-2</c:v>
              </c:pt>
              <c:pt idx="2218">
                <c:v>8.8781499999999999E-2</c:v>
              </c:pt>
              <c:pt idx="2219">
                <c:v>8.8821499999999998E-2</c:v>
              </c:pt>
              <c:pt idx="2220">
                <c:v>8.8861499999999996E-2</c:v>
              </c:pt>
              <c:pt idx="2221">
                <c:v>8.8901499999999994E-2</c:v>
              </c:pt>
              <c:pt idx="2222">
                <c:v>8.8941500000000007E-2</c:v>
              </c:pt>
              <c:pt idx="2223">
                <c:v>8.8981500000000005E-2</c:v>
              </c:pt>
              <c:pt idx="2224">
                <c:v>8.9021500000000003E-2</c:v>
              </c:pt>
              <c:pt idx="2225">
                <c:v>8.9061500000000002E-2</c:v>
              </c:pt>
              <c:pt idx="2226">
                <c:v>8.91015E-2</c:v>
              </c:pt>
              <c:pt idx="2227">
                <c:v>8.9141499999999999E-2</c:v>
              </c:pt>
              <c:pt idx="2228">
                <c:v>8.9181499999999997E-2</c:v>
              </c:pt>
              <c:pt idx="2229">
                <c:v>8.9221499999999995E-2</c:v>
              </c:pt>
              <c:pt idx="2230">
                <c:v>8.9261499999999994E-2</c:v>
              </c:pt>
              <c:pt idx="2231">
                <c:v>8.9301400000000003E-2</c:v>
              </c:pt>
              <c:pt idx="2232">
                <c:v>8.9341400000000001E-2</c:v>
              </c:pt>
              <c:pt idx="2233">
                <c:v>8.93814E-2</c:v>
              </c:pt>
              <c:pt idx="2234">
                <c:v>8.9421399999999998E-2</c:v>
              </c:pt>
              <c:pt idx="2235">
                <c:v>8.9461399999999996E-2</c:v>
              </c:pt>
              <c:pt idx="2236">
                <c:v>8.9501399999999995E-2</c:v>
              </c:pt>
              <c:pt idx="2237">
                <c:v>8.9541399999999993E-2</c:v>
              </c:pt>
              <c:pt idx="2238">
                <c:v>8.9581400000000005E-2</c:v>
              </c:pt>
              <c:pt idx="2239">
                <c:v>8.9621400000000004E-2</c:v>
              </c:pt>
              <c:pt idx="2240">
                <c:v>8.9661400000000002E-2</c:v>
              </c:pt>
              <c:pt idx="2241">
                <c:v>8.9701400000000001E-2</c:v>
              </c:pt>
              <c:pt idx="2242">
                <c:v>8.9741399999999999E-2</c:v>
              </c:pt>
              <c:pt idx="2243">
                <c:v>8.9781399999999997E-2</c:v>
              </c:pt>
              <c:pt idx="2244">
                <c:v>8.9821399999999996E-2</c:v>
              </c:pt>
              <c:pt idx="2245">
                <c:v>8.9861399999999994E-2</c:v>
              </c:pt>
              <c:pt idx="2246">
                <c:v>8.9901400000000006E-2</c:v>
              </c:pt>
              <c:pt idx="2247">
                <c:v>8.9941400000000005E-2</c:v>
              </c:pt>
              <c:pt idx="2248">
                <c:v>8.9981400000000003E-2</c:v>
              </c:pt>
              <c:pt idx="2249">
                <c:v>9.0021400000000001E-2</c:v>
              </c:pt>
              <c:pt idx="2250">
                <c:v>9.00614E-2</c:v>
              </c:pt>
              <c:pt idx="2251">
                <c:v>9.0101399999999998E-2</c:v>
              </c:pt>
              <c:pt idx="2252">
                <c:v>9.0141399999999997E-2</c:v>
              </c:pt>
              <c:pt idx="2253">
                <c:v>9.0181399999999995E-2</c:v>
              </c:pt>
              <c:pt idx="2254">
                <c:v>9.0221399999999993E-2</c:v>
              </c:pt>
              <c:pt idx="2255">
                <c:v>9.0261400000000006E-2</c:v>
              </c:pt>
              <c:pt idx="2256">
                <c:v>9.0301400000000004E-2</c:v>
              </c:pt>
              <c:pt idx="2257">
                <c:v>9.0341400000000002E-2</c:v>
              </c:pt>
              <c:pt idx="2258">
                <c:v>9.0381400000000001E-2</c:v>
              </c:pt>
              <c:pt idx="2259">
                <c:v>9.0421399999999999E-2</c:v>
              </c:pt>
              <c:pt idx="2260">
                <c:v>9.0461399999999997E-2</c:v>
              </c:pt>
              <c:pt idx="2261">
                <c:v>9.0501399999999996E-2</c:v>
              </c:pt>
              <c:pt idx="2262">
                <c:v>9.0541399999999994E-2</c:v>
              </c:pt>
              <c:pt idx="2263">
                <c:v>9.0581400000000006E-2</c:v>
              </c:pt>
              <c:pt idx="2264">
                <c:v>9.0621400000000005E-2</c:v>
              </c:pt>
              <c:pt idx="2265">
                <c:v>9.0661400000000003E-2</c:v>
              </c:pt>
              <c:pt idx="2266">
                <c:v>9.0701400000000001E-2</c:v>
              </c:pt>
              <c:pt idx="2267">
                <c:v>9.07414E-2</c:v>
              </c:pt>
              <c:pt idx="2268">
                <c:v>9.0781399999999998E-2</c:v>
              </c:pt>
              <c:pt idx="2269">
                <c:v>9.0821399999999997E-2</c:v>
              </c:pt>
              <c:pt idx="2270">
                <c:v>9.0861399999999995E-2</c:v>
              </c:pt>
              <c:pt idx="2271">
                <c:v>9.0901399999999993E-2</c:v>
              </c:pt>
              <c:pt idx="2272">
                <c:v>9.0941400000000006E-2</c:v>
              </c:pt>
              <c:pt idx="2273">
                <c:v>9.0981400000000004E-2</c:v>
              </c:pt>
              <c:pt idx="2274">
                <c:v>9.1021400000000002E-2</c:v>
              </c:pt>
              <c:pt idx="2275">
                <c:v>9.1061400000000001E-2</c:v>
              </c:pt>
              <c:pt idx="2276">
                <c:v>9.1101399999999999E-2</c:v>
              </c:pt>
              <c:pt idx="2277">
                <c:v>9.1141399999999997E-2</c:v>
              </c:pt>
              <c:pt idx="2278">
                <c:v>9.1181399999999996E-2</c:v>
              </c:pt>
              <c:pt idx="2279">
                <c:v>9.1221399999999994E-2</c:v>
              </c:pt>
              <c:pt idx="2280">
                <c:v>9.1261400000000006E-2</c:v>
              </c:pt>
              <c:pt idx="2281">
                <c:v>9.1301400000000005E-2</c:v>
              </c:pt>
              <c:pt idx="2282">
                <c:v>9.1341400000000003E-2</c:v>
              </c:pt>
              <c:pt idx="2283">
                <c:v>9.1381400000000002E-2</c:v>
              </c:pt>
              <c:pt idx="2284">
                <c:v>9.1421299999999997E-2</c:v>
              </c:pt>
              <c:pt idx="2285">
                <c:v>9.1461299999999995E-2</c:v>
              </c:pt>
              <c:pt idx="2286">
                <c:v>9.1501299999999994E-2</c:v>
              </c:pt>
              <c:pt idx="2287">
                <c:v>9.1541300000000006E-2</c:v>
              </c:pt>
              <c:pt idx="2288">
                <c:v>9.1581300000000004E-2</c:v>
              </c:pt>
              <c:pt idx="2289">
                <c:v>9.1621300000000003E-2</c:v>
              </c:pt>
              <c:pt idx="2290">
                <c:v>9.1661300000000001E-2</c:v>
              </c:pt>
              <c:pt idx="2291">
                <c:v>9.1701299999999999E-2</c:v>
              </c:pt>
              <c:pt idx="2292">
                <c:v>9.1741299999999998E-2</c:v>
              </c:pt>
              <c:pt idx="2293">
                <c:v>9.1781299999999996E-2</c:v>
              </c:pt>
              <c:pt idx="2294">
                <c:v>9.1821299999999995E-2</c:v>
              </c:pt>
              <c:pt idx="2295">
                <c:v>9.1861300000000007E-2</c:v>
              </c:pt>
              <c:pt idx="2296">
                <c:v>9.1901300000000005E-2</c:v>
              </c:pt>
              <c:pt idx="2297">
                <c:v>9.1941300000000004E-2</c:v>
              </c:pt>
              <c:pt idx="2298">
                <c:v>9.1981300000000002E-2</c:v>
              </c:pt>
              <c:pt idx="2299">
                <c:v>9.20213E-2</c:v>
              </c:pt>
              <c:pt idx="2300">
                <c:v>9.2061299999999999E-2</c:v>
              </c:pt>
              <c:pt idx="2301">
                <c:v>9.2101299999999997E-2</c:v>
              </c:pt>
              <c:pt idx="2302">
                <c:v>9.2141299999999995E-2</c:v>
              </c:pt>
              <c:pt idx="2303">
                <c:v>9.2181299999999994E-2</c:v>
              </c:pt>
              <c:pt idx="2304">
                <c:v>9.2221300000000006E-2</c:v>
              </c:pt>
              <c:pt idx="2305">
                <c:v>9.2261300000000004E-2</c:v>
              </c:pt>
              <c:pt idx="2306">
                <c:v>9.2301300000000003E-2</c:v>
              </c:pt>
              <c:pt idx="2307">
                <c:v>9.2341300000000001E-2</c:v>
              </c:pt>
              <c:pt idx="2308">
                <c:v>9.23813E-2</c:v>
              </c:pt>
              <c:pt idx="2309">
                <c:v>9.2421299999999998E-2</c:v>
              </c:pt>
              <c:pt idx="2310">
                <c:v>9.2461299999999996E-2</c:v>
              </c:pt>
              <c:pt idx="2311">
                <c:v>9.2501299999999995E-2</c:v>
              </c:pt>
              <c:pt idx="2312">
                <c:v>9.2541300000000007E-2</c:v>
              </c:pt>
              <c:pt idx="2313">
                <c:v>9.2581300000000005E-2</c:v>
              </c:pt>
              <c:pt idx="2314">
                <c:v>9.2621300000000004E-2</c:v>
              </c:pt>
              <c:pt idx="2315">
                <c:v>9.2661300000000002E-2</c:v>
              </c:pt>
              <c:pt idx="2316">
                <c:v>9.27013E-2</c:v>
              </c:pt>
              <c:pt idx="2317">
                <c:v>9.2741299999999999E-2</c:v>
              </c:pt>
              <c:pt idx="2318">
                <c:v>9.2781299999999997E-2</c:v>
              </c:pt>
              <c:pt idx="2319">
                <c:v>9.2821299999999995E-2</c:v>
              </c:pt>
              <c:pt idx="2320">
                <c:v>9.2861299999999994E-2</c:v>
              </c:pt>
              <c:pt idx="2321">
                <c:v>9.2901300000000006E-2</c:v>
              </c:pt>
              <c:pt idx="2322">
                <c:v>9.2941300000000004E-2</c:v>
              </c:pt>
              <c:pt idx="2323">
                <c:v>9.2981300000000003E-2</c:v>
              </c:pt>
              <c:pt idx="2324">
                <c:v>9.3021300000000001E-2</c:v>
              </c:pt>
              <c:pt idx="2325">
                <c:v>9.30613E-2</c:v>
              </c:pt>
              <c:pt idx="2326">
                <c:v>9.3101299999999998E-2</c:v>
              </c:pt>
              <c:pt idx="2327">
                <c:v>9.3141299999999996E-2</c:v>
              </c:pt>
              <c:pt idx="2328">
                <c:v>9.3181299999999995E-2</c:v>
              </c:pt>
              <c:pt idx="2329">
                <c:v>9.3221300000000007E-2</c:v>
              </c:pt>
              <c:pt idx="2330">
                <c:v>9.3261300000000005E-2</c:v>
              </c:pt>
              <c:pt idx="2331">
                <c:v>9.3301300000000004E-2</c:v>
              </c:pt>
              <c:pt idx="2332">
                <c:v>9.3341300000000002E-2</c:v>
              </c:pt>
              <c:pt idx="2333">
                <c:v>9.33813E-2</c:v>
              </c:pt>
              <c:pt idx="2334">
                <c:v>9.3421299999999999E-2</c:v>
              </c:pt>
              <c:pt idx="2335">
                <c:v>9.3461299999999997E-2</c:v>
              </c:pt>
              <c:pt idx="2336">
                <c:v>9.3501299999999996E-2</c:v>
              </c:pt>
              <c:pt idx="2337">
                <c:v>9.3541200000000005E-2</c:v>
              </c:pt>
              <c:pt idx="2338">
                <c:v>9.3581200000000003E-2</c:v>
              </c:pt>
              <c:pt idx="2339">
                <c:v>9.3621200000000002E-2</c:v>
              </c:pt>
              <c:pt idx="2340">
                <c:v>9.36612E-2</c:v>
              </c:pt>
              <c:pt idx="2341">
                <c:v>9.3701199999999998E-2</c:v>
              </c:pt>
              <c:pt idx="2342">
                <c:v>9.3741199999999997E-2</c:v>
              </c:pt>
              <c:pt idx="2343">
                <c:v>9.3781199999999995E-2</c:v>
              </c:pt>
              <c:pt idx="2344">
                <c:v>9.3821199999999993E-2</c:v>
              </c:pt>
              <c:pt idx="2345">
                <c:v>9.3861200000000006E-2</c:v>
              </c:pt>
              <c:pt idx="2346">
                <c:v>9.3901200000000004E-2</c:v>
              </c:pt>
              <c:pt idx="2347">
                <c:v>9.3941200000000002E-2</c:v>
              </c:pt>
              <c:pt idx="2348">
                <c:v>9.3981200000000001E-2</c:v>
              </c:pt>
              <c:pt idx="2349">
                <c:v>9.4021199999999999E-2</c:v>
              </c:pt>
              <c:pt idx="2350">
                <c:v>9.4061199999999998E-2</c:v>
              </c:pt>
              <c:pt idx="2351">
                <c:v>9.4101199999999996E-2</c:v>
              </c:pt>
              <c:pt idx="2352">
                <c:v>9.4141199999999994E-2</c:v>
              </c:pt>
              <c:pt idx="2353">
                <c:v>9.4181200000000007E-2</c:v>
              </c:pt>
              <c:pt idx="2354">
                <c:v>9.4221200000000005E-2</c:v>
              </c:pt>
              <c:pt idx="2355">
                <c:v>9.4261200000000003E-2</c:v>
              </c:pt>
              <c:pt idx="2356">
                <c:v>9.4301200000000002E-2</c:v>
              </c:pt>
              <c:pt idx="2357">
                <c:v>9.43412E-2</c:v>
              </c:pt>
              <c:pt idx="2358">
                <c:v>9.4381199999999998E-2</c:v>
              </c:pt>
              <c:pt idx="2359">
                <c:v>9.4421199999999997E-2</c:v>
              </c:pt>
              <c:pt idx="2360">
                <c:v>9.4461199999999995E-2</c:v>
              </c:pt>
              <c:pt idx="2361">
                <c:v>9.4501199999999994E-2</c:v>
              </c:pt>
              <c:pt idx="2362">
                <c:v>9.4541200000000006E-2</c:v>
              </c:pt>
              <c:pt idx="2363">
                <c:v>9.4581200000000004E-2</c:v>
              </c:pt>
              <c:pt idx="2364">
                <c:v>9.4621200000000003E-2</c:v>
              </c:pt>
              <c:pt idx="2365">
                <c:v>9.4661200000000001E-2</c:v>
              </c:pt>
              <c:pt idx="2366">
                <c:v>9.4701199999999999E-2</c:v>
              </c:pt>
              <c:pt idx="2367">
                <c:v>9.4741199999999998E-2</c:v>
              </c:pt>
              <c:pt idx="2368">
                <c:v>9.4781199999999996E-2</c:v>
              </c:pt>
              <c:pt idx="2369">
                <c:v>9.4821199999999994E-2</c:v>
              </c:pt>
              <c:pt idx="2370">
                <c:v>9.4861200000000007E-2</c:v>
              </c:pt>
              <c:pt idx="2371">
                <c:v>9.4901200000000005E-2</c:v>
              </c:pt>
              <c:pt idx="2372">
                <c:v>9.4941200000000003E-2</c:v>
              </c:pt>
              <c:pt idx="2373">
                <c:v>9.4981200000000002E-2</c:v>
              </c:pt>
              <c:pt idx="2374">
                <c:v>9.50212E-2</c:v>
              </c:pt>
              <c:pt idx="2375">
                <c:v>9.5061199999999998E-2</c:v>
              </c:pt>
              <c:pt idx="2376">
                <c:v>9.5101199999999997E-2</c:v>
              </c:pt>
              <c:pt idx="2377">
                <c:v>9.5141199999999995E-2</c:v>
              </c:pt>
              <c:pt idx="2378">
                <c:v>9.5181199999999994E-2</c:v>
              </c:pt>
              <c:pt idx="2379">
                <c:v>9.5221200000000006E-2</c:v>
              </c:pt>
              <c:pt idx="2380">
                <c:v>9.5261200000000004E-2</c:v>
              </c:pt>
              <c:pt idx="2381">
                <c:v>9.5301200000000003E-2</c:v>
              </c:pt>
              <c:pt idx="2382">
                <c:v>9.5341200000000001E-2</c:v>
              </c:pt>
              <c:pt idx="2383">
                <c:v>9.5381199999999999E-2</c:v>
              </c:pt>
              <c:pt idx="2384">
                <c:v>9.5421199999999998E-2</c:v>
              </c:pt>
              <c:pt idx="2385">
                <c:v>9.5461199999999996E-2</c:v>
              </c:pt>
              <c:pt idx="2386">
                <c:v>9.5501199999999994E-2</c:v>
              </c:pt>
              <c:pt idx="2387">
                <c:v>9.5541200000000007E-2</c:v>
              </c:pt>
              <c:pt idx="2388">
                <c:v>9.5581200000000005E-2</c:v>
              </c:pt>
              <c:pt idx="2389">
                <c:v>9.5621200000000003E-2</c:v>
              </c:pt>
              <c:pt idx="2390">
                <c:v>9.5661099999999999E-2</c:v>
              </c:pt>
              <c:pt idx="2391">
                <c:v>9.5701099999999997E-2</c:v>
              </c:pt>
              <c:pt idx="2392">
                <c:v>9.5741099999999996E-2</c:v>
              </c:pt>
              <c:pt idx="2393">
                <c:v>9.5781099999999994E-2</c:v>
              </c:pt>
              <c:pt idx="2394">
                <c:v>9.5821100000000006E-2</c:v>
              </c:pt>
              <c:pt idx="2395">
                <c:v>9.5861100000000005E-2</c:v>
              </c:pt>
              <c:pt idx="2396">
                <c:v>9.5901100000000003E-2</c:v>
              </c:pt>
              <c:pt idx="2397">
                <c:v>9.5941100000000001E-2</c:v>
              </c:pt>
              <c:pt idx="2398">
                <c:v>9.59811E-2</c:v>
              </c:pt>
              <c:pt idx="2399">
                <c:v>9.6021099999999998E-2</c:v>
              </c:pt>
              <c:pt idx="2400">
                <c:v>9.6061099999999996E-2</c:v>
              </c:pt>
              <c:pt idx="2401">
                <c:v>9.6101099999999995E-2</c:v>
              </c:pt>
              <c:pt idx="2402">
                <c:v>9.6141099999999993E-2</c:v>
              </c:pt>
              <c:pt idx="2403">
                <c:v>9.6181100000000005E-2</c:v>
              </c:pt>
              <c:pt idx="2404">
                <c:v>9.6221100000000004E-2</c:v>
              </c:pt>
              <c:pt idx="2405">
                <c:v>9.6261100000000002E-2</c:v>
              </c:pt>
              <c:pt idx="2406">
                <c:v>9.6301100000000001E-2</c:v>
              </c:pt>
              <c:pt idx="2407">
                <c:v>9.6341099999999999E-2</c:v>
              </c:pt>
              <c:pt idx="2408">
                <c:v>9.6381099999999997E-2</c:v>
              </c:pt>
              <c:pt idx="2409">
                <c:v>9.6421099999999996E-2</c:v>
              </c:pt>
              <c:pt idx="2410">
                <c:v>9.6461099999999994E-2</c:v>
              </c:pt>
              <c:pt idx="2411">
                <c:v>9.6501100000000006E-2</c:v>
              </c:pt>
              <c:pt idx="2412">
                <c:v>9.6541100000000005E-2</c:v>
              </c:pt>
              <c:pt idx="2413">
                <c:v>9.6581100000000003E-2</c:v>
              </c:pt>
              <c:pt idx="2414">
                <c:v>9.6621100000000001E-2</c:v>
              </c:pt>
              <c:pt idx="2415">
                <c:v>9.66611E-2</c:v>
              </c:pt>
              <c:pt idx="2416">
                <c:v>9.6701099999999998E-2</c:v>
              </c:pt>
              <c:pt idx="2417">
                <c:v>9.6741099999999997E-2</c:v>
              </c:pt>
              <c:pt idx="2418">
                <c:v>9.6781099999999995E-2</c:v>
              </c:pt>
              <c:pt idx="2419">
                <c:v>9.6821099999999993E-2</c:v>
              </c:pt>
              <c:pt idx="2420">
                <c:v>9.6861100000000006E-2</c:v>
              </c:pt>
              <c:pt idx="2421">
                <c:v>9.6901100000000004E-2</c:v>
              </c:pt>
              <c:pt idx="2422">
                <c:v>9.6941100000000002E-2</c:v>
              </c:pt>
              <c:pt idx="2423">
                <c:v>9.6981100000000001E-2</c:v>
              </c:pt>
              <c:pt idx="2424">
                <c:v>9.7021099999999999E-2</c:v>
              </c:pt>
              <c:pt idx="2425">
                <c:v>9.7061099999999997E-2</c:v>
              </c:pt>
              <c:pt idx="2426">
                <c:v>9.7101099999999996E-2</c:v>
              </c:pt>
              <c:pt idx="2427">
                <c:v>9.7141099999999994E-2</c:v>
              </c:pt>
              <c:pt idx="2428">
                <c:v>9.7181100000000006E-2</c:v>
              </c:pt>
              <c:pt idx="2429">
                <c:v>9.7221100000000005E-2</c:v>
              </c:pt>
              <c:pt idx="2430">
                <c:v>9.7261100000000003E-2</c:v>
              </c:pt>
              <c:pt idx="2431">
                <c:v>9.7301100000000001E-2</c:v>
              </c:pt>
              <c:pt idx="2432">
                <c:v>9.73411E-2</c:v>
              </c:pt>
              <c:pt idx="2433">
                <c:v>9.7381099999999998E-2</c:v>
              </c:pt>
              <c:pt idx="2434">
                <c:v>9.7421099999999997E-2</c:v>
              </c:pt>
              <c:pt idx="2435">
                <c:v>9.7461099999999995E-2</c:v>
              </c:pt>
              <c:pt idx="2436">
                <c:v>9.7501099999999993E-2</c:v>
              </c:pt>
              <c:pt idx="2437">
                <c:v>9.7541000000000003E-2</c:v>
              </c:pt>
              <c:pt idx="2438">
                <c:v>9.7581000000000001E-2</c:v>
              </c:pt>
              <c:pt idx="2439">
                <c:v>9.7620999999999999E-2</c:v>
              </c:pt>
              <c:pt idx="2440">
                <c:v>9.7660999999999998E-2</c:v>
              </c:pt>
              <c:pt idx="2441">
                <c:v>9.7700999999999996E-2</c:v>
              </c:pt>
              <c:pt idx="2442">
                <c:v>9.7740999999999995E-2</c:v>
              </c:pt>
              <c:pt idx="2443">
                <c:v>9.7781000000000007E-2</c:v>
              </c:pt>
              <c:pt idx="2444">
                <c:v>9.7821000000000005E-2</c:v>
              </c:pt>
              <c:pt idx="2445">
                <c:v>9.7861000000000004E-2</c:v>
              </c:pt>
              <c:pt idx="2446">
                <c:v>9.7901000000000002E-2</c:v>
              </c:pt>
              <c:pt idx="2447">
                <c:v>9.7941E-2</c:v>
              </c:pt>
              <c:pt idx="2448">
                <c:v>9.7980999999999999E-2</c:v>
              </c:pt>
              <c:pt idx="2449">
                <c:v>9.8020999999999997E-2</c:v>
              </c:pt>
              <c:pt idx="2450">
                <c:v>9.8060999999999995E-2</c:v>
              </c:pt>
              <c:pt idx="2451">
                <c:v>9.8100999999999994E-2</c:v>
              </c:pt>
              <c:pt idx="2452">
                <c:v>9.8141000000000006E-2</c:v>
              </c:pt>
              <c:pt idx="2453">
                <c:v>9.8181000000000004E-2</c:v>
              </c:pt>
              <c:pt idx="2454">
                <c:v>9.8221000000000003E-2</c:v>
              </c:pt>
              <c:pt idx="2455">
                <c:v>9.8261000000000001E-2</c:v>
              </c:pt>
              <c:pt idx="2456">
                <c:v>9.8300999999999999E-2</c:v>
              </c:pt>
              <c:pt idx="2457">
                <c:v>9.8340999999999998E-2</c:v>
              </c:pt>
              <c:pt idx="2458">
                <c:v>9.8380999999999996E-2</c:v>
              </c:pt>
              <c:pt idx="2459">
                <c:v>9.8420999999999995E-2</c:v>
              </c:pt>
              <c:pt idx="2460">
                <c:v>9.8461000000000007E-2</c:v>
              </c:pt>
              <c:pt idx="2461">
                <c:v>9.8501000000000005E-2</c:v>
              </c:pt>
              <c:pt idx="2462">
                <c:v>9.8541000000000004E-2</c:v>
              </c:pt>
              <c:pt idx="2463">
                <c:v>9.8581000000000002E-2</c:v>
              </c:pt>
              <c:pt idx="2464">
                <c:v>9.8621E-2</c:v>
              </c:pt>
              <c:pt idx="2465">
                <c:v>9.8660999999999999E-2</c:v>
              </c:pt>
              <c:pt idx="2466">
                <c:v>9.8700999999999997E-2</c:v>
              </c:pt>
              <c:pt idx="2467">
                <c:v>9.8740999999999995E-2</c:v>
              </c:pt>
              <c:pt idx="2468">
                <c:v>9.8780999999999994E-2</c:v>
              </c:pt>
              <c:pt idx="2469">
                <c:v>9.8821000000000006E-2</c:v>
              </c:pt>
              <c:pt idx="2470">
                <c:v>9.8861000000000004E-2</c:v>
              </c:pt>
              <c:pt idx="2471">
                <c:v>9.8901000000000003E-2</c:v>
              </c:pt>
              <c:pt idx="2472">
                <c:v>9.8941000000000001E-2</c:v>
              </c:pt>
              <c:pt idx="2473">
                <c:v>9.8981E-2</c:v>
              </c:pt>
              <c:pt idx="2474">
                <c:v>9.9020999999999998E-2</c:v>
              </c:pt>
              <c:pt idx="2475">
                <c:v>9.9060999999999996E-2</c:v>
              </c:pt>
              <c:pt idx="2476">
                <c:v>9.9100999999999995E-2</c:v>
              </c:pt>
              <c:pt idx="2477">
                <c:v>9.9141000000000007E-2</c:v>
              </c:pt>
              <c:pt idx="2478">
                <c:v>9.9181000000000005E-2</c:v>
              </c:pt>
              <c:pt idx="2479">
                <c:v>9.9221000000000004E-2</c:v>
              </c:pt>
              <c:pt idx="2480">
                <c:v>9.9260899999999999E-2</c:v>
              </c:pt>
              <c:pt idx="2481">
                <c:v>9.9300899999999998E-2</c:v>
              </c:pt>
              <c:pt idx="2482">
                <c:v>9.9340899999999996E-2</c:v>
              </c:pt>
              <c:pt idx="2483">
                <c:v>9.9380899999999994E-2</c:v>
              </c:pt>
              <c:pt idx="2484">
                <c:v>9.9420900000000006E-2</c:v>
              </c:pt>
              <c:pt idx="2485">
                <c:v>9.9460900000000005E-2</c:v>
              </c:pt>
              <c:pt idx="2486">
                <c:v>9.9500900000000003E-2</c:v>
              </c:pt>
              <c:pt idx="2487">
                <c:v>9.9540900000000002E-2</c:v>
              </c:pt>
              <c:pt idx="2488">
                <c:v>9.95809E-2</c:v>
              </c:pt>
              <c:pt idx="2489">
                <c:v>9.9620899999999998E-2</c:v>
              </c:pt>
              <c:pt idx="2490">
                <c:v>9.9660899999999997E-2</c:v>
              </c:pt>
              <c:pt idx="2491">
                <c:v>9.9700899999999995E-2</c:v>
              </c:pt>
              <c:pt idx="2492">
                <c:v>9.9740899999999993E-2</c:v>
              </c:pt>
              <c:pt idx="2493">
                <c:v>9.9780900000000006E-2</c:v>
              </c:pt>
              <c:pt idx="2494">
                <c:v>9.9820900000000004E-2</c:v>
              </c:pt>
              <c:pt idx="2495">
                <c:v>9.9860900000000002E-2</c:v>
              </c:pt>
              <c:pt idx="2496">
                <c:v>9.9900900000000001E-2</c:v>
              </c:pt>
              <c:pt idx="2497">
                <c:v>9.9940899999999999E-2</c:v>
              </c:pt>
              <c:pt idx="2498">
                <c:v>9.9980899999999998E-2</c:v>
              </c:pt>
              <c:pt idx="2499">
                <c:v>0.100021</c:v>
              </c:pt>
              <c:pt idx="2500">
                <c:v>0.100061</c:v>
              </c:pt>
              <c:pt idx="2501">
                <c:v>0.100101</c:v>
              </c:pt>
              <c:pt idx="2502">
                <c:v>0.10014099999999999</c:v>
              </c:pt>
              <c:pt idx="2503">
                <c:v>0.10018100000000001</c:v>
              </c:pt>
              <c:pt idx="2504">
                <c:v>0.100221</c:v>
              </c:pt>
              <c:pt idx="2505">
                <c:v>0.100261</c:v>
              </c:pt>
              <c:pt idx="2506">
                <c:v>0.100301</c:v>
              </c:pt>
              <c:pt idx="2507">
                <c:v>0.100341</c:v>
              </c:pt>
              <c:pt idx="2508">
                <c:v>0.100381</c:v>
              </c:pt>
              <c:pt idx="2509">
                <c:v>0.100421</c:v>
              </c:pt>
              <c:pt idx="2510">
                <c:v>0.10046099999999999</c:v>
              </c:pt>
              <c:pt idx="2511">
                <c:v>0.10050099999999999</c:v>
              </c:pt>
              <c:pt idx="2512">
                <c:v>0.10054100000000001</c:v>
              </c:pt>
              <c:pt idx="2513">
                <c:v>0.100581</c:v>
              </c:pt>
              <c:pt idx="2514">
                <c:v>0.100621</c:v>
              </c:pt>
              <c:pt idx="2515">
                <c:v>0.100661</c:v>
              </c:pt>
              <c:pt idx="2516">
                <c:v>0.100701</c:v>
              </c:pt>
              <c:pt idx="2517">
                <c:v>0.100741</c:v>
              </c:pt>
              <c:pt idx="2518">
                <c:v>0.100781</c:v>
              </c:pt>
              <c:pt idx="2519">
                <c:v>0.10082099999999999</c:v>
              </c:pt>
              <c:pt idx="2520">
                <c:v>0.10086100000000001</c:v>
              </c:pt>
              <c:pt idx="2521">
                <c:v>0.100901</c:v>
              </c:pt>
              <c:pt idx="2522">
                <c:v>0.100941</c:v>
              </c:pt>
              <c:pt idx="2523">
                <c:v>0.100981</c:v>
              </c:pt>
              <c:pt idx="2524">
                <c:v>0.101021</c:v>
              </c:pt>
              <c:pt idx="2525">
                <c:v>0.101061</c:v>
              </c:pt>
              <c:pt idx="2526">
                <c:v>0.101101</c:v>
              </c:pt>
              <c:pt idx="2527">
                <c:v>0.10114099999999999</c:v>
              </c:pt>
              <c:pt idx="2528">
                <c:v>0.10118099999999999</c:v>
              </c:pt>
              <c:pt idx="2529">
                <c:v>0.10122100000000001</c:v>
              </c:pt>
              <c:pt idx="2530">
                <c:v>0.101261</c:v>
              </c:pt>
              <c:pt idx="2531">
                <c:v>0.101301</c:v>
              </c:pt>
              <c:pt idx="2532">
                <c:v>0.101341</c:v>
              </c:pt>
              <c:pt idx="2533">
                <c:v>0.101381</c:v>
              </c:pt>
              <c:pt idx="2534">
                <c:v>0.101421</c:v>
              </c:pt>
              <c:pt idx="2535">
                <c:v>0.101461</c:v>
              </c:pt>
              <c:pt idx="2536">
                <c:v>0.10150099999999999</c:v>
              </c:pt>
              <c:pt idx="2537">
                <c:v>0.10154100000000001</c:v>
              </c:pt>
              <c:pt idx="2538">
                <c:v>0.101581</c:v>
              </c:pt>
              <c:pt idx="2539">
                <c:v>0.101621</c:v>
              </c:pt>
              <c:pt idx="2540">
                <c:v>0.101661</c:v>
              </c:pt>
              <c:pt idx="2541">
                <c:v>0.101701</c:v>
              </c:pt>
              <c:pt idx="2542">
                <c:v>0.101741</c:v>
              </c:pt>
              <c:pt idx="2543">
                <c:v>0.101781</c:v>
              </c:pt>
              <c:pt idx="2544">
                <c:v>0.10182099999999999</c:v>
              </c:pt>
              <c:pt idx="2545">
                <c:v>0.10186099999999999</c:v>
              </c:pt>
              <c:pt idx="2546">
                <c:v>0.10190100000000001</c:v>
              </c:pt>
              <c:pt idx="2547">
                <c:v>0.101941</c:v>
              </c:pt>
              <c:pt idx="2548">
                <c:v>0.101981</c:v>
              </c:pt>
              <c:pt idx="2549">
                <c:v>0.102021</c:v>
              </c:pt>
              <c:pt idx="2550">
                <c:v>0.102061</c:v>
              </c:pt>
              <c:pt idx="2551">
                <c:v>0.102101</c:v>
              </c:pt>
              <c:pt idx="2552">
                <c:v>0.102141</c:v>
              </c:pt>
              <c:pt idx="2553">
                <c:v>0.10218099999999999</c:v>
              </c:pt>
              <c:pt idx="2554">
                <c:v>0.10222100000000001</c:v>
              </c:pt>
              <c:pt idx="2555">
                <c:v>0.102261</c:v>
              </c:pt>
              <c:pt idx="2556">
                <c:v>0.102301</c:v>
              </c:pt>
              <c:pt idx="2557">
                <c:v>0.102341</c:v>
              </c:pt>
              <c:pt idx="2558">
                <c:v>0.102381</c:v>
              </c:pt>
              <c:pt idx="2559">
                <c:v>0.102421</c:v>
              </c:pt>
              <c:pt idx="2560">
                <c:v>0.102461</c:v>
              </c:pt>
              <c:pt idx="2561">
                <c:v>0.10250099999999999</c:v>
              </c:pt>
              <c:pt idx="2562">
                <c:v>0.10254099999999999</c:v>
              </c:pt>
              <c:pt idx="2563">
                <c:v>0.10258100000000001</c:v>
              </c:pt>
              <c:pt idx="2564">
                <c:v>0.102621</c:v>
              </c:pt>
              <c:pt idx="2565">
                <c:v>0.102661</c:v>
              </c:pt>
              <c:pt idx="2566">
                <c:v>0.102701</c:v>
              </c:pt>
              <c:pt idx="2567">
                <c:v>0.102741</c:v>
              </c:pt>
              <c:pt idx="2568">
                <c:v>0.102781</c:v>
              </c:pt>
              <c:pt idx="2569">
                <c:v>0.102821</c:v>
              </c:pt>
              <c:pt idx="2570">
                <c:v>0.10286099999999999</c:v>
              </c:pt>
              <c:pt idx="2571">
                <c:v>0.10290100000000001</c:v>
              </c:pt>
              <c:pt idx="2572">
                <c:v>0.102941</c:v>
              </c:pt>
              <c:pt idx="2573">
                <c:v>0.102981</c:v>
              </c:pt>
              <c:pt idx="2574">
                <c:v>0.103021</c:v>
              </c:pt>
              <c:pt idx="2575">
                <c:v>0.103061</c:v>
              </c:pt>
              <c:pt idx="2576">
                <c:v>0.103101</c:v>
              </c:pt>
              <c:pt idx="2577">
                <c:v>0.103141</c:v>
              </c:pt>
              <c:pt idx="2578">
                <c:v>0.10318099999999999</c:v>
              </c:pt>
              <c:pt idx="2579">
                <c:v>0.10322099999999999</c:v>
              </c:pt>
              <c:pt idx="2580">
                <c:v>0.10326100000000001</c:v>
              </c:pt>
              <c:pt idx="2581">
                <c:v>0.103301</c:v>
              </c:pt>
              <c:pt idx="2582">
                <c:v>0.103341</c:v>
              </c:pt>
              <c:pt idx="2583">
                <c:v>0.103381</c:v>
              </c:pt>
              <c:pt idx="2584">
                <c:v>0.103421</c:v>
              </c:pt>
              <c:pt idx="2585">
                <c:v>0.103461</c:v>
              </c:pt>
              <c:pt idx="2586">
                <c:v>0.103501</c:v>
              </c:pt>
              <c:pt idx="2587">
                <c:v>0.10354099999999999</c:v>
              </c:pt>
              <c:pt idx="2588">
                <c:v>0.10358100000000001</c:v>
              </c:pt>
              <c:pt idx="2589">
                <c:v>0.103621</c:v>
              </c:pt>
              <c:pt idx="2590">
                <c:v>0.103661</c:v>
              </c:pt>
              <c:pt idx="2591">
                <c:v>0.103701</c:v>
              </c:pt>
              <c:pt idx="2592">
                <c:v>0.103741</c:v>
              </c:pt>
              <c:pt idx="2593">
                <c:v>0.103781</c:v>
              </c:pt>
              <c:pt idx="2594">
                <c:v>0.103821</c:v>
              </c:pt>
              <c:pt idx="2595">
                <c:v>0.10386099999999999</c:v>
              </c:pt>
              <c:pt idx="2596">
                <c:v>0.10390099999999999</c:v>
              </c:pt>
              <c:pt idx="2597">
                <c:v>0.10394100000000001</c:v>
              </c:pt>
              <c:pt idx="2598">
                <c:v>0.103981</c:v>
              </c:pt>
              <c:pt idx="2599">
                <c:v>0.104021</c:v>
              </c:pt>
              <c:pt idx="2600">
                <c:v>0.104061</c:v>
              </c:pt>
              <c:pt idx="2601">
                <c:v>0.104101</c:v>
              </c:pt>
              <c:pt idx="2602">
                <c:v>0.104141</c:v>
              </c:pt>
              <c:pt idx="2603">
                <c:v>0.104181</c:v>
              </c:pt>
              <c:pt idx="2604">
                <c:v>0.10422099999999999</c:v>
              </c:pt>
              <c:pt idx="2605">
                <c:v>0.10426100000000001</c:v>
              </c:pt>
              <c:pt idx="2606">
                <c:v>0.104301</c:v>
              </c:pt>
              <c:pt idx="2607">
                <c:v>0.104341</c:v>
              </c:pt>
              <c:pt idx="2608">
                <c:v>0.104381</c:v>
              </c:pt>
              <c:pt idx="2609">
                <c:v>0.104421</c:v>
              </c:pt>
              <c:pt idx="2610">
                <c:v>0.104461</c:v>
              </c:pt>
              <c:pt idx="2611">
                <c:v>0.104501</c:v>
              </c:pt>
              <c:pt idx="2612">
                <c:v>0.104541</c:v>
              </c:pt>
              <c:pt idx="2613">
                <c:v>0.10458099999999999</c:v>
              </c:pt>
              <c:pt idx="2614">
                <c:v>0.10462100000000001</c:v>
              </c:pt>
              <c:pt idx="2615">
                <c:v>0.104661</c:v>
              </c:pt>
              <c:pt idx="2616">
                <c:v>0.104701</c:v>
              </c:pt>
              <c:pt idx="2617">
                <c:v>0.104741</c:v>
              </c:pt>
              <c:pt idx="2618">
                <c:v>0.104781</c:v>
              </c:pt>
              <c:pt idx="2619">
                <c:v>0.104821</c:v>
              </c:pt>
              <c:pt idx="2620">
                <c:v>0.104861</c:v>
              </c:pt>
              <c:pt idx="2621">
                <c:v>0.10490099999999999</c:v>
              </c:pt>
              <c:pt idx="2622">
                <c:v>0.10494100000000001</c:v>
              </c:pt>
              <c:pt idx="2623">
                <c:v>0.104981</c:v>
              </c:pt>
              <c:pt idx="2624">
                <c:v>0.105021</c:v>
              </c:pt>
              <c:pt idx="2625">
                <c:v>0.105061</c:v>
              </c:pt>
              <c:pt idx="2626">
                <c:v>0.105101</c:v>
              </c:pt>
              <c:pt idx="2627">
                <c:v>0.105141</c:v>
              </c:pt>
              <c:pt idx="2628">
                <c:v>0.105181</c:v>
              </c:pt>
              <c:pt idx="2629">
                <c:v>0.105221</c:v>
              </c:pt>
              <c:pt idx="2630">
                <c:v>0.10526099999999999</c:v>
              </c:pt>
              <c:pt idx="2631">
                <c:v>0.10530100000000001</c:v>
              </c:pt>
              <c:pt idx="2632">
                <c:v>0.105341</c:v>
              </c:pt>
              <c:pt idx="2633">
                <c:v>0.105381</c:v>
              </c:pt>
              <c:pt idx="2634">
                <c:v>0.105421</c:v>
              </c:pt>
              <c:pt idx="2635">
                <c:v>0.105461</c:v>
              </c:pt>
              <c:pt idx="2636">
                <c:v>0.105501</c:v>
              </c:pt>
              <c:pt idx="2637">
                <c:v>0.105541</c:v>
              </c:pt>
              <c:pt idx="2638">
                <c:v>0.10558099999999999</c:v>
              </c:pt>
              <c:pt idx="2639">
                <c:v>0.10562100000000001</c:v>
              </c:pt>
              <c:pt idx="2640">
                <c:v>0.105661</c:v>
              </c:pt>
              <c:pt idx="2641">
                <c:v>0.105701</c:v>
              </c:pt>
              <c:pt idx="2642">
                <c:v>0.105741</c:v>
              </c:pt>
              <c:pt idx="2643">
                <c:v>0.105781</c:v>
              </c:pt>
              <c:pt idx="2644">
                <c:v>0.105821</c:v>
              </c:pt>
              <c:pt idx="2645">
                <c:v>0.105861</c:v>
              </c:pt>
              <c:pt idx="2646">
                <c:v>0.105901</c:v>
              </c:pt>
              <c:pt idx="2647">
                <c:v>0.10594099999999999</c:v>
              </c:pt>
              <c:pt idx="2648">
                <c:v>0.10598100000000001</c:v>
              </c:pt>
              <c:pt idx="2649">
                <c:v>0.106021</c:v>
              </c:pt>
              <c:pt idx="2650">
                <c:v>0.106061</c:v>
              </c:pt>
              <c:pt idx="2651">
                <c:v>0.106101</c:v>
              </c:pt>
              <c:pt idx="2652">
                <c:v>0.106141</c:v>
              </c:pt>
              <c:pt idx="2653">
                <c:v>0.106181</c:v>
              </c:pt>
              <c:pt idx="2654">
                <c:v>0.106221</c:v>
              </c:pt>
              <c:pt idx="2655">
                <c:v>0.10626099999999999</c:v>
              </c:pt>
              <c:pt idx="2656">
                <c:v>0.10630100000000001</c:v>
              </c:pt>
              <c:pt idx="2657">
                <c:v>0.106341</c:v>
              </c:pt>
              <c:pt idx="2658">
                <c:v>0.106381</c:v>
              </c:pt>
              <c:pt idx="2659">
                <c:v>0.106421</c:v>
              </c:pt>
              <c:pt idx="2660">
                <c:v>0.106461</c:v>
              </c:pt>
              <c:pt idx="2661">
                <c:v>0.106501</c:v>
              </c:pt>
              <c:pt idx="2662">
                <c:v>0.106541</c:v>
              </c:pt>
              <c:pt idx="2663">
                <c:v>0.106581</c:v>
              </c:pt>
              <c:pt idx="2664">
                <c:v>0.10662099999999999</c:v>
              </c:pt>
              <c:pt idx="2665">
                <c:v>0.10666100000000001</c:v>
              </c:pt>
              <c:pt idx="2666">
                <c:v>0.106701</c:v>
              </c:pt>
              <c:pt idx="2667">
                <c:v>0.106741</c:v>
              </c:pt>
              <c:pt idx="2668">
                <c:v>0.106781</c:v>
              </c:pt>
              <c:pt idx="2669">
                <c:v>0.106821</c:v>
              </c:pt>
              <c:pt idx="2670">
                <c:v>0.106861</c:v>
              </c:pt>
              <c:pt idx="2671">
                <c:v>0.106901</c:v>
              </c:pt>
              <c:pt idx="2672">
                <c:v>0.10694099999999999</c:v>
              </c:pt>
              <c:pt idx="2673">
                <c:v>0.10698100000000001</c:v>
              </c:pt>
              <c:pt idx="2674">
                <c:v>0.10702100000000001</c:v>
              </c:pt>
              <c:pt idx="2675">
                <c:v>0.10706</c:v>
              </c:pt>
              <c:pt idx="2676">
                <c:v>0.1071</c:v>
              </c:pt>
              <c:pt idx="2677">
                <c:v>0.10714</c:v>
              </c:pt>
              <c:pt idx="2678">
                <c:v>0.10718</c:v>
              </c:pt>
              <c:pt idx="2679">
                <c:v>0.10722</c:v>
              </c:pt>
              <c:pt idx="2680">
                <c:v>0.10725999999999999</c:v>
              </c:pt>
              <c:pt idx="2681">
                <c:v>0.10730000000000001</c:v>
              </c:pt>
              <c:pt idx="2682">
                <c:v>0.10734</c:v>
              </c:pt>
              <c:pt idx="2683">
                <c:v>0.10738</c:v>
              </c:pt>
              <c:pt idx="2684">
                <c:v>0.10742</c:v>
              </c:pt>
              <c:pt idx="2685">
                <c:v>0.10746</c:v>
              </c:pt>
              <c:pt idx="2686">
                <c:v>0.1075</c:v>
              </c:pt>
              <c:pt idx="2687">
                <c:v>0.10754</c:v>
              </c:pt>
              <c:pt idx="2688">
                <c:v>0.10758</c:v>
              </c:pt>
              <c:pt idx="2689">
                <c:v>0.10761999999999999</c:v>
              </c:pt>
              <c:pt idx="2690">
                <c:v>0.10766000000000001</c:v>
              </c:pt>
              <c:pt idx="2691">
                <c:v>0.1077</c:v>
              </c:pt>
              <c:pt idx="2692">
                <c:v>0.10774</c:v>
              </c:pt>
              <c:pt idx="2693">
                <c:v>0.10778</c:v>
              </c:pt>
              <c:pt idx="2694">
                <c:v>0.10782</c:v>
              </c:pt>
              <c:pt idx="2695">
                <c:v>0.10786</c:v>
              </c:pt>
              <c:pt idx="2696">
                <c:v>0.1079</c:v>
              </c:pt>
              <c:pt idx="2697">
                <c:v>0.10793999999999999</c:v>
              </c:pt>
              <c:pt idx="2698">
                <c:v>0.10798000000000001</c:v>
              </c:pt>
              <c:pt idx="2699">
                <c:v>0.10802</c:v>
              </c:pt>
              <c:pt idx="2700">
                <c:v>0.10806</c:v>
              </c:pt>
              <c:pt idx="2701">
                <c:v>0.1081</c:v>
              </c:pt>
              <c:pt idx="2702">
                <c:v>0.10814</c:v>
              </c:pt>
              <c:pt idx="2703">
                <c:v>0.10818</c:v>
              </c:pt>
              <c:pt idx="2704">
                <c:v>0.10822</c:v>
              </c:pt>
              <c:pt idx="2705">
                <c:v>0.10826</c:v>
              </c:pt>
              <c:pt idx="2706">
                <c:v>0.10829999999999999</c:v>
              </c:pt>
              <c:pt idx="2707">
                <c:v>0.10834000000000001</c:v>
              </c:pt>
              <c:pt idx="2708">
                <c:v>0.10838</c:v>
              </c:pt>
              <c:pt idx="2709">
                <c:v>0.10842</c:v>
              </c:pt>
              <c:pt idx="2710">
                <c:v>0.10846</c:v>
              </c:pt>
              <c:pt idx="2711">
                <c:v>0.1085</c:v>
              </c:pt>
              <c:pt idx="2712">
                <c:v>0.10854</c:v>
              </c:pt>
              <c:pt idx="2713">
                <c:v>0.10858</c:v>
              </c:pt>
              <c:pt idx="2714">
                <c:v>0.10861999999999999</c:v>
              </c:pt>
              <c:pt idx="2715">
                <c:v>0.10866000000000001</c:v>
              </c:pt>
              <c:pt idx="2716">
                <c:v>0.1087</c:v>
              </c:pt>
              <c:pt idx="2717">
                <c:v>0.10874</c:v>
              </c:pt>
              <c:pt idx="2718">
                <c:v>0.10878</c:v>
              </c:pt>
              <c:pt idx="2719">
                <c:v>0.10882</c:v>
              </c:pt>
              <c:pt idx="2720">
                <c:v>0.10886</c:v>
              </c:pt>
              <c:pt idx="2721">
                <c:v>0.1089</c:v>
              </c:pt>
              <c:pt idx="2722">
                <c:v>0.10894</c:v>
              </c:pt>
              <c:pt idx="2723">
                <c:v>0.10897999999999999</c:v>
              </c:pt>
              <c:pt idx="2724">
                <c:v>0.10902000000000001</c:v>
              </c:pt>
              <c:pt idx="2725">
                <c:v>0.10906</c:v>
              </c:pt>
              <c:pt idx="2726">
                <c:v>0.1091</c:v>
              </c:pt>
              <c:pt idx="2727">
                <c:v>0.10914</c:v>
              </c:pt>
              <c:pt idx="2728">
                <c:v>0.10918</c:v>
              </c:pt>
              <c:pt idx="2729">
                <c:v>0.10922</c:v>
              </c:pt>
              <c:pt idx="2730">
                <c:v>0.10926</c:v>
              </c:pt>
              <c:pt idx="2731">
                <c:v>0.10929999999999999</c:v>
              </c:pt>
              <c:pt idx="2732">
                <c:v>0.10934000000000001</c:v>
              </c:pt>
              <c:pt idx="2733">
                <c:v>0.10938000000000001</c:v>
              </c:pt>
              <c:pt idx="2734">
                <c:v>0.10942</c:v>
              </c:pt>
              <c:pt idx="2735">
                <c:v>0.10946</c:v>
              </c:pt>
              <c:pt idx="2736">
                <c:v>0.1095</c:v>
              </c:pt>
              <c:pt idx="2737">
                <c:v>0.10954</c:v>
              </c:pt>
              <c:pt idx="2738">
                <c:v>0.10958</c:v>
              </c:pt>
              <c:pt idx="2739">
                <c:v>0.10962</c:v>
              </c:pt>
              <c:pt idx="2740">
                <c:v>0.10965999999999999</c:v>
              </c:pt>
              <c:pt idx="2741">
                <c:v>0.10970000000000001</c:v>
              </c:pt>
              <c:pt idx="2742">
                <c:v>0.10974</c:v>
              </c:pt>
              <c:pt idx="2743">
                <c:v>0.10978</c:v>
              </c:pt>
              <c:pt idx="2744">
                <c:v>0.10982</c:v>
              </c:pt>
              <c:pt idx="2745">
                <c:v>0.10986</c:v>
              </c:pt>
              <c:pt idx="2746">
                <c:v>0.1099</c:v>
              </c:pt>
              <c:pt idx="2747">
                <c:v>0.10994</c:v>
              </c:pt>
              <c:pt idx="2748">
                <c:v>0.10997999999999999</c:v>
              </c:pt>
              <c:pt idx="2749">
                <c:v>0.11002000000000001</c:v>
              </c:pt>
              <c:pt idx="2750">
                <c:v>0.11006000000000001</c:v>
              </c:pt>
              <c:pt idx="2751">
                <c:v>0.1101</c:v>
              </c:pt>
              <c:pt idx="2752">
                <c:v>0.11014</c:v>
              </c:pt>
              <c:pt idx="2753">
                <c:v>0.11018</c:v>
              </c:pt>
              <c:pt idx="2754">
                <c:v>0.11022</c:v>
              </c:pt>
              <c:pt idx="2755">
                <c:v>0.11026</c:v>
              </c:pt>
              <c:pt idx="2756">
                <c:v>0.1103</c:v>
              </c:pt>
              <c:pt idx="2757">
                <c:v>0.11033999999999999</c:v>
              </c:pt>
              <c:pt idx="2758">
                <c:v>0.11038000000000001</c:v>
              </c:pt>
              <c:pt idx="2759">
                <c:v>0.11042</c:v>
              </c:pt>
              <c:pt idx="2760">
                <c:v>0.11046</c:v>
              </c:pt>
              <c:pt idx="2761">
                <c:v>0.1105</c:v>
              </c:pt>
              <c:pt idx="2762">
                <c:v>0.11054</c:v>
              </c:pt>
              <c:pt idx="2763">
                <c:v>0.11058</c:v>
              </c:pt>
              <c:pt idx="2764">
                <c:v>0.11062</c:v>
              </c:pt>
              <c:pt idx="2765">
                <c:v>0.11065999999999999</c:v>
              </c:pt>
              <c:pt idx="2766">
                <c:v>0.11070000000000001</c:v>
              </c:pt>
              <c:pt idx="2767">
                <c:v>0.11074000000000001</c:v>
              </c:pt>
              <c:pt idx="2768">
                <c:v>0.11078</c:v>
              </c:pt>
              <c:pt idx="2769">
                <c:v>0.11082</c:v>
              </c:pt>
              <c:pt idx="2770">
                <c:v>0.11086</c:v>
              </c:pt>
              <c:pt idx="2771">
                <c:v>0.1109</c:v>
              </c:pt>
              <c:pt idx="2772">
                <c:v>0.11094</c:v>
              </c:pt>
              <c:pt idx="2773">
                <c:v>0.11098</c:v>
              </c:pt>
              <c:pt idx="2774">
                <c:v>0.11101999999999999</c:v>
              </c:pt>
              <c:pt idx="2775">
                <c:v>0.11106000000000001</c:v>
              </c:pt>
              <c:pt idx="2776">
                <c:v>0.1111</c:v>
              </c:pt>
              <c:pt idx="2777">
                <c:v>0.11114</c:v>
              </c:pt>
              <c:pt idx="2778">
                <c:v>0.11118</c:v>
              </c:pt>
              <c:pt idx="2779">
                <c:v>0.11122</c:v>
              </c:pt>
              <c:pt idx="2780">
                <c:v>0.11126</c:v>
              </c:pt>
              <c:pt idx="2781">
                <c:v>0.1113</c:v>
              </c:pt>
              <c:pt idx="2782">
                <c:v>0.11133999999999999</c:v>
              </c:pt>
              <c:pt idx="2783">
                <c:v>0.11138000000000001</c:v>
              </c:pt>
              <c:pt idx="2784">
                <c:v>0.11142000000000001</c:v>
              </c:pt>
              <c:pt idx="2785">
                <c:v>0.11146</c:v>
              </c:pt>
              <c:pt idx="2786">
                <c:v>0.1115</c:v>
              </c:pt>
              <c:pt idx="2787">
                <c:v>0.11154</c:v>
              </c:pt>
              <c:pt idx="2788">
                <c:v>0.11158</c:v>
              </c:pt>
              <c:pt idx="2789">
                <c:v>0.11162</c:v>
              </c:pt>
              <c:pt idx="2790">
                <c:v>0.11166</c:v>
              </c:pt>
              <c:pt idx="2791">
                <c:v>0.11169999999999999</c:v>
              </c:pt>
              <c:pt idx="2792">
                <c:v>0.11174000000000001</c:v>
              </c:pt>
              <c:pt idx="2793">
                <c:v>0.11178</c:v>
              </c:pt>
              <c:pt idx="2794">
                <c:v>0.11182</c:v>
              </c:pt>
              <c:pt idx="2795">
                <c:v>0.11186</c:v>
              </c:pt>
              <c:pt idx="2796">
                <c:v>0.1119</c:v>
              </c:pt>
              <c:pt idx="2797">
                <c:v>0.11194</c:v>
              </c:pt>
              <c:pt idx="2798">
                <c:v>0.11198</c:v>
              </c:pt>
              <c:pt idx="2799">
                <c:v>0.11201999999999999</c:v>
              </c:pt>
              <c:pt idx="2800">
                <c:v>0.11206000000000001</c:v>
              </c:pt>
              <c:pt idx="2801">
                <c:v>0.11210000000000001</c:v>
              </c:pt>
              <c:pt idx="2802">
                <c:v>0.11214</c:v>
              </c:pt>
              <c:pt idx="2803">
                <c:v>0.11218</c:v>
              </c:pt>
              <c:pt idx="2804">
                <c:v>0.11222</c:v>
              </c:pt>
              <c:pt idx="2805">
                <c:v>0.11226</c:v>
              </c:pt>
              <c:pt idx="2806">
                <c:v>0.1123</c:v>
              </c:pt>
              <c:pt idx="2807">
                <c:v>0.11234</c:v>
              </c:pt>
              <c:pt idx="2808">
                <c:v>0.11237999999999999</c:v>
              </c:pt>
              <c:pt idx="2809">
                <c:v>0.11242000000000001</c:v>
              </c:pt>
              <c:pt idx="2810">
                <c:v>0.11246</c:v>
              </c:pt>
              <c:pt idx="2811">
                <c:v>0.1125</c:v>
              </c:pt>
              <c:pt idx="2812">
                <c:v>0.11254</c:v>
              </c:pt>
              <c:pt idx="2813">
                <c:v>0.11258</c:v>
              </c:pt>
              <c:pt idx="2814">
                <c:v>0.11262</c:v>
              </c:pt>
              <c:pt idx="2815">
                <c:v>0.11266</c:v>
              </c:pt>
              <c:pt idx="2816">
                <c:v>0.11269999999999999</c:v>
              </c:pt>
              <c:pt idx="2817">
                <c:v>0.11274000000000001</c:v>
              </c:pt>
              <c:pt idx="2818">
                <c:v>0.11278000000000001</c:v>
              </c:pt>
              <c:pt idx="2819">
                <c:v>0.11282</c:v>
              </c:pt>
              <c:pt idx="2820">
                <c:v>0.11286</c:v>
              </c:pt>
              <c:pt idx="2821">
                <c:v>0.1129</c:v>
              </c:pt>
              <c:pt idx="2822">
                <c:v>0.11294</c:v>
              </c:pt>
              <c:pt idx="2823">
                <c:v>0.11298</c:v>
              </c:pt>
              <c:pt idx="2824">
                <c:v>0.11302</c:v>
              </c:pt>
              <c:pt idx="2825">
                <c:v>0.11305999999999999</c:v>
              </c:pt>
              <c:pt idx="2826">
                <c:v>0.11310000000000001</c:v>
              </c:pt>
              <c:pt idx="2827">
                <c:v>0.11314</c:v>
              </c:pt>
              <c:pt idx="2828">
                <c:v>0.11318</c:v>
              </c:pt>
              <c:pt idx="2829">
                <c:v>0.11322</c:v>
              </c:pt>
              <c:pt idx="2830">
                <c:v>0.11326</c:v>
              </c:pt>
              <c:pt idx="2831">
                <c:v>0.1133</c:v>
              </c:pt>
              <c:pt idx="2832">
                <c:v>0.11334</c:v>
              </c:pt>
              <c:pt idx="2833">
                <c:v>0.11337999999999999</c:v>
              </c:pt>
              <c:pt idx="2834">
                <c:v>0.11342000000000001</c:v>
              </c:pt>
              <c:pt idx="2835">
                <c:v>0.11346000000000001</c:v>
              </c:pt>
              <c:pt idx="2836">
                <c:v>0.1135</c:v>
              </c:pt>
              <c:pt idx="2837">
                <c:v>0.11354</c:v>
              </c:pt>
              <c:pt idx="2838">
                <c:v>0.11358</c:v>
              </c:pt>
              <c:pt idx="2839">
                <c:v>0.11362</c:v>
              </c:pt>
              <c:pt idx="2840">
                <c:v>0.11366</c:v>
              </c:pt>
              <c:pt idx="2841">
                <c:v>0.1137</c:v>
              </c:pt>
              <c:pt idx="2842">
                <c:v>0.11373999999999999</c:v>
              </c:pt>
              <c:pt idx="2843">
                <c:v>0.11378000000000001</c:v>
              </c:pt>
              <c:pt idx="2844">
                <c:v>0.11382</c:v>
              </c:pt>
              <c:pt idx="2845">
                <c:v>0.11386</c:v>
              </c:pt>
              <c:pt idx="2846">
                <c:v>0.1139</c:v>
              </c:pt>
              <c:pt idx="2847">
                <c:v>0.11394</c:v>
              </c:pt>
              <c:pt idx="2848">
                <c:v>0.11398</c:v>
              </c:pt>
              <c:pt idx="2849">
                <c:v>0.11402</c:v>
              </c:pt>
              <c:pt idx="2850">
                <c:v>0.11405999999999999</c:v>
              </c:pt>
              <c:pt idx="2851">
                <c:v>0.11409999999999999</c:v>
              </c:pt>
              <c:pt idx="2852">
                <c:v>0.11414000000000001</c:v>
              </c:pt>
              <c:pt idx="2853">
                <c:v>0.11418</c:v>
              </c:pt>
              <c:pt idx="2854">
                <c:v>0.11422</c:v>
              </c:pt>
              <c:pt idx="2855">
                <c:v>0.11426</c:v>
              </c:pt>
              <c:pt idx="2856">
                <c:v>0.1143</c:v>
              </c:pt>
              <c:pt idx="2857">
                <c:v>0.11434</c:v>
              </c:pt>
              <c:pt idx="2858">
                <c:v>0.11438</c:v>
              </c:pt>
              <c:pt idx="2859">
                <c:v>0.11441999999999999</c:v>
              </c:pt>
              <c:pt idx="2860">
                <c:v>0.11446000000000001</c:v>
              </c:pt>
              <c:pt idx="2861">
                <c:v>0.1145</c:v>
              </c:pt>
              <c:pt idx="2862">
                <c:v>0.11454</c:v>
              </c:pt>
              <c:pt idx="2863">
                <c:v>0.11458</c:v>
              </c:pt>
              <c:pt idx="2864">
                <c:v>0.11462</c:v>
              </c:pt>
              <c:pt idx="2865">
                <c:v>0.11466</c:v>
              </c:pt>
              <c:pt idx="2866">
                <c:v>0.1147</c:v>
              </c:pt>
              <c:pt idx="2867">
                <c:v>0.11473999999999999</c:v>
              </c:pt>
              <c:pt idx="2868">
                <c:v>0.11477999999999999</c:v>
              </c:pt>
              <c:pt idx="2869">
                <c:v>0.11482000000000001</c:v>
              </c:pt>
              <c:pt idx="2870">
                <c:v>0.11486</c:v>
              </c:pt>
              <c:pt idx="2871">
                <c:v>0.1149</c:v>
              </c:pt>
              <c:pt idx="2872">
                <c:v>0.11494</c:v>
              </c:pt>
              <c:pt idx="2873">
                <c:v>0.11498</c:v>
              </c:pt>
              <c:pt idx="2874">
                <c:v>0.11502</c:v>
              </c:pt>
              <c:pt idx="2875">
                <c:v>0.11506</c:v>
              </c:pt>
              <c:pt idx="2876">
                <c:v>0.11509999999999999</c:v>
              </c:pt>
              <c:pt idx="2877">
                <c:v>0.11514000000000001</c:v>
              </c:pt>
              <c:pt idx="2878">
                <c:v>0.11518</c:v>
              </c:pt>
              <c:pt idx="2879">
                <c:v>0.11522</c:v>
              </c:pt>
              <c:pt idx="2880">
                <c:v>0.11526</c:v>
              </c:pt>
              <c:pt idx="2881">
                <c:v>0.1153</c:v>
              </c:pt>
              <c:pt idx="2882">
                <c:v>0.11534</c:v>
              </c:pt>
              <c:pt idx="2883">
                <c:v>0.11538</c:v>
              </c:pt>
              <c:pt idx="2884">
                <c:v>0.11541999999999999</c:v>
              </c:pt>
              <c:pt idx="2885">
                <c:v>0.11545999999999999</c:v>
              </c:pt>
              <c:pt idx="2886">
                <c:v>0.11550000000000001</c:v>
              </c:pt>
              <c:pt idx="2887">
                <c:v>0.11554</c:v>
              </c:pt>
              <c:pt idx="2888">
                <c:v>0.11558</c:v>
              </c:pt>
              <c:pt idx="2889">
                <c:v>0.11562</c:v>
              </c:pt>
              <c:pt idx="2890">
                <c:v>0.11566</c:v>
              </c:pt>
              <c:pt idx="2891">
                <c:v>0.1157</c:v>
              </c:pt>
              <c:pt idx="2892">
                <c:v>0.11574</c:v>
              </c:pt>
              <c:pt idx="2893">
                <c:v>0.11577999999999999</c:v>
              </c:pt>
              <c:pt idx="2894">
                <c:v>0.11582000000000001</c:v>
              </c:pt>
              <c:pt idx="2895">
                <c:v>0.11586</c:v>
              </c:pt>
              <c:pt idx="2896">
                <c:v>0.1159</c:v>
              </c:pt>
              <c:pt idx="2897">
                <c:v>0.11594</c:v>
              </c:pt>
              <c:pt idx="2898">
                <c:v>0.11598</c:v>
              </c:pt>
              <c:pt idx="2899">
                <c:v>0.11602</c:v>
              </c:pt>
              <c:pt idx="2900">
                <c:v>0.11606</c:v>
              </c:pt>
              <c:pt idx="2901">
                <c:v>0.11609999999999999</c:v>
              </c:pt>
              <c:pt idx="2902">
                <c:v>0.11613999999999999</c:v>
              </c:pt>
              <c:pt idx="2903">
                <c:v>0.11618000000000001</c:v>
              </c:pt>
              <c:pt idx="2904">
                <c:v>0.11622</c:v>
              </c:pt>
              <c:pt idx="2905">
                <c:v>0.11626</c:v>
              </c:pt>
              <c:pt idx="2906">
                <c:v>0.1163</c:v>
              </c:pt>
              <c:pt idx="2907">
                <c:v>0.11634</c:v>
              </c:pt>
              <c:pt idx="2908">
                <c:v>0.11638</c:v>
              </c:pt>
              <c:pt idx="2909">
                <c:v>0.11642</c:v>
              </c:pt>
              <c:pt idx="2910">
                <c:v>0.11645999999999999</c:v>
              </c:pt>
              <c:pt idx="2911">
                <c:v>0.11650000000000001</c:v>
              </c:pt>
              <c:pt idx="2912">
                <c:v>0.11654</c:v>
              </c:pt>
              <c:pt idx="2913">
                <c:v>0.11658</c:v>
              </c:pt>
              <c:pt idx="2914">
                <c:v>0.11662</c:v>
              </c:pt>
              <c:pt idx="2915">
                <c:v>0.11666</c:v>
              </c:pt>
              <c:pt idx="2916">
                <c:v>0.1167</c:v>
              </c:pt>
              <c:pt idx="2917">
                <c:v>0.11674</c:v>
              </c:pt>
              <c:pt idx="2918">
                <c:v>0.11677999999999999</c:v>
              </c:pt>
              <c:pt idx="2919">
                <c:v>0.11681999999999999</c:v>
              </c:pt>
              <c:pt idx="2920">
                <c:v>0.11686000000000001</c:v>
              </c:pt>
              <c:pt idx="2921">
                <c:v>0.1169</c:v>
              </c:pt>
              <c:pt idx="2922">
                <c:v>0.11694</c:v>
              </c:pt>
              <c:pt idx="2923">
                <c:v>0.11698</c:v>
              </c:pt>
              <c:pt idx="2924">
                <c:v>0.11702</c:v>
              </c:pt>
              <c:pt idx="2925">
                <c:v>0.11706</c:v>
              </c:pt>
              <c:pt idx="2926">
                <c:v>0.1171</c:v>
              </c:pt>
              <c:pt idx="2927">
                <c:v>0.11713999999999999</c:v>
              </c:pt>
              <c:pt idx="2928">
                <c:v>0.11718000000000001</c:v>
              </c:pt>
              <c:pt idx="2929">
                <c:v>0.11722</c:v>
              </c:pt>
              <c:pt idx="2930">
                <c:v>0.11726</c:v>
              </c:pt>
              <c:pt idx="2931">
                <c:v>0.1173</c:v>
              </c:pt>
              <c:pt idx="2932">
                <c:v>0.11734</c:v>
              </c:pt>
              <c:pt idx="2933">
                <c:v>0.11738</c:v>
              </c:pt>
              <c:pt idx="2934">
                <c:v>0.11742</c:v>
              </c:pt>
              <c:pt idx="2935">
                <c:v>0.11745999999999999</c:v>
              </c:pt>
              <c:pt idx="2936">
                <c:v>0.11749999999999999</c:v>
              </c:pt>
              <c:pt idx="2937">
                <c:v>0.11754000000000001</c:v>
              </c:pt>
              <c:pt idx="2938">
                <c:v>0.11758</c:v>
              </c:pt>
              <c:pt idx="2939">
                <c:v>0.11762</c:v>
              </c:pt>
              <c:pt idx="2940">
                <c:v>0.11766</c:v>
              </c:pt>
              <c:pt idx="2941">
                <c:v>0.1177</c:v>
              </c:pt>
              <c:pt idx="2942">
                <c:v>0.11774</c:v>
              </c:pt>
              <c:pt idx="2943">
                <c:v>0.11778</c:v>
              </c:pt>
              <c:pt idx="2944">
                <c:v>0.11781999999999999</c:v>
              </c:pt>
              <c:pt idx="2945">
                <c:v>0.11786000000000001</c:v>
              </c:pt>
              <c:pt idx="2946">
                <c:v>0.1179</c:v>
              </c:pt>
              <c:pt idx="2947">
                <c:v>0.11794</c:v>
              </c:pt>
              <c:pt idx="2948">
                <c:v>0.11798</c:v>
              </c:pt>
              <c:pt idx="2949">
                <c:v>0.11802</c:v>
              </c:pt>
              <c:pt idx="2950">
                <c:v>0.11806</c:v>
              </c:pt>
              <c:pt idx="2951">
                <c:v>0.1181</c:v>
              </c:pt>
              <c:pt idx="2952">
                <c:v>0.11814</c:v>
              </c:pt>
              <c:pt idx="2953">
                <c:v>0.11817999999999999</c:v>
              </c:pt>
              <c:pt idx="2954">
                <c:v>0.11822000000000001</c:v>
              </c:pt>
              <c:pt idx="2955">
                <c:v>0.11826</c:v>
              </c:pt>
              <c:pt idx="2956">
                <c:v>0.1183</c:v>
              </c:pt>
              <c:pt idx="2957">
                <c:v>0.11834</c:v>
              </c:pt>
              <c:pt idx="2958">
                <c:v>0.11838</c:v>
              </c:pt>
              <c:pt idx="2959">
                <c:v>0.11842</c:v>
              </c:pt>
              <c:pt idx="2960">
                <c:v>0.11846</c:v>
              </c:pt>
              <c:pt idx="2961">
                <c:v>0.11849999999999999</c:v>
              </c:pt>
              <c:pt idx="2962">
                <c:v>0.11854000000000001</c:v>
              </c:pt>
              <c:pt idx="2963">
                <c:v>0.11858</c:v>
              </c:pt>
              <c:pt idx="2964">
                <c:v>0.11862</c:v>
              </c:pt>
              <c:pt idx="2965">
                <c:v>0.11866</c:v>
              </c:pt>
              <c:pt idx="2966">
                <c:v>0.1187</c:v>
              </c:pt>
              <c:pt idx="2967">
                <c:v>0.11874</c:v>
              </c:pt>
              <c:pt idx="2968">
                <c:v>0.11878</c:v>
              </c:pt>
              <c:pt idx="2969">
                <c:v>0.11882</c:v>
              </c:pt>
              <c:pt idx="2970">
                <c:v>0.11885999999999999</c:v>
              </c:pt>
              <c:pt idx="2971">
                <c:v>0.11890000000000001</c:v>
              </c:pt>
              <c:pt idx="2972">
                <c:v>0.11894</c:v>
              </c:pt>
              <c:pt idx="2973">
                <c:v>0.11898</c:v>
              </c:pt>
              <c:pt idx="2974">
                <c:v>0.11902</c:v>
              </c:pt>
              <c:pt idx="2975">
                <c:v>0.11906</c:v>
              </c:pt>
              <c:pt idx="2976">
                <c:v>0.1191</c:v>
              </c:pt>
              <c:pt idx="2977">
                <c:v>0.11914</c:v>
              </c:pt>
              <c:pt idx="2978">
                <c:v>0.11917999999999999</c:v>
              </c:pt>
              <c:pt idx="2979">
                <c:v>0.11922000000000001</c:v>
              </c:pt>
              <c:pt idx="2980">
                <c:v>0.11926</c:v>
              </c:pt>
              <c:pt idx="2981">
                <c:v>0.1193</c:v>
              </c:pt>
              <c:pt idx="2982">
                <c:v>0.11934</c:v>
              </c:pt>
              <c:pt idx="2983">
                <c:v>0.11938</c:v>
              </c:pt>
              <c:pt idx="2984">
                <c:v>0.11942</c:v>
              </c:pt>
              <c:pt idx="2985">
                <c:v>0.11946</c:v>
              </c:pt>
              <c:pt idx="2986">
                <c:v>0.1195</c:v>
              </c:pt>
              <c:pt idx="2987">
                <c:v>0.11953999999999999</c:v>
              </c:pt>
              <c:pt idx="2988">
                <c:v>0.11958000000000001</c:v>
              </c:pt>
              <c:pt idx="2989">
                <c:v>0.11962</c:v>
              </c:pt>
              <c:pt idx="2990">
                <c:v>0.11966</c:v>
              </c:pt>
              <c:pt idx="2991">
                <c:v>0.1197</c:v>
              </c:pt>
              <c:pt idx="2992">
                <c:v>0.11974</c:v>
              </c:pt>
              <c:pt idx="2993">
                <c:v>0.11978</c:v>
              </c:pt>
              <c:pt idx="2994">
                <c:v>0.11982</c:v>
              </c:pt>
              <c:pt idx="2995">
                <c:v>0.11985999999999999</c:v>
              </c:pt>
              <c:pt idx="2996">
                <c:v>0.11990000000000001</c:v>
              </c:pt>
              <c:pt idx="2997">
                <c:v>0.11994</c:v>
              </c:pt>
              <c:pt idx="2998">
                <c:v>0.11998</c:v>
              </c:pt>
              <c:pt idx="2999">
                <c:v>0.12002</c:v>
              </c:pt>
              <c:pt idx="3000">
                <c:v>0.12006</c:v>
              </c:pt>
              <c:pt idx="3001">
                <c:v>0.1201</c:v>
              </c:pt>
              <c:pt idx="3002">
                <c:v>0.12014</c:v>
              </c:pt>
              <c:pt idx="3003">
                <c:v>0.12018</c:v>
              </c:pt>
              <c:pt idx="3004">
                <c:v>0.12021999999999999</c:v>
              </c:pt>
              <c:pt idx="3005">
                <c:v>0.12026000000000001</c:v>
              </c:pt>
              <c:pt idx="3006">
                <c:v>0.1203</c:v>
              </c:pt>
              <c:pt idx="3007">
                <c:v>0.12034</c:v>
              </c:pt>
              <c:pt idx="3008">
                <c:v>0.12038</c:v>
              </c:pt>
              <c:pt idx="3009">
                <c:v>0.12042</c:v>
              </c:pt>
              <c:pt idx="3010">
                <c:v>0.12046</c:v>
              </c:pt>
              <c:pt idx="3011">
                <c:v>0.1205</c:v>
              </c:pt>
              <c:pt idx="3012">
                <c:v>0.12053999999999999</c:v>
              </c:pt>
              <c:pt idx="3013">
                <c:v>0.12058000000000001</c:v>
              </c:pt>
              <c:pt idx="3014">
                <c:v>0.12062</c:v>
              </c:pt>
              <c:pt idx="3015">
                <c:v>0.12066</c:v>
              </c:pt>
              <c:pt idx="3016">
                <c:v>0.1207</c:v>
              </c:pt>
              <c:pt idx="3017">
                <c:v>0.12074</c:v>
              </c:pt>
              <c:pt idx="3018">
                <c:v>0.12078</c:v>
              </c:pt>
              <c:pt idx="3019">
                <c:v>0.12082</c:v>
              </c:pt>
              <c:pt idx="3020">
                <c:v>0.12086</c:v>
              </c:pt>
              <c:pt idx="3021">
                <c:v>0.12089999999999999</c:v>
              </c:pt>
              <c:pt idx="3022">
                <c:v>0.12094000000000001</c:v>
              </c:pt>
              <c:pt idx="3023">
                <c:v>0.12098</c:v>
              </c:pt>
              <c:pt idx="3024">
                <c:v>0.12102</c:v>
              </c:pt>
              <c:pt idx="3025">
                <c:v>0.12106</c:v>
              </c:pt>
              <c:pt idx="3026">
                <c:v>0.1211</c:v>
              </c:pt>
              <c:pt idx="3027">
                <c:v>0.12114</c:v>
              </c:pt>
              <c:pt idx="3028">
                <c:v>0.12118</c:v>
              </c:pt>
              <c:pt idx="3029">
                <c:v>0.12121999999999999</c:v>
              </c:pt>
              <c:pt idx="3030">
                <c:v>0.12126000000000001</c:v>
              </c:pt>
              <c:pt idx="3031">
                <c:v>0.12130000000000001</c:v>
              </c:pt>
              <c:pt idx="3032">
                <c:v>0.12134</c:v>
              </c:pt>
              <c:pt idx="3033">
                <c:v>0.12138</c:v>
              </c:pt>
              <c:pt idx="3034">
                <c:v>0.12142</c:v>
              </c:pt>
              <c:pt idx="3035">
                <c:v>0.12146</c:v>
              </c:pt>
              <c:pt idx="3036">
                <c:v>0.1215</c:v>
              </c:pt>
              <c:pt idx="3037">
                <c:v>0.12154</c:v>
              </c:pt>
              <c:pt idx="3038">
                <c:v>0.12157999999999999</c:v>
              </c:pt>
              <c:pt idx="3039">
                <c:v>0.12162000000000001</c:v>
              </c:pt>
              <c:pt idx="3040">
                <c:v>0.12166</c:v>
              </c:pt>
              <c:pt idx="3041">
                <c:v>0.1217</c:v>
              </c:pt>
              <c:pt idx="3042">
                <c:v>0.12174</c:v>
              </c:pt>
              <c:pt idx="3043">
                <c:v>0.12178</c:v>
              </c:pt>
              <c:pt idx="3044">
                <c:v>0.12182</c:v>
              </c:pt>
              <c:pt idx="3045">
                <c:v>0.12186</c:v>
              </c:pt>
              <c:pt idx="3046">
                <c:v>0.12189999999999999</c:v>
              </c:pt>
              <c:pt idx="3047">
                <c:v>0.12194000000000001</c:v>
              </c:pt>
              <c:pt idx="3048">
                <c:v>0.12198000000000001</c:v>
              </c:pt>
              <c:pt idx="3049">
                <c:v>0.12202</c:v>
              </c:pt>
              <c:pt idx="3050">
                <c:v>0.12206</c:v>
              </c:pt>
              <c:pt idx="3051">
                <c:v>0.1221</c:v>
              </c:pt>
              <c:pt idx="3052">
                <c:v>0.12214</c:v>
              </c:pt>
              <c:pt idx="3053">
                <c:v>0.12218</c:v>
              </c:pt>
              <c:pt idx="3054">
                <c:v>0.12222</c:v>
              </c:pt>
              <c:pt idx="3055">
                <c:v>0.12225999999999999</c:v>
              </c:pt>
              <c:pt idx="3056">
                <c:v>0.12230000000000001</c:v>
              </c:pt>
              <c:pt idx="3057">
                <c:v>0.12234</c:v>
              </c:pt>
              <c:pt idx="3058">
                <c:v>0.12238</c:v>
              </c:pt>
              <c:pt idx="3059">
                <c:v>0.12242</c:v>
              </c:pt>
              <c:pt idx="3060">
                <c:v>0.12246</c:v>
              </c:pt>
              <c:pt idx="3061">
                <c:v>0.1225</c:v>
              </c:pt>
              <c:pt idx="3062">
                <c:v>0.12254</c:v>
              </c:pt>
              <c:pt idx="3063">
                <c:v>0.12257999999999999</c:v>
              </c:pt>
              <c:pt idx="3064">
                <c:v>0.12262000000000001</c:v>
              </c:pt>
              <c:pt idx="3065">
                <c:v>0.12266000000000001</c:v>
              </c:pt>
              <c:pt idx="3066">
                <c:v>0.1227</c:v>
              </c:pt>
              <c:pt idx="3067">
                <c:v>0.12274</c:v>
              </c:pt>
              <c:pt idx="3068">
                <c:v>0.12278</c:v>
              </c:pt>
              <c:pt idx="3069">
                <c:v>0.12282</c:v>
              </c:pt>
              <c:pt idx="3070">
                <c:v>0.12286</c:v>
              </c:pt>
              <c:pt idx="3071">
                <c:v>0.1229</c:v>
              </c:pt>
              <c:pt idx="3072">
                <c:v>0.12293999999999999</c:v>
              </c:pt>
              <c:pt idx="3073">
                <c:v>0.12298000000000001</c:v>
              </c:pt>
              <c:pt idx="3074">
                <c:v>0.12302</c:v>
              </c:pt>
              <c:pt idx="3075">
                <c:v>0.12306</c:v>
              </c:pt>
              <c:pt idx="3076">
                <c:v>0.1231</c:v>
              </c:pt>
              <c:pt idx="3077">
                <c:v>0.12314</c:v>
              </c:pt>
              <c:pt idx="3078">
                <c:v>0.12318</c:v>
              </c:pt>
              <c:pt idx="3079">
                <c:v>0.12322</c:v>
              </c:pt>
              <c:pt idx="3080">
                <c:v>0.12325999999999999</c:v>
              </c:pt>
              <c:pt idx="3081">
                <c:v>0.12330000000000001</c:v>
              </c:pt>
              <c:pt idx="3082">
                <c:v>0.12334000000000001</c:v>
              </c:pt>
              <c:pt idx="3083">
                <c:v>0.12338</c:v>
              </c:pt>
              <c:pt idx="3084">
                <c:v>0.12342</c:v>
              </c:pt>
              <c:pt idx="3085">
                <c:v>0.12346</c:v>
              </c:pt>
              <c:pt idx="3086">
                <c:v>0.1235</c:v>
              </c:pt>
              <c:pt idx="3087">
                <c:v>0.12354</c:v>
              </c:pt>
              <c:pt idx="3088">
                <c:v>0.12358</c:v>
              </c:pt>
              <c:pt idx="3089">
                <c:v>0.12361999999999999</c:v>
              </c:pt>
              <c:pt idx="3090">
                <c:v>0.12366000000000001</c:v>
              </c:pt>
              <c:pt idx="3091">
                <c:v>0.1237</c:v>
              </c:pt>
              <c:pt idx="3092">
                <c:v>0.12374</c:v>
              </c:pt>
              <c:pt idx="3093">
                <c:v>0.12378</c:v>
              </c:pt>
              <c:pt idx="3094">
                <c:v>0.12382</c:v>
              </c:pt>
              <c:pt idx="3095">
                <c:v>0.12386</c:v>
              </c:pt>
              <c:pt idx="3096">
                <c:v>0.1239</c:v>
              </c:pt>
              <c:pt idx="3097">
                <c:v>0.12393999999999999</c:v>
              </c:pt>
              <c:pt idx="3098">
                <c:v>0.12398000000000001</c:v>
              </c:pt>
              <c:pt idx="3099">
                <c:v>0.12402000000000001</c:v>
              </c:pt>
              <c:pt idx="3100">
                <c:v>0.12406</c:v>
              </c:pt>
              <c:pt idx="3101">
                <c:v>0.1241</c:v>
              </c:pt>
              <c:pt idx="3102">
                <c:v>0.12414</c:v>
              </c:pt>
              <c:pt idx="3103">
                <c:v>0.12418</c:v>
              </c:pt>
              <c:pt idx="3104">
                <c:v>0.12422</c:v>
              </c:pt>
              <c:pt idx="3105">
                <c:v>0.12426</c:v>
              </c:pt>
              <c:pt idx="3106">
                <c:v>0.12429999999999999</c:v>
              </c:pt>
              <c:pt idx="3107">
                <c:v>0.12433900000000001</c:v>
              </c:pt>
              <c:pt idx="3108">
                <c:v>0.124379</c:v>
              </c:pt>
              <c:pt idx="3109">
                <c:v>0.124419</c:v>
              </c:pt>
              <c:pt idx="3110">
                <c:v>0.124459</c:v>
              </c:pt>
              <c:pt idx="3111">
                <c:v>0.124499</c:v>
              </c:pt>
              <c:pt idx="3112">
                <c:v>0.124539</c:v>
              </c:pt>
              <c:pt idx="3113">
                <c:v>0.124579</c:v>
              </c:pt>
              <c:pt idx="3114">
                <c:v>0.12461899999999999</c:v>
              </c:pt>
              <c:pt idx="3115">
                <c:v>0.12465900000000001</c:v>
              </c:pt>
              <c:pt idx="3116">
                <c:v>0.124699</c:v>
              </c:pt>
              <c:pt idx="3117">
                <c:v>0.124739</c:v>
              </c:pt>
              <c:pt idx="3118">
                <c:v>0.124779</c:v>
              </c:pt>
              <c:pt idx="3119">
                <c:v>0.124819</c:v>
              </c:pt>
              <c:pt idx="3120">
                <c:v>0.124859</c:v>
              </c:pt>
              <c:pt idx="3121">
                <c:v>0.124899</c:v>
              </c:pt>
              <c:pt idx="3122">
                <c:v>0.12493899999999999</c:v>
              </c:pt>
              <c:pt idx="3123">
                <c:v>0.12497900000000001</c:v>
              </c:pt>
              <c:pt idx="3124">
                <c:v>0.12501899999999999</c:v>
              </c:pt>
              <c:pt idx="3125">
                <c:v>0.125059</c:v>
              </c:pt>
              <c:pt idx="3126">
                <c:v>0.12509899999999999</c:v>
              </c:pt>
              <c:pt idx="3127">
                <c:v>0.125139</c:v>
              </c:pt>
              <c:pt idx="3128">
                <c:v>0.12517900000000001</c:v>
              </c:pt>
              <c:pt idx="3129">
                <c:v>0.125219</c:v>
              </c:pt>
              <c:pt idx="3130">
                <c:v>0.12525900000000001</c:v>
              </c:pt>
              <c:pt idx="3131">
                <c:v>0.12529899999999999</c:v>
              </c:pt>
              <c:pt idx="3132">
                <c:v>0.12533900000000001</c:v>
              </c:pt>
              <c:pt idx="3133">
                <c:v>0.12537899999999999</c:v>
              </c:pt>
              <c:pt idx="3134">
                <c:v>0.125419</c:v>
              </c:pt>
              <c:pt idx="3135">
                <c:v>0.12545899999999999</c:v>
              </c:pt>
              <c:pt idx="3136">
                <c:v>0.125499</c:v>
              </c:pt>
              <c:pt idx="3137">
                <c:v>0.12553900000000001</c:v>
              </c:pt>
              <c:pt idx="3138">
                <c:v>0.125579</c:v>
              </c:pt>
              <c:pt idx="3139">
                <c:v>0.12561900000000001</c:v>
              </c:pt>
              <c:pt idx="3140">
                <c:v>0.12565899999999999</c:v>
              </c:pt>
              <c:pt idx="3141">
                <c:v>0.12569900000000001</c:v>
              </c:pt>
              <c:pt idx="3142">
                <c:v>0.12573899999999999</c:v>
              </c:pt>
              <c:pt idx="3143">
                <c:v>0.125779</c:v>
              </c:pt>
              <c:pt idx="3144">
                <c:v>0.12581899999999999</c:v>
              </c:pt>
              <c:pt idx="3145">
                <c:v>0.125859</c:v>
              </c:pt>
              <c:pt idx="3146">
                <c:v>0.12589900000000001</c:v>
              </c:pt>
              <c:pt idx="3147">
                <c:v>0.125939</c:v>
              </c:pt>
              <c:pt idx="3148">
                <c:v>0.12597900000000001</c:v>
              </c:pt>
              <c:pt idx="3149">
                <c:v>0.12601899999999999</c:v>
              </c:pt>
              <c:pt idx="3150">
                <c:v>0.126059</c:v>
              </c:pt>
              <c:pt idx="3151">
                <c:v>0.12609899999999999</c:v>
              </c:pt>
              <c:pt idx="3152">
                <c:v>0.126139</c:v>
              </c:pt>
              <c:pt idx="3153">
                <c:v>0.12617900000000001</c:v>
              </c:pt>
              <c:pt idx="3154">
                <c:v>0.126219</c:v>
              </c:pt>
              <c:pt idx="3155">
                <c:v>0.12625900000000001</c:v>
              </c:pt>
              <c:pt idx="3156">
                <c:v>0.12629899999999999</c:v>
              </c:pt>
              <c:pt idx="3157">
                <c:v>0.12633900000000001</c:v>
              </c:pt>
              <c:pt idx="3158">
                <c:v>0.12637899999999999</c:v>
              </c:pt>
              <c:pt idx="3159">
                <c:v>0.126419</c:v>
              </c:pt>
              <c:pt idx="3160">
                <c:v>0.12645899999999999</c:v>
              </c:pt>
              <c:pt idx="3161">
                <c:v>0.126499</c:v>
              </c:pt>
              <c:pt idx="3162">
                <c:v>0.12653900000000001</c:v>
              </c:pt>
              <c:pt idx="3163">
                <c:v>0.126579</c:v>
              </c:pt>
              <c:pt idx="3164">
                <c:v>0.12661900000000001</c:v>
              </c:pt>
              <c:pt idx="3165">
                <c:v>0.12665899999999999</c:v>
              </c:pt>
              <c:pt idx="3166">
                <c:v>0.12669900000000001</c:v>
              </c:pt>
              <c:pt idx="3167">
                <c:v>0.12673899999999999</c:v>
              </c:pt>
              <c:pt idx="3168">
                <c:v>0.126779</c:v>
              </c:pt>
              <c:pt idx="3169">
                <c:v>0.12681899999999999</c:v>
              </c:pt>
              <c:pt idx="3170">
                <c:v>0.126859</c:v>
              </c:pt>
              <c:pt idx="3171">
                <c:v>0.12689900000000001</c:v>
              </c:pt>
              <c:pt idx="3172">
                <c:v>0.126939</c:v>
              </c:pt>
              <c:pt idx="3173">
                <c:v>0.12697900000000001</c:v>
              </c:pt>
              <c:pt idx="3174">
                <c:v>0.12701899999999999</c:v>
              </c:pt>
              <c:pt idx="3175">
                <c:v>0.12705900000000001</c:v>
              </c:pt>
              <c:pt idx="3176">
                <c:v>0.12709899999999999</c:v>
              </c:pt>
              <c:pt idx="3177">
                <c:v>0.127139</c:v>
              </c:pt>
              <c:pt idx="3178">
                <c:v>0.12717899999999999</c:v>
              </c:pt>
              <c:pt idx="3179">
                <c:v>0.127219</c:v>
              </c:pt>
              <c:pt idx="3180">
                <c:v>0.12725900000000001</c:v>
              </c:pt>
              <c:pt idx="3181">
                <c:v>0.127299</c:v>
              </c:pt>
              <c:pt idx="3182">
                <c:v>0.12733900000000001</c:v>
              </c:pt>
              <c:pt idx="3183">
                <c:v>0.12737899999999999</c:v>
              </c:pt>
              <c:pt idx="3184">
                <c:v>0.127419</c:v>
              </c:pt>
              <c:pt idx="3185">
                <c:v>0.12745899999999999</c:v>
              </c:pt>
              <c:pt idx="3186">
                <c:v>0.127499</c:v>
              </c:pt>
              <c:pt idx="3187">
                <c:v>0.12753900000000001</c:v>
              </c:pt>
              <c:pt idx="3188">
                <c:v>0.127579</c:v>
              </c:pt>
              <c:pt idx="3189">
                <c:v>0.12761900000000001</c:v>
              </c:pt>
              <c:pt idx="3190">
                <c:v>0.12765899999999999</c:v>
              </c:pt>
              <c:pt idx="3191">
                <c:v>0.12769900000000001</c:v>
              </c:pt>
              <c:pt idx="3192">
                <c:v>0.12773899999999999</c:v>
              </c:pt>
              <c:pt idx="3193">
                <c:v>0.127779</c:v>
              </c:pt>
              <c:pt idx="3194">
                <c:v>0.12781899999999999</c:v>
              </c:pt>
              <c:pt idx="3195">
                <c:v>0.127859</c:v>
              </c:pt>
              <c:pt idx="3196">
                <c:v>0.12789900000000001</c:v>
              </c:pt>
              <c:pt idx="3197">
                <c:v>0.127939</c:v>
              </c:pt>
              <c:pt idx="3198">
                <c:v>0.12797900000000001</c:v>
              </c:pt>
              <c:pt idx="3199">
                <c:v>0.12801899999999999</c:v>
              </c:pt>
              <c:pt idx="3200">
                <c:v>0.12805900000000001</c:v>
              </c:pt>
              <c:pt idx="3201">
                <c:v>0.12809899999999999</c:v>
              </c:pt>
              <c:pt idx="3202">
                <c:v>0.128139</c:v>
              </c:pt>
              <c:pt idx="3203">
                <c:v>0.12817899999999999</c:v>
              </c:pt>
              <c:pt idx="3204">
                <c:v>0.128219</c:v>
              </c:pt>
              <c:pt idx="3205">
                <c:v>0.12825900000000001</c:v>
              </c:pt>
              <c:pt idx="3206">
                <c:v>0.128299</c:v>
              </c:pt>
              <c:pt idx="3207">
                <c:v>0.12833900000000001</c:v>
              </c:pt>
              <c:pt idx="3208">
                <c:v>0.12837899999999999</c:v>
              </c:pt>
              <c:pt idx="3209">
                <c:v>0.12841900000000001</c:v>
              </c:pt>
              <c:pt idx="3210">
                <c:v>0.12845899999999999</c:v>
              </c:pt>
              <c:pt idx="3211">
                <c:v>0.128499</c:v>
              </c:pt>
              <c:pt idx="3212">
                <c:v>0.12853899999999999</c:v>
              </c:pt>
              <c:pt idx="3213">
                <c:v>0.128579</c:v>
              </c:pt>
              <c:pt idx="3214">
                <c:v>0.12861900000000001</c:v>
              </c:pt>
              <c:pt idx="3215">
                <c:v>0.128659</c:v>
              </c:pt>
              <c:pt idx="3216">
                <c:v>0.12869900000000001</c:v>
              </c:pt>
              <c:pt idx="3217">
                <c:v>0.12873899999999999</c:v>
              </c:pt>
              <c:pt idx="3218">
                <c:v>0.128779</c:v>
              </c:pt>
              <c:pt idx="3219">
                <c:v>0.12881899999999999</c:v>
              </c:pt>
              <c:pt idx="3220">
                <c:v>0.128859</c:v>
              </c:pt>
              <c:pt idx="3221">
                <c:v>0.12889900000000001</c:v>
              </c:pt>
              <c:pt idx="3222">
                <c:v>0.128939</c:v>
              </c:pt>
              <c:pt idx="3223">
                <c:v>0.12897900000000001</c:v>
              </c:pt>
              <c:pt idx="3224">
                <c:v>0.12901899999999999</c:v>
              </c:pt>
              <c:pt idx="3225">
                <c:v>0.12905900000000001</c:v>
              </c:pt>
              <c:pt idx="3226">
                <c:v>0.12909899999999999</c:v>
              </c:pt>
              <c:pt idx="3227">
                <c:v>0.129139</c:v>
              </c:pt>
              <c:pt idx="3228">
                <c:v>0.12917899999999999</c:v>
              </c:pt>
              <c:pt idx="3229">
                <c:v>0.129219</c:v>
              </c:pt>
              <c:pt idx="3230">
                <c:v>0.12925900000000001</c:v>
              </c:pt>
              <c:pt idx="3231">
                <c:v>0.129299</c:v>
              </c:pt>
              <c:pt idx="3232">
                <c:v>0.12933900000000001</c:v>
              </c:pt>
              <c:pt idx="3233">
                <c:v>0.12937899999999999</c:v>
              </c:pt>
              <c:pt idx="3234">
                <c:v>0.12941900000000001</c:v>
              </c:pt>
              <c:pt idx="3235">
                <c:v>0.12945899999999999</c:v>
              </c:pt>
              <c:pt idx="3236">
                <c:v>0.129499</c:v>
              </c:pt>
              <c:pt idx="3237">
                <c:v>0.12953899999999999</c:v>
              </c:pt>
              <c:pt idx="3238">
                <c:v>0.129579</c:v>
              </c:pt>
              <c:pt idx="3239">
                <c:v>0.12961900000000001</c:v>
              </c:pt>
              <c:pt idx="3240">
                <c:v>0.129659</c:v>
              </c:pt>
              <c:pt idx="3241">
                <c:v>0.12969900000000001</c:v>
              </c:pt>
              <c:pt idx="3242">
                <c:v>0.12973899999999999</c:v>
              </c:pt>
              <c:pt idx="3243">
                <c:v>0.12977900000000001</c:v>
              </c:pt>
              <c:pt idx="3244">
                <c:v>0.12981899999999999</c:v>
              </c:pt>
              <c:pt idx="3245">
                <c:v>0.129859</c:v>
              </c:pt>
              <c:pt idx="3246">
                <c:v>0.12989899999999999</c:v>
              </c:pt>
              <c:pt idx="3247">
                <c:v>0.129939</c:v>
              </c:pt>
              <c:pt idx="3248">
                <c:v>0.12997900000000001</c:v>
              </c:pt>
              <c:pt idx="3249">
                <c:v>0.130019</c:v>
              </c:pt>
              <c:pt idx="3250">
                <c:v>0.13005900000000001</c:v>
              </c:pt>
              <c:pt idx="3251">
                <c:v>0.13009899999999999</c:v>
              </c:pt>
              <c:pt idx="3252">
                <c:v>0.130139</c:v>
              </c:pt>
              <c:pt idx="3253">
                <c:v>0.13017899999999999</c:v>
              </c:pt>
              <c:pt idx="3254">
                <c:v>0.130219</c:v>
              </c:pt>
              <c:pt idx="3255">
                <c:v>0.13025900000000001</c:v>
              </c:pt>
              <c:pt idx="3256">
                <c:v>0.130299</c:v>
              </c:pt>
              <c:pt idx="3257">
                <c:v>0.13033900000000001</c:v>
              </c:pt>
              <c:pt idx="3258">
                <c:v>0.13037899999999999</c:v>
              </c:pt>
              <c:pt idx="3259">
                <c:v>0.13041900000000001</c:v>
              </c:pt>
              <c:pt idx="3260">
                <c:v>0.13045899999999999</c:v>
              </c:pt>
              <c:pt idx="3261">
                <c:v>0.130499</c:v>
              </c:pt>
              <c:pt idx="3262">
                <c:v>0.13053899999999999</c:v>
              </c:pt>
              <c:pt idx="3263">
                <c:v>0.130579</c:v>
              </c:pt>
              <c:pt idx="3264">
                <c:v>0.13061900000000001</c:v>
              </c:pt>
              <c:pt idx="3265">
                <c:v>0.130659</c:v>
              </c:pt>
              <c:pt idx="3266">
                <c:v>0.13069900000000001</c:v>
              </c:pt>
              <c:pt idx="3267">
                <c:v>0.13073899999999999</c:v>
              </c:pt>
              <c:pt idx="3268">
                <c:v>0.13077900000000001</c:v>
              </c:pt>
              <c:pt idx="3269">
                <c:v>0.13081899999999999</c:v>
              </c:pt>
              <c:pt idx="3270">
                <c:v>0.130859</c:v>
              </c:pt>
              <c:pt idx="3271">
                <c:v>0.13089899999999999</c:v>
              </c:pt>
              <c:pt idx="3272">
                <c:v>0.130939</c:v>
              </c:pt>
              <c:pt idx="3273">
                <c:v>0.13097900000000001</c:v>
              </c:pt>
              <c:pt idx="3274">
                <c:v>0.131019</c:v>
              </c:pt>
              <c:pt idx="3275">
                <c:v>0.13105900000000001</c:v>
              </c:pt>
              <c:pt idx="3276">
                <c:v>0.13109899999999999</c:v>
              </c:pt>
              <c:pt idx="3277">
                <c:v>0.13113900000000001</c:v>
              </c:pt>
              <c:pt idx="3278">
                <c:v>0.13117899999999999</c:v>
              </c:pt>
              <c:pt idx="3279">
                <c:v>0.131219</c:v>
              </c:pt>
              <c:pt idx="3280">
                <c:v>0.13125899999999999</c:v>
              </c:pt>
              <c:pt idx="3281">
                <c:v>0.131299</c:v>
              </c:pt>
              <c:pt idx="3282">
                <c:v>0.13133900000000001</c:v>
              </c:pt>
              <c:pt idx="3283">
                <c:v>0.131379</c:v>
              </c:pt>
              <c:pt idx="3284">
                <c:v>0.13141900000000001</c:v>
              </c:pt>
              <c:pt idx="3285">
                <c:v>0.13145899999999999</c:v>
              </c:pt>
              <c:pt idx="3286">
                <c:v>0.131499</c:v>
              </c:pt>
              <c:pt idx="3287">
                <c:v>0.13153899999999999</c:v>
              </c:pt>
              <c:pt idx="3288">
                <c:v>0.131579</c:v>
              </c:pt>
              <c:pt idx="3289">
                <c:v>0.13161900000000001</c:v>
              </c:pt>
              <c:pt idx="3290">
                <c:v>0.131659</c:v>
              </c:pt>
              <c:pt idx="3291">
                <c:v>0.13169900000000001</c:v>
              </c:pt>
              <c:pt idx="3292">
                <c:v>0.13173899999999999</c:v>
              </c:pt>
              <c:pt idx="3293">
                <c:v>0.13177900000000001</c:v>
              </c:pt>
              <c:pt idx="3294">
                <c:v>0.13181899999999999</c:v>
              </c:pt>
              <c:pt idx="3295">
                <c:v>0.131859</c:v>
              </c:pt>
              <c:pt idx="3296">
                <c:v>0.13189899999999999</c:v>
              </c:pt>
              <c:pt idx="3297">
                <c:v>0.131939</c:v>
              </c:pt>
              <c:pt idx="3298">
                <c:v>0.13197900000000001</c:v>
              </c:pt>
              <c:pt idx="3299">
                <c:v>0.132019</c:v>
              </c:pt>
              <c:pt idx="3300">
                <c:v>0.13205900000000001</c:v>
              </c:pt>
              <c:pt idx="3301">
                <c:v>0.13209899999999999</c:v>
              </c:pt>
              <c:pt idx="3302">
                <c:v>0.13213900000000001</c:v>
              </c:pt>
              <c:pt idx="3303">
                <c:v>0.13217899999999999</c:v>
              </c:pt>
              <c:pt idx="3304">
                <c:v>0.132219</c:v>
              </c:pt>
              <c:pt idx="3305">
                <c:v>0.13225899999999999</c:v>
              </c:pt>
              <c:pt idx="3306">
                <c:v>0.132299</c:v>
              </c:pt>
              <c:pt idx="3307">
                <c:v>0.13233900000000001</c:v>
              </c:pt>
              <c:pt idx="3308">
                <c:v>0.132379</c:v>
              </c:pt>
              <c:pt idx="3309">
                <c:v>0.13241900000000001</c:v>
              </c:pt>
              <c:pt idx="3310">
                <c:v>0.13245899999999999</c:v>
              </c:pt>
              <c:pt idx="3311">
                <c:v>0.13249900000000001</c:v>
              </c:pt>
              <c:pt idx="3312">
                <c:v>0.13253899999999999</c:v>
              </c:pt>
              <c:pt idx="3313">
                <c:v>0.132579</c:v>
              </c:pt>
              <c:pt idx="3314">
                <c:v>0.13261899999999999</c:v>
              </c:pt>
              <c:pt idx="3315">
                <c:v>0.132659</c:v>
              </c:pt>
              <c:pt idx="3316">
                <c:v>0.13269900000000001</c:v>
              </c:pt>
              <c:pt idx="3317">
                <c:v>0.132739</c:v>
              </c:pt>
              <c:pt idx="3318">
                <c:v>0.13277900000000001</c:v>
              </c:pt>
              <c:pt idx="3319">
                <c:v>0.13281899999999999</c:v>
              </c:pt>
              <c:pt idx="3320">
                <c:v>0.132859</c:v>
              </c:pt>
              <c:pt idx="3321">
                <c:v>0.13289899999999999</c:v>
              </c:pt>
              <c:pt idx="3322">
                <c:v>0.132939</c:v>
              </c:pt>
              <c:pt idx="3323">
                <c:v>0.13297900000000001</c:v>
              </c:pt>
              <c:pt idx="3324">
                <c:v>0.133019</c:v>
              </c:pt>
              <c:pt idx="3325">
                <c:v>0.13305900000000001</c:v>
              </c:pt>
              <c:pt idx="3326">
                <c:v>0.133099</c:v>
              </c:pt>
              <c:pt idx="3327">
                <c:v>0.13313900000000001</c:v>
              </c:pt>
              <c:pt idx="3328">
                <c:v>0.13317899999999999</c:v>
              </c:pt>
              <c:pt idx="3329">
                <c:v>0.133219</c:v>
              </c:pt>
              <c:pt idx="3330">
                <c:v>0.13325899999999999</c:v>
              </c:pt>
              <c:pt idx="3331">
                <c:v>0.133299</c:v>
              </c:pt>
              <c:pt idx="3332">
                <c:v>0.13333900000000001</c:v>
              </c:pt>
              <c:pt idx="3333">
                <c:v>0.133379</c:v>
              </c:pt>
              <c:pt idx="3334">
                <c:v>0.13341900000000001</c:v>
              </c:pt>
              <c:pt idx="3335">
                <c:v>0.13345899999999999</c:v>
              </c:pt>
              <c:pt idx="3336">
                <c:v>0.13349900000000001</c:v>
              </c:pt>
              <c:pt idx="3337">
                <c:v>0.13353899999999999</c:v>
              </c:pt>
              <c:pt idx="3338">
                <c:v>0.133579</c:v>
              </c:pt>
              <c:pt idx="3339">
                <c:v>0.13361899999999999</c:v>
              </c:pt>
              <c:pt idx="3340">
                <c:v>0.133659</c:v>
              </c:pt>
              <c:pt idx="3341">
                <c:v>0.13369900000000001</c:v>
              </c:pt>
              <c:pt idx="3342">
                <c:v>0.133739</c:v>
              </c:pt>
              <c:pt idx="3343">
                <c:v>0.13377900000000001</c:v>
              </c:pt>
              <c:pt idx="3344">
                <c:v>0.13381899999999999</c:v>
              </c:pt>
              <c:pt idx="3345">
                <c:v>0.13385900000000001</c:v>
              </c:pt>
              <c:pt idx="3346">
                <c:v>0.13389899999999999</c:v>
              </c:pt>
              <c:pt idx="3347">
                <c:v>0.133939</c:v>
              </c:pt>
              <c:pt idx="3348">
                <c:v>0.13397899999999999</c:v>
              </c:pt>
              <c:pt idx="3349">
                <c:v>0.134019</c:v>
              </c:pt>
              <c:pt idx="3350">
                <c:v>0.13405900000000001</c:v>
              </c:pt>
              <c:pt idx="3351">
                <c:v>0.134099</c:v>
              </c:pt>
              <c:pt idx="3352">
                <c:v>0.13413900000000001</c:v>
              </c:pt>
              <c:pt idx="3353">
                <c:v>0.13417899999999999</c:v>
              </c:pt>
              <c:pt idx="3354">
                <c:v>0.134219</c:v>
              </c:pt>
              <c:pt idx="3355">
                <c:v>0.13425899999999999</c:v>
              </c:pt>
              <c:pt idx="3356">
                <c:v>0.134299</c:v>
              </c:pt>
              <c:pt idx="3357">
                <c:v>0.13433899999999999</c:v>
              </c:pt>
              <c:pt idx="3358">
                <c:v>0.134379</c:v>
              </c:pt>
              <c:pt idx="3359">
                <c:v>0.13441900000000001</c:v>
              </c:pt>
              <c:pt idx="3360">
                <c:v>0.134459</c:v>
              </c:pt>
              <c:pt idx="3361">
                <c:v>0.13449900000000001</c:v>
              </c:pt>
              <c:pt idx="3362">
                <c:v>0.13453899999999999</c:v>
              </c:pt>
              <c:pt idx="3363">
                <c:v>0.134579</c:v>
              </c:pt>
              <c:pt idx="3364">
                <c:v>0.13461899999999999</c:v>
              </c:pt>
              <c:pt idx="3365">
                <c:v>0.134659</c:v>
              </c:pt>
              <c:pt idx="3366">
                <c:v>0.13469900000000001</c:v>
              </c:pt>
              <c:pt idx="3367">
                <c:v>0.134739</c:v>
              </c:pt>
              <c:pt idx="3368">
                <c:v>0.13477900000000001</c:v>
              </c:pt>
              <c:pt idx="3369">
                <c:v>0.13481899999999999</c:v>
              </c:pt>
              <c:pt idx="3370">
                <c:v>0.13485900000000001</c:v>
              </c:pt>
              <c:pt idx="3371">
                <c:v>0.13489899999999999</c:v>
              </c:pt>
              <c:pt idx="3372">
                <c:v>0.134939</c:v>
              </c:pt>
              <c:pt idx="3373">
                <c:v>0.13497899999999999</c:v>
              </c:pt>
              <c:pt idx="3374">
                <c:v>0.135019</c:v>
              </c:pt>
              <c:pt idx="3375">
                <c:v>0.13505900000000001</c:v>
              </c:pt>
              <c:pt idx="3376">
                <c:v>0.135099</c:v>
              </c:pt>
              <c:pt idx="3377">
                <c:v>0.13513900000000001</c:v>
              </c:pt>
              <c:pt idx="3378">
                <c:v>0.13517899999999999</c:v>
              </c:pt>
              <c:pt idx="3379">
                <c:v>0.13521900000000001</c:v>
              </c:pt>
              <c:pt idx="3380">
                <c:v>0.13525899999999999</c:v>
              </c:pt>
              <c:pt idx="3381">
                <c:v>0.135299</c:v>
              </c:pt>
              <c:pt idx="3382">
                <c:v>0.13533899999999999</c:v>
              </c:pt>
              <c:pt idx="3383">
                <c:v>0.135379</c:v>
              </c:pt>
              <c:pt idx="3384">
                <c:v>0.13541900000000001</c:v>
              </c:pt>
              <c:pt idx="3385">
                <c:v>0.135459</c:v>
              </c:pt>
              <c:pt idx="3386">
                <c:v>0.13549900000000001</c:v>
              </c:pt>
              <c:pt idx="3387">
                <c:v>0.13553899999999999</c:v>
              </c:pt>
              <c:pt idx="3388">
                <c:v>0.13557900000000001</c:v>
              </c:pt>
              <c:pt idx="3389">
                <c:v>0.13561899999999999</c:v>
              </c:pt>
              <c:pt idx="3390">
                <c:v>0.135659</c:v>
              </c:pt>
              <c:pt idx="3391">
                <c:v>0.13569899999999999</c:v>
              </c:pt>
              <c:pt idx="3392">
                <c:v>0.135739</c:v>
              </c:pt>
              <c:pt idx="3393">
                <c:v>0.13577900000000001</c:v>
              </c:pt>
              <c:pt idx="3394">
                <c:v>0.135819</c:v>
              </c:pt>
              <c:pt idx="3395">
                <c:v>0.13585900000000001</c:v>
              </c:pt>
              <c:pt idx="3396">
                <c:v>0.13589899999999999</c:v>
              </c:pt>
              <c:pt idx="3397">
                <c:v>0.135939</c:v>
              </c:pt>
              <c:pt idx="3398">
                <c:v>0.13597899999999999</c:v>
              </c:pt>
              <c:pt idx="3399">
                <c:v>0.136019</c:v>
              </c:pt>
              <c:pt idx="3400">
                <c:v>0.13605900000000001</c:v>
              </c:pt>
              <c:pt idx="3401">
                <c:v>0.136099</c:v>
              </c:pt>
              <c:pt idx="3402">
                <c:v>0.13613900000000001</c:v>
              </c:pt>
              <c:pt idx="3403">
                <c:v>0.13617899999999999</c:v>
              </c:pt>
              <c:pt idx="3404">
                <c:v>0.13621900000000001</c:v>
              </c:pt>
              <c:pt idx="3405">
                <c:v>0.13625899999999999</c:v>
              </c:pt>
              <c:pt idx="3406">
                <c:v>0.136299</c:v>
              </c:pt>
              <c:pt idx="3407">
                <c:v>0.13633899999999999</c:v>
              </c:pt>
              <c:pt idx="3408">
                <c:v>0.136379</c:v>
              </c:pt>
              <c:pt idx="3409">
                <c:v>0.13641900000000001</c:v>
              </c:pt>
              <c:pt idx="3410">
                <c:v>0.136459</c:v>
              </c:pt>
              <c:pt idx="3411">
                <c:v>0.13649900000000001</c:v>
              </c:pt>
              <c:pt idx="3412">
                <c:v>0.13653899999999999</c:v>
              </c:pt>
              <c:pt idx="3413">
                <c:v>0.13657900000000001</c:v>
              </c:pt>
              <c:pt idx="3414">
                <c:v>0.13661899999999999</c:v>
              </c:pt>
              <c:pt idx="3415">
                <c:v>0.136659</c:v>
              </c:pt>
              <c:pt idx="3416">
                <c:v>0.13669899999999999</c:v>
              </c:pt>
              <c:pt idx="3417">
                <c:v>0.136739</c:v>
              </c:pt>
              <c:pt idx="3418">
                <c:v>0.13677900000000001</c:v>
              </c:pt>
              <c:pt idx="3419">
                <c:v>0.136819</c:v>
              </c:pt>
              <c:pt idx="3420">
                <c:v>0.13685900000000001</c:v>
              </c:pt>
              <c:pt idx="3421">
                <c:v>0.13689899999999999</c:v>
              </c:pt>
              <c:pt idx="3422">
                <c:v>0.13693900000000001</c:v>
              </c:pt>
              <c:pt idx="3423">
                <c:v>0.13697899999999999</c:v>
              </c:pt>
              <c:pt idx="3424">
                <c:v>0.137019</c:v>
              </c:pt>
              <c:pt idx="3425">
                <c:v>0.13705899999999999</c:v>
              </c:pt>
              <c:pt idx="3426">
                <c:v>0.137099</c:v>
              </c:pt>
              <c:pt idx="3427">
                <c:v>0.13713900000000001</c:v>
              </c:pt>
              <c:pt idx="3428">
                <c:v>0.137179</c:v>
              </c:pt>
              <c:pt idx="3429">
                <c:v>0.13721900000000001</c:v>
              </c:pt>
              <c:pt idx="3430">
                <c:v>0.13725899999999999</c:v>
              </c:pt>
              <c:pt idx="3431">
                <c:v>0.137299</c:v>
              </c:pt>
              <c:pt idx="3432">
                <c:v>0.13733899999999999</c:v>
              </c:pt>
              <c:pt idx="3433">
                <c:v>0.137379</c:v>
              </c:pt>
              <c:pt idx="3434">
                <c:v>0.13741900000000001</c:v>
              </c:pt>
              <c:pt idx="3435">
                <c:v>0.137459</c:v>
              </c:pt>
              <c:pt idx="3436">
                <c:v>0.13749900000000001</c:v>
              </c:pt>
              <c:pt idx="3437">
                <c:v>0.13753899999999999</c:v>
              </c:pt>
              <c:pt idx="3438">
                <c:v>0.13757900000000001</c:v>
              </c:pt>
              <c:pt idx="3439">
                <c:v>0.13761899999999999</c:v>
              </c:pt>
              <c:pt idx="3440">
                <c:v>0.137659</c:v>
              </c:pt>
              <c:pt idx="3441">
                <c:v>0.13769899999999999</c:v>
              </c:pt>
              <c:pt idx="3442">
                <c:v>0.137739</c:v>
              </c:pt>
              <c:pt idx="3443">
                <c:v>0.13777900000000001</c:v>
              </c:pt>
              <c:pt idx="3444">
                <c:v>0.137819</c:v>
              </c:pt>
              <c:pt idx="3445">
                <c:v>0.13785900000000001</c:v>
              </c:pt>
              <c:pt idx="3446">
                <c:v>0.13789899999999999</c:v>
              </c:pt>
              <c:pt idx="3447">
                <c:v>0.13793900000000001</c:v>
              </c:pt>
              <c:pt idx="3448">
                <c:v>0.13797899999999999</c:v>
              </c:pt>
              <c:pt idx="3449">
                <c:v>0.138019</c:v>
              </c:pt>
              <c:pt idx="3450">
                <c:v>0.13805899999999999</c:v>
              </c:pt>
              <c:pt idx="3451">
                <c:v>0.138099</c:v>
              </c:pt>
              <c:pt idx="3452">
                <c:v>0.13813900000000001</c:v>
              </c:pt>
              <c:pt idx="3453">
                <c:v>0.138179</c:v>
              </c:pt>
              <c:pt idx="3454">
                <c:v>0.13821900000000001</c:v>
              </c:pt>
              <c:pt idx="3455">
                <c:v>0.13825899999999999</c:v>
              </c:pt>
              <c:pt idx="3456">
                <c:v>0.13829900000000001</c:v>
              </c:pt>
              <c:pt idx="3457">
                <c:v>0.13833899999999999</c:v>
              </c:pt>
              <c:pt idx="3458">
                <c:v>0.138379</c:v>
              </c:pt>
              <c:pt idx="3459">
                <c:v>0.13841899999999999</c:v>
              </c:pt>
              <c:pt idx="3460">
                <c:v>0.138459</c:v>
              </c:pt>
              <c:pt idx="3461">
                <c:v>0.13849900000000001</c:v>
              </c:pt>
              <c:pt idx="3462">
                <c:v>0.138539</c:v>
              </c:pt>
              <c:pt idx="3463">
                <c:v>0.13857900000000001</c:v>
              </c:pt>
              <c:pt idx="3464">
                <c:v>0.13861899999999999</c:v>
              </c:pt>
              <c:pt idx="3465">
                <c:v>0.138659</c:v>
              </c:pt>
              <c:pt idx="3466">
                <c:v>0.13869899999999999</c:v>
              </c:pt>
              <c:pt idx="3467">
                <c:v>0.138739</c:v>
              </c:pt>
              <c:pt idx="3468">
                <c:v>0.13877900000000001</c:v>
              </c:pt>
              <c:pt idx="3469">
                <c:v>0.138819</c:v>
              </c:pt>
              <c:pt idx="3470">
                <c:v>0.13885900000000001</c:v>
              </c:pt>
              <c:pt idx="3471">
                <c:v>0.13889899999999999</c:v>
              </c:pt>
              <c:pt idx="3472">
                <c:v>0.13893900000000001</c:v>
              </c:pt>
              <c:pt idx="3473">
                <c:v>0.13897899999999999</c:v>
              </c:pt>
              <c:pt idx="3474">
                <c:v>0.139019</c:v>
              </c:pt>
              <c:pt idx="3475">
                <c:v>0.13905899999999999</c:v>
              </c:pt>
              <c:pt idx="3476">
                <c:v>0.139099</c:v>
              </c:pt>
              <c:pt idx="3477">
                <c:v>0.13913900000000001</c:v>
              </c:pt>
              <c:pt idx="3478">
                <c:v>0.139179</c:v>
              </c:pt>
              <c:pt idx="3479">
                <c:v>0.13921900000000001</c:v>
              </c:pt>
              <c:pt idx="3480">
                <c:v>0.13925899999999999</c:v>
              </c:pt>
              <c:pt idx="3481">
                <c:v>0.13929900000000001</c:v>
              </c:pt>
              <c:pt idx="3482">
                <c:v>0.13933899999999999</c:v>
              </c:pt>
              <c:pt idx="3483">
                <c:v>0.139379</c:v>
              </c:pt>
              <c:pt idx="3484">
                <c:v>0.13941899999999999</c:v>
              </c:pt>
              <c:pt idx="3485">
                <c:v>0.139459</c:v>
              </c:pt>
              <c:pt idx="3486">
                <c:v>0.13949900000000001</c:v>
              </c:pt>
              <c:pt idx="3487">
                <c:v>0.139539</c:v>
              </c:pt>
              <c:pt idx="3488">
                <c:v>0.13957900000000001</c:v>
              </c:pt>
              <c:pt idx="3489">
                <c:v>0.13961899999999999</c:v>
              </c:pt>
              <c:pt idx="3490">
                <c:v>0.13965900000000001</c:v>
              </c:pt>
              <c:pt idx="3491">
                <c:v>0.13969899999999999</c:v>
              </c:pt>
              <c:pt idx="3492">
                <c:v>0.139739</c:v>
              </c:pt>
              <c:pt idx="3493">
                <c:v>0.13977899999999999</c:v>
              </c:pt>
              <c:pt idx="3494">
                <c:v>0.139819</c:v>
              </c:pt>
              <c:pt idx="3495">
                <c:v>0.13985900000000001</c:v>
              </c:pt>
              <c:pt idx="3496">
                <c:v>0.139899</c:v>
              </c:pt>
              <c:pt idx="3497">
                <c:v>0.13993900000000001</c:v>
              </c:pt>
              <c:pt idx="3498">
                <c:v>0.13997899999999999</c:v>
              </c:pt>
              <c:pt idx="3499">
                <c:v>0.140019</c:v>
              </c:pt>
              <c:pt idx="3500">
                <c:v>0.14005899999999999</c:v>
              </c:pt>
              <c:pt idx="3501">
                <c:v>0.140099</c:v>
              </c:pt>
              <c:pt idx="3502">
                <c:v>0.14013900000000001</c:v>
              </c:pt>
              <c:pt idx="3503">
                <c:v>0.140179</c:v>
              </c:pt>
              <c:pt idx="3504">
                <c:v>0.14021900000000001</c:v>
              </c:pt>
              <c:pt idx="3505">
                <c:v>0.14025899999999999</c:v>
              </c:pt>
              <c:pt idx="3506">
                <c:v>0.14029900000000001</c:v>
              </c:pt>
              <c:pt idx="3507">
                <c:v>0.14033899999999999</c:v>
              </c:pt>
              <c:pt idx="3508">
                <c:v>0.140379</c:v>
              </c:pt>
              <c:pt idx="3509">
                <c:v>0.14041899999999999</c:v>
              </c:pt>
              <c:pt idx="3510">
                <c:v>0.140459</c:v>
              </c:pt>
              <c:pt idx="3511">
                <c:v>0.14049900000000001</c:v>
              </c:pt>
              <c:pt idx="3512">
                <c:v>0.140539</c:v>
              </c:pt>
              <c:pt idx="3513">
                <c:v>0.14057900000000001</c:v>
              </c:pt>
              <c:pt idx="3514">
                <c:v>0.14061899999999999</c:v>
              </c:pt>
              <c:pt idx="3515">
                <c:v>0.14065900000000001</c:v>
              </c:pt>
              <c:pt idx="3516">
                <c:v>0.14069899999999999</c:v>
              </c:pt>
              <c:pt idx="3517">
                <c:v>0.140739</c:v>
              </c:pt>
              <c:pt idx="3518">
                <c:v>0.14077899999999999</c:v>
              </c:pt>
              <c:pt idx="3519">
                <c:v>0.140819</c:v>
              </c:pt>
              <c:pt idx="3520">
                <c:v>0.14085900000000001</c:v>
              </c:pt>
              <c:pt idx="3521">
                <c:v>0.140899</c:v>
              </c:pt>
              <c:pt idx="3522">
                <c:v>0.14093900000000001</c:v>
              </c:pt>
              <c:pt idx="3523">
                <c:v>0.14097899999999999</c:v>
              </c:pt>
              <c:pt idx="3524">
                <c:v>0.14101900000000001</c:v>
              </c:pt>
              <c:pt idx="3525">
                <c:v>0.14105899999999999</c:v>
              </c:pt>
              <c:pt idx="3526">
                <c:v>0.141099</c:v>
              </c:pt>
              <c:pt idx="3527">
                <c:v>0.14113899999999999</c:v>
              </c:pt>
              <c:pt idx="3528">
                <c:v>0.141179</c:v>
              </c:pt>
              <c:pt idx="3529">
                <c:v>0.14121900000000001</c:v>
              </c:pt>
              <c:pt idx="3530">
                <c:v>0.141259</c:v>
              </c:pt>
              <c:pt idx="3531">
                <c:v>0.14129900000000001</c:v>
              </c:pt>
              <c:pt idx="3532">
                <c:v>0.14133899999999999</c:v>
              </c:pt>
              <c:pt idx="3533">
                <c:v>0.141379</c:v>
              </c:pt>
              <c:pt idx="3534">
                <c:v>0.14141899999999999</c:v>
              </c:pt>
              <c:pt idx="3535">
                <c:v>0.141459</c:v>
              </c:pt>
              <c:pt idx="3536">
                <c:v>0.14149900000000001</c:v>
              </c:pt>
              <c:pt idx="3537">
                <c:v>0.141539</c:v>
              </c:pt>
              <c:pt idx="3538">
                <c:v>0.14157800000000001</c:v>
              </c:pt>
              <c:pt idx="3539">
                <c:v>0.14161799999999999</c:v>
              </c:pt>
              <c:pt idx="3540">
                <c:v>0.14165800000000001</c:v>
              </c:pt>
              <c:pt idx="3541">
                <c:v>0.14169799999999999</c:v>
              </c:pt>
              <c:pt idx="3542">
                <c:v>0.141738</c:v>
              </c:pt>
              <c:pt idx="3543">
                <c:v>0.14177799999999999</c:v>
              </c:pt>
              <c:pt idx="3544">
                <c:v>0.141818</c:v>
              </c:pt>
              <c:pt idx="3545">
                <c:v>0.14185800000000001</c:v>
              </c:pt>
              <c:pt idx="3546">
                <c:v>0.141898</c:v>
              </c:pt>
              <c:pt idx="3547">
                <c:v>0.14193800000000001</c:v>
              </c:pt>
              <c:pt idx="3548">
                <c:v>0.14197799999999999</c:v>
              </c:pt>
              <c:pt idx="3549">
                <c:v>0.14201800000000001</c:v>
              </c:pt>
              <c:pt idx="3550">
                <c:v>0.14205799999999999</c:v>
              </c:pt>
              <c:pt idx="3551">
                <c:v>0.142098</c:v>
              </c:pt>
              <c:pt idx="3552">
                <c:v>0.14213799999999999</c:v>
              </c:pt>
              <c:pt idx="3553">
                <c:v>0.142178</c:v>
              </c:pt>
              <c:pt idx="3554">
                <c:v>0.14221800000000001</c:v>
              </c:pt>
              <c:pt idx="3555">
                <c:v>0.142258</c:v>
              </c:pt>
              <c:pt idx="3556">
                <c:v>0.14229800000000001</c:v>
              </c:pt>
              <c:pt idx="3557">
                <c:v>0.14233799999999999</c:v>
              </c:pt>
              <c:pt idx="3558">
                <c:v>0.142378</c:v>
              </c:pt>
              <c:pt idx="3559">
                <c:v>0.14241799999999999</c:v>
              </c:pt>
              <c:pt idx="3560">
                <c:v>0.142458</c:v>
              </c:pt>
              <c:pt idx="3561">
                <c:v>0.14249800000000001</c:v>
              </c:pt>
              <c:pt idx="3562">
                <c:v>0.142538</c:v>
              </c:pt>
              <c:pt idx="3563">
                <c:v>0.14257800000000001</c:v>
              </c:pt>
              <c:pt idx="3564">
                <c:v>0.14261799999999999</c:v>
              </c:pt>
              <c:pt idx="3565">
                <c:v>0.14265800000000001</c:v>
              </c:pt>
              <c:pt idx="3566">
                <c:v>0.14269799999999999</c:v>
              </c:pt>
              <c:pt idx="3567">
                <c:v>0.142738</c:v>
              </c:pt>
              <c:pt idx="3568">
                <c:v>0.14277799999999999</c:v>
              </c:pt>
              <c:pt idx="3569">
                <c:v>0.142818</c:v>
              </c:pt>
              <c:pt idx="3570">
                <c:v>0.14285800000000001</c:v>
              </c:pt>
              <c:pt idx="3571">
                <c:v>0.142898</c:v>
              </c:pt>
              <c:pt idx="3572">
                <c:v>0.14293800000000001</c:v>
              </c:pt>
              <c:pt idx="3573">
                <c:v>0.14297799999999999</c:v>
              </c:pt>
              <c:pt idx="3574">
                <c:v>0.14301800000000001</c:v>
              </c:pt>
              <c:pt idx="3575">
                <c:v>0.14305799999999999</c:v>
              </c:pt>
              <c:pt idx="3576">
                <c:v>0.143098</c:v>
              </c:pt>
              <c:pt idx="3577">
                <c:v>0.14313799999999999</c:v>
              </c:pt>
              <c:pt idx="3578">
                <c:v>0.143178</c:v>
              </c:pt>
              <c:pt idx="3579">
                <c:v>0.14321800000000001</c:v>
              </c:pt>
              <c:pt idx="3580">
                <c:v>0.143258</c:v>
              </c:pt>
              <c:pt idx="3581">
                <c:v>0.14329800000000001</c:v>
              </c:pt>
              <c:pt idx="3582">
                <c:v>0.14333799999999999</c:v>
              </c:pt>
              <c:pt idx="3583">
                <c:v>0.14337800000000001</c:v>
              </c:pt>
              <c:pt idx="3584">
                <c:v>0.14341799999999999</c:v>
              </c:pt>
              <c:pt idx="3585">
                <c:v>0.143458</c:v>
              </c:pt>
              <c:pt idx="3586">
                <c:v>0.14349799999999999</c:v>
              </c:pt>
              <c:pt idx="3587">
                <c:v>0.143538</c:v>
              </c:pt>
              <c:pt idx="3588">
                <c:v>0.14357800000000001</c:v>
              </c:pt>
              <c:pt idx="3589">
                <c:v>0.143618</c:v>
              </c:pt>
              <c:pt idx="3590">
                <c:v>0.14365800000000001</c:v>
              </c:pt>
              <c:pt idx="3591">
                <c:v>0.14369799999999999</c:v>
              </c:pt>
              <c:pt idx="3592">
                <c:v>0.143738</c:v>
              </c:pt>
              <c:pt idx="3593">
                <c:v>0.14377799999999999</c:v>
              </c:pt>
              <c:pt idx="3594">
                <c:v>0.143818</c:v>
              </c:pt>
              <c:pt idx="3595">
                <c:v>0.14385800000000001</c:v>
              </c:pt>
              <c:pt idx="3596">
                <c:v>0.143898</c:v>
              </c:pt>
              <c:pt idx="3597">
                <c:v>0.14393800000000001</c:v>
              </c:pt>
              <c:pt idx="3598">
                <c:v>0.14397799999999999</c:v>
              </c:pt>
              <c:pt idx="3599">
                <c:v>0.14401800000000001</c:v>
              </c:pt>
              <c:pt idx="3600">
                <c:v>0.14405799999999999</c:v>
              </c:pt>
              <c:pt idx="3601">
                <c:v>0.144098</c:v>
              </c:pt>
              <c:pt idx="3602">
                <c:v>0.14413799999999999</c:v>
              </c:pt>
              <c:pt idx="3603">
                <c:v>0.144178</c:v>
              </c:pt>
              <c:pt idx="3604">
                <c:v>0.14421800000000001</c:v>
              </c:pt>
              <c:pt idx="3605">
                <c:v>0.144258</c:v>
              </c:pt>
              <c:pt idx="3606">
                <c:v>0.14429800000000001</c:v>
              </c:pt>
              <c:pt idx="3607">
                <c:v>0.14433799999999999</c:v>
              </c:pt>
              <c:pt idx="3608">
                <c:v>0.14437800000000001</c:v>
              </c:pt>
              <c:pt idx="3609">
                <c:v>0.14441799999999999</c:v>
              </c:pt>
              <c:pt idx="3610">
                <c:v>0.144458</c:v>
              </c:pt>
              <c:pt idx="3611">
                <c:v>0.14449799999999999</c:v>
              </c:pt>
              <c:pt idx="3612">
                <c:v>0.144538</c:v>
              </c:pt>
              <c:pt idx="3613">
                <c:v>0.14457800000000001</c:v>
              </c:pt>
              <c:pt idx="3614">
                <c:v>0.144618</c:v>
              </c:pt>
              <c:pt idx="3615">
                <c:v>0.14465800000000001</c:v>
              </c:pt>
              <c:pt idx="3616">
                <c:v>0.14469799999999999</c:v>
              </c:pt>
              <c:pt idx="3617">
                <c:v>0.14473800000000001</c:v>
              </c:pt>
              <c:pt idx="3618">
                <c:v>0.14477799999999999</c:v>
              </c:pt>
              <c:pt idx="3619">
                <c:v>0.144818</c:v>
              </c:pt>
              <c:pt idx="3620">
                <c:v>0.14485799999999999</c:v>
              </c:pt>
              <c:pt idx="3621">
                <c:v>0.144898</c:v>
              </c:pt>
              <c:pt idx="3622">
                <c:v>0.14493800000000001</c:v>
              </c:pt>
              <c:pt idx="3623">
                <c:v>0.144978</c:v>
              </c:pt>
              <c:pt idx="3624">
                <c:v>0.14501800000000001</c:v>
              </c:pt>
              <c:pt idx="3625">
                <c:v>0.14505799999999999</c:v>
              </c:pt>
              <c:pt idx="3626">
                <c:v>0.145098</c:v>
              </c:pt>
              <c:pt idx="3627">
                <c:v>0.14513799999999999</c:v>
              </c:pt>
              <c:pt idx="3628">
                <c:v>0.145178</c:v>
              </c:pt>
              <c:pt idx="3629">
                <c:v>0.14521800000000001</c:v>
              </c:pt>
              <c:pt idx="3630">
                <c:v>0.145258</c:v>
              </c:pt>
              <c:pt idx="3631">
                <c:v>0.14529800000000001</c:v>
              </c:pt>
              <c:pt idx="3632">
                <c:v>0.14533799999999999</c:v>
              </c:pt>
              <c:pt idx="3633">
                <c:v>0.14537800000000001</c:v>
              </c:pt>
              <c:pt idx="3634">
                <c:v>0.14541799999999999</c:v>
              </c:pt>
              <c:pt idx="3635">
                <c:v>0.145458</c:v>
              </c:pt>
              <c:pt idx="3636">
                <c:v>0.14549799999999999</c:v>
              </c:pt>
              <c:pt idx="3637">
                <c:v>0.145538</c:v>
              </c:pt>
              <c:pt idx="3638">
                <c:v>0.14557800000000001</c:v>
              </c:pt>
              <c:pt idx="3639">
                <c:v>0.145618</c:v>
              </c:pt>
              <c:pt idx="3640">
                <c:v>0.14565800000000001</c:v>
              </c:pt>
              <c:pt idx="3641">
                <c:v>0.14569799999999999</c:v>
              </c:pt>
              <c:pt idx="3642">
                <c:v>0.14573800000000001</c:v>
              </c:pt>
              <c:pt idx="3643">
                <c:v>0.14577799999999999</c:v>
              </c:pt>
              <c:pt idx="3644">
                <c:v>0.145818</c:v>
              </c:pt>
              <c:pt idx="3645">
                <c:v>0.14585799999999999</c:v>
              </c:pt>
              <c:pt idx="3646">
                <c:v>0.145898</c:v>
              </c:pt>
              <c:pt idx="3647">
                <c:v>0.14593800000000001</c:v>
              </c:pt>
              <c:pt idx="3648">
                <c:v>0.145978</c:v>
              </c:pt>
              <c:pt idx="3649">
                <c:v>0.14601800000000001</c:v>
              </c:pt>
              <c:pt idx="3650">
                <c:v>0.14605799999999999</c:v>
              </c:pt>
              <c:pt idx="3651">
                <c:v>0.14609800000000001</c:v>
              </c:pt>
              <c:pt idx="3652">
                <c:v>0.14613799999999999</c:v>
              </c:pt>
              <c:pt idx="3653">
                <c:v>0.146178</c:v>
              </c:pt>
              <c:pt idx="3654">
                <c:v>0.14621799999999999</c:v>
              </c:pt>
              <c:pt idx="3655">
                <c:v>0.146258</c:v>
              </c:pt>
              <c:pt idx="3656">
                <c:v>0.14629800000000001</c:v>
              </c:pt>
              <c:pt idx="3657">
                <c:v>0.146338</c:v>
              </c:pt>
              <c:pt idx="3658">
                <c:v>0.14637800000000001</c:v>
              </c:pt>
              <c:pt idx="3659">
                <c:v>0.14641799999999999</c:v>
              </c:pt>
              <c:pt idx="3660">
                <c:v>0.146458</c:v>
              </c:pt>
              <c:pt idx="3661">
                <c:v>0.14649799999999999</c:v>
              </c:pt>
              <c:pt idx="3662">
                <c:v>0.146538</c:v>
              </c:pt>
              <c:pt idx="3663">
                <c:v>0.14657800000000001</c:v>
              </c:pt>
              <c:pt idx="3664">
                <c:v>0.146618</c:v>
              </c:pt>
              <c:pt idx="3665">
                <c:v>0.14665800000000001</c:v>
              </c:pt>
              <c:pt idx="3666">
                <c:v>0.146698</c:v>
              </c:pt>
              <c:pt idx="3667">
                <c:v>0.14673800000000001</c:v>
              </c:pt>
              <c:pt idx="3668">
                <c:v>0.14677799999999999</c:v>
              </c:pt>
              <c:pt idx="3669">
                <c:v>0.146818</c:v>
              </c:pt>
              <c:pt idx="3670">
                <c:v>0.14685799999999999</c:v>
              </c:pt>
              <c:pt idx="3671">
                <c:v>0.146898</c:v>
              </c:pt>
              <c:pt idx="3672">
                <c:v>0.14693800000000001</c:v>
              </c:pt>
              <c:pt idx="3673">
                <c:v>0.146978</c:v>
              </c:pt>
              <c:pt idx="3674">
                <c:v>0.14701800000000001</c:v>
              </c:pt>
              <c:pt idx="3675">
                <c:v>0.14705799999999999</c:v>
              </c:pt>
              <c:pt idx="3676">
                <c:v>0.14709800000000001</c:v>
              </c:pt>
              <c:pt idx="3677">
                <c:v>0.14713799999999999</c:v>
              </c:pt>
              <c:pt idx="3678">
                <c:v>0.147178</c:v>
              </c:pt>
              <c:pt idx="3679">
                <c:v>0.14721799999999999</c:v>
              </c:pt>
              <c:pt idx="3680">
                <c:v>0.147258</c:v>
              </c:pt>
              <c:pt idx="3681">
                <c:v>0.14729800000000001</c:v>
              </c:pt>
              <c:pt idx="3682">
                <c:v>0.147338</c:v>
              </c:pt>
              <c:pt idx="3683">
                <c:v>0.14737800000000001</c:v>
              </c:pt>
              <c:pt idx="3684">
                <c:v>0.14741799999999999</c:v>
              </c:pt>
              <c:pt idx="3685">
                <c:v>0.14745800000000001</c:v>
              </c:pt>
              <c:pt idx="3686">
                <c:v>0.14749799999999999</c:v>
              </c:pt>
              <c:pt idx="3687">
                <c:v>0.147538</c:v>
              </c:pt>
              <c:pt idx="3688">
                <c:v>0.14757799999999999</c:v>
              </c:pt>
              <c:pt idx="3689">
                <c:v>0.147618</c:v>
              </c:pt>
              <c:pt idx="3690">
                <c:v>0.14765800000000001</c:v>
              </c:pt>
              <c:pt idx="3691">
                <c:v>0.147698</c:v>
              </c:pt>
              <c:pt idx="3692">
                <c:v>0.14773800000000001</c:v>
              </c:pt>
              <c:pt idx="3693">
                <c:v>0.14777799999999999</c:v>
              </c:pt>
              <c:pt idx="3694">
                <c:v>0.147818</c:v>
              </c:pt>
              <c:pt idx="3695">
                <c:v>0.14785799999999999</c:v>
              </c:pt>
              <c:pt idx="3696">
                <c:v>0.147898</c:v>
              </c:pt>
              <c:pt idx="3697">
                <c:v>0.14793799999999999</c:v>
              </c:pt>
              <c:pt idx="3698">
                <c:v>0.147978</c:v>
              </c:pt>
              <c:pt idx="3699">
                <c:v>0.14801800000000001</c:v>
              </c:pt>
              <c:pt idx="3700">
                <c:v>0.148058</c:v>
              </c:pt>
              <c:pt idx="3701">
                <c:v>0.14809800000000001</c:v>
              </c:pt>
              <c:pt idx="3702">
                <c:v>0.14813799999999999</c:v>
              </c:pt>
              <c:pt idx="3703">
                <c:v>0.148178</c:v>
              </c:pt>
              <c:pt idx="3704">
                <c:v>0.14821799999999999</c:v>
              </c:pt>
              <c:pt idx="3705">
                <c:v>0.148258</c:v>
              </c:pt>
              <c:pt idx="3706">
                <c:v>0.14829800000000001</c:v>
              </c:pt>
              <c:pt idx="3707">
                <c:v>0.148338</c:v>
              </c:pt>
              <c:pt idx="3708">
                <c:v>0.14837800000000001</c:v>
              </c:pt>
              <c:pt idx="3709">
                <c:v>0.14841799999999999</c:v>
              </c:pt>
              <c:pt idx="3710">
                <c:v>0.14845800000000001</c:v>
              </c:pt>
              <c:pt idx="3711">
                <c:v>0.14849799999999999</c:v>
              </c:pt>
              <c:pt idx="3712">
                <c:v>0.148538</c:v>
              </c:pt>
              <c:pt idx="3713">
                <c:v>0.14857799999999999</c:v>
              </c:pt>
              <c:pt idx="3714">
                <c:v>0.148618</c:v>
              </c:pt>
              <c:pt idx="3715">
                <c:v>0.14865800000000001</c:v>
              </c:pt>
              <c:pt idx="3716">
                <c:v>0.148698</c:v>
              </c:pt>
              <c:pt idx="3717">
                <c:v>0.14873800000000001</c:v>
              </c:pt>
              <c:pt idx="3718">
                <c:v>0.14877799999999999</c:v>
              </c:pt>
              <c:pt idx="3719">
                <c:v>0.14881800000000001</c:v>
              </c:pt>
              <c:pt idx="3720">
                <c:v>0.14885799999999999</c:v>
              </c:pt>
              <c:pt idx="3721">
                <c:v>0.148898</c:v>
              </c:pt>
              <c:pt idx="3722">
                <c:v>0.14893799999999999</c:v>
              </c:pt>
              <c:pt idx="3723">
                <c:v>0.148978</c:v>
              </c:pt>
              <c:pt idx="3724">
                <c:v>0.14901800000000001</c:v>
              </c:pt>
              <c:pt idx="3725">
                <c:v>0.149058</c:v>
              </c:pt>
              <c:pt idx="3726">
                <c:v>0.14909800000000001</c:v>
              </c:pt>
              <c:pt idx="3727">
                <c:v>0.14913799999999999</c:v>
              </c:pt>
              <c:pt idx="3728">
                <c:v>0.14917800000000001</c:v>
              </c:pt>
              <c:pt idx="3729">
                <c:v>0.14921799999999999</c:v>
              </c:pt>
              <c:pt idx="3730">
                <c:v>0.149258</c:v>
              </c:pt>
              <c:pt idx="3731">
                <c:v>0.14929799999999999</c:v>
              </c:pt>
              <c:pt idx="3732">
                <c:v>0.149338</c:v>
              </c:pt>
              <c:pt idx="3733">
                <c:v>0.14937800000000001</c:v>
              </c:pt>
              <c:pt idx="3734">
                <c:v>0.149418</c:v>
              </c:pt>
              <c:pt idx="3735">
                <c:v>0.14945800000000001</c:v>
              </c:pt>
              <c:pt idx="3736">
                <c:v>0.14949799999999999</c:v>
              </c:pt>
              <c:pt idx="3737">
                <c:v>0.149538</c:v>
              </c:pt>
              <c:pt idx="3738">
                <c:v>0.14957799999999999</c:v>
              </c:pt>
              <c:pt idx="3739">
                <c:v>0.149618</c:v>
              </c:pt>
              <c:pt idx="3740">
                <c:v>0.14965800000000001</c:v>
              </c:pt>
              <c:pt idx="3741">
                <c:v>0.149698</c:v>
              </c:pt>
              <c:pt idx="3742">
                <c:v>0.14973800000000001</c:v>
              </c:pt>
              <c:pt idx="3743">
                <c:v>0.14977799999999999</c:v>
              </c:pt>
              <c:pt idx="3744">
                <c:v>0.14981800000000001</c:v>
              </c:pt>
              <c:pt idx="3745">
                <c:v>0.14985799999999999</c:v>
              </c:pt>
              <c:pt idx="3746">
                <c:v>0.149898</c:v>
              </c:pt>
              <c:pt idx="3747">
                <c:v>0.14993799999999999</c:v>
              </c:pt>
              <c:pt idx="3748">
                <c:v>0.149978</c:v>
              </c:pt>
              <c:pt idx="3749">
                <c:v>0.15001800000000001</c:v>
              </c:pt>
              <c:pt idx="3750">
                <c:v>0.150058</c:v>
              </c:pt>
              <c:pt idx="3751">
                <c:v>0.15009800000000001</c:v>
              </c:pt>
              <c:pt idx="3752">
                <c:v>0.15013799999999999</c:v>
              </c:pt>
              <c:pt idx="3753">
                <c:v>0.15017800000000001</c:v>
              </c:pt>
              <c:pt idx="3754">
                <c:v>0.15021799999999999</c:v>
              </c:pt>
              <c:pt idx="3755">
                <c:v>0.150258</c:v>
              </c:pt>
              <c:pt idx="3756">
                <c:v>0.15029799999999999</c:v>
              </c:pt>
              <c:pt idx="3757">
                <c:v>0.150338</c:v>
              </c:pt>
              <c:pt idx="3758">
                <c:v>0.15037800000000001</c:v>
              </c:pt>
              <c:pt idx="3759">
                <c:v>0.150418</c:v>
              </c:pt>
              <c:pt idx="3760">
                <c:v>0.15045800000000001</c:v>
              </c:pt>
              <c:pt idx="3761">
                <c:v>0.15049799999999999</c:v>
              </c:pt>
              <c:pt idx="3762">
                <c:v>0.15053800000000001</c:v>
              </c:pt>
              <c:pt idx="3763">
                <c:v>0.15057799999999999</c:v>
              </c:pt>
              <c:pt idx="3764">
                <c:v>0.150618</c:v>
              </c:pt>
              <c:pt idx="3765">
                <c:v>0.15065799999999999</c:v>
              </c:pt>
              <c:pt idx="3766">
                <c:v>0.150698</c:v>
              </c:pt>
              <c:pt idx="3767">
                <c:v>0.15073800000000001</c:v>
              </c:pt>
              <c:pt idx="3768">
                <c:v>0.150778</c:v>
              </c:pt>
              <c:pt idx="3769">
                <c:v>0.15081800000000001</c:v>
              </c:pt>
              <c:pt idx="3770">
                <c:v>0.15085799999999999</c:v>
              </c:pt>
              <c:pt idx="3771">
                <c:v>0.150898</c:v>
              </c:pt>
              <c:pt idx="3772">
                <c:v>0.15093799999999999</c:v>
              </c:pt>
              <c:pt idx="3773">
                <c:v>0.150978</c:v>
              </c:pt>
              <c:pt idx="3774">
                <c:v>0.15101800000000001</c:v>
              </c:pt>
              <c:pt idx="3775">
                <c:v>0.151058</c:v>
              </c:pt>
              <c:pt idx="3776">
                <c:v>0.15109800000000001</c:v>
              </c:pt>
              <c:pt idx="3777">
                <c:v>0.15113799999999999</c:v>
              </c:pt>
              <c:pt idx="3778">
                <c:v>0.15117800000000001</c:v>
              </c:pt>
              <c:pt idx="3779">
                <c:v>0.15121799999999999</c:v>
              </c:pt>
              <c:pt idx="3780">
                <c:v>0.151258</c:v>
              </c:pt>
              <c:pt idx="3781">
                <c:v>0.15129799999999999</c:v>
              </c:pt>
              <c:pt idx="3782">
                <c:v>0.151338</c:v>
              </c:pt>
              <c:pt idx="3783">
                <c:v>0.15137800000000001</c:v>
              </c:pt>
              <c:pt idx="3784">
                <c:v>0.151418</c:v>
              </c:pt>
              <c:pt idx="3785">
                <c:v>0.15145800000000001</c:v>
              </c:pt>
              <c:pt idx="3786">
                <c:v>0.15149799999999999</c:v>
              </c:pt>
              <c:pt idx="3787">
                <c:v>0.15153800000000001</c:v>
              </c:pt>
              <c:pt idx="3788">
                <c:v>0.15157799999999999</c:v>
              </c:pt>
              <c:pt idx="3789">
                <c:v>0.151618</c:v>
              </c:pt>
              <c:pt idx="3790">
                <c:v>0.15165799999999999</c:v>
              </c:pt>
              <c:pt idx="3791">
                <c:v>0.151698</c:v>
              </c:pt>
              <c:pt idx="3792">
                <c:v>0.15173800000000001</c:v>
              </c:pt>
              <c:pt idx="3793">
                <c:v>0.151778</c:v>
              </c:pt>
              <c:pt idx="3794">
                <c:v>0.15181800000000001</c:v>
              </c:pt>
              <c:pt idx="3795">
                <c:v>0.15185799999999999</c:v>
              </c:pt>
              <c:pt idx="3796">
                <c:v>0.15189800000000001</c:v>
              </c:pt>
              <c:pt idx="3797">
                <c:v>0.15193799999999999</c:v>
              </c:pt>
              <c:pt idx="3798">
                <c:v>0.151978</c:v>
              </c:pt>
              <c:pt idx="3799">
                <c:v>0.15201799999999999</c:v>
              </c:pt>
              <c:pt idx="3800">
                <c:v>0.152058</c:v>
              </c:pt>
              <c:pt idx="3801">
                <c:v>0.15209800000000001</c:v>
              </c:pt>
              <c:pt idx="3802">
                <c:v>0.152138</c:v>
              </c:pt>
              <c:pt idx="3803">
                <c:v>0.15217800000000001</c:v>
              </c:pt>
              <c:pt idx="3804">
                <c:v>0.15221799999999999</c:v>
              </c:pt>
              <c:pt idx="3805">
                <c:v>0.152258</c:v>
              </c:pt>
              <c:pt idx="3806">
                <c:v>0.15229799999999999</c:v>
              </c:pt>
              <c:pt idx="3807">
                <c:v>0.152338</c:v>
              </c:pt>
              <c:pt idx="3808">
                <c:v>0.15237800000000001</c:v>
              </c:pt>
              <c:pt idx="3809">
                <c:v>0.152418</c:v>
              </c:pt>
              <c:pt idx="3810">
                <c:v>0.15245800000000001</c:v>
              </c:pt>
              <c:pt idx="3811">
                <c:v>0.15249799999999999</c:v>
              </c:pt>
              <c:pt idx="3812">
                <c:v>0.15253800000000001</c:v>
              </c:pt>
              <c:pt idx="3813">
                <c:v>0.15257799999999999</c:v>
              </c:pt>
              <c:pt idx="3814">
                <c:v>0.152618</c:v>
              </c:pt>
              <c:pt idx="3815">
                <c:v>0.15265799999999999</c:v>
              </c:pt>
              <c:pt idx="3816">
                <c:v>0.152698</c:v>
              </c:pt>
              <c:pt idx="3817">
                <c:v>0.15273800000000001</c:v>
              </c:pt>
              <c:pt idx="3818">
                <c:v>0.152778</c:v>
              </c:pt>
              <c:pt idx="3819">
                <c:v>0.15281800000000001</c:v>
              </c:pt>
              <c:pt idx="3820">
                <c:v>0.15285799999999999</c:v>
              </c:pt>
              <c:pt idx="3821">
                <c:v>0.15289800000000001</c:v>
              </c:pt>
              <c:pt idx="3822">
                <c:v>0.15293799999999999</c:v>
              </c:pt>
              <c:pt idx="3823">
                <c:v>0.152978</c:v>
              </c:pt>
              <c:pt idx="3824">
                <c:v>0.15301799999999999</c:v>
              </c:pt>
              <c:pt idx="3825">
                <c:v>0.153058</c:v>
              </c:pt>
              <c:pt idx="3826">
                <c:v>0.15309800000000001</c:v>
              </c:pt>
              <c:pt idx="3827">
                <c:v>0.153138</c:v>
              </c:pt>
              <c:pt idx="3828">
                <c:v>0.15317800000000001</c:v>
              </c:pt>
              <c:pt idx="3829">
                <c:v>0.15321799999999999</c:v>
              </c:pt>
              <c:pt idx="3830">
                <c:v>0.15325800000000001</c:v>
              </c:pt>
              <c:pt idx="3831">
                <c:v>0.15329799999999999</c:v>
              </c:pt>
              <c:pt idx="3832">
                <c:v>0.153338</c:v>
              </c:pt>
              <c:pt idx="3833">
                <c:v>0.15337799999999999</c:v>
              </c:pt>
              <c:pt idx="3834">
                <c:v>0.153418</c:v>
              </c:pt>
              <c:pt idx="3835">
                <c:v>0.15345800000000001</c:v>
              </c:pt>
              <c:pt idx="3836">
                <c:v>0.153498</c:v>
              </c:pt>
              <c:pt idx="3837">
                <c:v>0.15353800000000001</c:v>
              </c:pt>
              <c:pt idx="3838">
                <c:v>0.15357799999999999</c:v>
              </c:pt>
              <c:pt idx="3839">
                <c:v>0.153618</c:v>
              </c:pt>
              <c:pt idx="3840">
                <c:v>0.15365799999999999</c:v>
              </c:pt>
              <c:pt idx="3841">
                <c:v>0.153698</c:v>
              </c:pt>
              <c:pt idx="3842">
                <c:v>0.15373800000000001</c:v>
              </c:pt>
              <c:pt idx="3843">
                <c:v>0.153778</c:v>
              </c:pt>
              <c:pt idx="3844">
                <c:v>0.15381800000000001</c:v>
              </c:pt>
              <c:pt idx="3845">
                <c:v>0.15385799999999999</c:v>
              </c:pt>
              <c:pt idx="3846">
                <c:v>0.15389800000000001</c:v>
              </c:pt>
              <c:pt idx="3847">
                <c:v>0.15393799999999999</c:v>
              </c:pt>
              <c:pt idx="3848">
                <c:v>0.153978</c:v>
              </c:pt>
              <c:pt idx="3849">
                <c:v>0.15401799999999999</c:v>
              </c:pt>
              <c:pt idx="3850">
                <c:v>0.154058</c:v>
              </c:pt>
              <c:pt idx="3851">
                <c:v>0.15409800000000001</c:v>
              </c:pt>
              <c:pt idx="3852">
                <c:v>0.154138</c:v>
              </c:pt>
              <c:pt idx="3853">
                <c:v>0.15417800000000001</c:v>
              </c:pt>
              <c:pt idx="3854">
                <c:v>0.15421799999999999</c:v>
              </c:pt>
              <c:pt idx="3855">
                <c:v>0.15425800000000001</c:v>
              </c:pt>
              <c:pt idx="3856">
                <c:v>0.15429799999999999</c:v>
              </c:pt>
              <c:pt idx="3857">
                <c:v>0.154338</c:v>
              </c:pt>
              <c:pt idx="3858">
                <c:v>0.15437799999999999</c:v>
              </c:pt>
              <c:pt idx="3859">
                <c:v>0.154418</c:v>
              </c:pt>
              <c:pt idx="3860">
                <c:v>0.15445800000000001</c:v>
              </c:pt>
              <c:pt idx="3861">
                <c:v>0.154498</c:v>
              </c:pt>
              <c:pt idx="3862">
                <c:v>0.15453800000000001</c:v>
              </c:pt>
              <c:pt idx="3863">
                <c:v>0.15457799999999999</c:v>
              </c:pt>
              <c:pt idx="3864">
                <c:v>0.15461800000000001</c:v>
              </c:pt>
              <c:pt idx="3865">
                <c:v>0.15465799999999999</c:v>
              </c:pt>
              <c:pt idx="3866">
                <c:v>0.154698</c:v>
              </c:pt>
              <c:pt idx="3867">
                <c:v>0.15473799999999999</c:v>
              </c:pt>
              <c:pt idx="3868">
                <c:v>0.154778</c:v>
              </c:pt>
              <c:pt idx="3869">
                <c:v>0.15481800000000001</c:v>
              </c:pt>
              <c:pt idx="3870">
                <c:v>0.154858</c:v>
              </c:pt>
              <c:pt idx="3871">
                <c:v>0.15489800000000001</c:v>
              </c:pt>
              <c:pt idx="3872">
                <c:v>0.15493799999999999</c:v>
              </c:pt>
              <c:pt idx="3873">
                <c:v>0.154978</c:v>
              </c:pt>
              <c:pt idx="3874">
                <c:v>0.15501799999999999</c:v>
              </c:pt>
              <c:pt idx="3875">
                <c:v>0.155058</c:v>
              </c:pt>
              <c:pt idx="3876">
                <c:v>0.15509800000000001</c:v>
              </c:pt>
              <c:pt idx="3877">
                <c:v>0.155138</c:v>
              </c:pt>
              <c:pt idx="3878">
                <c:v>0.15517800000000001</c:v>
              </c:pt>
              <c:pt idx="3879">
                <c:v>0.15521799999999999</c:v>
              </c:pt>
              <c:pt idx="3880">
                <c:v>0.15525800000000001</c:v>
              </c:pt>
              <c:pt idx="3881">
                <c:v>0.15529799999999999</c:v>
              </c:pt>
              <c:pt idx="3882">
                <c:v>0.155338</c:v>
              </c:pt>
              <c:pt idx="3883">
                <c:v>0.15537799999999999</c:v>
              </c:pt>
              <c:pt idx="3884">
                <c:v>0.155418</c:v>
              </c:pt>
              <c:pt idx="3885">
                <c:v>0.15545800000000001</c:v>
              </c:pt>
              <c:pt idx="3886">
                <c:v>0.155498</c:v>
              </c:pt>
              <c:pt idx="3887">
                <c:v>0.15553800000000001</c:v>
              </c:pt>
              <c:pt idx="3888">
                <c:v>0.15557799999999999</c:v>
              </c:pt>
              <c:pt idx="3889">
                <c:v>0.15561800000000001</c:v>
              </c:pt>
              <c:pt idx="3890">
                <c:v>0.15565799999999999</c:v>
              </c:pt>
              <c:pt idx="3891">
                <c:v>0.155698</c:v>
              </c:pt>
              <c:pt idx="3892">
                <c:v>0.15573799999999999</c:v>
              </c:pt>
              <c:pt idx="3893">
                <c:v>0.155778</c:v>
              </c:pt>
              <c:pt idx="3894">
                <c:v>0.15581800000000001</c:v>
              </c:pt>
              <c:pt idx="3895">
                <c:v>0.155858</c:v>
              </c:pt>
              <c:pt idx="3896">
                <c:v>0.15589800000000001</c:v>
              </c:pt>
              <c:pt idx="3897">
                <c:v>0.15593799999999999</c:v>
              </c:pt>
              <c:pt idx="3898">
                <c:v>0.15597800000000001</c:v>
              </c:pt>
              <c:pt idx="3899">
                <c:v>0.15601799999999999</c:v>
              </c:pt>
              <c:pt idx="3900">
                <c:v>0.156058</c:v>
              </c:pt>
              <c:pt idx="3901">
                <c:v>0.15609799999999999</c:v>
              </c:pt>
              <c:pt idx="3902">
                <c:v>0.156138</c:v>
              </c:pt>
              <c:pt idx="3903">
                <c:v>0.15617800000000001</c:v>
              </c:pt>
              <c:pt idx="3904">
                <c:v>0.156218</c:v>
              </c:pt>
              <c:pt idx="3905">
                <c:v>0.15625800000000001</c:v>
              </c:pt>
              <c:pt idx="3906">
                <c:v>0.15629799999999999</c:v>
              </c:pt>
              <c:pt idx="3907">
                <c:v>0.156338</c:v>
              </c:pt>
              <c:pt idx="3908">
                <c:v>0.15637799999999999</c:v>
              </c:pt>
              <c:pt idx="3909">
                <c:v>0.156418</c:v>
              </c:pt>
              <c:pt idx="3910">
                <c:v>0.15645800000000001</c:v>
              </c:pt>
              <c:pt idx="3911">
                <c:v>0.156498</c:v>
              </c:pt>
              <c:pt idx="3912">
                <c:v>0.15653800000000001</c:v>
              </c:pt>
              <c:pt idx="3913">
                <c:v>0.15657799999999999</c:v>
              </c:pt>
              <c:pt idx="3914">
                <c:v>0.15661800000000001</c:v>
              </c:pt>
              <c:pt idx="3915">
                <c:v>0.15665799999999999</c:v>
              </c:pt>
              <c:pt idx="3916">
                <c:v>0.156698</c:v>
              </c:pt>
              <c:pt idx="3917">
                <c:v>0.15673799999999999</c:v>
              </c:pt>
              <c:pt idx="3918">
                <c:v>0.156778</c:v>
              </c:pt>
              <c:pt idx="3919">
                <c:v>0.15681800000000001</c:v>
              </c:pt>
              <c:pt idx="3920">
                <c:v>0.156858</c:v>
              </c:pt>
              <c:pt idx="3921">
                <c:v>0.15689800000000001</c:v>
              </c:pt>
              <c:pt idx="3922">
                <c:v>0.15693799999999999</c:v>
              </c:pt>
              <c:pt idx="3923">
                <c:v>0.15697800000000001</c:v>
              </c:pt>
              <c:pt idx="3924">
                <c:v>0.15701799999999999</c:v>
              </c:pt>
              <c:pt idx="3925">
                <c:v>0.157058</c:v>
              </c:pt>
              <c:pt idx="3926">
                <c:v>0.15709799999999999</c:v>
              </c:pt>
              <c:pt idx="3927">
                <c:v>0.157138</c:v>
              </c:pt>
              <c:pt idx="3928">
                <c:v>0.15717800000000001</c:v>
              </c:pt>
              <c:pt idx="3929">
                <c:v>0.157218</c:v>
              </c:pt>
              <c:pt idx="3930">
                <c:v>0.15725800000000001</c:v>
              </c:pt>
              <c:pt idx="3931">
                <c:v>0.15729799999999999</c:v>
              </c:pt>
              <c:pt idx="3932">
                <c:v>0.15733800000000001</c:v>
              </c:pt>
              <c:pt idx="3933">
                <c:v>0.15737799999999999</c:v>
              </c:pt>
              <c:pt idx="3934">
                <c:v>0.157418</c:v>
              </c:pt>
              <c:pt idx="3935">
                <c:v>0.15745799999999999</c:v>
              </c:pt>
              <c:pt idx="3936">
                <c:v>0.157498</c:v>
              </c:pt>
              <c:pt idx="3937">
                <c:v>0.15753800000000001</c:v>
              </c:pt>
              <c:pt idx="3938">
                <c:v>0.157578</c:v>
              </c:pt>
              <c:pt idx="3939">
                <c:v>0.15761800000000001</c:v>
              </c:pt>
              <c:pt idx="3940">
                <c:v>0.15765799999999999</c:v>
              </c:pt>
              <c:pt idx="3941">
                <c:v>0.157698</c:v>
              </c:pt>
              <c:pt idx="3942">
                <c:v>0.15773799999999999</c:v>
              </c:pt>
              <c:pt idx="3943">
                <c:v>0.157778</c:v>
              </c:pt>
              <c:pt idx="3944">
                <c:v>0.15781800000000001</c:v>
              </c:pt>
              <c:pt idx="3945">
                <c:v>0.157858</c:v>
              </c:pt>
              <c:pt idx="3946">
                <c:v>0.15789800000000001</c:v>
              </c:pt>
              <c:pt idx="3947">
                <c:v>0.157938</c:v>
              </c:pt>
              <c:pt idx="3948">
                <c:v>0.15797800000000001</c:v>
              </c:pt>
              <c:pt idx="3949">
                <c:v>0.15801799999999999</c:v>
              </c:pt>
              <c:pt idx="3950">
                <c:v>0.158058</c:v>
              </c:pt>
              <c:pt idx="3951">
                <c:v>0.15809799999999999</c:v>
              </c:pt>
              <c:pt idx="3952">
                <c:v>0.158138</c:v>
              </c:pt>
              <c:pt idx="3953">
                <c:v>0.15817800000000001</c:v>
              </c:pt>
              <c:pt idx="3954">
                <c:v>0.158218</c:v>
              </c:pt>
              <c:pt idx="3955">
                <c:v>0.15825800000000001</c:v>
              </c:pt>
              <c:pt idx="3956">
                <c:v>0.15829799999999999</c:v>
              </c:pt>
              <c:pt idx="3957">
                <c:v>0.15833800000000001</c:v>
              </c:pt>
              <c:pt idx="3958">
                <c:v>0.15837799999999999</c:v>
              </c:pt>
              <c:pt idx="3959">
                <c:v>0.158418</c:v>
              </c:pt>
              <c:pt idx="3960">
                <c:v>0.15845799999999999</c:v>
              </c:pt>
              <c:pt idx="3961">
                <c:v>0.158498</c:v>
              </c:pt>
              <c:pt idx="3962">
                <c:v>0.15853800000000001</c:v>
              </c:pt>
              <c:pt idx="3963">
                <c:v>0.158578</c:v>
              </c:pt>
              <c:pt idx="3964">
                <c:v>0.15861800000000001</c:v>
              </c:pt>
              <c:pt idx="3965">
                <c:v>0.15865799999999999</c:v>
              </c:pt>
              <c:pt idx="3966">
                <c:v>0.15869800000000001</c:v>
              </c:pt>
              <c:pt idx="3967">
                <c:v>0.15873799999999999</c:v>
              </c:pt>
              <c:pt idx="3968">
                <c:v>0.158778</c:v>
              </c:pt>
              <c:pt idx="3969">
                <c:v>0.15881799999999999</c:v>
              </c:pt>
              <c:pt idx="3970">
                <c:v>0.158857</c:v>
              </c:pt>
              <c:pt idx="3971">
                <c:v>0.15889700000000001</c:v>
              </c:pt>
              <c:pt idx="3972">
                <c:v>0.15893699999999999</c:v>
              </c:pt>
              <c:pt idx="3973">
                <c:v>0.15897700000000001</c:v>
              </c:pt>
              <c:pt idx="3974">
                <c:v>0.15901699999999999</c:v>
              </c:pt>
              <c:pt idx="3975">
                <c:v>0.159057</c:v>
              </c:pt>
              <c:pt idx="3976">
                <c:v>0.15909699999999999</c:v>
              </c:pt>
              <c:pt idx="3977">
                <c:v>0.159137</c:v>
              </c:pt>
              <c:pt idx="3978">
                <c:v>0.15917700000000001</c:v>
              </c:pt>
              <c:pt idx="3979">
                <c:v>0.159217</c:v>
              </c:pt>
              <c:pt idx="3980">
                <c:v>0.15925700000000001</c:v>
              </c:pt>
              <c:pt idx="3981">
                <c:v>0.15929699999999999</c:v>
              </c:pt>
              <c:pt idx="3982">
                <c:v>0.15933700000000001</c:v>
              </c:pt>
              <c:pt idx="3983">
                <c:v>0.15937699999999999</c:v>
              </c:pt>
              <c:pt idx="3984">
                <c:v>0.159417</c:v>
              </c:pt>
              <c:pt idx="3985">
                <c:v>0.15945699999999999</c:v>
              </c:pt>
              <c:pt idx="3986">
                <c:v>0.159497</c:v>
              </c:pt>
              <c:pt idx="3987">
                <c:v>0.15953700000000001</c:v>
              </c:pt>
              <c:pt idx="3988">
                <c:v>0.159577</c:v>
              </c:pt>
              <c:pt idx="3989">
                <c:v>0.15961700000000001</c:v>
              </c:pt>
              <c:pt idx="3990">
                <c:v>0.15965699999999999</c:v>
              </c:pt>
              <c:pt idx="3991">
                <c:v>0.15969700000000001</c:v>
              </c:pt>
              <c:pt idx="3992">
                <c:v>0.15973699999999999</c:v>
              </c:pt>
              <c:pt idx="3993">
                <c:v>0.159777</c:v>
              </c:pt>
              <c:pt idx="3994">
                <c:v>0.15981699999999999</c:v>
              </c:pt>
              <c:pt idx="3995">
                <c:v>0.159857</c:v>
              </c:pt>
              <c:pt idx="3996">
                <c:v>0.15989700000000001</c:v>
              </c:pt>
              <c:pt idx="3997">
                <c:v>0.159937</c:v>
              </c:pt>
              <c:pt idx="3998">
                <c:v>0.15997700000000001</c:v>
              </c:pt>
              <c:pt idx="3999">
                <c:v>0.16001699999999999</c:v>
              </c:pt>
              <c:pt idx="4000">
                <c:v>0.160057</c:v>
              </c:pt>
              <c:pt idx="4001">
                <c:v>0.16009699999999999</c:v>
              </c:pt>
              <c:pt idx="4002">
                <c:v>0.160137</c:v>
              </c:pt>
              <c:pt idx="4003">
                <c:v>0.16017700000000001</c:v>
              </c:pt>
              <c:pt idx="4004">
                <c:v>0.160217</c:v>
              </c:pt>
              <c:pt idx="4005">
                <c:v>0.16025700000000001</c:v>
              </c:pt>
              <c:pt idx="4006">
                <c:v>0.160297</c:v>
              </c:pt>
              <c:pt idx="4007">
                <c:v>0.16033700000000001</c:v>
              </c:pt>
              <c:pt idx="4008">
                <c:v>0.16037699999999999</c:v>
              </c:pt>
              <c:pt idx="4009">
                <c:v>0.160417</c:v>
              </c:pt>
              <c:pt idx="4010">
                <c:v>0.16045699999999999</c:v>
              </c:pt>
              <c:pt idx="4011">
                <c:v>0.160497</c:v>
              </c:pt>
              <c:pt idx="4012">
                <c:v>0.16053700000000001</c:v>
              </c:pt>
              <c:pt idx="4013">
                <c:v>0.160577</c:v>
              </c:pt>
              <c:pt idx="4014">
                <c:v>0.16061700000000001</c:v>
              </c:pt>
              <c:pt idx="4015">
                <c:v>0.16065699999999999</c:v>
              </c:pt>
              <c:pt idx="4016">
                <c:v>0.16069700000000001</c:v>
              </c:pt>
              <c:pt idx="4017">
                <c:v>0.16073699999999999</c:v>
              </c:pt>
              <c:pt idx="4018">
                <c:v>0.160777</c:v>
              </c:pt>
              <c:pt idx="4019">
                <c:v>0.16081699999999999</c:v>
              </c:pt>
              <c:pt idx="4020">
                <c:v>0.160857</c:v>
              </c:pt>
              <c:pt idx="4021">
                <c:v>0.16089700000000001</c:v>
              </c:pt>
              <c:pt idx="4022">
                <c:v>0.160937</c:v>
              </c:pt>
              <c:pt idx="4023">
                <c:v>0.16097700000000001</c:v>
              </c:pt>
              <c:pt idx="4024">
                <c:v>0.16101699999999999</c:v>
              </c:pt>
              <c:pt idx="4025">
                <c:v>0.16105700000000001</c:v>
              </c:pt>
              <c:pt idx="4026">
                <c:v>0.16109699999999999</c:v>
              </c:pt>
              <c:pt idx="4027">
                <c:v>0.161137</c:v>
              </c:pt>
              <c:pt idx="4028">
                <c:v>0.16117699999999999</c:v>
              </c:pt>
              <c:pt idx="4029">
                <c:v>0.161217</c:v>
              </c:pt>
              <c:pt idx="4030">
                <c:v>0.16125700000000001</c:v>
              </c:pt>
              <c:pt idx="4031">
                <c:v>0.161297</c:v>
              </c:pt>
              <c:pt idx="4032">
                <c:v>0.16133700000000001</c:v>
              </c:pt>
              <c:pt idx="4033">
                <c:v>0.16137699999999999</c:v>
              </c:pt>
              <c:pt idx="4034">
                <c:v>0.161417</c:v>
              </c:pt>
              <c:pt idx="4035">
                <c:v>0.16145699999999999</c:v>
              </c:pt>
              <c:pt idx="4036">
                <c:v>0.161497</c:v>
              </c:pt>
              <c:pt idx="4037">
                <c:v>0.16153699999999999</c:v>
              </c:pt>
              <c:pt idx="4038">
                <c:v>0.161577</c:v>
              </c:pt>
              <c:pt idx="4039">
                <c:v>0.16161700000000001</c:v>
              </c:pt>
              <c:pt idx="4040">
                <c:v>0.161657</c:v>
              </c:pt>
              <c:pt idx="4041">
                <c:v>0.16169700000000001</c:v>
              </c:pt>
              <c:pt idx="4042">
                <c:v>0.16173699999999999</c:v>
              </c:pt>
              <c:pt idx="4043">
                <c:v>0.161777</c:v>
              </c:pt>
              <c:pt idx="4044">
                <c:v>0.16181699999999999</c:v>
              </c:pt>
              <c:pt idx="4045">
                <c:v>0.161857</c:v>
              </c:pt>
              <c:pt idx="4046">
                <c:v>0.16189700000000001</c:v>
              </c:pt>
              <c:pt idx="4047">
                <c:v>0.161937</c:v>
              </c:pt>
              <c:pt idx="4048">
                <c:v>0.16197700000000001</c:v>
              </c:pt>
              <c:pt idx="4049">
                <c:v>0.16201699999999999</c:v>
              </c:pt>
              <c:pt idx="4050">
                <c:v>0.16205700000000001</c:v>
              </c:pt>
              <c:pt idx="4051">
                <c:v>0.16209699999999999</c:v>
              </c:pt>
              <c:pt idx="4052">
                <c:v>0.162137</c:v>
              </c:pt>
              <c:pt idx="4053">
                <c:v>0.16217699999999999</c:v>
              </c:pt>
              <c:pt idx="4054">
                <c:v>0.162217</c:v>
              </c:pt>
              <c:pt idx="4055">
                <c:v>0.16225700000000001</c:v>
              </c:pt>
              <c:pt idx="4056">
                <c:v>0.162297</c:v>
              </c:pt>
              <c:pt idx="4057">
                <c:v>0.16233700000000001</c:v>
              </c:pt>
              <c:pt idx="4058">
                <c:v>0.16237699999999999</c:v>
              </c:pt>
              <c:pt idx="4059">
                <c:v>0.16241700000000001</c:v>
              </c:pt>
              <c:pt idx="4060">
                <c:v>0.16245699999999999</c:v>
              </c:pt>
              <c:pt idx="4061">
                <c:v>0.162497</c:v>
              </c:pt>
              <c:pt idx="4062">
                <c:v>0.16253699999999999</c:v>
              </c:pt>
              <c:pt idx="4063">
                <c:v>0.162577</c:v>
              </c:pt>
              <c:pt idx="4064">
                <c:v>0.16261700000000001</c:v>
              </c:pt>
              <c:pt idx="4065">
                <c:v>0.162657</c:v>
              </c:pt>
              <c:pt idx="4066">
                <c:v>0.16269700000000001</c:v>
              </c:pt>
              <c:pt idx="4067">
                <c:v>0.16273699999999999</c:v>
              </c:pt>
              <c:pt idx="4068">
                <c:v>0.16277700000000001</c:v>
              </c:pt>
              <c:pt idx="4069">
                <c:v>0.16281699999999999</c:v>
              </c:pt>
              <c:pt idx="4070">
                <c:v>0.162857</c:v>
              </c:pt>
              <c:pt idx="4071">
                <c:v>0.16289699999999999</c:v>
              </c:pt>
              <c:pt idx="4072">
                <c:v>0.162937</c:v>
              </c:pt>
              <c:pt idx="4073">
                <c:v>0.16297700000000001</c:v>
              </c:pt>
              <c:pt idx="4074">
                <c:v>0.163017</c:v>
              </c:pt>
              <c:pt idx="4075">
                <c:v>0.16305700000000001</c:v>
              </c:pt>
              <c:pt idx="4076">
                <c:v>0.16309699999999999</c:v>
              </c:pt>
              <c:pt idx="4077">
                <c:v>0.163137</c:v>
              </c:pt>
              <c:pt idx="4078">
                <c:v>0.16317699999999999</c:v>
              </c:pt>
              <c:pt idx="4079">
                <c:v>0.163217</c:v>
              </c:pt>
              <c:pt idx="4080">
                <c:v>0.16325700000000001</c:v>
              </c:pt>
              <c:pt idx="4081">
                <c:v>0.163297</c:v>
              </c:pt>
              <c:pt idx="4082">
                <c:v>0.16333700000000001</c:v>
              </c:pt>
              <c:pt idx="4083">
                <c:v>0.16337699999999999</c:v>
              </c:pt>
              <c:pt idx="4084">
                <c:v>0.16341700000000001</c:v>
              </c:pt>
              <c:pt idx="4085">
                <c:v>0.16345699999999999</c:v>
              </c:pt>
              <c:pt idx="4086">
                <c:v>0.163497</c:v>
              </c:pt>
              <c:pt idx="4087">
                <c:v>0.16353699999999999</c:v>
              </c:pt>
              <c:pt idx="4088">
                <c:v>0.163577</c:v>
              </c:pt>
              <c:pt idx="4089">
                <c:v>0.16361700000000001</c:v>
              </c:pt>
              <c:pt idx="4090">
                <c:v>0.163657</c:v>
              </c:pt>
              <c:pt idx="4091">
                <c:v>0.16369700000000001</c:v>
              </c:pt>
              <c:pt idx="4092">
                <c:v>0.16373699999999999</c:v>
              </c:pt>
              <c:pt idx="4093">
                <c:v>0.16377700000000001</c:v>
              </c:pt>
              <c:pt idx="4094">
                <c:v>0.16381699999999999</c:v>
              </c:pt>
              <c:pt idx="4095">
                <c:v>0.163857</c:v>
              </c:pt>
              <c:pt idx="4096">
                <c:v>0.16389699999999999</c:v>
              </c:pt>
              <c:pt idx="4097">
                <c:v>0.163937</c:v>
              </c:pt>
              <c:pt idx="4098">
                <c:v>0.16397700000000001</c:v>
              </c:pt>
              <c:pt idx="4099">
                <c:v>0.164017</c:v>
              </c:pt>
              <c:pt idx="4100">
                <c:v>0.16405700000000001</c:v>
              </c:pt>
              <c:pt idx="4101">
                <c:v>0.16409699999999999</c:v>
              </c:pt>
              <c:pt idx="4102">
                <c:v>0.16413700000000001</c:v>
              </c:pt>
              <c:pt idx="4103">
                <c:v>0.16417699999999999</c:v>
              </c:pt>
              <c:pt idx="4104">
                <c:v>0.164217</c:v>
              </c:pt>
              <c:pt idx="4105">
                <c:v>0.16425699999999999</c:v>
              </c:pt>
              <c:pt idx="4106">
                <c:v>0.164297</c:v>
              </c:pt>
              <c:pt idx="4107">
                <c:v>0.16433700000000001</c:v>
              </c:pt>
              <c:pt idx="4108">
                <c:v>0.164377</c:v>
              </c:pt>
              <c:pt idx="4109">
                <c:v>0.16441700000000001</c:v>
              </c:pt>
              <c:pt idx="4110">
                <c:v>0.16445699999999999</c:v>
              </c:pt>
              <c:pt idx="4111">
                <c:v>0.164497</c:v>
              </c:pt>
              <c:pt idx="4112">
                <c:v>0.16453699999999999</c:v>
              </c:pt>
              <c:pt idx="4113">
                <c:v>0.164577</c:v>
              </c:pt>
              <c:pt idx="4114">
                <c:v>0.16461700000000001</c:v>
              </c:pt>
              <c:pt idx="4115">
                <c:v>0.164657</c:v>
              </c:pt>
              <c:pt idx="4116">
                <c:v>0.16469700000000001</c:v>
              </c:pt>
              <c:pt idx="4117">
                <c:v>0.16473699999999999</c:v>
              </c:pt>
              <c:pt idx="4118">
                <c:v>0.16477700000000001</c:v>
              </c:pt>
              <c:pt idx="4119">
                <c:v>0.16481699999999999</c:v>
              </c:pt>
              <c:pt idx="4120">
                <c:v>0.164857</c:v>
              </c:pt>
              <c:pt idx="4121">
                <c:v>0.16489699999999999</c:v>
              </c:pt>
              <c:pt idx="4122">
                <c:v>0.164937</c:v>
              </c:pt>
              <c:pt idx="4123">
                <c:v>0.16497700000000001</c:v>
              </c:pt>
              <c:pt idx="4124">
                <c:v>0.165017</c:v>
              </c:pt>
              <c:pt idx="4125">
                <c:v>0.16505700000000001</c:v>
              </c:pt>
              <c:pt idx="4126">
                <c:v>0.16509699999999999</c:v>
              </c:pt>
              <c:pt idx="4127">
                <c:v>0.16513700000000001</c:v>
              </c:pt>
              <c:pt idx="4128">
                <c:v>0.16517699999999999</c:v>
              </c:pt>
              <c:pt idx="4129">
                <c:v>0.165217</c:v>
              </c:pt>
              <c:pt idx="4130">
                <c:v>0.16525699999999999</c:v>
              </c:pt>
              <c:pt idx="4131">
                <c:v>0.165297</c:v>
              </c:pt>
              <c:pt idx="4132">
                <c:v>0.16533700000000001</c:v>
              </c:pt>
              <c:pt idx="4133">
                <c:v>0.165377</c:v>
              </c:pt>
              <c:pt idx="4134">
                <c:v>0.16541700000000001</c:v>
              </c:pt>
              <c:pt idx="4135">
                <c:v>0.16545699999999999</c:v>
              </c:pt>
              <c:pt idx="4136">
                <c:v>0.16549700000000001</c:v>
              </c:pt>
              <c:pt idx="4137">
                <c:v>0.16553699999999999</c:v>
              </c:pt>
              <c:pt idx="4138">
                <c:v>0.165577</c:v>
              </c:pt>
              <c:pt idx="4139">
                <c:v>0.16561699999999999</c:v>
              </c:pt>
              <c:pt idx="4140">
                <c:v>0.165657</c:v>
              </c:pt>
              <c:pt idx="4141">
                <c:v>0.16569700000000001</c:v>
              </c:pt>
              <c:pt idx="4142">
                <c:v>0.165737</c:v>
              </c:pt>
              <c:pt idx="4143">
                <c:v>0.16577700000000001</c:v>
              </c:pt>
              <c:pt idx="4144">
                <c:v>0.16581699999999999</c:v>
              </c:pt>
              <c:pt idx="4145">
                <c:v>0.165857</c:v>
              </c:pt>
              <c:pt idx="4146">
                <c:v>0.16589699999999999</c:v>
              </c:pt>
              <c:pt idx="4147">
                <c:v>0.165937</c:v>
              </c:pt>
              <c:pt idx="4148">
                <c:v>0.16597700000000001</c:v>
              </c:pt>
              <c:pt idx="4149">
                <c:v>0.166017</c:v>
              </c:pt>
              <c:pt idx="4150">
                <c:v>0.16605700000000001</c:v>
              </c:pt>
              <c:pt idx="4151">
                <c:v>0.16609699999999999</c:v>
              </c:pt>
              <c:pt idx="4152">
                <c:v>0.16613700000000001</c:v>
              </c:pt>
              <c:pt idx="4153">
                <c:v>0.16617699999999999</c:v>
              </c:pt>
              <c:pt idx="4154">
                <c:v>0.166217</c:v>
              </c:pt>
              <c:pt idx="4155">
                <c:v>0.16625699999999999</c:v>
              </c:pt>
              <c:pt idx="4156">
                <c:v>0.166297</c:v>
              </c:pt>
              <c:pt idx="4157">
                <c:v>0.16633700000000001</c:v>
              </c:pt>
              <c:pt idx="4158">
                <c:v>0.166377</c:v>
              </c:pt>
              <c:pt idx="4159">
                <c:v>0.16641700000000001</c:v>
              </c:pt>
              <c:pt idx="4160">
                <c:v>0.16645699999999999</c:v>
              </c:pt>
              <c:pt idx="4161">
                <c:v>0.16649700000000001</c:v>
              </c:pt>
              <c:pt idx="4162">
                <c:v>0.16653699999999999</c:v>
              </c:pt>
              <c:pt idx="4163">
                <c:v>0.166577</c:v>
              </c:pt>
              <c:pt idx="4164">
                <c:v>0.16661699999999999</c:v>
              </c:pt>
              <c:pt idx="4165">
                <c:v>0.166657</c:v>
              </c:pt>
              <c:pt idx="4166">
                <c:v>0.16669700000000001</c:v>
              </c:pt>
              <c:pt idx="4167">
                <c:v>0.166737</c:v>
              </c:pt>
              <c:pt idx="4168">
                <c:v>0.16677700000000001</c:v>
              </c:pt>
              <c:pt idx="4169">
                <c:v>0.16681699999999999</c:v>
              </c:pt>
              <c:pt idx="4170">
                <c:v>0.16685700000000001</c:v>
              </c:pt>
              <c:pt idx="4171">
                <c:v>0.16689699999999999</c:v>
              </c:pt>
              <c:pt idx="4172">
                <c:v>0.166937</c:v>
              </c:pt>
              <c:pt idx="4173">
                <c:v>0.16697699999999999</c:v>
              </c:pt>
              <c:pt idx="4174">
                <c:v>0.167017</c:v>
              </c:pt>
              <c:pt idx="4175">
                <c:v>0.16705700000000001</c:v>
              </c:pt>
              <c:pt idx="4176">
                <c:v>0.167097</c:v>
              </c:pt>
              <c:pt idx="4177">
                <c:v>0.16713700000000001</c:v>
              </c:pt>
              <c:pt idx="4178">
                <c:v>0.16717699999999999</c:v>
              </c:pt>
              <c:pt idx="4179">
                <c:v>0.167217</c:v>
              </c:pt>
              <c:pt idx="4180">
                <c:v>0.16725699999999999</c:v>
              </c:pt>
              <c:pt idx="4181">
                <c:v>0.167297</c:v>
              </c:pt>
              <c:pt idx="4182">
                <c:v>0.16733700000000001</c:v>
              </c:pt>
              <c:pt idx="4183">
                <c:v>0.167377</c:v>
              </c:pt>
              <c:pt idx="4184">
                <c:v>0.16741700000000001</c:v>
              </c:pt>
              <c:pt idx="4185">
                <c:v>0.16745699999999999</c:v>
              </c:pt>
              <c:pt idx="4186">
                <c:v>0.16749700000000001</c:v>
              </c:pt>
              <c:pt idx="4187">
                <c:v>0.16753699999999999</c:v>
              </c:pt>
              <c:pt idx="4188">
                <c:v>0.167577</c:v>
              </c:pt>
              <c:pt idx="4189">
                <c:v>0.16761699999999999</c:v>
              </c:pt>
              <c:pt idx="4190">
                <c:v>0.167657</c:v>
              </c:pt>
              <c:pt idx="4191">
                <c:v>0.16769700000000001</c:v>
              </c:pt>
              <c:pt idx="4192">
                <c:v>0.167737</c:v>
              </c:pt>
              <c:pt idx="4193">
                <c:v>0.16777700000000001</c:v>
              </c:pt>
              <c:pt idx="4194">
                <c:v>0.16781699999999999</c:v>
              </c:pt>
              <c:pt idx="4195">
                <c:v>0.16785700000000001</c:v>
              </c:pt>
              <c:pt idx="4196">
                <c:v>0.16789699999999999</c:v>
              </c:pt>
              <c:pt idx="4197">
                <c:v>0.167937</c:v>
              </c:pt>
              <c:pt idx="4198">
                <c:v>0.16797699999999999</c:v>
              </c:pt>
              <c:pt idx="4199">
                <c:v>0.168017</c:v>
              </c:pt>
              <c:pt idx="4200">
                <c:v>0.16805700000000001</c:v>
              </c:pt>
              <c:pt idx="4201">
                <c:v>0.168097</c:v>
              </c:pt>
              <c:pt idx="4202">
                <c:v>0.16813700000000001</c:v>
              </c:pt>
              <c:pt idx="4203">
                <c:v>0.16817699999999999</c:v>
              </c:pt>
              <c:pt idx="4204">
                <c:v>0.16821700000000001</c:v>
              </c:pt>
              <c:pt idx="4205">
                <c:v>0.16825699999999999</c:v>
              </c:pt>
              <c:pt idx="4206">
                <c:v>0.168297</c:v>
              </c:pt>
              <c:pt idx="4207">
                <c:v>0.16833699999999999</c:v>
              </c:pt>
              <c:pt idx="4208">
                <c:v>0.168377</c:v>
              </c:pt>
              <c:pt idx="4209">
                <c:v>0.16841700000000001</c:v>
              </c:pt>
              <c:pt idx="4210">
                <c:v>0.168457</c:v>
              </c:pt>
              <c:pt idx="4211">
                <c:v>0.16849700000000001</c:v>
              </c:pt>
              <c:pt idx="4212">
                <c:v>0.16853699999999999</c:v>
              </c:pt>
              <c:pt idx="4213">
                <c:v>0.168577</c:v>
              </c:pt>
              <c:pt idx="4214">
                <c:v>0.16861699999999999</c:v>
              </c:pt>
              <c:pt idx="4215">
                <c:v>0.168657</c:v>
              </c:pt>
              <c:pt idx="4216">
                <c:v>0.16869700000000001</c:v>
              </c:pt>
              <c:pt idx="4217">
                <c:v>0.168737</c:v>
              </c:pt>
              <c:pt idx="4218">
                <c:v>0.16877700000000001</c:v>
              </c:pt>
              <c:pt idx="4219">
                <c:v>0.16881699999999999</c:v>
              </c:pt>
              <c:pt idx="4220">
                <c:v>0.16885700000000001</c:v>
              </c:pt>
              <c:pt idx="4221">
                <c:v>0.16889699999999999</c:v>
              </c:pt>
              <c:pt idx="4222">
                <c:v>0.168937</c:v>
              </c:pt>
              <c:pt idx="4223">
                <c:v>0.16897699999999999</c:v>
              </c:pt>
              <c:pt idx="4224">
                <c:v>0.169017</c:v>
              </c:pt>
              <c:pt idx="4225">
                <c:v>0.16905700000000001</c:v>
              </c:pt>
              <c:pt idx="4226">
                <c:v>0.169097</c:v>
              </c:pt>
              <c:pt idx="4227">
                <c:v>0.16913700000000001</c:v>
              </c:pt>
              <c:pt idx="4228">
                <c:v>0.16917699999999999</c:v>
              </c:pt>
              <c:pt idx="4229">
                <c:v>0.16921700000000001</c:v>
              </c:pt>
              <c:pt idx="4230">
                <c:v>0.16925699999999999</c:v>
              </c:pt>
              <c:pt idx="4231">
                <c:v>0.169297</c:v>
              </c:pt>
              <c:pt idx="4232">
                <c:v>0.16933699999999999</c:v>
              </c:pt>
              <c:pt idx="4233">
                <c:v>0.169377</c:v>
              </c:pt>
              <c:pt idx="4234">
                <c:v>0.16941700000000001</c:v>
              </c:pt>
              <c:pt idx="4235">
                <c:v>0.169457</c:v>
              </c:pt>
              <c:pt idx="4236">
                <c:v>0.16949700000000001</c:v>
              </c:pt>
              <c:pt idx="4237">
                <c:v>0.16953699999999999</c:v>
              </c:pt>
              <c:pt idx="4238">
                <c:v>0.16957700000000001</c:v>
              </c:pt>
              <c:pt idx="4239">
                <c:v>0.16961699999999999</c:v>
              </c:pt>
              <c:pt idx="4240">
                <c:v>0.169657</c:v>
              </c:pt>
              <c:pt idx="4241">
                <c:v>0.16969699999999999</c:v>
              </c:pt>
              <c:pt idx="4242">
                <c:v>0.169737</c:v>
              </c:pt>
              <c:pt idx="4243">
                <c:v>0.16977700000000001</c:v>
              </c:pt>
              <c:pt idx="4244">
                <c:v>0.169817</c:v>
              </c:pt>
              <c:pt idx="4245">
                <c:v>0.16985700000000001</c:v>
              </c:pt>
              <c:pt idx="4246">
                <c:v>0.16989699999999999</c:v>
              </c:pt>
              <c:pt idx="4247">
                <c:v>0.169937</c:v>
              </c:pt>
              <c:pt idx="4248">
                <c:v>0.16997699999999999</c:v>
              </c:pt>
              <c:pt idx="4249">
                <c:v>0.170017</c:v>
              </c:pt>
              <c:pt idx="4250">
                <c:v>0.17005700000000001</c:v>
              </c:pt>
              <c:pt idx="4251">
                <c:v>0.170097</c:v>
              </c:pt>
              <c:pt idx="4252">
                <c:v>0.17013700000000001</c:v>
              </c:pt>
              <c:pt idx="4253">
                <c:v>0.17017699999999999</c:v>
              </c:pt>
              <c:pt idx="4254">
                <c:v>0.17021700000000001</c:v>
              </c:pt>
              <c:pt idx="4255">
                <c:v>0.17025699999999999</c:v>
              </c:pt>
              <c:pt idx="4256">
                <c:v>0.170297</c:v>
              </c:pt>
              <c:pt idx="4257">
                <c:v>0.17033699999999999</c:v>
              </c:pt>
              <c:pt idx="4258">
                <c:v>0.170377</c:v>
              </c:pt>
              <c:pt idx="4259">
                <c:v>0.17041700000000001</c:v>
              </c:pt>
              <c:pt idx="4260">
                <c:v>0.170457</c:v>
              </c:pt>
              <c:pt idx="4261">
                <c:v>0.17049700000000001</c:v>
              </c:pt>
              <c:pt idx="4262">
                <c:v>0.17053699999999999</c:v>
              </c:pt>
              <c:pt idx="4263">
                <c:v>0.17057700000000001</c:v>
              </c:pt>
              <c:pt idx="4264">
                <c:v>0.17061699999999999</c:v>
              </c:pt>
              <c:pt idx="4265">
                <c:v>0.170657</c:v>
              </c:pt>
              <c:pt idx="4266">
                <c:v>0.17069699999999999</c:v>
              </c:pt>
              <c:pt idx="4267">
                <c:v>0.170737</c:v>
              </c:pt>
              <c:pt idx="4268">
                <c:v>0.17077700000000001</c:v>
              </c:pt>
              <c:pt idx="4269">
                <c:v>0.170817</c:v>
              </c:pt>
              <c:pt idx="4270">
                <c:v>0.17085700000000001</c:v>
              </c:pt>
              <c:pt idx="4271">
                <c:v>0.17089699999999999</c:v>
              </c:pt>
              <c:pt idx="4272">
                <c:v>0.17093700000000001</c:v>
              </c:pt>
              <c:pt idx="4273">
                <c:v>0.17097699999999999</c:v>
              </c:pt>
              <c:pt idx="4274">
                <c:v>0.171017</c:v>
              </c:pt>
              <c:pt idx="4275">
                <c:v>0.17105699999999999</c:v>
              </c:pt>
              <c:pt idx="4276">
                <c:v>0.171097</c:v>
              </c:pt>
              <c:pt idx="4277">
                <c:v>0.17113700000000001</c:v>
              </c:pt>
              <c:pt idx="4278">
                <c:v>0.171177</c:v>
              </c:pt>
              <c:pt idx="4279">
                <c:v>0.17121700000000001</c:v>
              </c:pt>
              <c:pt idx="4280">
                <c:v>0.17125699999999999</c:v>
              </c:pt>
              <c:pt idx="4281">
                <c:v>0.171297</c:v>
              </c:pt>
              <c:pt idx="4282">
                <c:v>0.17133699999999999</c:v>
              </c:pt>
              <c:pt idx="4283">
                <c:v>0.171377</c:v>
              </c:pt>
              <c:pt idx="4284">
                <c:v>0.17141700000000001</c:v>
              </c:pt>
              <c:pt idx="4285">
                <c:v>0.171457</c:v>
              </c:pt>
              <c:pt idx="4286">
                <c:v>0.17149700000000001</c:v>
              </c:pt>
              <c:pt idx="4287">
                <c:v>0.171537</c:v>
              </c:pt>
              <c:pt idx="4288">
                <c:v>0.17157700000000001</c:v>
              </c:pt>
              <c:pt idx="4289">
                <c:v>0.17161699999999999</c:v>
              </c:pt>
              <c:pt idx="4290">
                <c:v>0.171657</c:v>
              </c:pt>
              <c:pt idx="4291">
                <c:v>0.17169699999999999</c:v>
              </c:pt>
              <c:pt idx="4292">
                <c:v>0.171737</c:v>
              </c:pt>
              <c:pt idx="4293">
                <c:v>0.17177700000000001</c:v>
              </c:pt>
              <c:pt idx="4294">
                <c:v>0.171817</c:v>
              </c:pt>
              <c:pt idx="4295">
                <c:v>0.17185700000000001</c:v>
              </c:pt>
              <c:pt idx="4296">
                <c:v>0.17189699999999999</c:v>
              </c:pt>
              <c:pt idx="4297">
                <c:v>0.17193700000000001</c:v>
              </c:pt>
              <c:pt idx="4298">
                <c:v>0.17197699999999999</c:v>
              </c:pt>
              <c:pt idx="4299">
                <c:v>0.172017</c:v>
              </c:pt>
              <c:pt idx="4300">
                <c:v>0.17205699999999999</c:v>
              </c:pt>
              <c:pt idx="4301">
                <c:v>0.172097</c:v>
              </c:pt>
              <c:pt idx="4302">
                <c:v>0.17213700000000001</c:v>
              </c:pt>
              <c:pt idx="4303">
                <c:v>0.172177</c:v>
              </c:pt>
              <c:pt idx="4304">
                <c:v>0.17221700000000001</c:v>
              </c:pt>
              <c:pt idx="4305">
                <c:v>0.17225699999999999</c:v>
              </c:pt>
              <c:pt idx="4306">
                <c:v>0.17229700000000001</c:v>
              </c:pt>
              <c:pt idx="4307">
                <c:v>0.17233699999999999</c:v>
              </c:pt>
              <c:pt idx="4308">
                <c:v>0.172377</c:v>
              </c:pt>
              <c:pt idx="4309">
                <c:v>0.17241699999999999</c:v>
              </c:pt>
              <c:pt idx="4310">
                <c:v>0.172457</c:v>
              </c:pt>
              <c:pt idx="4311">
                <c:v>0.17249700000000001</c:v>
              </c:pt>
              <c:pt idx="4312">
                <c:v>0.172537</c:v>
              </c:pt>
              <c:pt idx="4313">
                <c:v>0.17257700000000001</c:v>
              </c:pt>
              <c:pt idx="4314">
                <c:v>0.17261699999999999</c:v>
              </c:pt>
              <c:pt idx="4315">
                <c:v>0.172657</c:v>
              </c:pt>
              <c:pt idx="4316">
                <c:v>0.17269699999999999</c:v>
              </c:pt>
              <c:pt idx="4317">
                <c:v>0.172737</c:v>
              </c:pt>
              <c:pt idx="4318">
                <c:v>0.17277699999999999</c:v>
              </c:pt>
              <c:pt idx="4319">
                <c:v>0.172817</c:v>
              </c:pt>
              <c:pt idx="4320">
                <c:v>0.17285700000000001</c:v>
              </c:pt>
              <c:pt idx="4321">
                <c:v>0.172897</c:v>
              </c:pt>
              <c:pt idx="4322">
                <c:v>0.17293700000000001</c:v>
              </c:pt>
              <c:pt idx="4323">
                <c:v>0.17297699999999999</c:v>
              </c:pt>
              <c:pt idx="4324">
                <c:v>0.173017</c:v>
              </c:pt>
              <c:pt idx="4325">
                <c:v>0.17305699999999999</c:v>
              </c:pt>
              <c:pt idx="4326">
                <c:v>0.173097</c:v>
              </c:pt>
              <c:pt idx="4327">
                <c:v>0.17313700000000001</c:v>
              </c:pt>
              <c:pt idx="4328">
                <c:v>0.173177</c:v>
              </c:pt>
              <c:pt idx="4329">
                <c:v>0.17321700000000001</c:v>
              </c:pt>
              <c:pt idx="4330">
                <c:v>0.17325699999999999</c:v>
              </c:pt>
              <c:pt idx="4331">
                <c:v>0.17329700000000001</c:v>
              </c:pt>
              <c:pt idx="4332">
                <c:v>0.17333699999999999</c:v>
              </c:pt>
              <c:pt idx="4333">
                <c:v>0.173377</c:v>
              </c:pt>
              <c:pt idx="4334">
                <c:v>0.17341699999999999</c:v>
              </c:pt>
              <c:pt idx="4335">
                <c:v>0.173457</c:v>
              </c:pt>
              <c:pt idx="4336">
                <c:v>0.17349700000000001</c:v>
              </c:pt>
              <c:pt idx="4337">
                <c:v>0.173537</c:v>
              </c:pt>
              <c:pt idx="4338">
                <c:v>0.17357700000000001</c:v>
              </c:pt>
              <c:pt idx="4339">
                <c:v>0.17361699999999999</c:v>
              </c:pt>
              <c:pt idx="4340">
                <c:v>0.17365700000000001</c:v>
              </c:pt>
              <c:pt idx="4341">
                <c:v>0.17369699999999999</c:v>
              </c:pt>
              <c:pt idx="4342">
                <c:v>0.173737</c:v>
              </c:pt>
              <c:pt idx="4343">
                <c:v>0.17377699999999999</c:v>
              </c:pt>
              <c:pt idx="4344">
                <c:v>0.173817</c:v>
              </c:pt>
              <c:pt idx="4345">
                <c:v>0.17385700000000001</c:v>
              </c:pt>
              <c:pt idx="4346">
                <c:v>0.173897</c:v>
              </c:pt>
              <c:pt idx="4347">
                <c:v>0.17393700000000001</c:v>
              </c:pt>
              <c:pt idx="4348">
                <c:v>0.17397699999999999</c:v>
              </c:pt>
              <c:pt idx="4349">
                <c:v>0.17401700000000001</c:v>
              </c:pt>
              <c:pt idx="4350">
                <c:v>0.17405699999999999</c:v>
              </c:pt>
              <c:pt idx="4351">
                <c:v>0.174097</c:v>
              </c:pt>
              <c:pt idx="4352">
                <c:v>0.17413699999999999</c:v>
              </c:pt>
              <c:pt idx="4353">
                <c:v>0.174177</c:v>
              </c:pt>
              <c:pt idx="4354">
                <c:v>0.17421700000000001</c:v>
              </c:pt>
              <c:pt idx="4355">
                <c:v>0.174257</c:v>
              </c:pt>
              <c:pt idx="4356">
                <c:v>0.17429700000000001</c:v>
              </c:pt>
              <c:pt idx="4357">
                <c:v>0.17433699999999999</c:v>
              </c:pt>
              <c:pt idx="4358">
                <c:v>0.174377</c:v>
              </c:pt>
              <c:pt idx="4359">
                <c:v>0.17441699999999999</c:v>
              </c:pt>
              <c:pt idx="4360">
                <c:v>0.174457</c:v>
              </c:pt>
              <c:pt idx="4361">
                <c:v>0.17449700000000001</c:v>
              </c:pt>
              <c:pt idx="4362">
                <c:v>0.174537</c:v>
              </c:pt>
              <c:pt idx="4363">
                <c:v>0.17457700000000001</c:v>
              </c:pt>
              <c:pt idx="4364">
                <c:v>0.17461699999999999</c:v>
              </c:pt>
              <c:pt idx="4365">
                <c:v>0.17465700000000001</c:v>
              </c:pt>
              <c:pt idx="4366">
                <c:v>0.17469699999999999</c:v>
              </c:pt>
              <c:pt idx="4367">
                <c:v>0.174737</c:v>
              </c:pt>
              <c:pt idx="4368">
                <c:v>0.17477699999999999</c:v>
              </c:pt>
              <c:pt idx="4369">
                <c:v>0.174817</c:v>
              </c:pt>
              <c:pt idx="4370">
                <c:v>0.17485700000000001</c:v>
              </c:pt>
              <c:pt idx="4371">
                <c:v>0.174897</c:v>
              </c:pt>
              <c:pt idx="4372">
                <c:v>0.17493700000000001</c:v>
              </c:pt>
              <c:pt idx="4373">
                <c:v>0.17497699999999999</c:v>
              </c:pt>
              <c:pt idx="4374">
                <c:v>0.17501700000000001</c:v>
              </c:pt>
              <c:pt idx="4375">
                <c:v>0.17505699999999999</c:v>
              </c:pt>
              <c:pt idx="4376">
                <c:v>0.175097</c:v>
              </c:pt>
              <c:pt idx="4377">
                <c:v>0.17513699999999999</c:v>
              </c:pt>
              <c:pt idx="4378">
                <c:v>0.175177</c:v>
              </c:pt>
              <c:pt idx="4379">
                <c:v>0.17521700000000001</c:v>
              </c:pt>
              <c:pt idx="4380">
                <c:v>0.175257</c:v>
              </c:pt>
              <c:pt idx="4381">
                <c:v>0.17529700000000001</c:v>
              </c:pt>
              <c:pt idx="4382">
                <c:v>0.17533699999999999</c:v>
              </c:pt>
              <c:pt idx="4383">
                <c:v>0.17537700000000001</c:v>
              </c:pt>
              <c:pt idx="4384">
                <c:v>0.17541699999999999</c:v>
              </c:pt>
              <c:pt idx="4385">
                <c:v>0.175457</c:v>
              </c:pt>
              <c:pt idx="4386">
                <c:v>0.17549699999999999</c:v>
              </c:pt>
              <c:pt idx="4387">
                <c:v>0.175537</c:v>
              </c:pt>
              <c:pt idx="4388">
                <c:v>0.17557700000000001</c:v>
              </c:pt>
              <c:pt idx="4389">
                <c:v>0.175617</c:v>
              </c:pt>
              <c:pt idx="4390">
                <c:v>0.17565700000000001</c:v>
              </c:pt>
              <c:pt idx="4391">
                <c:v>0.17569699999999999</c:v>
              </c:pt>
              <c:pt idx="4392">
                <c:v>0.175737</c:v>
              </c:pt>
              <c:pt idx="4393">
                <c:v>0.17577699999999999</c:v>
              </c:pt>
              <c:pt idx="4394">
                <c:v>0.175817</c:v>
              </c:pt>
              <c:pt idx="4395">
                <c:v>0.17585700000000001</c:v>
              </c:pt>
              <c:pt idx="4396">
                <c:v>0.175897</c:v>
              </c:pt>
              <c:pt idx="4397">
                <c:v>0.17593700000000001</c:v>
              </c:pt>
              <c:pt idx="4398">
                <c:v>0.17597699999999999</c:v>
              </c:pt>
              <c:pt idx="4399">
                <c:v>0.17601700000000001</c:v>
              </c:pt>
              <c:pt idx="4400">
                <c:v>0.17605699999999999</c:v>
              </c:pt>
              <c:pt idx="4401">
                <c:v>0.176096</c:v>
              </c:pt>
              <c:pt idx="4402">
                <c:v>0.17613599999999999</c:v>
              </c:pt>
              <c:pt idx="4403">
                <c:v>0.176176</c:v>
              </c:pt>
              <c:pt idx="4404">
                <c:v>0.17621600000000001</c:v>
              </c:pt>
              <c:pt idx="4405">
                <c:v>0.176256</c:v>
              </c:pt>
              <c:pt idx="4406">
                <c:v>0.17629600000000001</c:v>
              </c:pt>
              <c:pt idx="4407">
                <c:v>0.17633599999999999</c:v>
              </c:pt>
              <c:pt idx="4408">
                <c:v>0.176376</c:v>
              </c:pt>
              <c:pt idx="4409">
                <c:v>0.17641599999999999</c:v>
              </c:pt>
              <c:pt idx="4410">
                <c:v>0.176456</c:v>
              </c:pt>
              <c:pt idx="4411">
                <c:v>0.17649599999999999</c:v>
              </c:pt>
              <c:pt idx="4412">
                <c:v>0.176536</c:v>
              </c:pt>
              <c:pt idx="4413">
                <c:v>0.17657600000000001</c:v>
              </c:pt>
              <c:pt idx="4414">
                <c:v>0.176616</c:v>
              </c:pt>
              <c:pt idx="4415">
                <c:v>0.17665600000000001</c:v>
              </c:pt>
              <c:pt idx="4416">
                <c:v>0.17669599999999999</c:v>
              </c:pt>
              <c:pt idx="4417">
                <c:v>0.176736</c:v>
              </c:pt>
              <c:pt idx="4418">
                <c:v>0.17677599999999999</c:v>
              </c:pt>
              <c:pt idx="4419">
                <c:v>0.176816</c:v>
              </c:pt>
              <c:pt idx="4420">
                <c:v>0.17685600000000001</c:v>
              </c:pt>
              <c:pt idx="4421">
                <c:v>0.176896</c:v>
              </c:pt>
              <c:pt idx="4422">
                <c:v>0.17693600000000001</c:v>
              </c:pt>
              <c:pt idx="4423">
                <c:v>0.17697599999999999</c:v>
              </c:pt>
              <c:pt idx="4424">
                <c:v>0.17701600000000001</c:v>
              </c:pt>
              <c:pt idx="4425">
                <c:v>0.17705599999999999</c:v>
              </c:pt>
              <c:pt idx="4426">
                <c:v>0.177096</c:v>
              </c:pt>
              <c:pt idx="4427">
                <c:v>0.17713599999999999</c:v>
              </c:pt>
              <c:pt idx="4428">
                <c:v>0.177176</c:v>
              </c:pt>
              <c:pt idx="4429">
                <c:v>0.17721600000000001</c:v>
              </c:pt>
              <c:pt idx="4430">
                <c:v>0.177256</c:v>
              </c:pt>
              <c:pt idx="4431">
                <c:v>0.17729600000000001</c:v>
              </c:pt>
              <c:pt idx="4432">
                <c:v>0.17733599999999999</c:v>
              </c:pt>
              <c:pt idx="4433">
                <c:v>0.17737600000000001</c:v>
              </c:pt>
              <c:pt idx="4434">
                <c:v>0.17741599999999999</c:v>
              </c:pt>
              <c:pt idx="4435">
                <c:v>0.177456</c:v>
              </c:pt>
              <c:pt idx="4436">
                <c:v>0.17749599999999999</c:v>
              </c:pt>
              <c:pt idx="4437">
                <c:v>0.177536</c:v>
              </c:pt>
              <c:pt idx="4438">
                <c:v>0.17757600000000001</c:v>
              </c:pt>
              <c:pt idx="4439">
                <c:v>0.177616</c:v>
              </c:pt>
              <c:pt idx="4440">
                <c:v>0.17765600000000001</c:v>
              </c:pt>
              <c:pt idx="4441">
                <c:v>0.17769599999999999</c:v>
              </c:pt>
              <c:pt idx="4442">
                <c:v>0.17773600000000001</c:v>
              </c:pt>
              <c:pt idx="4443">
                <c:v>0.17777599999999999</c:v>
              </c:pt>
              <c:pt idx="4444">
                <c:v>0.177816</c:v>
              </c:pt>
              <c:pt idx="4445">
                <c:v>0.17785599999999999</c:v>
              </c:pt>
              <c:pt idx="4446">
                <c:v>0.177896</c:v>
              </c:pt>
              <c:pt idx="4447">
                <c:v>0.17793600000000001</c:v>
              </c:pt>
              <c:pt idx="4448">
                <c:v>0.177976</c:v>
              </c:pt>
              <c:pt idx="4449">
                <c:v>0.17801600000000001</c:v>
              </c:pt>
              <c:pt idx="4450">
                <c:v>0.17805599999999999</c:v>
              </c:pt>
              <c:pt idx="4451">
                <c:v>0.178096</c:v>
              </c:pt>
              <c:pt idx="4452">
                <c:v>0.17813599999999999</c:v>
              </c:pt>
              <c:pt idx="4453">
                <c:v>0.178176</c:v>
              </c:pt>
              <c:pt idx="4454">
                <c:v>0.17821600000000001</c:v>
              </c:pt>
              <c:pt idx="4455">
                <c:v>0.178256</c:v>
              </c:pt>
              <c:pt idx="4456">
                <c:v>0.17829600000000001</c:v>
              </c:pt>
              <c:pt idx="4457">
                <c:v>0.17833599999999999</c:v>
              </c:pt>
              <c:pt idx="4458">
                <c:v>0.17837600000000001</c:v>
              </c:pt>
              <c:pt idx="4459">
                <c:v>0.17841599999999999</c:v>
              </c:pt>
              <c:pt idx="4460">
                <c:v>0.178456</c:v>
              </c:pt>
              <c:pt idx="4461">
                <c:v>0.17849599999999999</c:v>
              </c:pt>
              <c:pt idx="4462">
                <c:v>0.178536</c:v>
              </c:pt>
              <c:pt idx="4463">
                <c:v>0.17857600000000001</c:v>
              </c:pt>
              <c:pt idx="4464">
                <c:v>0.178616</c:v>
              </c:pt>
              <c:pt idx="4465">
                <c:v>0.17865600000000001</c:v>
              </c:pt>
              <c:pt idx="4466">
                <c:v>0.17869599999999999</c:v>
              </c:pt>
              <c:pt idx="4467">
                <c:v>0.17873600000000001</c:v>
              </c:pt>
              <c:pt idx="4468">
                <c:v>0.17877599999999999</c:v>
              </c:pt>
              <c:pt idx="4469">
                <c:v>0.178816</c:v>
              </c:pt>
              <c:pt idx="4470">
                <c:v>0.17885599999999999</c:v>
              </c:pt>
              <c:pt idx="4471">
                <c:v>0.178896</c:v>
              </c:pt>
              <c:pt idx="4472">
                <c:v>0.17893600000000001</c:v>
              </c:pt>
              <c:pt idx="4473">
                <c:v>0.178976</c:v>
              </c:pt>
              <c:pt idx="4474">
                <c:v>0.17901600000000001</c:v>
              </c:pt>
              <c:pt idx="4475">
                <c:v>0.17905599999999999</c:v>
              </c:pt>
              <c:pt idx="4476">
                <c:v>0.17909600000000001</c:v>
              </c:pt>
              <c:pt idx="4477">
                <c:v>0.17913599999999999</c:v>
              </c:pt>
              <c:pt idx="4478">
                <c:v>0.179176</c:v>
              </c:pt>
              <c:pt idx="4479">
                <c:v>0.17921599999999999</c:v>
              </c:pt>
              <c:pt idx="4480">
                <c:v>0.179256</c:v>
              </c:pt>
              <c:pt idx="4481">
                <c:v>0.17929600000000001</c:v>
              </c:pt>
              <c:pt idx="4482">
                <c:v>0.179336</c:v>
              </c:pt>
              <c:pt idx="4483">
                <c:v>0.17937600000000001</c:v>
              </c:pt>
              <c:pt idx="4484">
                <c:v>0.17941599999999999</c:v>
              </c:pt>
              <c:pt idx="4485">
                <c:v>0.179456</c:v>
              </c:pt>
              <c:pt idx="4486">
                <c:v>0.17949599999999999</c:v>
              </c:pt>
              <c:pt idx="4487">
                <c:v>0.179536</c:v>
              </c:pt>
              <c:pt idx="4488">
                <c:v>0.17957600000000001</c:v>
              </c:pt>
              <c:pt idx="4489">
                <c:v>0.179616</c:v>
              </c:pt>
              <c:pt idx="4490">
                <c:v>0.17965600000000001</c:v>
              </c:pt>
              <c:pt idx="4491">
                <c:v>0.17969599999999999</c:v>
              </c:pt>
              <c:pt idx="4492">
                <c:v>0.17973600000000001</c:v>
              </c:pt>
              <c:pt idx="4493">
                <c:v>0.17977599999999999</c:v>
              </c:pt>
              <c:pt idx="4494">
                <c:v>0.179816</c:v>
              </c:pt>
              <c:pt idx="4495">
                <c:v>0.17985599999999999</c:v>
              </c:pt>
              <c:pt idx="4496">
                <c:v>0.179896</c:v>
              </c:pt>
              <c:pt idx="4497">
                <c:v>0.17993600000000001</c:v>
              </c:pt>
              <c:pt idx="4498">
                <c:v>0.179976</c:v>
              </c:pt>
              <c:pt idx="4499">
                <c:v>0.18001600000000001</c:v>
              </c:pt>
              <c:pt idx="4500">
                <c:v>0.18005599999999999</c:v>
              </c:pt>
              <c:pt idx="4501">
                <c:v>0.18009600000000001</c:v>
              </c:pt>
              <c:pt idx="4502">
                <c:v>0.18013599999999999</c:v>
              </c:pt>
              <c:pt idx="4503">
                <c:v>0.180176</c:v>
              </c:pt>
              <c:pt idx="4504">
                <c:v>0.18021599999999999</c:v>
              </c:pt>
              <c:pt idx="4505">
                <c:v>0.180256</c:v>
              </c:pt>
              <c:pt idx="4506">
                <c:v>0.18029600000000001</c:v>
              </c:pt>
              <c:pt idx="4507">
                <c:v>0.180336</c:v>
              </c:pt>
              <c:pt idx="4508">
                <c:v>0.18037600000000001</c:v>
              </c:pt>
              <c:pt idx="4509">
                <c:v>0.18041599999999999</c:v>
              </c:pt>
              <c:pt idx="4510">
                <c:v>0.18045600000000001</c:v>
              </c:pt>
              <c:pt idx="4511">
                <c:v>0.18049599999999999</c:v>
              </c:pt>
              <c:pt idx="4512">
                <c:v>0.180536</c:v>
              </c:pt>
              <c:pt idx="4513">
                <c:v>0.18057599999999999</c:v>
              </c:pt>
              <c:pt idx="4514">
                <c:v>0.180616</c:v>
              </c:pt>
              <c:pt idx="4515">
                <c:v>0.18065600000000001</c:v>
              </c:pt>
              <c:pt idx="4516">
                <c:v>0.180696</c:v>
              </c:pt>
              <c:pt idx="4517">
                <c:v>0.18073600000000001</c:v>
              </c:pt>
              <c:pt idx="4518">
                <c:v>0.18077599999999999</c:v>
              </c:pt>
              <c:pt idx="4519">
                <c:v>0.180816</c:v>
              </c:pt>
              <c:pt idx="4520">
                <c:v>0.18085599999999999</c:v>
              </c:pt>
              <c:pt idx="4521">
                <c:v>0.180896</c:v>
              </c:pt>
              <c:pt idx="4522">
                <c:v>0.18093600000000001</c:v>
              </c:pt>
              <c:pt idx="4523">
                <c:v>0.180976</c:v>
              </c:pt>
              <c:pt idx="4524">
                <c:v>0.18101600000000001</c:v>
              </c:pt>
              <c:pt idx="4525">
                <c:v>0.18105599999999999</c:v>
              </c:pt>
              <c:pt idx="4526">
                <c:v>0.18109600000000001</c:v>
              </c:pt>
              <c:pt idx="4527">
                <c:v>0.18113599999999999</c:v>
              </c:pt>
              <c:pt idx="4528">
                <c:v>0.181176</c:v>
              </c:pt>
              <c:pt idx="4529">
                <c:v>0.18121599999999999</c:v>
              </c:pt>
              <c:pt idx="4530">
                <c:v>0.181256</c:v>
              </c:pt>
              <c:pt idx="4531">
                <c:v>0.18129600000000001</c:v>
              </c:pt>
              <c:pt idx="4532">
                <c:v>0.181336</c:v>
              </c:pt>
              <c:pt idx="4533">
                <c:v>0.18137600000000001</c:v>
              </c:pt>
              <c:pt idx="4534">
                <c:v>0.18141599999999999</c:v>
              </c:pt>
              <c:pt idx="4535">
                <c:v>0.18145600000000001</c:v>
              </c:pt>
              <c:pt idx="4536">
                <c:v>0.18149599999999999</c:v>
              </c:pt>
              <c:pt idx="4537">
                <c:v>0.181536</c:v>
              </c:pt>
              <c:pt idx="4538">
                <c:v>0.18157599999999999</c:v>
              </c:pt>
              <c:pt idx="4539">
                <c:v>0.181616</c:v>
              </c:pt>
              <c:pt idx="4540">
                <c:v>0.18165600000000001</c:v>
              </c:pt>
              <c:pt idx="4541">
                <c:v>0.181696</c:v>
              </c:pt>
              <c:pt idx="4542">
                <c:v>0.18173600000000001</c:v>
              </c:pt>
              <c:pt idx="4543">
                <c:v>0.18177599999999999</c:v>
              </c:pt>
              <c:pt idx="4544">
                <c:v>0.18181600000000001</c:v>
              </c:pt>
              <c:pt idx="4545">
                <c:v>0.18185599999999999</c:v>
              </c:pt>
              <c:pt idx="4546">
                <c:v>0.181896</c:v>
              </c:pt>
              <c:pt idx="4547">
                <c:v>0.18193599999999999</c:v>
              </c:pt>
              <c:pt idx="4548">
                <c:v>0.181976</c:v>
              </c:pt>
              <c:pt idx="4549">
                <c:v>0.18201600000000001</c:v>
              </c:pt>
              <c:pt idx="4550">
                <c:v>0.182056</c:v>
              </c:pt>
              <c:pt idx="4551">
                <c:v>0.18209600000000001</c:v>
              </c:pt>
              <c:pt idx="4552">
                <c:v>0.18213599999999999</c:v>
              </c:pt>
              <c:pt idx="4553">
                <c:v>0.182176</c:v>
              </c:pt>
              <c:pt idx="4554">
                <c:v>0.18221599999999999</c:v>
              </c:pt>
              <c:pt idx="4555">
                <c:v>0.182256</c:v>
              </c:pt>
              <c:pt idx="4556">
                <c:v>0.18229600000000001</c:v>
              </c:pt>
              <c:pt idx="4557">
                <c:v>0.182336</c:v>
              </c:pt>
              <c:pt idx="4558">
                <c:v>0.18237600000000001</c:v>
              </c:pt>
              <c:pt idx="4559">
                <c:v>0.18241599999999999</c:v>
              </c:pt>
              <c:pt idx="4560">
                <c:v>0.18245600000000001</c:v>
              </c:pt>
              <c:pt idx="4561">
                <c:v>0.18249599999999999</c:v>
              </c:pt>
              <c:pt idx="4562">
                <c:v>0.182536</c:v>
              </c:pt>
              <c:pt idx="4563">
                <c:v>0.18257599999999999</c:v>
              </c:pt>
              <c:pt idx="4564">
                <c:v>0.182616</c:v>
              </c:pt>
              <c:pt idx="4565">
                <c:v>0.18265600000000001</c:v>
              </c:pt>
              <c:pt idx="4566">
                <c:v>0.182696</c:v>
              </c:pt>
              <c:pt idx="4567">
                <c:v>0.18273600000000001</c:v>
              </c:pt>
              <c:pt idx="4568">
                <c:v>0.18277599999999999</c:v>
              </c:pt>
              <c:pt idx="4569">
                <c:v>0.18281600000000001</c:v>
              </c:pt>
              <c:pt idx="4570">
                <c:v>0.18285599999999999</c:v>
              </c:pt>
              <c:pt idx="4571">
                <c:v>0.182896</c:v>
              </c:pt>
              <c:pt idx="4572">
                <c:v>0.18293599999999999</c:v>
              </c:pt>
              <c:pt idx="4573">
                <c:v>0.182976</c:v>
              </c:pt>
              <c:pt idx="4574">
                <c:v>0.18301600000000001</c:v>
              </c:pt>
              <c:pt idx="4575">
                <c:v>0.183056</c:v>
              </c:pt>
              <c:pt idx="4576">
                <c:v>0.18309600000000001</c:v>
              </c:pt>
              <c:pt idx="4577">
                <c:v>0.18313599999999999</c:v>
              </c:pt>
              <c:pt idx="4578">
                <c:v>0.18317600000000001</c:v>
              </c:pt>
              <c:pt idx="4579">
                <c:v>0.18321599999999999</c:v>
              </c:pt>
              <c:pt idx="4580">
                <c:v>0.183256</c:v>
              </c:pt>
              <c:pt idx="4581">
                <c:v>0.18329599999999999</c:v>
              </c:pt>
              <c:pt idx="4582">
                <c:v>0.183336</c:v>
              </c:pt>
              <c:pt idx="4583">
                <c:v>0.18337600000000001</c:v>
              </c:pt>
              <c:pt idx="4584">
                <c:v>0.183416</c:v>
              </c:pt>
              <c:pt idx="4585">
                <c:v>0.18345600000000001</c:v>
              </c:pt>
              <c:pt idx="4586">
                <c:v>0.18349599999999999</c:v>
              </c:pt>
              <c:pt idx="4587">
                <c:v>0.183536</c:v>
              </c:pt>
              <c:pt idx="4588">
                <c:v>0.18357599999999999</c:v>
              </c:pt>
              <c:pt idx="4589">
                <c:v>0.183616</c:v>
              </c:pt>
              <c:pt idx="4590">
                <c:v>0.18365600000000001</c:v>
              </c:pt>
              <c:pt idx="4591">
                <c:v>0.183696</c:v>
              </c:pt>
              <c:pt idx="4592">
                <c:v>0.18373600000000001</c:v>
              </c:pt>
              <c:pt idx="4593">
                <c:v>0.18377599999999999</c:v>
              </c:pt>
              <c:pt idx="4594">
                <c:v>0.18381600000000001</c:v>
              </c:pt>
              <c:pt idx="4595">
                <c:v>0.18385599999999999</c:v>
              </c:pt>
              <c:pt idx="4596">
                <c:v>0.183896</c:v>
              </c:pt>
              <c:pt idx="4597">
                <c:v>0.18393599999999999</c:v>
              </c:pt>
              <c:pt idx="4598">
                <c:v>0.183976</c:v>
              </c:pt>
              <c:pt idx="4599">
                <c:v>0.18401600000000001</c:v>
              </c:pt>
              <c:pt idx="4600">
                <c:v>0.184056</c:v>
              </c:pt>
              <c:pt idx="4601">
                <c:v>0.18409600000000001</c:v>
              </c:pt>
              <c:pt idx="4602">
                <c:v>0.18413599999999999</c:v>
              </c:pt>
              <c:pt idx="4603">
                <c:v>0.18417600000000001</c:v>
              </c:pt>
              <c:pt idx="4604">
                <c:v>0.18421599999999999</c:v>
              </c:pt>
              <c:pt idx="4605">
                <c:v>0.184256</c:v>
              </c:pt>
              <c:pt idx="4606">
                <c:v>0.18429599999999999</c:v>
              </c:pt>
              <c:pt idx="4607">
                <c:v>0.184336</c:v>
              </c:pt>
              <c:pt idx="4608">
                <c:v>0.18437600000000001</c:v>
              </c:pt>
              <c:pt idx="4609">
                <c:v>0.184416</c:v>
              </c:pt>
              <c:pt idx="4610">
                <c:v>0.18445600000000001</c:v>
              </c:pt>
              <c:pt idx="4611">
                <c:v>0.18449599999999999</c:v>
              </c:pt>
              <c:pt idx="4612">
                <c:v>0.18453600000000001</c:v>
              </c:pt>
              <c:pt idx="4613">
                <c:v>0.18457599999999999</c:v>
              </c:pt>
              <c:pt idx="4614">
                <c:v>0.184616</c:v>
              </c:pt>
              <c:pt idx="4615">
                <c:v>0.18465599999999999</c:v>
              </c:pt>
              <c:pt idx="4616">
                <c:v>0.184696</c:v>
              </c:pt>
              <c:pt idx="4617">
                <c:v>0.18473600000000001</c:v>
              </c:pt>
              <c:pt idx="4618">
                <c:v>0.184776</c:v>
              </c:pt>
              <c:pt idx="4619">
                <c:v>0.18481600000000001</c:v>
              </c:pt>
              <c:pt idx="4620">
                <c:v>0.18485599999999999</c:v>
              </c:pt>
              <c:pt idx="4621">
                <c:v>0.184896</c:v>
              </c:pt>
              <c:pt idx="4622">
                <c:v>0.18493599999999999</c:v>
              </c:pt>
              <c:pt idx="4623">
                <c:v>0.184976</c:v>
              </c:pt>
              <c:pt idx="4624">
                <c:v>0.18501600000000001</c:v>
              </c:pt>
              <c:pt idx="4625">
                <c:v>0.185056</c:v>
              </c:pt>
              <c:pt idx="4626">
                <c:v>0.18509600000000001</c:v>
              </c:pt>
              <c:pt idx="4627">
                <c:v>0.185136</c:v>
              </c:pt>
              <c:pt idx="4628">
                <c:v>0.18517600000000001</c:v>
              </c:pt>
              <c:pt idx="4629">
                <c:v>0.18521599999999999</c:v>
              </c:pt>
              <c:pt idx="4630">
                <c:v>0.185256</c:v>
              </c:pt>
              <c:pt idx="4631">
                <c:v>0.18529599999999999</c:v>
              </c:pt>
              <c:pt idx="4632">
                <c:v>0.185336</c:v>
              </c:pt>
              <c:pt idx="4633">
                <c:v>0.18537600000000001</c:v>
              </c:pt>
              <c:pt idx="4634">
                <c:v>0.185416</c:v>
              </c:pt>
              <c:pt idx="4635">
                <c:v>0.18545600000000001</c:v>
              </c:pt>
              <c:pt idx="4636">
                <c:v>0.18549599999999999</c:v>
              </c:pt>
              <c:pt idx="4637">
                <c:v>0.18553600000000001</c:v>
              </c:pt>
              <c:pt idx="4638">
                <c:v>0.18557599999999999</c:v>
              </c:pt>
              <c:pt idx="4639">
                <c:v>0.185616</c:v>
              </c:pt>
              <c:pt idx="4640">
                <c:v>0.18565599999999999</c:v>
              </c:pt>
              <c:pt idx="4641">
                <c:v>0.185696</c:v>
              </c:pt>
              <c:pt idx="4642">
                <c:v>0.18573600000000001</c:v>
              </c:pt>
              <c:pt idx="4643">
                <c:v>0.185776</c:v>
              </c:pt>
              <c:pt idx="4644">
                <c:v>0.18581600000000001</c:v>
              </c:pt>
              <c:pt idx="4645">
                <c:v>0.18585599999999999</c:v>
              </c:pt>
              <c:pt idx="4646">
                <c:v>0.18589600000000001</c:v>
              </c:pt>
              <c:pt idx="4647">
                <c:v>0.18593599999999999</c:v>
              </c:pt>
              <c:pt idx="4648">
                <c:v>0.185976</c:v>
              </c:pt>
              <c:pt idx="4649">
                <c:v>0.18601599999999999</c:v>
              </c:pt>
              <c:pt idx="4650">
                <c:v>0.186056</c:v>
              </c:pt>
              <c:pt idx="4651">
                <c:v>0.18609600000000001</c:v>
              </c:pt>
              <c:pt idx="4652">
                <c:v>0.186136</c:v>
              </c:pt>
              <c:pt idx="4653">
                <c:v>0.18617600000000001</c:v>
              </c:pt>
              <c:pt idx="4654">
                <c:v>0.18621599999999999</c:v>
              </c:pt>
              <c:pt idx="4655">
                <c:v>0.186256</c:v>
              </c:pt>
              <c:pt idx="4656">
                <c:v>0.18629599999999999</c:v>
              </c:pt>
              <c:pt idx="4657">
                <c:v>0.186336</c:v>
              </c:pt>
              <c:pt idx="4658">
                <c:v>0.18637599999999999</c:v>
              </c:pt>
              <c:pt idx="4659">
                <c:v>0.186416</c:v>
              </c:pt>
              <c:pt idx="4660">
                <c:v>0.18645600000000001</c:v>
              </c:pt>
              <c:pt idx="4661">
                <c:v>0.186496</c:v>
              </c:pt>
              <c:pt idx="4662">
                <c:v>0.18653600000000001</c:v>
              </c:pt>
              <c:pt idx="4663">
                <c:v>0.18657599999999999</c:v>
              </c:pt>
              <c:pt idx="4664">
                <c:v>0.186616</c:v>
              </c:pt>
              <c:pt idx="4665">
                <c:v>0.18665599999999999</c:v>
              </c:pt>
              <c:pt idx="4666">
                <c:v>0.186696</c:v>
              </c:pt>
              <c:pt idx="4667">
                <c:v>0.18673600000000001</c:v>
              </c:pt>
              <c:pt idx="4668">
                <c:v>0.186776</c:v>
              </c:pt>
              <c:pt idx="4669">
                <c:v>0.18681600000000001</c:v>
              </c:pt>
              <c:pt idx="4670">
                <c:v>0.18685599999999999</c:v>
              </c:pt>
              <c:pt idx="4671">
                <c:v>0.18689600000000001</c:v>
              </c:pt>
              <c:pt idx="4672">
                <c:v>0.18693599999999999</c:v>
              </c:pt>
              <c:pt idx="4673">
                <c:v>0.186976</c:v>
              </c:pt>
              <c:pt idx="4674">
                <c:v>0.18701599999999999</c:v>
              </c:pt>
              <c:pt idx="4675">
                <c:v>0.187056</c:v>
              </c:pt>
              <c:pt idx="4676">
                <c:v>0.18709600000000001</c:v>
              </c:pt>
              <c:pt idx="4677">
                <c:v>0.187136</c:v>
              </c:pt>
              <c:pt idx="4678">
                <c:v>0.18717600000000001</c:v>
              </c:pt>
              <c:pt idx="4679">
                <c:v>0.18721599999999999</c:v>
              </c:pt>
              <c:pt idx="4680">
                <c:v>0.18725600000000001</c:v>
              </c:pt>
              <c:pt idx="4681">
                <c:v>0.18729599999999999</c:v>
              </c:pt>
              <c:pt idx="4682">
                <c:v>0.187336</c:v>
              </c:pt>
              <c:pt idx="4683">
                <c:v>0.18737599999999999</c:v>
              </c:pt>
              <c:pt idx="4684">
                <c:v>0.187416</c:v>
              </c:pt>
              <c:pt idx="4685">
                <c:v>0.18745600000000001</c:v>
              </c:pt>
              <c:pt idx="4686">
                <c:v>0.187496</c:v>
              </c:pt>
              <c:pt idx="4687">
                <c:v>0.18753600000000001</c:v>
              </c:pt>
              <c:pt idx="4688">
                <c:v>0.18757599999999999</c:v>
              </c:pt>
              <c:pt idx="4689">
                <c:v>0.187616</c:v>
              </c:pt>
              <c:pt idx="4690">
                <c:v>0.18765599999999999</c:v>
              </c:pt>
              <c:pt idx="4691">
                <c:v>0.187696</c:v>
              </c:pt>
              <c:pt idx="4692">
                <c:v>0.18773599999999999</c:v>
              </c:pt>
              <c:pt idx="4693">
                <c:v>0.187776</c:v>
              </c:pt>
              <c:pt idx="4694">
                <c:v>0.18781600000000001</c:v>
              </c:pt>
              <c:pt idx="4695">
                <c:v>0.187856</c:v>
              </c:pt>
              <c:pt idx="4696">
                <c:v>0.18789600000000001</c:v>
              </c:pt>
              <c:pt idx="4697">
                <c:v>0.18793599999999999</c:v>
              </c:pt>
              <c:pt idx="4698">
                <c:v>0.187976</c:v>
              </c:pt>
              <c:pt idx="4699">
                <c:v>0.18801599999999999</c:v>
              </c:pt>
              <c:pt idx="4700">
                <c:v>0.188056</c:v>
              </c:pt>
              <c:pt idx="4701">
                <c:v>0.18809600000000001</c:v>
              </c:pt>
              <c:pt idx="4702">
                <c:v>0.188136</c:v>
              </c:pt>
              <c:pt idx="4703">
                <c:v>0.18817600000000001</c:v>
              </c:pt>
              <c:pt idx="4704">
                <c:v>0.18821599999999999</c:v>
              </c:pt>
              <c:pt idx="4705">
                <c:v>0.18825600000000001</c:v>
              </c:pt>
              <c:pt idx="4706">
                <c:v>0.18829599999999999</c:v>
              </c:pt>
              <c:pt idx="4707">
                <c:v>0.188336</c:v>
              </c:pt>
              <c:pt idx="4708">
                <c:v>0.18837599999999999</c:v>
              </c:pt>
              <c:pt idx="4709">
                <c:v>0.188416</c:v>
              </c:pt>
              <c:pt idx="4710">
                <c:v>0.18845600000000001</c:v>
              </c:pt>
              <c:pt idx="4711">
                <c:v>0.188496</c:v>
              </c:pt>
              <c:pt idx="4712">
                <c:v>0.18853600000000001</c:v>
              </c:pt>
              <c:pt idx="4713">
                <c:v>0.18857599999999999</c:v>
              </c:pt>
              <c:pt idx="4714">
                <c:v>0.18861600000000001</c:v>
              </c:pt>
              <c:pt idx="4715">
                <c:v>0.18865599999999999</c:v>
              </c:pt>
              <c:pt idx="4716">
                <c:v>0.188696</c:v>
              </c:pt>
              <c:pt idx="4717">
                <c:v>0.18873599999999999</c:v>
              </c:pt>
              <c:pt idx="4718">
                <c:v>0.188776</c:v>
              </c:pt>
              <c:pt idx="4719">
                <c:v>0.18881600000000001</c:v>
              </c:pt>
              <c:pt idx="4720">
                <c:v>0.188856</c:v>
              </c:pt>
              <c:pt idx="4721">
                <c:v>0.18889600000000001</c:v>
              </c:pt>
              <c:pt idx="4722">
                <c:v>0.18893599999999999</c:v>
              </c:pt>
              <c:pt idx="4723">
                <c:v>0.18897600000000001</c:v>
              </c:pt>
              <c:pt idx="4724">
                <c:v>0.18901599999999999</c:v>
              </c:pt>
              <c:pt idx="4725">
                <c:v>0.189056</c:v>
              </c:pt>
              <c:pt idx="4726">
                <c:v>0.18909599999999999</c:v>
              </c:pt>
              <c:pt idx="4727">
                <c:v>0.189136</c:v>
              </c:pt>
              <c:pt idx="4728">
                <c:v>0.18917600000000001</c:v>
              </c:pt>
              <c:pt idx="4729">
                <c:v>0.189216</c:v>
              </c:pt>
              <c:pt idx="4730">
                <c:v>0.18925600000000001</c:v>
              </c:pt>
              <c:pt idx="4731">
                <c:v>0.18929599999999999</c:v>
              </c:pt>
              <c:pt idx="4732">
                <c:v>0.189336</c:v>
              </c:pt>
              <c:pt idx="4733">
                <c:v>0.18937599999999999</c:v>
              </c:pt>
              <c:pt idx="4734">
                <c:v>0.189416</c:v>
              </c:pt>
              <c:pt idx="4735">
                <c:v>0.18945600000000001</c:v>
              </c:pt>
              <c:pt idx="4736">
                <c:v>0.189496</c:v>
              </c:pt>
              <c:pt idx="4737">
                <c:v>0.18953600000000001</c:v>
              </c:pt>
              <c:pt idx="4738">
                <c:v>0.18957599999999999</c:v>
              </c:pt>
              <c:pt idx="4739">
                <c:v>0.18961600000000001</c:v>
              </c:pt>
              <c:pt idx="4740">
                <c:v>0.18965599999999999</c:v>
              </c:pt>
              <c:pt idx="4741">
                <c:v>0.189696</c:v>
              </c:pt>
              <c:pt idx="4742">
                <c:v>0.18973599999999999</c:v>
              </c:pt>
              <c:pt idx="4743">
                <c:v>0.189776</c:v>
              </c:pt>
              <c:pt idx="4744">
                <c:v>0.18981600000000001</c:v>
              </c:pt>
              <c:pt idx="4745">
                <c:v>0.189856</c:v>
              </c:pt>
              <c:pt idx="4746">
                <c:v>0.18989600000000001</c:v>
              </c:pt>
              <c:pt idx="4747">
                <c:v>0.18993599999999999</c:v>
              </c:pt>
              <c:pt idx="4748">
                <c:v>0.18997600000000001</c:v>
              </c:pt>
              <c:pt idx="4749">
                <c:v>0.19001599999999999</c:v>
              </c:pt>
              <c:pt idx="4750">
                <c:v>0.190056</c:v>
              </c:pt>
              <c:pt idx="4751">
                <c:v>0.19009499999999999</c:v>
              </c:pt>
              <c:pt idx="4752">
                <c:v>0.190135</c:v>
              </c:pt>
              <c:pt idx="4753">
                <c:v>0.19017500000000001</c:v>
              </c:pt>
              <c:pt idx="4754">
                <c:v>0.190215</c:v>
              </c:pt>
              <c:pt idx="4755">
                <c:v>0.19025500000000001</c:v>
              </c:pt>
              <c:pt idx="4756">
                <c:v>0.19029499999999999</c:v>
              </c:pt>
              <c:pt idx="4757">
                <c:v>0.190335</c:v>
              </c:pt>
              <c:pt idx="4758">
                <c:v>0.19037499999999999</c:v>
              </c:pt>
              <c:pt idx="4759">
                <c:v>0.190415</c:v>
              </c:pt>
              <c:pt idx="4760">
                <c:v>0.19045500000000001</c:v>
              </c:pt>
              <c:pt idx="4761">
                <c:v>0.190495</c:v>
              </c:pt>
              <c:pt idx="4762">
                <c:v>0.19053500000000001</c:v>
              </c:pt>
              <c:pt idx="4763">
                <c:v>0.19057499999999999</c:v>
              </c:pt>
              <c:pt idx="4764">
                <c:v>0.19061500000000001</c:v>
              </c:pt>
              <c:pt idx="4765">
                <c:v>0.19065499999999999</c:v>
              </c:pt>
              <c:pt idx="4766">
                <c:v>0.190695</c:v>
              </c:pt>
              <c:pt idx="4767">
                <c:v>0.19073499999999999</c:v>
              </c:pt>
              <c:pt idx="4768">
                <c:v>0.190775</c:v>
              </c:pt>
              <c:pt idx="4769">
                <c:v>0.19081500000000001</c:v>
              </c:pt>
              <c:pt idx="4770">
                <c:v>0.190855</c:v>
              </c:pt>
              <c:pt idx="4771">
                <c:v>0.19089500000000001</c:v>
              </c:pt>
              <c:pt idx="4772">
                <c:v>0.19093499999999999</c:v>
              </c:pt>
              <c:pt idx="4773">
                <c:v>0.19097500000000001</c:v>
              </c:pt>
              <c:pt idx="4774">
                <c:v>0.19101499999999999</c:v>
              </c:pt>
              <c:pt idx="4775">
                <c:v>0.191055</c:v>
              </c:pt>
              <c:pt idx="4776">
                <c:v>0.19109499999999999</c:v>
              </c:pt>
              <c:pt idx="4777">
                <c:v>0.191135</c:v>
              </c:pt>
              <c:pt idx="4778">
                <c:v>0.19117500000000001</c:v>
              </c:pt>
              <c:pt idx="4779">
                <c:v>0.191215</c:v>
              </c:pt>
              <c:pt idx="4780">
                <c:v>0.19125500000000001</c:v>
              </c:pt>
              <c:pt idx="4781">
                <c:v>0.19129499999999999</c:v>
              </c:pt>
              <c:pt idx="4782">
                <c:v>0.19133500000000001</c:v>
              </c:pt>
              <c:pt idx="4783">
                <c:v>0.19137499999999999</c:v>
              </c:pt>
              <c:pt idx="4784">
                <c:v>0.191415</c:v>
              </c:pt>
              <c:pt idx="4785">
                <c:v>0.19145499999999999</c:v>
              </c:pt>
              <c:pt idx="4786">
                <c:v>0.191495</c:v>
              </c:pt>
              <c:pt idx="4787">
                <c:v>0.19153500000000001</c:v>
              </c:pt>
              <c:pt idx="4788">
                <c:v>0.191575</c:v>
              </c:pt>
              <c:pt idx="4789">
                <c:v>0.19161500000000001</c:v>
              </c:pt>
              <c:pt idx="4790">
                <c:v>0.19165499999999999</c:v>
              </c:pt>
              <c:pt idx="4791">
                <c:v>0.191695</c:v>
              </c:pt>
              <c:pt idx="4792">
                <c:v>0.19173499999999999</c:v>
              </c:pt>
              <c:pt idx="4793">
                <c:v>0.191775</c:v>
              </c:pt>
              <c:pt idx="4794">
                <c:v>0.19181500000000001</c:v>
              </c:pt>
              <c:pt idx="4795">
                <c:v>0.191855</c:v>
              </c:pt>
              <c:pt idx="4796">
                <c:v>0.19189500000000001</c:v>
              </c:pt>
              <c:pt idx="4797">
                <c:v>0.19193499999999999</c:v>
              </c:pt>
              <c:pt idx="4798">
                <c:v>0.19197500000000001</c:v>
              </c:pt>
              <c:pt idx="4799">
                <c:v>0.19201499999999999</c:v>
              </c:pt>
              <c:pt idx="4800">
                <c:v>0.192055</c:v>
              </c:pt>
              <c:pt idx="4801">
                <c:v>0.19209499999999999</c:v>
              </c:pt>
              <c:pt idx="4802">
                <c:v>0.192135</c:v>
              </c:pt>
              <c:pt idx="4803">
                <c:v>0.19217500000000001</c:v>
              </c:pt>
              <c:pt idx="4804">
                <c:v>0.192215</c:v>
              </c:pt>
              <c:pt idx="4805">
                <c:v>0.19225500000000001</c:v>
              </c:pt>
              <c:pt idx="4806">
                <c:v>0.19229499999999999</c:v>
              </c:pt>
              <c:pt idx="4807">
                <c:v>0.19233500000000001</c:v>
              </c:pt>
              <c:pt idx="4808">
                <c:v>0.19237499999999999</c:v>
              </c:pt>
              <c:pt idx="4809">
                <c:v>0.192415</c:v>
              </c:pt>
              <c:pt idx="4810">
                <c:v>0.19245499999999999</c:v>
              </c:pt>
              <c:pt idx="4811">
                <c:v>0.192495</c:v>
              </c:pt>
              <c:pt idx="4812">
                <c:v>0.19253500000000001</c:v>
              </c:pt>
              <c:pt idx="4813">
                <c:v>0.192575</c:v>
              </c:pt>
              <c:pt idx="4814">
                <c:v>0.19261500000000001</c:v>
              </c:pt>
              <c:pt idx="4815">
                <c:v>0.19265499999999999</c:v>
              </c:pt>
              <c:pt idx="4816">
                <c:v>0.19269500000000001</c:v>
              </c:pt>
              <c:pt idx="4817">
                <c:v>0.19273499999999999</c:v>
              </c:pt>
              <c:pt idx="4818">
                <c:v>0.192775</c:v>
              </c:pt>
              <c:pt idx="4819">
                <c:v>0.19281499999999999</c:v>
              </c:pt>
              <c:pt idx="4820">
                <c:v>0.192855</c:v>
              </c:pt>
              <c:pt idx="4821">
                <c:v>0.19289500000000001</c:v>
              </c:pt>
              <c:pt idx="4822">
                <c:v>0.192935</c:v>
              </c:pt>
              <c:pt idx="4823">
                <c:v>0.19297500000000001</c:v>
              </c:pt>
              <c:pt idx="4824">
                <c:v>0.19301499999999999</c:v>
              </c:pt>
              <c:pt idx="4825">
                <c:v>0.193055</c:v>
              </c:pt>
              <c:pt idx="4826">
                <c:v>0.19309499999999999</c:v>
              </c:pt>
              <c:pt idx="4827">
                <c:v>0.193135</c:v>
              </c:pt>
              <c:pt idx="4828">
                <c:v>0.19317500000000001</c:v>
              </c:pt>
              <c:pt idx="4829">
                <c:v>0.193215</c:v>
              </c:pt>
              <c:pt idx="4830">
                <c:v>0.19325500000000001</c:v>
              </c:pt>
              <c:pt idx="4831">
                <c:v>0.19329499999999999</c:v>
              </c:pt>
              <c:pt idx="4832">
                <c:v>0.19333500000000001</c:v>
              </c:pt>
              <c:pt idx="4833">
                <c:v>0.19337499999999999</c:v>
              </c:pt>
              <c:pt idx="4834">
                <c:v>0.193415</c:v>
              </c:pt>
              <c:pt idx="4835">
                <c:v>0.19345499999999999</c:v>
              </c:pt>
              <c:pt idx="4836">
                <c:v>0.193495</c:v>
              </c:pt>
              <c:pt idx="4837">
                <c:v>0.19353500000000001</c:v>
              </c:pt>
              <c:pt idx="4838">
                <c:v>0.193575</c:v>
              </c:pt>
              <c:pt idx="4839">
                <c:v>0.19361500000000001</c:v>
              </c:pt>
              <c:pt idx="4840">
                <c:v>0.19365499999999999</c:v>
              </c:pt>
              <c:pt idx="4841">
                <c:v>0.19369500000000001</c:v>
              </c:pt>
              <c:pt idx="4842">
                <c:v>0.19373499999999999</c:v>
              </c:pt>
              <c:pt idx="4843">
                <c:v>0.193775</c:v>
              </c:pt>
              <c:pt idx="4844">
                <c:v>0.19381499999999999</c:v>
              </c:pt>
              <c:pt idx="4845">
                <c:v>0.193855</c:v>
              </c:pt>
              <c:pt idx="4846">
                <c:v>0.19389500000000001</c:v>
              </c:pt>
              <c:pt idx="4847">
                <c:v>0.193935</c:v>
              </c:pt>
              <c:pt idx="4848">
                <c:v>0.19397500000000001</c:v>
              </c:pt>
              <c:pt idx="4849">
                <c:v>0.19401499999999999</c:v>
              </c:pt>
              <c:pt idx="4850">
                <c:v>0.19405500000000001</c:v>
              </c:pt>
              <c:pt idx="4851">
                <c:v>0.19409499999999999</c:v>
              </c:pt>
              <c:pt idx="4852">
                <c:v>0.194135</c:v>
              </c:pt>
              <c:pt idx="4853">
                <c:v>0.19417499999999999</c:v>
              </c:pt>
              <c:pt idx="4854">
                <c:v>0.194215</c:v>
              </c:pt>
              <c:pt idx="4855">
                <c:v>0.19425500000000001</c:v>
              </c:pt>
              <c:pt idx="4856">
                <c:v>0.194295</c:v>
              </c:pt>
              <c:pt idx="4857">
                <c:v>0.19433500000000001</c:v>
              </c:pt>
              <c:pt idx="4858">
                <c:v>0.19437499999999999</c:v>
              </c:pt>
              <c:pt idx="4859">
                <c:v>0.194415</c:v>
              </c:pt>
              <c:pt idx="4860">
                <c:v>0.19445499999999999</c:v>
              </c:pt>
              <c:pt idx="4861">
                <c:v>0.194495</c:v>
              </c:pt>
              <c:pt idx="4862">
                <c:v>0.19453500000000001</c:v>
              </c:pt>
              <c:pt idx="4863">
                <c:v>0.194575</c:v>
              </c:pt>
              <c:pt idx="4864">
                <c:v>0.19461500000000001</c:v>
              </c:pt>
              <c:pt idx="4865">
                <c:v>0.19465499999999999</c:v>
              </c:pt>
              <c:pt idx="4866">
                <c:v>0.19469500000000001</c:v>
              </c:pt>
              <c:pt idx="4867">
                <c:v>0.19473499999999999</c:v>
              </c:pt>
              <c:pt idx="4868">
                <c:v>0.194775</c:v>
              </c:pt>
              <c:pt idx="4869">
                <c:v>0.19481499999999999</c:v>
              </c:pt>
              <c:pt idx="4870">
                <c:v>0.194855</c:v>
              </c:pt>
              <c:pt idx="4871">
                <c:v>0.19489500000000001</c:v>
              </c:pt>
              <c:pt idx="4872">
                <c:v>0.194935</c:v>
              </c:pt>
              <c:pt idx="4873">
                <c:v>0.19497500000000001</c:v>
              </c:pt>
              <c:pt idx="4874">
                <c:v>0.19501499999999999</c:v>
              </c:pt>
              <c:pt idx="4875">
                <c:v>0.19505500000000001</c:v>
              </c:pt>
              <c:pt idx="4876">
                <c:v>0.19509499999999999</c:v>
              </c:pt>
              <c:pt idx="4877">
                <c:v>0.195135</c:v>
              </c:pt>
              <c:pt idx="4878">
                <c:v>0.19517499999999999</c:v>
              </c:pt>
              <c:pt idx="4879">
                <c:v>0.195215</c:v>
              </c:pt>
              <c:pt idx="4880">
                <c:v>0.19525500000000001</c:v>
              </c:pt>
              <c:pt idx="4881">
                <c:v>0.195295</c:v>
              </c:pt>
              <c:pt idx="4882">
                <c:v>0.19533500000000001</c:v>
              </c:pt>
              <c:pt idx="4883">
                <c:v>0.19537499999999999</c:v>
              </c:pt>
              <c:pt idx="4884">
                <c:v>0.19541500000000001</c:v>
              </c:pt>
              <c:pt idx="4885">
                <c:v>0.19545499999999999</c:v>
              </c:pt>
              <c:pt idx="4886">
                <c:v>0.195495</c:v>
              </c:pt>
              <c:pt idx="4887">
                <c:v>0.19553499999999999</c:v>
              </c:pt>
              <c:pt idx="4888">
                <c:v>0.195575</c:v>
              </c:pt>
              <c:pt idx="4889">
                <c:v>0.19561500000000001</c:v>
              </c:pt>
              <c:pt idx="4890">
                <c:v>0.195655</c:v>
              </c:pt>
              <c:pt idx="4891">
                <c:v>0.19569500000000001</c:v>
              </c:pt>
              <c:pt idx="4892">
                <c:v>0.19573499999999999</c:v>
              </c:pt>
              <c:pt idx="4893">
                <c:v>0.195775</c:v>
              </c:pt>
              <c:pt idx="4894">
                <c:v>0.19581499999999999</c:v>
              </c:pt>
              <c:pt idx="4895">
                <c:v>0.195855</c:v>
              </c:pt>
              <c:pt idx="4896">
                <c:v>0.19589500000000001</c:v>
              </c:pt>
              <c:pt idx="4897">
                <c:v>0.195935</c:v>
              </c:pt>
              <c:pt idx="4898">
                <c:v>0.19597500000000001</c:v>
              </c:pt>
              <c:pt idx="4899">
                <c:v>0.19601499999999999</c:v>
              </c:pt>
              <c:pt idx="4900">
                <c:v>0.19605500000000001</c:v>
              </c:pt>
              <c:pt idx="4901">
                <c:v>0.19609499999999999</c:v>
              </c:pt>
              <c:pt idx="4902">
                <c:v>0.196135</c:v>
              </c:pt>
              <c:pt idx="4903">
                <c:v>0.19617499999999999</c:v>
              </c:pt>
              <c:pt idx="4904">
                <c:v>0.196215</c:v>
              </c:pt>
              <c:pt idx="4905">
                <c:v>0.19625500000000001</c:v>
              </c:pt>
              <c:pt idx="4906">
                <c:v>0.196295</c:v>
              </c:pt>
              <c:pt idx="4907">
                <c:v>0.19633500000000001</c:v>
              </c:pt>
              <c:pt idx="4908">
                <c:v>0.19637499999999999</c:v>
              </c:pt>
              <c:pt idx="4909">
                <c:v>0.19641500000000001</c:v>
              </c:pt>
              <c:pt idx="4910">
                <c:v>0.19645499999999999</c:v>
              </c:pt>
              <c:pt idx="4911">
                <c:v>0.196495</c:v>
              </c:pt>
              <c:pt idx="4912">
                <c:v>0.19653499999999999</c:v>
              </c:pt>
              <c:pt idx="4913">
                <c:v>0.196575</c:v>
              </c:pt>
              <c:pt idx="4914">
                <c:v>0.19661500000000001</c:v>
              </c:pt>
              <c:pt idx="4915">
                <c:v>0.196655</c:v>
              </c:pt>
              <c:pt idx="4916">
                <c:v>0.19669500000000001</c:v>
              </c:pt>
              <c:pt idx="4917">
                <c:v>0.19673499999999999</c:v>
              </c:pt>
              <c:pt idx="4918">
                <c:v>0.19677500000000001</c:v>
              </c:pt>
              <c:pt idx="4919">
                <c:v>0.19681499999999999</c:v>
              </c:pt>
              <c:pt idx="4920">
                <c:v>0.196855</c:v>
              </c:pt>
              <c:pt idx="4921">
                <c:v>0.19689499999999999</c:v>
              </c:pt>
              <c:pt idx="4922">
                <c:v>0.196935</c:v>
              </c:pt>
              <c:pt idx="4923">
                <c:v>0.19697500000000001</c:v>
              </c:pt>
              <c:pt idx="4924">
                <c:v>0.197015</c:v>
              </c:pt>
              <c:pt idx="4925">
                <c:v>0.19705500000000001</c:v>
              </c:pt>
              <c:pt idx="4926">
                <c:v>0.19709499999999999</c:v>
              </c:pt>
              <c:pt idx="4927">
                <c:v>0.197135</c:v>
              </c:pt>
              <c:pt idx="4928">
                <c:v>0.19717499999999999</c:v>
              </c:pt>
              <c:pt idx="4929">
                <c:v>0.197215</c:v>
              </c:pt>
              <c:pt idx="4930">
                <c:v>0.19725500000000001</c:v>
              </c:pt>
              <c:pt idx="4931">
                <c:v>0.197295</c:v>
              </c:pt>
              <c:pt idx="4932">
                <c:v>0.19733500000000001</c:v>
              </c:pt>
              <c:pt idx="4933">
                <c:v>0.19737499999999999</c:v>
              </c:pt>
              <c:pt idx="4934">
                <c:v>0.19741500000000001</c:v>
              </c:pt>
              <c:pt idx="4935">
                <c:v>0.19745499999999999</c:v>
              </c:pt>
              <c:pt idx="4936">
                <c:v>0.197495</c:v>
              </c:pt>
              <c:pt idx="4937">
                <c:v>0.19753499999999999</c:v>
              </c:pt>
              <c:pt idx="4938">
                <c:v>0.197575</c:v>
              </c:pt>
              <c:pt idx="4939">
                <c:v>0.19761500000000001</c:v>
              </c:pt>
              <c:pt idx="4940">
                <c:v>0.197655</c:v>
              </c:pt>
              <c:pt idx="4941">
                <c:v>0.19769500000000001</c:v>
              </c:pt>
              <c:pt idx="4942">
                <c:v>0.19773499999999999</c:v>
              </c:pt>
              <c:pt idx="4943">
                <c:v>0.19777500000000001</c:v>
              </c:pt>
              <c:pt idx="4944">
                <c:v>0.19781499999999999</c:v>
              </c:pt>
              <c:pt idx="4945">
                <c:v>0.197855</c:v>
              </c:pt>
              <c:pt idx="4946">
                <c:v>0.19789499999999999</c:v>
              </c:pt>
              <c:pt idx="4947">
                <c:v>0.197935</c:v>
              </c:pt>
              <c:pt idx="4948">
                <c:v>0.19797500000000001</c:v>
              </c:pt>
              <c:pt idx="4949">
                <c:v>0.198015</c:v>
              </c:pt>
              <c:pt idx="4950">
                <c:v>0.19805500000000001</c:v>
              </c:pt>
              <c:pt idx="4951">
                <c:v>0.19809499999999999</c:v>
              </c:pt>
              <c:pt idx="4952">
                <c:v>0.19813500000000001</c:v>
              </c:pt>
              <c:pt idx="4953">
                <c:v>0.19817499999999999</c:v>
              </c:pt>
              <c:pt idx="4954">
                <c:v>0.198215</c:v>
              </c:pt>
              <c:pt idx="4955">
                <c:v>0.19825499999999999</c:v>
              </c:pt>
              <c:pt idx="4956">
                <c:v>0.198295</c:v>
              </c:pt>
              <c:pt idx="4957">
                <c:v>0.19833500000000001</c:v>
              </c:pt>
              <c:pt idx="4958">
                <c:v>0.198375</c:v>
              </c:pt>
              <c:pt idx="4959">
                <c:v>0.19841500000000001</c:v>
              </c:pt>
              <c:pt idx="4960">
                <c:v>0.19845499999999999</c:v>
              </c:pt>
              <c:pt idx="4961">
                <c:v>0.198495</c:v>
              </c:pt>
              <c:pt idx="4962">
                <c:v>0.19853499999999999</c:v>
              </c:pt>
              <c:pt idx="4963">
                <c:v>0.198575</c:v>
              </c:pt>
              <c:pt idx="4964">
                <c:v>0.19861500000000001</c:v>
              </c:pt>
              <c:pt idx="4965">
                <c:v>0.198655</c:v>
              </c:pt>
              <c:pt idx="4966">
                <c:v>0.19869500000000001</c:v>
              </c:pt>
              <c:pt idx="4967">
                <c:v>0.19873499999999999</c:v>
              </c:pt>
              <c:pt idx="4968">
                <c:v>0.19877500000000001</c:v>
              </c:pt>
              <c:pt idx="4969">
                <c:v>0.19881499999999999</c:v>
              </c:pt>
              <c:pt idx="4970">
                <c:v>0.198855</c:v>
              </c:pt>
              <c:pt idx="4971">
                <c:v>0.19889499999999999</c:v>
              </c:pt>
              <c:pt idx="4972">
                <c:v>0.198935</c:v>
              </c:pt>
              <c:pt idx="4973">
                <c:v>0.19897500000000001</c:v>
              </c:pt>
              <c:pt idx="4974">
                <c:v>0.199015</c:v>
              </c:pt>
              <c:pt idx="4975">
                <c:v>0.19905500000000001</c:v>
              </c:pt>
              <c:pt idx="4976">
                <c:v>0.19909499999999999</c:v>
              </c:pt>
              <c:pt idx="4977">
                <c:v>0.19913500000000001</c:v>
              </c:pt>
              <c:pt idx="4978">
                <c:v>0.19917499999999999</c:v>
              </c:pt>
              <c:pt idx="4979">
                <c:v>0.199215</c:v>
              </c:pt>
              <c:pt idx="4980">
                <c:v>0.19925499999999999</c:v>
              </c:pt>
              <c:pt idx="4981">
                <c:v>0.199295</c:v>
              </c:pt>
              <c:pt idx="4982">
                <c:v>0.19933500000000001</c:v>
              </c:pt>
              <c:pt idx="4983">
                <c:v>0.199375</c:v>
              </c:pt>
              <c:pt idx="4984">
                <c:v>0.19941500000000001</c:v>
              </c:pt>
              <c:pt idx="4985">
                <c:v>0.19945499999999999</c:v>
              </c:pt>
              <c:pt idx="4986">
                <c:v>0.19949500000000001</c:v>
              </c:pt>
              <c:pt idx="4987">
                <c:v>0.19953499999999999</c:v>
              </c:pt>
              <c:pt idx="4988">
                <c:v>0.199575</c:v>
              </c:pt>
              <c:pt idx="4989">
                <c:v>0.19961499999999999</c:v>
              </c:pt>
              <c:pt idx="4990">
                <c:v>0.199655</c:v>
              </c:pt>
              <c:pt idx="4991">
                <c:v>0.19969500000000001</c:v>
              </c:pt>
              <c:pt idx="4992">
                <c:v>0.199735</c:v>
              </c:pt>
              <c:pt idx="4993">
                <c:v>0.19977500000000001</c:v>
              </c:pt>
              <c:pt idx="4994">
                <c:v>0.19981499999999999</c:v>
              </c:pt>
              <c:pt idx="4995">
                <c:v>0.199855</c:v>
              </c:pt>
              <c:pt idx="4996">
                <c:v>0.19989499999999999</c:v>
              </c:pt>
              <c:pt idx="4997">
                <c:v>0.199935</c:v>
              </c:pt>
              <c:pt idx="4998">
                <c:v>0.19997500000000001</c:v>
              </c:pt>
              <c:pt idx="4999">
                <c:v>0.200015</c:v>
              </c:pt>
              <c:pt idx="5000">
                <c:v>0.20005500000000001</c:v>
              </c:pt>
              <c:pt idx="5001">
                <c:v>0.200095</c:v>
              </c:pt>
              <c:pt idx="5002">
                <c:v>0.20013500000000001</c:v>
              </c:pt>
              <c:pt idx="5003">
                <c:v>0.20017499999999999</c:v>
              </c:pt>
              <c:pt idx="5004">
                <c:v>0.200215</c:v>
              </c:pt>
              <c:pt idx="5005">
                <c:v>0.20025499999999999</c:v>
              </c:pt>
              <c:pt idx="5006">
                <c:v>0.200295</c:v>
              </c:pt>
              <c:pt idx="5007">
                <c:v>0.20033500000000001</c:v>
              </c:pt>
              <c:pt idx="5008">
                <c:v>0.200375</c:v>
              </c:pt>
              <c:pt idx="5009">
                <c:v>0.20041500000000001</c:v>
              </c:pt>
              <c:pt idx="5010">
                <c:v>0.20045499999999999</c:v>
              </c:pt>
              <c:pt idx="5011">
                <c:v>0.20049500000000001</c:v>
              </c:pt>
              <c:pt idx="5012">
                <c:v>0.20053499999999999</c:v>
              </c:pt>
              <c:pt idx="5013">
                <c:v>0.200575</c:v>
              </c:pt>
              <c:pt idx="5014">
                <c:v>0.20061499999999999</c:v>
              </c:pt>
              <c:pt idx="5015">
                <c:v>0.200655</c:v>
              </c:pt>
              <c:pt idx="5016">
                <c:v>0.20069500000000001</c:v>
              </c:pt>
              <c:pt idx="5017">
                <c:v>0.200735</c:v>
              </c:pt>
              <c:pt idx="5018">
                <c:v>0.20077500000000001</c:v>
              </c:pt>
              <c:pt idx="5019">
                <c:v>0.20081499999999999</c:v>
              </c:pt>
              <c:pt idx="5020">
                <c:v>0.20085500000000001</c:v>
              </c:pt>
              <c:pt idx="5021">
                <c:v>0.20089499999999999</c:v>
              </c:pt>
              <c:pt idx="5022">
                <c:v>0.200935</c:v>
              </c:pt>
              <c:pt idx="5023">
                <c:v>0.20097499999999999</c:v>
              </c:pt>
              <c:pt idx="5024">
                <c:v>0.201015</c:v>
              </c:pt>
              <c:pt idx="5025">
                <c:v>0.20105500000000001</c:v>
              </c:pt>
              <c:pt idx="5026">
                <c:v>0.201095</c:v>
              </c:pt>
              <c:pt idx="5027">
                <c:v>0.20113500000000001</c:v>
              </c:pt>
              <c:pt idx="5028">
                <c:v>0.20117499999999999</c:v>
              </c:pt>
              <c:pt idx="5029">
                <c:v>0.201215</c:v>
              </c:pt>
              <c:pt idx="5030">
                <c:v>0.20125499999999999</c:v>
              </c:pt>
              <c:pt idx="5031">
                <c:v>0.201295</c:v>
              </c:pt>
              <c:pt idx="5032">
                <c:v>0.20133499999999999</c:v>
              </c:pt>
              <c:pt idx="5033">
                <c:v>0.201375</c:v>
              </c:pt>
              <c:pt idx="5034">
                <c:v>0.20141500000000001</c:v>
              </c:pt>
              <c:pt idx="5035">
                <c:v>0.201455</c:v>
              </c:pt>
              <c:pt idx="5036">
                <c:v>0.20149500000000001</c:v>
              </c:pt>
              <c:pt idx="5037">
                <c:v>0.20153499999999999</c:v>
              </c:pt>
              <c:pt idx="5038">
                <c:v>0.201575</c:v>
              </c:pt>
              <c:pt idx="5039">
                <c:v>0.20161499999999999</c:v>
              </c:pt>
              <c:pt idx="5040">
                <c:v>0.201655</c:v>
              </c:pt>
              <c:pt idx="5041">
                <c:v>0.20169500000000001</c:v>
              </c:pt>
              <c:pt idx="5042">
                <c:v>0.201735</c:v>
              </c:pt>
              <c:pt idx="5043">
                <c:v>0.20177500000000001</c:v>
              </c:pt>
              <c:pt idx="5044">
                <c:v>0.20181499999999999</c:v>
              </c:pt>
              <c:pt idx="5045">
                <c:v>0.20185500000000001</c:v>
              </c:pt>
              <c:pt idx="5046">
                <c:v>0.20189499999999999</c:v>
              </c:pt>
              <c:pt idx="5047">
                <c:v>0.201935</c:v>
              </c:pt>
              <c:pt idx="5048">
                <c:v>0.20197499999999999</c:v>
              </c:pt>
              <c:pt idx="5049">
                <c:v>0.202015</c:v>
              </c:pt>
              <c:pt idx="5050">
                <c:v>0.20205500000000001</c:v>
              </c:pt>
              <c:pt idx="5051">
                <c:v>0.202095</c:v>
              </c:pt>
              <c:pt idx="5052">
                <c:v>0.20213500000000001</c:v>
              </c:pt>
              <c:pt idx="5053">
                <c:v>0.20217499999999999</c:v>
              </c:pt>
              <c:pt idx="5054">
                <c:v>0.20221500000000001</c:v>
              </c:pt>
              <c:pt idx="5055">
                <c:v>0.20225499999999999</c:v>
              </c:pt>
              <c:pt idx="5056">
                <c:v>0.202295</c:v>
              </c:pt>
              <c:pt idx="5057">
                <c:v>0.20233499999999999</c:v>
              </c:pt>
              <c:pt idx="5058">
                <c:v>0.202375</c:v>
              </c:pt>
              <c:pt idx="5059">
                <c:v>0.20241500000000001</c:v>
              </c:pt>
              <c:pt idx="5060">
                <c:v>0.202455</c:v>
              </c:pt>
              <c:pt idx="5061">
                <c:v>0.20249500000000001</c:v>
              </c:pt>
              <c:pt idx="5062">
                <c:v>0.20253499999999999</c:v>
              </c:pt>
              <c:pt idx="5063">
                <c:v>0.20257500000000001</c:v>
              </c:pt>
              <c:pt idx="5064">
                <c:v>0.20261499999999999</c:v>
              </c:pt>
              <c:pt idx="5065">
                <c:v>0.202655</c:v>
              </c:pt>
              <c:pt idx="5066">
                <c:v>0.20269499999999999</c:v>
              </c:pt>
              <c:pt idx="5067">
                <c:v>0.202735</c:v>
              </c:pt>
              <c:pt idx="5068">
                <c:v>0.20277500000000001</c:v>
              </c:pt>
              <c:pt idx="5069">
                <c:v>0.202815</c:v>
              </c:pt>
              <c:pt idx="5070">
                <c:v>0.20285500000000001</c:v>
              </c:pt>
              <c:pt idx="5071">
                <c:v>0.20289499999999999</c:v>
              </c:pt>
              <c:pt idx="5072">
                <c:v>0.202935</c:v>
              </c:pt>
              <c:pt idx="5073">
                <c:v>0.20297499999999999</c:v>
              </c:pt>
              <c:pt idx="5074">
                <c:v>0.203015</c:v>
              </c:pt>
              <c:pt idx="5075">
                <c:v>0.20305500000000001</c:v>
              </c:pt>
              <c:pt idx="5076">
                <c:v>0.203095</c:v>
              </c:pt>
              <c:pt idx="5077">
                <c:v>0.20313500000000001</c:v>
              </c:pt>
              <c:pt idx="5078">
                <c:v>0.20317499999999999</c:v>
              </c:pt>
              <c:pt idx="5079">
                <c:v>0.20321500000000001</c:v>
              </c:pt>
              <c:pt idx="5080">
                <c:v>0.20325499999999999</c:v>
              </c:pt>
              <c:pt idx="5081">
                <c:v>0.203295</c:v>
              </c:pt>
              <c:pt idx="5082">
                <c:v>0.20333499999999999</c:v>
              </c:pt>
              <c:pt idx="5083">
                <c:v>0.203375</c:v>
              </c:pt>
              <c:pt idx="5084">
                <c:v>0.20341500000000001</c:v>
              </c:pt>
              <c:pt idx="5085">
                <c:v>0.203455</c:v>
              </c:pt>
              <c:pt idx="5086">
                <c:v>0.20349500000000001</c:v>
              </c:pt>
              <c:pt idx="5087">
                <c:v>0.20353499999999999</c:v>
              </c:pt>
              <c:pt idx="5088">
                <c:v>0.20357500000000001</c:v>
              </c:pt>
              <c:pt idx="5089">
                <c:v>0.20361499999999999</c:v>
              </c:pt>
              <c:pt idx="5090">
                <c:v>0.203655</c:v>
              </c:pt>
              <c:pt idx="5091">
                <c:v>0.20369499999999999</c:v>
              </c:pt>
              <c:pt idx="5092">
                <c:v>0.203735</c:v>
              </c:pt>
              <c:pt idx="5093">
                <c:v>0.20377500000000001</c:v>
              </c:pt>
              <c:pt idx="5094">
                <c:v>0.203815</c:v>
              </c:pt>
              <c:pt idx="5095">
                <c:v>0.20385500000000001</c:v>
              </c:pt>
              <c:pt idx="5096">
                <c:v>0.20389499999999999</c:v>
              </c:pt>
              <c:pt idx="5097">
                <c:v>0.20393500000000001</c:v>
              </c:pt>
              <c:pt idx="5098">
                <c:v>0.20397499999999999</c:v>
              </c:pt>
              <c:pt idx="5099">
                <c:v>0.204015</c:v>
              </c:pt>
              <c:pt idx="5100">
                <c:v>0.20405499999999999</c:v>
              </c:pt>
              <c:pt idx="5101">
                <c:v>0.204095</c:v>
              </c:pt>
              <c:pt idx="5102">
                <c:v>0.20413500000000001</c:v>
              </c:pt>
              <c:pt idx="5103">
                <c:v>0.204175</c:v>
              </c:pt>
              <c:pt idx="5104">
                <c:v>0.20421500000000001</c:v>
              </c:pt>
              <c:pt idx="5105">
                <c:v>0.20425499999999999</c:v>
              </c:pt>
            </c:numLit>
          </c:xVal>
          <c:yVal>
            <c:numLit>
              <c:formatCode>General</c:formatCode>
              <c:ptCount val="5457"/>
              <c:pt idx="0">
                <c:v>-1.0990799999999994</c:v>
              </c:pt>
              <c:pt idx="1">
                <c:v>-2.1981499999999992</c:v>
              </c:pt>
              <c:pt idx="2">
                <c:v>-3.2972399999999995</c:v>
              </c:pt>
              <c:pt idx="3">
                <c:v>-4.3963229999999998</c:v>
              </c:pt>
              <c:pt idx="4">
                <c:v>-5.4954049999999999</c:v>
              </c:pt>
              <c:pt idx="5">
                <c:v>-6.5944769999999995</c:v>
              </c:pt>
              <c:pt idx="6">
                <c:v>-7.6935610000000008</c:v>
              </c:pt>
              <c:pt idx="7">
                <c:v>-8.7926460000000013</c:v>
              </c:pt>
              <c:pt idx="8">
                <c:v>-9.8917210000000004</c:v>
              </c:pt>
              <c:pt idx="9">
                <c:v>-10.99081</c:v>
              </c:pt>
              <c:pt idx="10">
                <c:v>-12.0899</c:v>
              </c:pt>
              <c:pt idx="11">
                <c:v>-13.16286</c:v>
              </c:pt>
              <c:pt idx="12">
                <c:v>-14.18868</c:v>
              </c:pt>
              <c:pt idx="13">
                <c:v>-15.21449</c:v>
              </c:pt>
              <c:pt idx="14">
                <c:v>-16.240320000000001</c:v>
              </c:pt>
              <c:pt idx="15">
                <c:v>-17.266120000000001</c:v>
              </c:pt>
              <c:pt idx="16">
                <c:v>-18.291927999999999</c:v>
              </c:pt>
              <c:pt idx="17">
                <c:v>-19.317753</c:v>
              </c:pt>
              <c:pt idx="18">
                <c:v>-20.3435746</c:v>
              </c:pt>
              <c:pt idx="19">
                <c:v>-21.369393000000002</c:v>
              </c:pt>
              <c:pt idx="20">
                <c:v>-22.395207999999997</c:v>
              </c:pt>
              <c:pt idx="21">
                <c:v>-23.367091000000002</c:v>
              </c:pt>
              <c:pt idx="22">
                <c:v>-24.292921999999997</c:v>
              </c:pt>
              <c:pt idx="23">
                <c:v>-25.21875</c:v>
              </c:pt>
              <c:pt idx="24">
                <c:v>-26.144495999999997</c:v>
              </c:pt>
              <c:pt idx="25">
                <c:v>-26.984614000000001</c:v>
              </c:pt>
              <c:pt idx="26">
                <c:v>-27.814912999999997</c:v>
              </c:pt>
              <c:pt idx="27">
                <c:v>-28.645317000000002</c:v>
              </c:pt>
              <c:pt idx="28">
                <c:v>-29.474497</c:v>
              </c:pt>
              <c:pt idx="29">
                <c:v>-30.288915000000003</c:v>
              </c:pt>
              <c:pt idx="30">
                <c:v>-31.103348</c:v>
              </c:pt>
              <c:pt idx="31">
                <c:v>-31.917776000000003</c:v>
              </c:pt>
              <c:pt idx="32">
                <c:v>-32.732219999999998</c:v>
              </c:pt>
              <c:pt idx="33">
                <c:v>-33.546620000000004</c:v>
              </c:pt>
              <c:pt idx="34">
                <c:v>-34.361149999999995</c:v>
              </c:pt>
              <c:pt idx="35">
                <c:v>-35.175599999999996</c:v>
              </c:pt>
              <c:pt idx="36">
                <c:v>-35.955730000000003</c:v>
              </c:pt>
              <c:pt idx="37">
                <c:v>-36.728360000000002</c:v>
              </c:pt>
              <c:pt idx="38">
                <c:v>-37.502290000000002</c:v>
              </c:pt>
              <c:pt idx="39">
                <c:v>-38.276110000000003</c:v>
              </c:pt>
              <c:pt idx="40">
                <c:v>-39.028419999999997</c:v>
              </c:pt>
              <c:pt idx="41">
                <c:v>-39.741790000000002</c:v>
              </c:pt>
              <c:pt idx="42">
                <c:v>-40.455330000000004</c:v>
              </c:pt>
              <c:pt idx="43">
                <c:v>-41.168869999999998</c:v>
              </c:pt>
              <c:pt idx="44">
                <c:v>-41.88232</c:v>
              </c:pt>
              <c:pt idx="45">
                <c:v>-42.595880000000001</c:v>
              </c:pt>
              <c:pt idx="46">
                <c:v>-43.309329999999996</c:v>
              </c:pt>
              <c:pt idx="47">
                <c:v>-43.99165</c:v>
              </c:pt>
              <c:pt idx="48">
                <c:v>-44.672610000000006</c:v>
              </c:pt>
              <c:pt idx="49">
                <c:v>-45.353470000000002</c:v>
              </c:pt>
              <c:pt idx="50">
                <c:v>-46.03434</c:v>
              </c:pt>
              <c:pt idx="51">
                <c:v>-46.715209999999999</c:v>
              </c:pt>
              <c:pt idx="52">
                <c:v>-47.39629</c:v>
              </c:pt>
              <c:pt idx="53">
                <c:v>-48.077170000000002</c:v>
              </c:pt>
              <c:pt idx="54">
                <c:v>-48.758160000000004</c:v>
              </c:pt>
              <c:pt idx="55">
                <c:v>-49.439050000000002</c:v>
              </c:pt>
              <c:pt idx="56">
                <c:v>-50.120040000000003</c:v>
              </c:pt>
              <c:pt idx="57">
                <c:v>-50.800939999999997</c:v>
              </c:pt>
              <c:pt idx="58">
                <c:v>-51.481940000000009</c:v>
              </c:pt>
              <c:pt idx="59">
                <c:v>-52.162750000000003</c:v>
              </c:pt>
              <c:pt idx="60">
                <c:v>-52.843759999999996</c:v>
              </c:pt>
              <c:pt idx="61">
                <c:v>-53.52467</c:v>
              </c:pt>
              <c:pt idx="62">
                <c:v>-54.205689999999997</c:v>
              </c:pt>
              <c:pt idx="63">
                <c:v>-54.886610000000005</c:v>
              </c:pt>
              <c:pt idx="64">
                <c:v>-55.567540000000001</c:v>
              </c:pt>
              <c:pt idx="65">
                <c:v>-56.248570000000001</c:v>
              </c:pt>
              <c:pt idx="66">
                <c:v>-56.929610000000004</c:v>
              </c:pt>
              <c:pt idx="67">
                <c:v>-57.610650000000007</c:v>
              </c:pt>
              <c:pt idx="68">
                <c:v>-58.291589999999999</c:v>
              </c:pt>
              <c:pt idx="69">
                <c:v>-58.972639999999998</c:v>
              </c:pt>
              <c:pt idx="70">
                <c:v>-59.653590000000001</c:v>
              </c:pt>
              <c:pt idx="71">
                <c:v>-60.334550000000007</c:v>
              </c:pt>
              <c:pt idx="72">
                <c:v>-61.015609999999995</c:v>
              </c:pt>
              <c:pt idx="73">
                <c:v>-61.696570000000001</c:v>
              </c:pt>
              <c:pt idx="74">
                <c:v>-62.377540000000003</c:v>
              </c:pt>
              <c:pt idx="75">
                <c:v>-63.058709999999991</c:v>
              </c:pt>
              <c:pt idx="76">
                <c:v>-63.739689999999996</c:v>
              </c:pt>
              <c:pt idx="77">
                <c:v>-64.435689999999994</c:v>
              </c:pt>
              <c:pt idx="78">
                <c:v>-65.134</c:v>
              </c:pt>
              <c:pt idx="79">
                <c:v>-65.832409999999996</c:v>
              </c:pt>
              <c:pt idx="80">
                <c:v>-66.530730000000005</c:v>
              </c:pt>
              <c:pt idx="81">
                <c:v>-67.229150000000004</c:v>
              </c:pt>
              <c:pt idx="82">
                <c:v>-67.927480000000003</c:v>
              </c:pt>
              <c:pt idx="83">
                <c:v>-68.625910000000005</c:v>
              </c:pt>
              <c:pt idx="84">
                <c:v>-69.324349999999995</c:v>
              </c:pt>
              <c:pt idx="85">
                <c:v>-70.022689999999997</c:v>
              </c:pt>
              <c:pt idx="86">
                <c:v>-70.721129999999988</c:v>
              </c:pt>
              <c:pt idx="87">
                <c:v>-71.419480000000007</c:v>
              </c:pt>
              <c:pt idx="88">
                <c:v>-72.117930000000001</c:v>
              </c:pt>
              <c:pt idx="89">
                <c:v>-72.816289999999995</c:v>
              </c:pt>
              <c:pt idx="90">
                <c:v>-73.514749999999992</c:v>
              </c:pt>
              <c:pt idx="91">
                <c:v>-74.213219999999993</c:v>
              </c:pt>
              <c:pt idx="92">
                <c:v>-74.911689999999993</c:v>
              </c:pt>
              <c:pt idx="93">
                <c:v>-75.610060000000004</c:v>
              </c:pt>
              <c:pt idx="94">
                <c:v>-76.308540000000008</c:v>
              </c:pt>
              <c:pt idx="95">
                <c:v>-77.006929999999997</c:v>
              </c:pt>
              <c:pt idx="96">
                <c:v>-77.705420000000004</c:v>
              </c:pt>
              <c:pt idx="97">
                <c:v>-78.403909999999996</c:v>
              </c:pt>
              <c:pt idx="98">
                <c:v>-79.102310000000003</c:v>
              </c:pt>
              <c:pt idx="99">
                <c:v>-79.800709999999995</c:v>
              </c:pt>
              <c:pt idx="100">
                <c:v>-80.499319999999997</c:v>
              </c:pt>
              <c:pt idx="101">
                <c:v>-81.197630000000004</c:v>
              </c:pt>
              <c:pt idx="102">
                <c:v>-81.896150000000006</c:v>
              </c:pt>
              <c:pt idx="103">
                <c:v>-82.594670000000008</c:v>
              </c:pt>
              <c:pt idx="104">
                <c:v>-83.293189999999996</c:v>
              </c:pt>
              <c:pt idx="105">
                <c:v>-83.991720000000001</c:v>
              </c:pt>
              <c:pt idx="106">
                <c:v>-84.690159999999992</c:v>
              </c:pt>
              <c:pt idx="107">
                <c:v>-85.388599999999997</c:v>
              </c:pt>
              <c:pt idx="108">
                <c:v>-86.087140000000005</c:v>
              </c:pt>
              <c:pt idx="109">
                <c:v>-86.785589999999985</c:v>
              </c:pt>
              <c:pt idx="110">
                <c:v>-87.484139999999996</c:v>
              </c:pt>
              <c:pt idx="111">
                <c:v>-88.182590000000005</c:v>
              </c:pt>
              <c:pt idx="112">
                <c:v>-88.881150000000005</c:v>
              </c:pt>
              <c:pt idx="113">
                <c:v>-89.579720000000009</c:v>
              </c:pt>
              <c:pt idx="114">
                <c:v>-90.278189999999995</c:v>
              </c:pt>
              <c:pt idx="115">
                <c:v>-90.976760000000013</c:v>
              </c:pt>
              <c:pt idx="116">
                <c:v>-91.675340000000006</c:v>
              </c:pt>
              <c:pt idx="117">
                <c:v>-92.373930000000001</c:v>
              </c:pt>
              <c:pt idx="118">
                <c:v>-93.072509999999994</c:v>
              </c:pt>
              <c:pt idx="119">
                <c:v>-93.77100999999999</c:v>
              </c:pt>
              <c:pt idx="120">
                <c:v>-94.469500000000011</c:v>
              </c:pt>
              <c:pt idx="121">
                <c:v>-95.168109999999999</c:v>
              </c:pt>
              <c:pt idx="122">
                <c:v>-95.866610000000009</c:v>
              </c:pt>
              <c:pt idx="123">
                <c:v>-96.565319999999986</c:v>
              </c:pt>
              <c:pt idx="124">
                <c:v>-97.263840000000002</c:v>
              </c:pt>
              <c:pt idx="125">
                <c:v>-97.96235999999999</c:v>
              </c:pt>
              <c:pt idx="126">
                <c:v>-98.661079999999998</c:v>
              </c:pt>
              <c:pt idx="127">
                <c:v>-99.35951</c:v>
              </c:pt>
              <c:pt idx="128">
                <c:v>-100.05814000000001</c:v>
              </c:pt>
              <c:pt idx="129">
                <c:v>-100.75677999999999</c:v>
              </c:pt>
              <c:pt idx="130">
                <c:v>-101.45542</c:v>
              </c:pt>
              <c:pt idx="131">
                <c:v>-102.15406999999999</c:v>
              </c:pt>
              <c:pt idx="132">
                <c:v>-102.85261999999999</c:v>
              </c:pt>
              <c:pt idx="133">
                <c:v>-103.55127</c:v>
              </c:pt>
              <c:pt idx="134">
                <c:v>-104.24983</c:v>
              </c:pt>
              <c:pt idx="135">
                <c:v>-104.9486</c:v>
              </c:pt>
              <c:pt idx="136">
                <c:v>-105.64716000000001</c:v>
              </c:pt>
              <c:pt idx="137">
                <c:v>-106.34574000000001</c:v>
              </c:pt>
              <c:pt idx="138">
                <c:v>-107.04432</c:v>
              </c:pt>
              <c:pt idx="139">
                <c:v>-107.7431</c:v>
              </c:pt>
              <c:pt idx="140">
                <c:v>-108.44177999999999</c:v>
              </c:pt>
              <c:pt idx="141">
                <c:v>-109.14037999999999</c:v>
              </c:pt>
              <c:pt idx="142">
                <c:v>-109.83906999999999</c:v>
              </c:pt>
              <c:pt idx="143">
                <c:v>-110.53777000000001</c:v>
              </c:pt>
              <c:pt idx="144">
                <c:v>-111.23627999999999</c:v>
              </c:pt>
              <c:pt idx="145">
                <c:v>-111.93499</c:v>
              </c:pt>
              <c:pt idx="146">
                <c:v>-112.63369999999999</c:v>
              </c:pt>
              <c:pt idx="147">
                <c:v>-113.33242</c:v>
              </c:pt>
              <c:pt idx="148">
                <c:v>-114.03113999999999</c:v>
              </c:pt>
              <c:pt idx="149">
                <c:v>-114.72977</c:v>
              </c:pt>
              <c:pt idx="150">
                <c:v>-115.4285</c:v>
              </c:pt>
              <c:pt idx="151">
                <c:v>-116.12723</c:v>
              </c:pt>
              <c:pt idx="152">
                <c:v>-116.82587000000001</c:v>
              </c:pt>
              <c:pt idx="153">
                <c:v>-117.52462</c:v>
              </c:pt>
              <c:pt idx="154">
                <c:v>-118.22336999999999</c:v>
              </c:pt>
              <c:pt idx="155">
                <c:v>-118.92212000000001</c:v>
              </c:pt>
              <c:pt idx="156">
                <c:v>-119.62067999999999</c:v>
              </c:pt>
              <c:pt idx="157">
                <c:v>-120.31944</c:v>
              </c:pt>
              <c:pt idx="158">
                <c:v>-121.01821</c:v>
              </c:pt>
              <c:pt idx="159">
                <c:v>-121.71688</c:v>
              </c:pt>
              <c:pt idx="160">
                <c:v>-122.41566</c:v>
              </c:pt>
              <c:pt idx="161">
                <c:v>-123.11434</c:v>
              </c:pt>
              <c:pt idx="162">
                <c:v>-123.81323</c:v>
              </c:pt>
              <c:pt idx="163">
                <c:v>-124.51192</c:v>
              </c:pt>
              <c:pt idx="164">
                <c:v>-125.21071000000001</c:v>
              </c:pt>
              <c:pt idx="165">
                <c:v>-125.90951</c:v>
              </c:pt>
              <c:pt idx="166">
                <c:v>-126.60831</c:v>
              </c:pt>
              <c:pt idx="167">
                <c:v>-127.30712000000001</c:v>
              </c:pt>
              <c:pt idx="168">
                <c:v>-128.00583</c:v>
              </c:pt>
              <c:pt idx="169">
                <c:v>-128.70465000000002</c:v>
              </c:pt>
              <c:pt idx="170">
                <c:v>-129.40347</c:v>
              </c:pt>
              <c:pt idx="171">
                <c:v>-130.10220000000001</c:v>
              </c:pt>
              <c:pt idx="172">
                <c:v>-130.80092999999999</c:v>
              </c:pt>
              <c:pt idx="173">
                <c:v>-131.49986000000001</c:v>
              </c:pt>
              <c:pt idx="174">
                <c:v>-132.1986</c:v>
              </c:pt>
              <c:pt idx="175">
                <c:v>-132.89744999999999</c:v>
              </c:pt>
              <c:pt idx="176">
                <c:v>-133.59620000000001</c:v>
              </c:pt>
              <c:pt idx="177">
                <c:v>-134.29515000000001</c:v>
              </c:pt>
              <c:pt idx="178">
                <c:v>-134.99390999999997</c:v>
              </c:pt>
              <c:pt idx="179">
                <c:v>-135.69277</c:v>
              </c:pt>
              <c:pt idx="180">
                <c:v>-136.39152999999999</c:v>
              </c:pt>
              <c:pt idx="181">
                <c:v>-137.09039999999999</c:v>
              </c:pt>
              <c:pt idx="182">
                <c:v>-137.78917999999999</c:v>
              </c:pt>
              <c:pt idx="183">
                <c:v>-138.48806000000002</c:v>
              </c:pt>
              <c:pt idx="184">
                <c:v>-139.18704</c:v>
              </c:pt>
              <c:pt idx="185">
                <c:v>-139.88583</c:v>
              </c:pt>
              <c:pt idx="186">
                <c:v>-140.58463</c:v>
              </c:pt>
              <c:pt idx="187">
                <c:v>-141.28352000000001</c:v>
              </c:pt>
              <c:pt idx="188">
                <c:v>-141.98242999999999</c:v>
              </c:pt>
              <c:pt idx="189">
                <c:v>-142.68133</c:v>
              </c:pt>
              <c:pt idx="190">
                <c:v>-143.38014000000001</c:v>
              </c:pt>
              <c:pt idx="191">
                <c:v>-144.07906</c:v>
              </c:pt>
              <c:pt idx="192">
                <c:v>-144.77798000000001</c:v>
              </c:pt>
              <c:pt idx="193">
                <c:v>-145.47680000000003</c:v>
              </c:pt>
              <c:pt idx="194">
                <c:v>-146.17583000000002</c:v>
              </c:pt>
              <c:pt idx="195">
                <c:v>-146.87457000000001</c:v>
              </c:pt>
              <c:pt idx="196">
                <c:v>-147.57350000000002</c:v>
              </c:pt>
              <c:pt idx="197">
                <c:v>-148.27244999999999</c:v>
              </c:pt>
              <c:pt idx="198">
                <c:v>-148.97138999999999</c:v>
              </c:pt>
              <c:pt idx="199">
                <c:v>-149.67025000000001</c:v>
              </c:pt>
              <c:pt idx="200">
                <c:v>-150.36920000000001</c:v>
              </c:pt>
              <c:pt idx="201">
                <c:v>-151.06816000000001</c:v>
              </c:pt>
              <c:pt idx="202">
                <c:v>-151.76713000000001</c:v>
              </c:pt>
              <c:pt idx="203">
                <c:v>-152.46609999999998</c:v>
              </c:pt>
              <c:pt idx="204">
                <c:v>-153.16507000000001</c:v>
              </c:pt>
              <c:pt idx="205">
                <c:v>-153.86394999999999</c:v>
              </c:pt>
              <c:pt idx="206">
                <c:v>-154.56292999999999</c:v>
              </c:pt>
              <c:pt idx="207">
                <c:v>-155.26192</c:v>
              </c:pt>
              <c:pt idx="208">
                <c:v>-155.96081000000001</c:v>
              </c:pt>
              <c:pt idx="209">
                <c:v>-156.65980999999999</c:v>
              </c:pt>
              <c:pt idx="210">
                <c:v>-157.35881000000001</c:v>
              </c:pt>
              <c:pt idx="211">
                <c:v>-158.05771000000001</c:v>
              </c:pt>
              <c:pt idx="212">
                <c:v>-158.75662</c:v>
              </c:pt>
              <c:pt idx="213">
                <c:v>-159.45573999999999</c:v>
              </c:pt>
              <c:pt idx="214">
                <c:v>-160.15465999999998</c:v>
              </c:pt>
              <c:pt idx="215">
                <c:v>-160.85368</c:v>
              </c:pt>
              <c:pt idx="216">
                <c:v>-161.55270999999999</c:v>
              </c:pt>
              <c:pt idx="217">
                <c:v>-162.25173999999998</c:v>
              </c:pt>
              <c:pt idx="218">
                <c:v>-162.95078000000001</c:v>
              </c:pt>
              <c:pt idx="219">
                <c:v>-163.64972</c:v>
              </c:pt>
              <c:pt idx="220">
                <c:v>-164.34887000000001</c:v>
              </c:pt>
              <c:pt idx="221">
                <c:v>-165.04782</c:v>
              </c:pt>
              <c:pt idx="222">
                <c:v>-165.74687</c:v>
              </c:pt>
              <c:pt idx="223">
                <c:v>-166.44583</c:v>
              </c:pt>
              <c:pt idx="224">
                <c:v>-167.14499000000001</c:v>
              </c:pt>
              <c:pt idx="225">
                <c:v>-167.84181000000001</c:v>
              </c:pt>
              <c:pt idx="226">
                <c:v>-168.53530000000001</c:v>
              </c:pt>
              <c:pt idx="227">
                <c:v>-169.2287</c:v>
              </c:pt>
              <c:pt idx="228">
                <c:v>-169.92219999999998</c:v>
              </c:pt>
              <c:pt idx="229">
                <c:v>-170.61570999999998</c:v>
              </c:pt>
              <c:pt idx="230">
                <c:v>-171.30912000000001</c:v>
              </c:pt>
              <c:pt idx="231">
                <c:v>-172.00264000000001</c:v>
              </c:pt>
              <c:pt idx="232">
                <c:v>-172.69615999999999</c:v>
              </c:pt>
              <c:pt idx="233">
                <c:v>-173.38978</c:v>
              </c:pt>
              <c:pt idx="234">
                <c:v>-174.08321000000001</c:v>
              </c:pt>
              <c:pt idx="235">
                <c:v>-174.77674999999999</c:v>
              </c:pt>
              <c:pt idx="236">
                <c:v>-175.47019</c:v>
              </c:pt>
              <c:pt idx="237">
                <c:v>-176.16383000000002</c:v>
              </c:pt>
              <c:pt idx="238">
                <c:v>-176.85728</c:v>
              </c:pt>
              <c:pt idx="239">
                <c:v>-177.55083000000002</c:v>
              </c:pt>
              <c:pt idx="240">
                <c:v>-178.24439000000001</c:v>
              </c:pt>
              <c:pt idx="241">
                <c:v>-178.93795</c:v>
              </c:pt>
              <c:pt idx="242">
                <c:v>-179.63130999999998</c:v>
              </c:pt>
              <c:pt idx="243">
                <c:v>-180.32499000000001</c:v>
              </c:pt>
              <c:pt idx="244">
                <c:v>-181.01855999999998</c:v>
              </c:pt>
              <c:pt idx="245">
                <c:v>-181.71213999999998</c:v>
              </c:pt>
              <c:pt idx="246">
                <c:v>-182.40572</c:v>
              </c:pt>
              <c:pt idx="247">
                <c:v>-183.09930999999997</c:v>
              </c:pt>
              <c:pt idx="248">
                <c:v>-183.79271</c:v>
              </c:pt>
              <c:pt idx="249">
                <c:v>-184.4864</c:v>
              </c:pt>
              <c:pt idx="250">
                <c:v>-185.17991000000001</c:v>
              </c:pt>
              <c:pt idx="251">
                <c:v>-185.87351000000001</c:v>
              </c:pt>
              <c:pt idx="252">
                <c:v>-186.56722000000002</c:v>
              </c:pt>
              <c:pt idx="253">
                <c:v>-187.26074</c:v>
              </c:pt>
              <c:pt idx="254">
                <c:v>-187.95436000000001</c:v>
              </c:pt>
              <c:pt idx="255">
                <c:v>-188.64789000000002</c:v>
              </c:pt>
              <c:pt idx="256">
                <c:v>-189.34151</c:v>
              </c:pt>
              <c:pt idx="257">
                <c:v>-190.03514999999999</c:v>
              </c:pt>
              <c:pt idx="258">
                <c:v>-190.72879</c:v>
              </c:pt>
              <c:pt idx="259">
                <c:v>-191.42243000000002</c:v>
              </c:pt>
              <c:pt idx="260">
                <c:v>-192.11544000000001</c:v>
              </c:pt>
              <c:pt idx="261">
                <c:v>-192.80579999999998</c:v>
              </c:pt>
              <c:pt idx="262">
                <c:v>-193.49617000000001</c:v>
              </c:pt>
              <c:pt idx="263">
                <c:v>-194.18664000000001</c:v>
              </c:pt>
              <c:pt idx="264">
                <c:v>-194.87700999999998</c:v>
              </c:pt>
              <c:pt idx="265">
                <c:v>-195.56749000000002</c:v>
              </c:pt>
              <c:pt idx="266">
                <c:v>-196.25778</c:v>
              </c:pt>
              <c:pt idx="267">
                <c:v>-196.94815999999997</c:v>
              </c:pt>
              <c:pt idx="268">
                <c:v>-197.63875999999999</c:v>
              </c:pt>
              <c:pt idx="269">
                <c:v>-198.32906</c:v>
              </c:pt>
              <c:pt idx="270">
                <c:v>-199.01956000000001</c:v>
              </c:pt>
              <c:pt idx="271">
                <c:v>-199.70985999999999</c:v>
              </c:pt>
              <c:pt idx="272">
                <c:v>-200.40038000000001</c:v>
              </c:pt>
              <c:pt idx="273">
                <c:v>-201.09079</c:v>
              </c:pt>
              <c:pt idx="274">
                <c:v>-201.78140999999999</c:v>
              </c:pt>
              <c:pt idx="275">
                <c:v>-202.47173999999998</c:v>
              </c:pt>
              <c:pt idx="276">
                <c:v>-203.16226999999998</c:v>
              </c:pt>
              <c:pt idx="277">
                <c:v>-203.8527</c:v>
              </c:pt>
              <c:pt idx="278">
                <c:v>-204.54313999999999</c:v>
              </c:pt>
              <c:pt idx="279">
                <c:v>-205.23358000000002</c:v>
              </c:pt>
              <c:pt idx="280">
                <c:v>-205.92402999999999</c:v>
              </c:pt>
              <c:pt idx="281">
                <c:v>-206.61448000000001</c:v>
              </c:pt>
              <c:pt idx="282">
                <c:v>-207.30503999999999</c:v>
              </c:pt>
              <c:pt idx="283">
                <c:v>-207.99466000000001</c:v>
              </c:pt>
              <c:pt idx="284">
                <c:v>-208.68218999999999</c:v>
              </c:pt>
              <c:pt idx="285">
                <c:v>-209.36972</c:v>
              </c:pt>
              <c:pt idx="286">
                <c:v>-210.05725000000001</c:v>
              </c:pt>
              <c:pt idx="287">
                <c:v>-210.74478999999997</c:v>
              </c:pt>
              <c:pt idx="288">
                <c:v>-211.43223</c:v>
              </c:pt>
              <c:pt idx="289">
                <c:v>-212.11967999999999</c:v>
              </c:pt>
              <c:pt idx="290">
                <c:v>-212.80723</c:v>
              </c:pt>
              <c:pt idx="291">
                <c:v>-213.49478999999997</c:v>
              </c:pt>
              <c:pt idx="292">
                <c:v>-214.18234999999999</c:v>
              </c:pt>
              <c:pt idx="293">
                <c:v>-214.86982</c:v>
              </c:pt>
              <c:pt idx="294">
                <c:v>-215.55739</c:v>
              </c:pt>
              <c:pt idx="295">
                <c:v>-216.24495999999999</c:v>
              </c:pt>
              <c:pt idx="296">
                <c:v>-216.93243999999999</c:v>
              </c:pt>
              <c:pt idx="297">
                <c:v>-217.58553000000001</c:v>
              </c:pt>
              <c:pt idx="298">
                <c:v>-218.23826</c:v>
              </c:pt>
              <c:pt idx="299">
                <c:v>-218.89089999999999</c:v>
              </c:pt>
              <c:pt idx="300">
                <c:v>-219.54363000000001</c:v>
              </c:pt>
              <c:pt idx="301">
                <c:v>-220.19638</c:v>
              </c:pt>
              <c:pt idx="302">
                <c:v>-220.84903000000003</c:v>
              </c:pt>
              <c:pt idx="303">
                <c:v>-221.50168000000002</c:v>
              </c:pt>
              <c:pt idx="304">
                <c:v>-222.15454</c:v>
              </c:pt>
              <c:pt idx="305">
                <c:v>-222.80719999999997</c:v>
              </c:pt>
              <c:pt idx="306">
                <c:v>-223.45997</c:v>
              </c:pt>
              <c:pt idx="307">
                <c:v>-224.11250000000001</c:v>
              </c:pt>
              <c:pt idx="308">
                <c:v>-224.7653</c:v>
              </c:pt>
              <c:pt idx="309">
                <c:v>-225.41809999999998</c:v>
              </c:pt>
              <c:pt idx="310">
                <c:v>-226.07080000000002</c:v>
              </c:pt>
              <c:pt idx="311">
                <c:v>-226.7236</c:v>
              </c:pt>
              <c:pt idx="312">
                <c:v>-227.37630000000001</c:v>
              </c:pt>
              <c:pt idx="313">
                <c:v>-227.92539999999997</c:v>
              </c:pt>
              <c:pt idx="314">
                <c:v>-228.46709999999996</c:v>
              </c:pt>
              <c:pt idx="315">
                <c:v>-229.00869999999998</c:v>
              </c:pt>
              <c:pt idx="316">
                <c:v>-229.55020000000002</c:v>
              </c:pt>
              <c:pt idx="317">
                <c:v>-230.09190000000001</c:v>
              </c:pt>
              <c:pt idx="318">
                <c:v>-230.63349999999997</c:v>
              </c:pt>
              <c:pt idx="319">
                <c:v>-231.17519999999999</c:v>
              </c:pt>
              <c:pt idx="320">
                <c:v>-231.71690000000001</c:v>
              </c:pt>
              <c:pt idx="321">
                <c:v>-232.2585</c:v>
              </c:pt>
              <c:pt idx="322">
                <c:v>-232.80009999999999</c:v>
              </c:pt>
              <c:pt idx="323">
                <c:v>-233.34180000000001</c:v>
              </c:pt>
              <c:pt idx="324">
                <c:v>-233.88349999999997</c:v>
              </c:pt>
              <c:pt idx="325">
                <c:v>-234.42500000000001</c:v>
              </c:pt>
              <c:pt idx="326">
                <c:v>-234.96680000000003</c:v>
              </c:pt>
              <c:pt idx="327">
                <c:v>-235.50850000000003</c:v>
              </c:pt>
              <c:pt idx="328">
                <c:v>-236.05</c:v>
              </c:pt>
              <c:pt idx="329">
                <c:v>-236.53359999999998</c:v>
              </c:pt>
              <c:pt idx="330">
                <c:v>-236.9085</c:v>
              </c:pt>
              <c:pt idx="331">
                <c:v>-237.27350000000001</c:v>
              </c:pt>
              <c:pt idx="332">
                <c:v>-237.63659999999999</c:v>
              </c:pt>
              <c:pt idx="333">
                <c:v>-237.99969999999996</c:v>
              </c:pt>
              <c:pt idx="334">
                <c:v>-238.36279999999999</c:v>
              </c:pt>
              <c:pt idx="335">
                <c:v>-238.726</c:v>
              </c:pt>
              <c:pt idx="336">
                <c:v>-239.089</c:v>
              </c:pt>
              <c:pt idx="337">
                <c:v>-239.4522</c:v>
              </c:pt>
              <c:pt idx="338">
                <c:v>-239.81529999999998</c:v>
              </c:pt>
              <c:pt idx="339">
                <c:v>-240.17840000000001</c:v>
              </c:pt>
              <c:pt idx="340">
                <c:v>-240.54149999999998</c:v>
              </c:pt>
              <c:pt idx="341">
                <c:v>-240.90469999999999</c:v>
              </c:pt>
              <c:pt idx="342">
                <c:v>-241.2679</c:v>
              </c:pt>
              <c:pt idx="343">
                <c:v>-241.6309</c:v>
              </c:pt>
              <c:pt idx="344">
                <c:v>-241.9941</c:v>
              </c:pt>
              <c:pt idx="345">
                <c:v>-242.35330000000002</c:v>
              </c:pt>
              <c:pt idx="346">
                <c:v>-242.67410000000001</c:v>
              </c:pt>
              <c:pt idx="347">
                <c:v>-242.9948</c:v>
              </c:pt>
              <c:pt idx="348">
                <c:v>-243.31549999999999</c:v>
              </c:pt>
              <c:pt idx="349">
                <c:v>-243.63640000000001</c:v>
              </c:pt>
              <c:pt idx="350">
                <c:v>-243.95699999999999</c:v>
              </c:pt>
              <c:pt idx="351">
                <c:v>-244.27629999999999</c:v>
              </c:pt>
              <c:pt idx="352">
                <c:v>-244.59440000000001</c:v>
              </c:pt>
              <c:pt idx="353">
                <c:v>-244.911</c:v>
              </c:pt>
              <c:pt idx="354">
                <c:v>-245.2278</c:v>
              </c:pt>
              <c:pt idx="355">
                <c:v>-245.54440000000002</c:v>
              </c:pt>
              <c:pt idx="356">
                <c:v>-245.8612</c:v>
              </c:pt>
              <c:pt idx="357">
                <c:v>-246.178</c:v>
              </c:pt>
              <c:pt idx="358">
                <c:v>-246.49450000000002</c:v>
              </c:pt>
              <c:pt idx="359">
                <c:v>-246.81130000000002</c:v>
              </c:pt>
              <c:pt idx="360">
                <c:v>-247.12809999999999</c:v>
              </c:pt>
              <c:pt idx="361">
                <c:v>-247.44460000000004</c:v>
              </c:pt>
              <c:pt idx="362">
                <c:v>-247.76140000000001</c:v>
              </c:pt>
              <c:pt idx="363">
                <c:v>-248.07819999999998</c:v>
              </c:pt>
              <c:pt idx="364">
                <c:v>-248.39490000000001</c:v>
              </c:pt>
              <c:pt idx="365">
                <c:v>-248.71170000000001</c:v>
              </c:pt>
              <c:pt idx="366">
                <c:v>-249.0283</c:v>
              </c:pt>
              <c:pt idx="367">
                <c:v>-249.3451</c:v>
              </c:pt>
              <c:pt idx="368">
                <c:v>-249.6619</c:v>
              </c:pt>
              <c:pt idx="369">
                <c:v>-249.97710000000001</c:v>
              </c:pt>
              <c:pt idx="370">
                <c:v>-250.29230000000001</c:v>
              </c:pt>
              <c:pt idx="371">
                <c:v>-250.6053</c:v>
              </c:pt>
              <c:pt idx="372">
                <c:v>-250.91720000000001</c:v>
              </c:pt>
              <c:pt idx="373">
                <c:v>-251.22890000000001</c:v>
              </c:pt>
              <c:pt idx="374">
                <c:v>-251.54070000000002</c:v>
              </c:pt>
              <c:pt idx="375">
                <c:v>-251.85249999999999</c:v>
              </c:pt>
              <c:pt idx="376">
                <c:v>-252.16420000000002</c:v>
              </c:pt>
              <c:pt idx="377">
                <c:v>-252.476</c:v>
              </c:pt>
              <c:pt idx="378">
                <c:v>-252.7877</c:v>
              </c:pt>
              <c:pt idx="379">
                <c:v>-253.03559999999999</c:v>
              </c:pt>
              <c:pt idx="380">
                <c:v>-253.26330000000002</c:v>
              </c:pt>
              <c:pt idx="381">
                <c:v>-253.49109999999999</c:v>
              </c:pt>
              <c:pt idx="382">
                <c:v>-253.71879999999999</c:v>
              </c:pt>
              <c:pt idx="383">
                <c:v>-253.94639999999998</c:v>
              </c:pt>
              <c:pt idx="384">
                <c:v>-254.17409999999998</c:v>
              </c:pt>
              <c:pt idx="385">
                <c:v>-254.40199999999999</c:v>
              </c:pt>
              <c:pt idx="386">
                <c:v>-254.62959999999998</c:v>
              </c:pt>
              <c:pt idx="387">
                <c:v>-254.85740000000001</c:v>
              </c:pt>
              <c:pt idx="388">
                <c:v>-255.08499999999998</c:v>
              </c:pt>
              <c:pt idx="389">
                <c:v>-255.31279999999998</c:v>
              </c:pt>
              <c:pt idx="390">
                <c:v>-255.54059999999998</c:v>
              </c:pt>
              <c:pt idx="391">
                <c:v>-255.76830000000001</c:v>
              </c:pt>
              <c:pt idx="392">
                <c:v>-255.99599999999998</c:v>
              </c:pt>
              <c:pt idx="393">
                <c:v>-256.22410000000002</c:v>
              </c:pt>
              <c:pt idx="394">
                <c:v>-256.4513</c:v>
              </c:pt>
              <c:pt idx="395">
                <c:v>-256.67939999999999</c:v>
              </c:pt>
              <c:pt idx="396">
                <c:v>-256.90660000000003</c:v>
              </c:pt>
              <c:pt idx="397">
                <c:v>-257.13470000000001</c:v>
              </c:pt>
              <c:pt idx="398">
                <c:v>-257.36279999999999</c:v>
              </c:pt>
              <c:pt idx="399">
                <c:v>-257.59000000000003</c:v>
              </c:pt>
              <c:pt idx="400">
                <c:v>-257.81799999999998</c:v>
              </c:pt>
              <c:pt idx="401">
                <c:v>-258.04520000000002</c:v>
              </c:pt>
              <c:pt idx="402">
                <c:v>-258.27339999999998</c:v>
              </c:pt>
              <c:pt idx="403">
                <c:v>-258.50150000000002</c:v>
              </c:pt>
              <c:pt idx="404">
                <c:v>-258.72860000000003</c:v>
              </c:pt>
              <c:pt idx="405">
                <c:v>-258.95679999999999</c:v>
              </c:pt>
              <c:pt idx="406">
                <c:v>-259.18389999999999</c:v>
              </c:pt>
              <c:pt idx="407">
                <c:v>-259.41210000000001</c:v>
              </c:pt>
              <c:pt idx="408">
                <c:v>-259.64019999999999</c:v>
              </c:pt>
              <c:pt idx="409">
                <c:v>-259.86739999999998</c:v>
              </c:pt>
              <c:pt idx="410">
                <c:v>-260.09550000000002</c:v>
              </c:pt>
              <c:pt idx="411">
                <c:v>-260.32259999999997</c:v>
              </c:pt>
              <c:pt idx="412">
                <c:v>-260.55070000000001</c:v>
              </c:pt>
              <c:pt idx="413">
                <c:v>-260.77879999999999</c:v>
              </c:pt>
              <c:pt idx="414">
                <c:v>-261.0061</c:v>
              </c:pt>
              <c:pt idx="415">
                <c:v>-261.23419999999999</c:v>
              </c:pt>
              <c:pt idx="416">
                <c:v>-261.46230000000003</c:v>
              </c:pt>
              <c:pt idx="417">
                <c:v>-261.68939999999998</c:v>
              </c:pt>
              <c:pt idx="418">
                <c:v>-261.91750000000002</c:v>
              </c:pt>
              <c:pt idx="419">
                <c:v>-262.1447</c:v>
              </c:pt>
              <c:pt idx="420">
                <c:v>-262.37279999999998</c:v>
              </c:pt>
              <c:pt idx="421">
                <c:v>-262.601</c:v>
              </c:pt>
              <c:pt idx="422">
                <c:v>-262.82810000000001</c:v>
              </c:pt>
              <c:pt idx="423">
                <c:v>-263.05619999999999</c:v>
              </c:pt>
              <c:pt idx="424">
                <c:v>-263.28449999999998</c:v>
              </c:pt>
              <c:pt idx="425">
                <c:v>-263.51160000000004</c:v>
              </c:pt>
              <c:pt idx="426">
                <c:v>-263.73969999999997</c:v>
              </c:pt>
              <c:pt idx="427">
                <c:v>-263.96679999999998</c:v>
              </c:pt>
              <c:pt idx="428">
                <c:v>-264.19500000000005</c:v>
              </c:pt>
              <c:pt idx="429">
                <c:v>-264.42310000000003</c:v>
              </c:pt>
              <c:pt idx="430">
                <c:v>-264.65019999999998</c:v>
              </c:pt>
              <c:pt idx="431">
                <c:v>-264.8784</c:v>
              </c:pt>
              <c:pt idx="432">
                <c:v>-265.10649999999998</c:v>
              </c:pt>
              <c:pt idx="433">
                <c:v>-265.33359999999999</c:v>
              </c:pt>
              <c:pt idx="434">
                <c:v>-265.56180000000001</c:v>
              </c:pt>
              <c:pt idx="435">
                <c:v>-265.78989999999999</c:v>
              </c:pt>
              <c:pt idx="436">
                <c:v>-266.01710000000003</c:v>
              </c:pt>
              <c:pt idx="437">
                <c:v>-266.24520000000001</c:v>
              </c:pt>
              <c:pt idx="438">
                <c:v>-266.47230000000002</c:v>
              </c:pt>
              <c:pt idx="439">
                <c:v>-266.7004</c:v>
              </c:pt>
              <c:pt idx="440">
                <c:v>-266.92859999999996</c:v>
              </c:pt>
              <c:pt idx="441">
                <c:v>-267.15570000000002</c:v>
              </c:pt>
              <c:pt idx="442">
                <c:v>-267.38389999999998</c:v>
              </c:pt>
              <c:pt idx="443">
                <c:v>-267.6121</c:v>
              </c:pt>
              <c:pt idx="444">
                <c:v>-267.83929999999998</c:v>
              </c:pt>
              <c:pt idx="445">
                <c:v>-268.06729999999999</c:v>
              </c:pt>
              <c:pt idx="446">
                <c:v>-268.2955</c:v>
              </c:pt>
              <c:pt idx="447">
                <c:v>-268.52260000000001</c:v>
              </c:pt>
              <c:pt idx="448">
                <c:v>-268.75080000000003</c:v>
              </c:pt>
              <c:pt idx="449">
                <c:v>-268.97899999999998</c:v>
              </c:pt>
              <c:pt idx="450">
                <c:v>-269.20600000000002</c:v>
              </c:pt>
              <c:pt idx="451">
                <c:v>-269.43419999999998</c:v>
              </c:pt>
              <c:pt idx="452">
                <c:v>-269.66239999999999</c:v>
              </c:pt>
              <c:pt idx="453">
                <c:v>-269.8895</c:v>
              </c:pt>
              <c:pt idx="454">
                <c:v>-270.11759999999998</c:v>
              </c:pt>
              <c:pt idx="455">
                <c:v>-270.3458</c:v>
              </c:pt>
              <c:pt idx="456">
                <c:v>-270.5729</c:v>
              </c:pt>
              <c:pt idx="457">
                <c:v>-270.80100000000004</c:v>
              </c:pt>
              <c:pt idx="458">
                <c:v>-271.02769999999998</c:v>
              </c:pt>
              <c:pt idx="459">
                <c:v>-271.25450000000001</c:v>
              </c:pt>
              <c:pt idx="460">
                <c:v>-271.4812</c:v>
              </c:pt>
              <c:pt idx="461">
                <c:v>-271.7079</c:v>
              </c:pt>
              <c:pt idx="462">
                <c:v>-271.93470000000002</c:v>
              </c:pt>
              <c:pt idx="463">
                <c:v>-272.16149999999999</c:v>
              </c:pt>
              <c:pt idx="464">
                <c:v>-272.38819999999998</c:v>
              </c:pt>
              <c:pt idx="465">
                <c:v>-272.61500000000001</c:v>
              </c:pt>
              <c:pt idx="466">
                <c:v>-272.8415</c:v>
              </c:pt>
              <c:pt idx="467">
                <c:v>-273.06830000000002</c:v>
              </c:pt>
              <c:pt idx="468">
                <c:v>-273.29509999999999</c:v>
              </c:pt>
              <c:pt idx="469">
                <c:v>-273.52179999999998</c:v>
              </c:pt>
              <c:pt idx="470">
                <c:v>-273.74860000000001</c:v>
              </c:pt>
              <c:pt idx="471">
                <c:v>-273.9753</c:v>
              </c:pt>
              <c:pt idx="472">
                <c:v>-274.20210000000003</c:v>
              </c:pt>
              <c:pt idx="473">
                <c:v>-274.42869999999999</c:v>
              </c:pt>
              <c:pt idx="474">
                <c:v>-274.65550000000002</c:v>
              </c:pt>
              <c:pt idx="475">
                <c:v>-274.88220000000001</c:v>
              </c:pt>
              <c:pt idx="476">
                <c:v>-275.10900000000004</c:v>
              </c:pt>
              <c:pt idx="477">
                <c:v>-275.33569999999997</c:v>
              </c:pt>
              <c:pt idx="478">
                <c:v>-275.5625</c:v>
              </c:pt>
              <c:pt idx="479">
                <c:v>-275.78910000000002</c:v>
              </c:pt>
              <c:pt idx="480">
                <c:v>-276.01589999999999</c:v>
              </c:pt>
              <c:pt idx="481">
                <c:v>-276.24259999999998</c:v>
              </c:pt>
              <c:pt idx="482">
                <c:v>-276.46939999999995</c:v>
              </c:pt>
              <c:pt idx="483">
                <c:v>-276.6961</c:v>
              </c:pt>
              <c:pt idx="484">
                <c:v>-276.92290000000003</c:v>
              </c:pt>
              <c:pt idx="485">
                <c:v>-277.14960000000002</c:v>
              </c:pt>
              <c:pt idx="486">
                <c:v>-277.37630000000001</c:v>
              </c:pt>
              <c:pt idx="487">
                <c:v>-277.60309999999998</c:v>
              </c:pt>
              <c:pt idx="488">
                <c:v>-277.8297</c:v>
              </c:pt>
              <c:pt idx="489">
                <c:v>-278.05650000000003</c:v>
              </c:pt>
              <c:pt idx="490">
                <c:v>-278.2833</c:v>
              </c:pt>
              <c:pt idx="491">
                <c:v>-278.51</c:v>
              </c:pt>
              <c:pt idx="492">
                <c:v>-278.73669999999998</c:v>
              </c:pt>
              <c:pt idx="493">
                <c:v>-278.96349999999995</c:v>
              </c:pt>
              <c:pt idx="494">
                <c:v>-279.1902</c:v>
              </c:pt>
              <c:pt idx="495">
                <c:v>-279.4169</c:v>
              </c:pt>
              <c:pt idx="496">
                <c:v>-279.6438</c:v>
              </c:pt>
              <c:pt idx="497">
                <c:v>-279.87040000000002</c:v>
              </c:pt>
              <c:pt idx="498">
                <c:v>-280.09710000000001</c:v>
              </c:pt>
              <c:pt idx="499">
                <c:v>-280.32389999999998</c:v>
              </c:pt>
              <c:pt idx="500">
                <c:v>-280.55070000000001</c:v>
              </c:pt>
              <c:pt idx="501">
                <c:v>-280.77729999999997</c:v>
              </c:pt>
              <c:pt idx="502">
                <c:v>-281.00409999999999</c:v>
              </c:pt>
              <c:pt idx="503">
                <c:v>-281.23080000000004</c:v>
              </c:pt>
              <c:pt idx="504">
                <c:v>-281.45749999999998</c:v>
              </c:pt>
              <c:pt idx="505">
                <c:v>-281.68420000000003</c:v>
              </c:pt>
              <c:pt idx="506">
                <c:v>-281.91110000000003</c:v>
              </c:pt>
              <c:pt idx="507">
                <c:v>-282.1388</c:v>
              </c:pt>
              <c:pt idx="508">
                <c:v>-282.3655</c:v>
              </c:pt>
              <c:pt idx="509">
                <c:v>-282.59219999999999</c:v>
              </c:pt>
              <c:pt idx="510">
                <c:v>-282.81900000000002</c:v>
              </c:pt>
              <c:pt idx="511">
                <c:v>-283.04560000000004</c:v>
              </c:pt>
              <c:pt idx="512">
                <c:v>-283.2724</c:v>
              </c:pt>
              <c:pt idx="513">
                <c:v>-283.49919999999997</c:v>
              </c:pt>
              <c:pt idx="514">
                <c:v>-283.72589999999997</c:v>
              </c:pt>
              <c:pt idx="515">
                <c:v>-283.95269999999999</c:v>
              </c:pt>
              <c:pt idx="516">
                <c:v>-284.17950000000002</c:v>
              </c:pt>
              <c:pt idx="517">
                <c:v>-284.40610000000004</c:v>
              </c:pt>
              <c:pt idx="518">
                <c:v>-284.63290000000001</c:v>
              </c:pt>
              <c:pt idx="519">
                <c:v>-284.85980000000001</c:v>
              </c:pt>
              <c:pt idx="520">
                <c:v>-285.08619999999996</c:v>
              </c:pt>
              <c:pt idx="521">
                <c:v>-285.31280000000004</c:v>
              </c:pt>
              <c:pt idx="522">
                <c:v>-285.5394</c:v>
              </c:pt>
              <c:pt idx="523">
                <c:v>-285.76690000000002</c:v>
              </c:pt>
              <c:pt idx="524">
                <c:v>-285.99340000000001</c:v>
              </c:pt>
              <c:pt idx="525">
                <c:v>-286.21999999999997</c:v>
              </c:pt>
              <c:pt idx="526">
                <c:v>-286.44749999999999</c:v>
              </c:pt>
              <c:pt idx="527">
                <c:v>-286.67410000000001</c:v>
              </c:pt>
              <c:pt idx="528">
                <c:v>-286.90170000000001</c:v>
              </c:pt>
              <c:pt idx="529">
                <c:v>-287.12810000000002</c:v>
              </c:pt>
              <c:pt idx="530">
                <c:v>-287.35469999999998</c:v>
              </c:pt>
              <c:pt idx="531">
                <c:v>-287.58120000000002</c:v>
              </c:pt>
              <c:pt idx="532">
                <c:v>-287.80780000000004</c:v>
              </c:pt>
              <c:pt idx="533">
                <c:v>-288.03539999999998</c:v>
              </c:pt>
              <c:pt idx="534">
                <c:v>-288.26190000000003</c:v>
              </c:pt>
              <c:pt idx="535">
                <c:v>-288.48849999999999</c:v>
              </c:pt>
              <c:pt idx="536">
                <c:v>-288.71500000000003</c:v>
              </c:pt>
              <c:pt idx="537">
                <c:v>-288.94159999999999</c:v>
              </c:pt>
              <c:pt idx="538">
                <c:v>-289.16820000000001</c:v>
              </c:pt>
              <c:pt idx="539">
                <c:v>-289.39569999999998</c:v>
              </c:pt>
              <c:pt idx="540">
                <c:v>-289.62329999999997</c:v>
              </c:pt>
              <c:pt idx="541">
                <c:v>-289.84979999999996</c:v>
              </c:pt>
              <c:pt idx="542">
                <c:v>-290.07640000000004</c:v>
              </c:pt>
              <c:pt idx="543">
                <c:v>-290.303</c:v>
              </c:pt>
              <c:pt idx="544">
                <c:v>-290.53050000000002</c:v>
              </c:pt>
              <c:pt idx="545">
                <c:v>-290.75710000000004</c:v>
              </c:pt>
              <c:pt idx="546">
                <c:v>-290.98360000000002</c:v>
              </c:pt>
              <c:pt idx="547">
                <c:v>-291.21019999999999</c:v>
              </c:pt>
              <c:pt idx="548">
                <c:v>-291.43680000000001</c:v>
              </c:pt>
              <c:pt idx="549">
                <c:v>-291.66340000000002</c:v>
              </c:pt>
              <c:pt idx="550">
                <c:v>-291.89089999999999</c:v>
              </c:pt>
              <c:pt idx="551">
                <c:v>-292.11750000000001</c:v>
              </c:pt>
              <c:pt idx="552">
                <c:v>-292.34500000000003</c:v>
              </c:pt>
              <c:pt idx="553">
                <c:v>-292.57169999999996</c:v>
              </c:pt>
              <c:pt idx="554">
                <c:v>-292.79830000000004</c:v>
              </c:pt>
              <c:pt idx="555">
                <c:v>-293.02479999999997</c:v>
              </c:pt>
              <c:pt idx="556">
                <c:v>-293.25139999999999</c:v>
              </c:pt>
              <c:pt idx="557">
                <c:v>-293.47900000000004</c:v>
              </c:pt>
              <c:pt idx="558">
                <c:v>-293.7056</c:v>
              </c:pt>
              <c:pt idx="559">
                <c:v>-293.93209999999999</c:v>
              </c:pt>
              <c:pt idx="560">
                <c:v>-294.15859999999998</c:v>
              </c:pt>
              <c:pt idx="561">
                <c:v>-294.38290000000001</c:v>
              </c:pt>
              <c:pt idx="562">
                <c:v>-294.60930000000002</c:v>
              </c:pt>
              <c:pt idx="563">
                <c:v>-294.83359999999999</c:v>
              </c:pt>
              <c:pt idx="564">
                <c:v>-295.05889999999999</c:v>
              </c:pt>
              <c:pt idx="565">
                <c:v>-295.28430000000003</c:v>
              </c:pt>
              <c:pt idx="566">
                <c:v>-295.50970000000001</c:v>
              </c:pt>
              <c:pt idx="567">
                <c:v>-295.73400000000004</c:v>
              </c:pt>
              <c:pt idx="568">
                <c:v>-295.96039999999999</c:v>
              </c:pt>
              <c:pt idx="569">
                <c:v>-296.18469999999996</c:v>
              </c:pt>
              <c:pt idx="570">
                <c:v>-296.41110000000003</c:v>
              </c:pt>
              <c:pt idx="571">
                <c:v>-296.63549999999998</c:v>
              </c:pt>
              <c:pt idx="572">
                <c:v>-296.86079999999998</c:v>
              </c:pt>
              <c:pt idx="573">
                <c:v>-297.08609999999999</c:v>
              </c:pt>
              <c:pt idx="574">
                <c:v>-297.31150000000002</c:v>
              </c:pt>
              <c:pt idx="575">
                <c:v>-297.5369</c:v>
              </c:pt>
              <c:pt idx="576">
                <c:v>-297.76229999999998</c:v>
              </c:pt>
              <c:pt idx="577">
                <c:v>-297.98660000000001</c:v>
              </c:pt>
              <c:pt idx="578">
                <c:v>-298.21299999999997</c:v>
              </c:pt>
              <c:pt idx="579">
                <c:v>-298.43730000000005</c:v>
              </c:pt>
              <c:pt idx="580">
                <c:v>-298.66379999999998</c:v>
              </c:pt>
              <c:pt idx="581">
                <c:v>-298.88810000000001</c:v>
              </c:pt>
              <c:pt idx="582">
                <c:v>-299.11349999999999</c:v>
              </c:pt>
              <c:pt idx="583">
                <c:v>-299.33879999999999</c:v>
              </c:pt>
              <c:pt idx="584">
                <c:v>-299.56420000000003</c:v>
              </c:pt>
              <c:pt idx="585">
                <c:v>-299.78949999999998</c:v>
              </c:pt>
              <c:pt idx="586">
                <c:v>-300.01499999999999</c:v>
              </c:pt>
              <c:pt idx="587">
                <c:v>-300.23939999999999</c:v>
              </c:pt>
              <c:pt idx="588">
                <c:v>-300.46569999999997</c:v>
              </c:pt>
              <c:pt idx="589">
                <c:v>-300.69010000000003</c:v>
              </c:pt>
              <c:pt idx="590">
                <c:v>-300.91650000000004</c:v>
              </c:pt>
              <c:pt idx="591">
                <c:v>-301.14080000000001</c:v>
              </c:pt>
              <c:pt idx="592">
                <c:v>-301.36629999999997</c:v>
              </c:pt>
              <c:pt idx="593">
                <c:v>-301.5917</c:v>
              </c:pt>
              <c:pt idx="594">
                <c:v>-301.81700000000001</c:v>
              </c:pt>
              <c:pt idx="595">
                <c:v>-302.04239999999999</c:v>
              </c:pt>
              <c:pt idx="596">
                <c:v>-302.26780000000002</c:v>
              </c:pt>
              <c:pt idx="597">
                <c:v>-302.49220000000003</c:v>
              </c:pt>
              <c:pt idx="598">
                <c:v>-302.71850000000001</c:v>
              </c:pt>
              <c:pt idx="599">
                <c:v>-302.94290000000001</c:v>
              </c:pt>
              <c:pt idx="600">
                <c:v>-303.16829999999999</c:v>
              </c:pt>
              <c:pt idx="601">
                <c:v>-303.39379999999994</c:v>
              </c:pt>
              <c:pt idx="602">
                <c:v>-303.61919999999998</c:v>
              </c:pt>
              <c:pt idx="603">
                <c:v>-303.84460000000001</c:v>
              </c:pt>
              <c:pt idx="604">
                <c:v>-304.06890000000004</c:v>
              </c:pt>
              <c:pt idx="605">
                <c:v>-304.2953</c:v>
              </c:pt>
              <c:pt idx="606">
                <c:v>-304.5197</c:v>
              </c:pt>
              <c:pt idx="607">
                <c:v>-304.74610000000001</c:v>
              </c:pt>
              <c:pt idx="608">
                <c:v>-304.97050000000002</c:v>
              </c:pt>
              <c:pt idx="609">
                <c:v>-305.19690000000003</c:v>
              </c:pt>
              <c:pt idx="610">
                <c:v>-305.42129999999997</c:v>
              </c:pt>
              <c:pt idx="611">
                <c:v>-305.64670000000001</c:v>
              </c:pt>
              <c:pt idx="612">
                <c:v>-305.87210000000005</c:v>
              </c:pt>
              <c:pt idx="613">
                <c:v>-306.09749999999997</c:v>
              </c:pt>
              <c:pt idx="614">
                <c:v>-306.32299999999998</c:v>
              </c:pt>
              <c:pt idx="615">
                <c:v>-306.54740000000004</c:v>
              </c:pt>
              <c:pt idx="616">
                <c:v>-306.77379999999999</c:v>
              </c:pt>
              <c:pt idx="617">
                <c:v>-306.9982</c:v>
              </c:pt>
              <c:pt idx="618">
                <c:v>-307.22360000000003</c:v>
              </c:pt>
              <c:pt idx="619">
                <c:v>-307.44899999999996</c:v>
              </c:pt>
              <c:pt idx="620">
                <c:v>-307.67439999999999</c:v>
              </c:pt>
              <c:pt idx="621">
                <c:v>-307.8999</c:v>
              </c:pt>
              <c:pt idx="622">
                <c:v>-308.12530000000004</c:v>
              </c:pt>
              <c:pt idx="623">
                <c:v>-308.34960000000001</c:v>
              </c:pt>
              <c:pt idx="624">
                <c:v>-308.57490000000001</c:v>
              </c:pt>
              <c:pt idx="625">
                <c:v>-308.79929999999996</c:v>
              </c:pt>
              <c:pt idx="626">
                <c:v>-309.02360000000004</c:v>
              </c:pt>
              <c:pt idx="627">
                <c:v>-309.24900000000002</c:v>
              </c:pt>
              <c:pt idx="628">
                <c:v>-309.47429999999997</c:v>
              </c:pt>
              <c:pt idx="629">
                <c:v>-309.69870000000003</c:v>
              </c:pt>
              <c:pt idx="630">
                <c:v>-309.923</c:v>
              </c:pt>
              <c:pt idx="631">
                <c:v>-310.1474</c:v>
              </c:pt>
              <c:pt idx="632">
                <c:v>-310.37270000000001</c:v>
              </c:pt>
              <c:pt idx="633">
                <c:v>-310.59809999999999</c:v>
              </c:pt>
              <c:pt idx="634">
                <c:v>-310.82240000000002</c:v>
              </c:pt>
              <c:pt idx="635">
                <c:v>-311.04780000000005</c:v>
              </c:pt>
              <c:pt idx="636">
                <c:v>-311.27210000000002</c:v>
              </c:pt>
              <c:pt idx="637">
                <c:v>-311.49649999999997</c:v>
              </c:pt>
              <c:pt idx="638">
                <c:v>-311.72179999999997</c:v>
              </c:pt>
              <c:pt idx="639">
                <c:v>-311.94720000000001</c:v>
              </c:pt>
              <c:pt idx="640">
                <c:v>-312.17160000000001</c:v>
              </c:pt>
              <c:pt idx="641">
                <c:v>-312.39589999999998</c:v>
              </c:pt>
              <c:pt idx="642">
                <c:v>-312.62029999999999</c:v>
              </c:pt>
              <c:pt idx="643">
                <c:v>-312.84570000000002</c:v>
              </c:pt>
              <c:pt idx="644">
                <c:v>-313.07100000000003</c:v>
              </c:pt>
              <c:pt idx="645">
                <c:v>-313.29539999999997</c:v>
              </c:pt>
              <c:pt idx="646">
                <c:v>-313.51980000000003</c:v>
              </c:pt>
              <c:pt idx="647">
                <c:v>-313.74510000000004</c:v>
              </c:pt>
              <c:pt idx="648">
                <c:v>-313.96949999999998</c:v>
              </c:pt>
              <c:pt idx="649">
                <c:v>-314.19389999999999</c:v>
              </c:pt>
              <c:pt idx="650">
                <c:v>-314.4203</c:v>
              </c:pt>
              <c:pt idx="651">
                <c:v>-314.64459999999997</c:v>
              </c:pt>
              <c:pt idx="652">
                <c:v>-314.86900000000003</c:v>
              </c:pt>
              <c:pt idx="653">
                <c:v>-315.09339999999997</c:v>
              </c:pt>
              <c:pt idx="654">
                <c:v>-315.31880000000001</c:v>
              </c:pt>
              <c:pt idx="655">
                <c:v>-315.54320000000001</c:v>
              </c:pt>
              <c:pt idx="656">
                <c:v>-315.76859999999999</c:v>
              </c:pt>
              <c:pt idx="657">
                <c:v>-315.99379999999996</c:v>
              </c:pt>
              <c:pt idx="658">
                <c:v>-316.21820000000002</c:v>
              </c:pt>
              <c:pt idx="659">
                <c:v>-316.44260000000003</c:v>
              </c:pt>
              <c:pt idx="660">
                <c:v>-316.66700000000003</c:v>
              </c:pt>
              <c:pt idx="661">
                <c:v>-316.89240000000001</c:v>
              </c:pt>
              <c:pt idx="662">
                <c:v>-317.11680000000001</c:v>
              </c:pt>
              <c:pt idx="663">
                <c:v>-317.34219999999999</c:v>
              </c:pt>
              <c:pt idx="664">
                <c:v>-317.56759999999997</c:v>
              </c:pt>
              <c:pt idx="665">
                <c:v>-317.79199999999997</c:v>
              </c:pt>
              <c:pt idx="666">
                <c:v>-318.01640000000003</c:v>
              </c:pt>
              <c:pt idx="667">
                <c:v>-318.24079999999998</c:v>
              </c:pt>
              <c:pt idx="668">
                <c:v>-318.46609999999998</c:v>
              </c:pt>
              <c:pt idx="669">
                <c:v>-318.69049999999999</c:v>
              </c:pt>
              <c:pt idx="670">
                <c:v>-318.91590000000002</c:v>
              </c:pt>
              <c:pt idx="671">
                <c:v>-319.1413</c:v>
              </c:pt>
              <c:pt idx="672">
                <c:v>-319.36580000000004</c:v>
              </c:pt>
              <c:pt idx="673">
                <c:v>-319.59019999999998</c:v>
              </c:pt>
              <c:pt idx="674">
                <c:v>-319.81560000000002</c:v>
              </c:pt>
              <c:pt idx="675">
                <c:v>-320.03999999999996</c:v>
              </c:pt>
              <c:pt idx="676">
                <c:v>-320.26440000000002</c:v>
              </c:pt>
              <c:pt idx="677">
                <c:v>-320.48970000000003</c:v>
              </c:pt>
              <c:pt idx="678">
                <c:v>-320.71519999999998</c:v>
              </c:pt>
              <c:pt idx="679">
                <c:v>-320.93960000000004</c:v>
              </c:pt>
              <c:pt idx="680">
                <c:v>-321.16399999999999</c:v>
              </c:pt>
              <c:pt idx="681">
                <c:v>-321.38940000000002</c:v>
              </c:pt>
              <c:pt idx="682">
                <c:v>-321.6139</c:v>
              </c:pt>
              <c:pt idx="683">
                <c:v>-321.8383</c:v>
              </c:pt>
              <c:pt idx="684">
                <c:v>-322.06360000000001</c:v>
              </c:pt>
              <c:pt idx="685">
                <c:v>-322.28900000000004</c:v>
              </c:pt>
              <c:pt idx="686">
                <c:v>-322.51350000000002</c:v>
              </c:pt>
              <c:pt idx="687">
                <c:v>-322.7389</c:v>
              </c:pt>
              <c:pt idx="688">
                <c:v>-322.9633</c:v>
              </c:pt>
              <c:pt idx="689">
                <c:v>-323.18780000000004</c:v>
              </c:pt>
              <c:pt idx="690">
                <c:v>-323.41309999999999</c:v>
              </c:pt>
              <c:pt idx="691">
                <c:v>-323.63760000000002</c:v>
              </c:pt>
              <c:pt idx="692">
                <c:v>-323.86199999999997</c:v>
              </c:pt>
              <c:pt idx="693">
                <c:v>-324.08839999999998</c:v>
              </c:pt>
              <c:pt idx="694">
                <c:v>-324.31289999999996</c:v>
              </c:pt>
              <c:pt idx="695">
                <c:v>-324.53720000000004</c:v>
              </c:pt>
              <c:pt idx="696">
                <c:v>-324.7627</c:v>
              </c:pt>
              <c:pt idx="697">
                <c:v>-324.9871</c:v>
              </c:pt>
              <c:pt idx="698">
                <c:v>-325.21159999999998</c:v>
              </c:pt>
              <c:pt idx="699">
                <c:v>-325.43700000000001</c:v>
              </c:pt>
              <c:pt idx="700">
                <c:v>-325.66140000000001</c:v>
              </c:pt>
              <c:pt idx="701">
                <c:v>-325.88589999999999</c:v>
              </c:pt>
              <c:pt idx="702">
                <c:v>-326.11129999999997</c:v>
              </c:pt>
              <c:pt idx="703">
                <c:v>-326.33679999999998</c:v>
              </c:pt>
              <c:pt idx="704">
                <c:v>-326.56119999999999</c:v>
              </c:pt>
              <c:pt idx="705">
                <c:v>-326.78660000000002</c:v>
              </c:pt>
              <c:pt idx="706">
                <c:v>-327.0111</c:v>
              </c:pt>
              <c:pt idx="707">
                <c:v>-327.2355</c:v>
              </c:pt>
              <c:pt idx="708">
                <c:v>-327.46100000000001</c:v>
              </c:pt>
              <c:pt idx="709">
                <c:v>-327.68540000000002</c:v>
              </c:pt>
              <c:pt idx="710">
                <c:v>-327.90980000000002</c:v>
              </c:pt>
              <c:pt idx="711">
                <c:v>-328.13530000000003</c:v>
              </c:pt>
              <c:pt idx="712">
                <c:v>-328.35910000000001</c:v>
              </c:pt>
              <c:pt idx="713">
                <c:v>-328.58359999999999</c:v>
              </c:pt>
              <c:pt idx="714">
                <c:v>-328.80810000000002</c:v>
              </c:pt>
              <c:pt idx="715">
                <c:v>-329.03149999999999</c:v>
              </c:pt>
              <c:pt idx="716">
                <c:v>-329.255</c:v>
              </c:pt>
              <c:pt idx="717">
                <c:v>-329.47850000000005</c:v>
              </c:pt>
              <c:pt idx="718">
                <c:v>-329.7029</c:v>
              </c:pt>
              <c:pt idx="719">
                <c:v>-329.9273</c:v>
              </c:pt>
              <c:pt idx="720">
                <c:v>-330.1508</c:v>
              </c:pt>
              <c:pt idx="721">
                <c:v>-330.37529999999998</c:v>
              </c:pt>
              <c:pt idx="722">
                <c:v>-330.59870000000001</c:v>
              </c:pt>
              <c:pt idx="723">
                <c:v>-330.82220000000001</c:v>
              </c:pt>
              <c:pt idx="724">
                <c:v>-331.04570000000001</c:v>
              </c:pt>
              <c:pt idx="725">
                <c:v>-331.27019999999999</c:v>
              </c:pt>
              <c:pt idx="726">
                <c:v>-331.48090000000002</c:v>
              </c:pt>
              <c:pt idx="727">
                <c:v>-331.68849999999998</c:v>
              </c:pt>
              <c:pt idx="728">
                <c:v>-331.89510000000001</c:v>
              </c:pt>
              <c:pt idx="729">
                <c:v>-332.1028</c:v>
              </c:pt>
              <c:pt idx="730">
                <c:v>-332.31029999999998</c:v>
              </c:pt>
              <c:pt idx="731">
                <c:v>-332.51689999999996</c:v>
              </c:pt>
              <c:pt idx="732">
                <c:v>-332.72450000000003</c:v>
              </c:pt>
              <c:pt idx="733">
                <c:v>-332.93310000000002</c:v>
              </c:pt>
              <c:pt idx="734">
                <c:v>-333.13979999999998</c:v>
              </c:pt>
              <c:pt idx="735">
                <c:v>-333.34739999999999</c:v>
              </c:pt>
              <c:pt idx="736">
                <c:v>-333.55500000000001</c:v>
              </c:pt>
              <c:pt idx="737">
                <c:v>-333.76160000000004</c:v>
              </c:pt>
              <c:pt idx="738">
                <c:v>-333.91770000000002</c:v>
              </c:pt>
              <c:pt idx="739">
                <c:v>-334.07310000000001</c:v>
              </c:pt>
              <c:pt idx="740">
                <c:v>-334.22829999999999</c:v>
              </c:pt>
              <c:pt idx="741">
                <c:v>-334.38369999999998</c:v>
              </c:pt>
              <c:pt idx="742">
                <c:v>-334.53909999999996</c:v>
              </c:pt>
              <c:pt idx="743">
                <c:v>-334.69349999999997</c:v>
              </c:pt>
              <c:pt idx="744">
                <c:v>-334.84889999999996</c:v>
              </c:pt>
              <c:pt idx="745">
                <c:v>-335.00420000000003</c:v>
              </c:pt>
              <c:pt idx="746">
                <c:v>-335.15960000000001</c:v>
              </c:pt>
              <c:pt idx="747">
                <c:v>-335.31489999999997</c:v>
              </c:pt>
              <c:pt idx="748">
                <c:v>-335.46930000000003</c:v>
              </c:pt>
              <c:pt idx="749">
                <c:v>-335.62470000000002</c:v>
              </c:pt>
              <c:pt idx="750">
                <c:v>-335.7801</c:v>
              </c:pt>
              <c:pt idx="751">
                <c:v>-335.93639999999999</c:v>
              </c:pt>
              <c:pt idx="752">
                <c:v>-336.09179999999998</c:v>
              </c:pt>
              <c:pt idx="753">
                <c:v>-336.24720000000002</c:v>
              </c:pt>
              <c:pt idx="754">
                <c:v>-336.4015</c:v>
              </c:pt>
              <c:pt idx="755">
                <c:v>-336.54290000000003</c:v>
              </c:pt>
              <c:pt idx="756">
                <c:v>-336.61429999999996</c:v>
              </c:pt>
              <c:pt idx="757">
                <c:v>-336.68560000000002</c:v>
              </c:pt>
              <c:pt idx="758">
                <c:v>-336.755</c:v>
              </c:pt>
              <c:pt idx="759">
                <c:v>-336.8263</c:v>
              </c:pt>
              <c:pt idx="760">
                <c:v>-336.89670000000001</c:v>
              </c:pt>
              <c:pt idx="761">
                <c:v>-336.96700000000004</c:v>
              </c:pt>
              <c:pt idx="762">
                <c:v>-337.03829999999999</c:v>
              </c:pt>
              <c:pt idx="763">
                <c:v>-337.10770000000002</c:v>
              </c:pt>
              <c:pt idx="764">
                <c:v>-337.17899999999997</c:v>
              </c:pt>
              <c:pt idx="765">
                <c:v>-337.24940000000004</c:v>
              </c:pt>
              <c:pt idx="766">
                <c:v>-337.31970000000001</c:v>
              </c:pt>
              <c:pt idx="767">
                <c:v>-337.39109999999999</c:v>
              </c:pt>
              <c:pt idx="768">
                <c:v>-337.46140000000003</c:v>
              </c:pt>
              <c:pt idx="769">
                <c:v>-337.5317</c:v>
              </c:pt>
              <c:pt idx="770">
                <c:v>-337.60210000000001</c:v>
              </c:pt>
              <c:pt idx="771">
                <c:v>-337.67340000000002</c:v>
              </c:pt>
              <c:pt idx="772">
                <c:v>-337.74270000000001</c:v>
              </c:pt>
              <c:pt idx="773">
                <c:v>-337.8141</c:v>
              </c:pt>
              <c:pt idx="774">
                <c:v>-337.88439999999997</c:v>
              </c:pt>
              <c:pt idx="775">
                <c:v>-337.9547</c:v>
              </c:pt>
              <c:pt idx="776">
                <c:v>-338.02610000000004</c:v>
              </c:pt>
              <c:pt idx="777">
                <c:v>-338.09530000000001</c:v>
              </c:pt>
              <c:pt idx="778">
                <c:v>-338.16669999999999</c:v>
              </c:pt>
              <c:pt idx="779">
                <c:v>-338.23809999999997</c:v>
              </c:pt>
              <c:pt idx="780">
                <c:v>-338.3073</c:v>
              </c:pt>
              <c:pt idx="781">
                <c:v>-338.37870000000004</c:v>
              </c:pt>
              <c:pt idx="782">
                <c:v>-338.44900000000001</c:v>
              </c:pt>
              <c:pt idx="783">
                <c:v>-338.51929999999999</c:v>
              </c:pt>
              <c:pt idx="784">
                <c:v>-338.58959999999996</c:v>
              </c:pt>
              <c:pt idx="785">
                <c:v>-338.65990000000005</c:v>
              </c:pt>
              <c:pt idx="786">
                <c:v>-338.7312</c:v>
              </c:pt>
              <c:pt idx="787">
                <c:v>-338.80150000000003</c:v>
              </c:pt>
              <c:pt idx="788">
                <c:v>-338.87189999999998</c:v>
              </c:pt>
              <c:pt idx="789">
                <c:v>-338.94209999999998</c:v>
              </c:pt>
              <c:pt idx="790">
                <c:v>-339.01339999999993</c:v>
              </c:pt>
              <c:pt idx="791">
                <c:v>-339.08280000000002</c:v>
              </c:pt>
              <c:pt idx="792">
                <c:v>-339.15409999999997</c:v>
              </c:pt>
              <c:pt idx="793">
                <c:v>-339.22429999999997</c:v>
              </c:pt>
              <c:pt idx="794">
                <c:v>-339.29469999999998</c:v>
              </c:pt>
              <c:pt idx="795">
                <c:v>-339.36600000000004</c:v>
              </c:pt>
              <c:pt idx="796">
                <c:v>-339.43529999999998</c:v>
              </c:pt>
              <c:pt idx="797">
                <c:v>-339.50650000000002</c:v>
              </c:pt>
              <c:pt idx="798">
                <c:v>-339.57690000000002</c:v>
              </c:pt>
              <c:pt idx="799">
                <c:v>-339.6472</c:v>
              </c:pt>
              <c:pt idx="800">
                <c:v>-339.71749999999997</c:v>
              </c:pt>
              <c:pt idx="801">
                <c:v>-339.78870000000001</c:v>
              </c:pt>
              <c:pt idx="802">
                <c:v>-339.858</c:v>
              </c:pt>
              <c:pt idx="803">
                <c:v>-339.92930000000001</c:v>
              </c:pt>
              <c:pt idx="804">
                <c:v>-340.00059999999996</c:v>
              </c:pt>
              <c:pt idx="805">
                <c:v>-340.06990000000002</c:v>
              </c:pt>
              <c:pt idx="806">
                <c:v>-340.14120000000003</c:v>
              </c:pt>
              <c:pt idx="807">
                <c:v>-340.21050000000002</c:v>
              </c:pt>
              <c:pt idx="808">
                <c:v>-340.28179999999998</c:v>
              </c:pt>
              <c:pt idx="809">
                <c:v>-340.35209999999995</c:v>
              </c:pt>
              <c:pt idx="810">
                <c:v>-340.42239999999998</c:v>
              </c:pt>
              <c:pt idx="811">
                <c:v>-340.49260000000004</c:v>
              </c:pt>
              <c:pt idx="812">
                <c:v>-340.56380000000001</c:v>
              </c:pt>
              <c:pt idx="813">
                <c:v>-340.63310000000001</c:v>
              </c:pt>
              <c:pt idx="814">
                <c:v>-340.70439999999996</c:v>
              </c:pt>
              <c:pt idx="815">
                <c:v>-340.77469999999994</c:v>
              </c:pt>
              <c:pt idx="816">
                <c:v>-340.84500000000003</c:v>
              </c:pt>
              <c:pt idx="817">
                <c:v>-340.9153</c:v>
              </c:pt>
              <c:pt idx="818">
                <c:v>-340.98649999999998</c:v>
              </c:pt>
              <c:pt idx="819">
                <c:v>-341.05669999999998</c:v>
              </c:pt>
              <c:pt idx="820">
                <c:v>-341.12699999999995</c:v>
              </c:pt>
              <c:pt idx="821">
                <c:v>-341.19730000000004</c:v>
              </c:pt>
              <c:pt idx="822">
                <c:v>-341.26760000000002</c:v>
              </c:pt>
              <c:pt idx="823">
                <c:v>-341.33879999999999</c:v>
              </c:pt>
              <c:pt idx="824">
                <c:v>-341.40809999999999</c:v>
              </c:pt>
              <c:pt idx="825">
                <c:v>-341.4794</c:v>
              </c:pt>
              <c:pt idx="826">
                <c:v>-341.54970000000003</c:v>
              </c:pt>
              <c:pt idx="827">
                <c:v>-341.61980000000005</c:v>
              </c:pt>
              <c:pt idx="828">
                <c:v>-341.69010000000003</c:v>
              </c:pt>
              <c:pt idx="829">
                <c:v>-341.76130000000001</c:v>
              </c:pt>
              <c:pt idx="830">
                <c:v>-341.8306</c:v>
              </c:pt>
              <c:pt idx="831">
                <c:v>-341.90190000000001</c:v>
              </c:pt>
              <c:pt idx="832">
                <c:v>-341.97210000000001</c:v>
              </c:pt>
              <c:pt idx="833">
                <c:v>-342.04239999999999</c:v>
              </c:pt>
              <c:pt idx="834">
                <c:v>-342.11259999999999</c:v>
              </c:pt>
              <c:pt idx="835">
                <c:v>-342.18150000000003</c:v>
              </c:pt>
              <c:pt idx="836">
                <c:v>-342.24779999999998</c:v>
              </c:pt>
              <c:pt idx="837">
                <c:v>-342.31399999999996</c:v>
              </c:pt>
              <c:pt idx="838">
                <c:v>-342.38119999999998</c:v>
              </c:pt>
              <c:pt idx="839">
                <c:v>-342.44639999999998</c:v>
              </c:pt>
              <c:pt idx="840">
                <c:v>-342.5136</c:v>
              </c:pt>
              <c:pt idx="841">
                <c:v>-342.57979999999998</c:v>
              </c:pt>
              <c:pt idx="842">
                <c:v>-342.63650000000001</c:v>
              </c:pt>
              <c:pt idx="843">
                <c:v>-342.6848</c:v>
              </c:pt>
              <c:pt idx="844">
                <c:v>-342.73220000000003</c:v>
              </c:pt>
              <c:pt idx="845">
                <c:v>-342.78149999999999</c:v>
              </c:pt>
              <c:pt idx="846">
                <c:v>-342.82979999999998</c:v>
              </c:pt>
              <c:pt idx="847">
                <c:v>-342.87810000000002</c:v>
              </c:pt>
              <c:pt idx="848">
                <c:v>-342.9264</c:v>
              </c:pt>
              <c:pt idx="849">
                <c:v>-342.97570000000002</c:v>
              </c:pt>
              <c:pt idx="850">
                <c:v>-343.02409999999998</c:v>
              </c:pt>
              <c:pt idx="851">
                <c:v>-343.07229999999998</c:v>
              </c:pt>
              <c:pt idx="852">
                <c:v>-343.1216</c:v>
              </c:pt>
              <c:pt idx="853">
                <c:v>-343.16999999999996</c:v>
              </c:pt>
              <c:pt idx="854">
                <c:v>-343.21820000000002</c:v>
              </c:pt>
              <c:pt idx="855">
                <c:v>-343.26760000000002</c:v>
              </c:pt>
              <c:pt idx="856">
                <c:v>-343.31590000000006</c:v>
              </c:pt>
              <c:pt idx="857">
                <c:v>-343.36410000000001</c:v>
              </c:pt>
              <c:pt idx="858">
                <c:v>-343.4135</c:v>
              </c:pt>
              <c:pt idx="859">
                <c:v>-343.46170000000001</c:v>
              </c:pt>
              <c:pt idx="860">
                <c:v>-343.51010000000002</c:v>
              </c:pt>
              <c:pt idx="861">
                <c:v>-343.55939999999998</c:v>
              </c:pt>
              <c:pt idx="862">
                <c:v>-343.60769999999997</c:v>
              </c:pt>
              <c:pt idx="863">
                <c:v>-343.65600000000001</c:v>
              </c:pt>
              <c:pt idx="864">
                <c:v>-343.70420000000001</c:v>
              </c:pt>
              <c:pt idx="865">
                <c:v>-343.75360000000001</c:v>
              </c:pt>
              <c:pt idx="866">
                <c:v>-343.80180000000001</c:v>
              </c:pt>
              <c:pt idx="867">
                <c:v>-343.85019999999997</c:v>
              </c:pt>
              <c:pt idx="868">
                <c:v>-343.89839999999998</c:v>
              </c:pt>
              <c:pt idx="869">
                <c:v>-343.94670000000002</c:v>
              </c:pt>
              <c:pt idx="870">
                <c:v>-343.995</c:v>
              </c:pt>
              <c:pt idx="871">
                <c:v>-344.04429999999996</c:v>
              </c:pt>
              <c:pt idx="872">
                <c:v>-344.0926</c:v>
              </c:pt>
              <c:pt idx="873">
                <c:v>-344.13189999999997</c:v>
              </c:pt>
              <c:pt idx="874">
                <c:v>-344.12610000000001</c:v>
              </c:pt>
              <c:pt idx="875">
                <c:v>-344.12139999999999</c:v>
              </c:pt>
              <c:pt idx="876">
                <c:v>-344.1155</c:v>
              </c:pt>
              <c:pt idx="877">
                <c:v>-344.11070000000001</c:v>
              </c:pt>
              <c:pt idx="878">
                <c:v>-344.10490000000004</c:v>
              </c:pt>
              <c:pt idx="879">
                <c:v>-344.1001</c:v>
              </c:pt>
              <c:pt idx="880">
                <c:v>-344.09519999999998</c:v>
              </c:pt>
              <c:pt idx="881">
                <c:v>-344.08940000000001</c:v>
              </c:pt>
              <c:pt idx="882">
                <c:v>-344.08359999999999</c:v>
              </c:pt>
              <c:pt idx="883">
                <c:v>-344.07870000000003</c:v>
              </c:pt>
              <c:pt idx="884">
                <c:v>-344.07389999999998</c:v>
              </c:pt>
              <c:pt idx="885">
                <c:v>-344.06900000000002</c:v>
              </c:pt>
              <c:pt idx="886">
                <c:v>-344.06220000000002</c:v>
              </c:pt>
              <c:pt idx="887">
                <c:v>-344.05740000000003</c:v>
              </c:pt>
              <c:pt idx="888">
                <c:v>-344.05250000000001</c:v>
              </c:pt>
              <c:pt idx="889">
                <c:v>-344.04770000000002</c:v>
              </c:pt>
              <c:pt idx="890">
                <c:v>-344.0428</c:v>
              </c:pt>
              <c:pt idx="891">
                <c:v>-344.036</c:v>
              </c:pt>
              <c:pt idx="892">
                <c:v>-344.03109999999998</c:v>
              </c:pt>
              <c:pt idx="893">
                <c:v>-344.02629999999999</c:v>
              </c:pt>
              <c:pt idx="894">
                <c:v>-344.02139999999997</c:v>
              </c:pt>
              <c:pt idx="895">
                <c:v>-344.01550000000003</c:v>
              </c:pt>
              <c:pt idx="896">
                <c:v>-344.00960000000003</c:v>
              </c:pt>
              <c:pt idx="897">
                <c:v>-344.00479999999999</c:v>
              </c:pt>
              <c:pt idx="898">
                <c:v>-343.99990000000003</c:v>
              </c:pt>
              <c:pt idx="899">
                <c:v>-343.9941</c:v>
              </c:pt>
              <c:pt idx="900">
                <c:v>-343.98919999999998</c:v>
              </c:pt>
              <c:pt idx="901">
                <c:v>-343.98320000000001</c:v>
              </c:pt>
              <c:pt idx="902">
                <c:v>-343.97840000000002</c:v>
              </c:pt>
              <c:pt idx="903">
                <c:v>-343.97249999999997</c:v>
              </c:pt>
              <c:pt idx="904">
                <c:v>-343.9676</c:v>
              </c:pt>
              <c:pt idx="905">
                <c:v>-343.96280000000002</c:v>
              </c:pt>
              <c:pt idx="906">
                <c:v>-343.95680000000004</c:v>
              </c:pt>
              <c:pt idx="907">
                <c:v>-343.95089999999999</c:v>
              </c:pt>
              <c:pt idx="908">
                <c:v>-343.94600000000003</c:v>
              </c:pt>
              <c:pt idx="909">
                <c:v>-343.94110000000001</c:v>
              </c:pt>
              <c:pt idx="910">
                <c:v>-343.93619999999999</c:v>
              </c:pt>
              <c:pt idx="911">
                <c:v>-343.92930000000001</c:v>
              </c:pt>
              <c:pt idx="912">
                <c:v>-343.92430000000002</c:v>
              </c:pt>
              <c:pt idx="913">
                <c:v>-343.91950000000003</c:v>
              </c:pt>
              <c:pt idx="914">
                <c:v>-343.9135</c:v>
              </c:pt>
              <c:pt idx="915">
                <c:v>-343.90280000000001</c:v>
              </c:pt>
              <c:pt idx="916">
                <c:v>-343.89209999999997</c:v>
              </c:pt>
              <c:pt idx="917">
                <c:v>-343.88139999999999</c:v>
              </c:pt>
              <c:pt idx="918">
                <c:v>-343.87079999999997</c:v>
              </c:pt>
              <c:pt idx="919">
                <c:v>-343.86099999999999</c:v>
              </c:pt>
              <c:pt idx="920">
                <c:v>-343.8503</c:v>
              </c:pt>
              <c:pt idx="921">
                <c:v>-343.83969999999999</c:v>
              </c:pt>
              <c:pt idx="922">
                <c:v>-343.82889999999998</c:v>
              </c:pt>
              <c:pt idx="923">
                <c:v>-343.81830000000002</c:v>
              </c:pt>
              <c:pt idx="924">
                <c:v>-343.8075</c:v>
              </c:pt>
              <c:pt idx="925">
                <c:v>-343.7978</c:v>
              </c:pt>
              <c:pt idx="926">
                <c:v>-343.78229999999996</c:v>
              </c:pt>
              <c:pt idx="927">
                <c:v>-343.74789999999996</c:v>
              </c:pt>
              <c:pt idx="928">
                <c:v>-343.71350000000001</c:v>
              </c:pt>
              <c:pt idx="929">
                <c:v>-343.67809999999997</c:v>
              </c:pt>
              <c:pt idx="930">
                <c:v>-343.6447</c:v>
              </c:pt>
              <c:pt idx="931">
                <c:v>-343.60930000000002</c:v>
              </c:pt>
              <c:pt idx="932">
                <c:v>-343.57600000000002</c:v>
              </c:pt>
              <c:pt idx="933">
                <c:v>-343.54050000000001</c:v>
              </c:pt>
              <c:pt idx="934">
                <c:v>-343.50609999999995</c:v>
              </c:pt>
              <c:pt idx="935">
                <c:v>-343.47179999999997</c:v>
              </c:pt>
              <c:pt idx="936">
                <c:v>-343.43740000000003</c:v>
              </c:pt>
              <c:pt idx="937">
                <c:v>-343.40190000000001</c:v>
              </c:pt>
              <c:pt idx="938">
                <c:v>-343.36860000000001</c:v>
              </c:pt>
              <c:pt idx="939">
                <c:v>-343.33320000000003</c:v>
              </c:pt>
              <c:pt idx="940">
                <c:v>-343.29880000000003</c:v>
              </c:pt>
              <c:pt idx="941">
                <c:v>-343.26440000000002</c:v>
              </c:pt>
              <c:pt idx="942">
                <c:v>-343.23</c:v>
              </c:pt>
              <c:pt idx="943">
                <c:v>-343.19460000000004</c:v>
              </c:pt>
              <c:pt idx="944">
                <c:v>-343.16129999999998</c:v>
              </c:pt>
              <c:pt idx="945">
                <c:v>-343.1259</c:v>
              </c:pt>
              <c:pt idx="946">
                <c:v>-343.0915</c:v>
              </c:pt>
              <c:pt idx="947">
                <c:v>-343.05709999999999</c:v>
              </c:pt>
              <c:pt idx="948">
                <c:v>-343.02279999999996</c:v>
              </c:pt>
              <c:pt idx="949">
                <c:v>-342.98739999999998</c:v>
              </c:pt>
              <c:pt idx="950">
                <c:v>-342.95399999999995</c:v>
              </c:pt>
              <c:pt idx="951">
                <c:v>-342.91859999999997</c:v>
              </c:pt>
              <c:pt idx="952">
                <c:v>-342.8843</c:v>
              </c:pt>
              <c:pt idx="953">
                <c:v>-342.84890000000001</c:v>
              </c:pt>
              <c:pt idx="954">
                <c:v>-342.81540000000001</c:v>
              </c:pt>
              <c:pt idx="955">
                <c:v>-342.7801</c:v>
              </c:pt>
              <c:pt idx="956">
                <c:v>-342.74470000000002</c:v>
              </c:pt>
              <c:pt idx="957">
                <c:v>-342.71140000000003</c:v>
              </c:pt>
              <c:pt idx="958">
                <c:v>-342.67600000000004</c:v>
              </c:pt>
              <c:pt idx="959">
                <c:v>-342.64170000000001</c:v>
              </c:pt>
              <c:pt idx="960">
                <c:v>-342.6062</c:v>
              </c:pt>
              <c:pt idx="961">
                <c:v>-342.5729</c:v>
              </c:pt>
              <c:pt idx="962">
                <c:v>-342.5376</c:v>
              </c:pt>
              <c:pt idx="963">
                <c:v>-342.50310000000002</c:v>
              </c:pt>
              <c:pt idx="964">
                <c:v>-342.46780000000001</c:v>
              </c:pt>
              <c:pt idx="965">
                <c:v>-342.43450000000001</c:v>
              </c:pt>
              <c:pt idx="966">
                <c:v>-342.399</c:v>
              </c:pt>
              <c:pt idx="967">
                <c:v>-342.36469999999997</c:v>
              </c:pt>
              <c:pt idx="968">
                <c:v>-342.32929999999999</c:v>
              </c:pt>
              <c:pt idx="969">
                <c:v>-342.29599999999999</c:v>
              </c:pt>
              <c:pt idx="970">
                <c:v>-342.26060000000001</c:v>
              </c:pt>
              <c:pt idx="971">
                <c:v>-342.22629999999998</c:v>
              </c:pt>
              <c:pt idx="972">
                <c:v>-342.1909</c:v>
              </c:pt>
              <c:pt idx="973">
                <c:v>-342.15660000000003</c:v>
              </c:pt>
              <c:pt idx="974">
                <c:v>-342.12220000000002</c:v>
              </c:pt>
              <c:pt idx="975">
                <c:v>-342.08789999999999</c:v>
              </c:pt>
              <c:pt idx="976">
                <c:v>-342.05250000000001</c:v>
              </c:pt>
              <c:pt idx="977">
                <c:v>-342.0181</c:v>
              </c:pt>
              <c:pt idx="978">
                <c:v>-341.9828</c:v>
              </c:pt>
              <c:pt idx="979">
                <c:v>-341.94939999999997</c:v>
              </c:pt>
              <c:pt idx="980">
                <c:v>-341.91409999999996</c:v>
              </c:pt>
              <c:pt idx="981">
                <c:v>-341.87969999999996</c:v>
              </c:pt>
              <c:pt idx="982">
                <c:v>-341.84440000000001</c:v>
              </c:pt>
              <c:pt idx="983">
                <c:v>-341.80899999999997</c:v>
              </c:pt>
              <c:pt idx="984">
                <c:v>-341.7747</c:v>
              </c:pt>
              <c:pt idx="985">
                <c:v>-341.74030000000005</c:v>
              </c:pt>
              <c:pt idx="986">
                <c:v>-341.70600000000002</c:v>
              </c:pt>
              <c:pt idx="987">
                <c:v>-341.67060000000004</c:v>
              </c:pt>
              <c:pt idx="988">
                <c:v>-341.63619999999997</c:v>
              </c:pt>
              <c:pt idx="989">
                <c:v>-341.601</c:v>
              </c:pt>
              <c:pt idx="990">
                <c:v>-341.56659999999999</c:v>
              </c:pt>
              <c:pt idx="991">
                <c:v>-341.53129999999999</c:v>
              </c:pt>
              <c:pt idx="992">
                <c:v>-341.49800000000005</c:v>
              </c:pt>
              <c:pt idx="993">
                <c:v>-341.46260000000001</c:v>
              </c:pt>
              <c:pt idx="994">
                <c:v>-341.4282</c:v>
              </c:pt>
              <c:pt idx="995">
                <c:v>-341.3929</c:v>
              </c:pt>
              <c:pt idx="996">
                <c:v>-341.35850000000005</c:v>
              </c:pt>
              <c:pt idx="997">
                <c:v>-341.32319999999999</c:v>
              </c:pt>
              <c:pt idx="998">
                <c:v>-341.28789999999998</c:v>
              </c:pt>
              <c:pt idx="999">
                <c:v>-341.25360000000001</c:v>
              </c:pt>
              <c:pt idx="1000">
                <c:v>-341.2183</c:v>
              </c:pt>
              <c:pt idx="1001">
                <c:v>-341.1848</c:v>
              </c:pt>
              <c:pt idx="1002">
                <c:v>-341.14949999999999</c:v>
              </c:pt>
              <c:pt idx="1003">
                <c:v>-341.11519999999996</c:v>
              </c:pt>
              <c:pt idx="1004">
                <c:v>-341.05959999999999</c:v>
              </c:pt>
              <c:pt idx="1005">
                <c:v>-340.99379999999996</c:v>
              </c:pt>
              <c:pt idx="1006">
                <c:v>-340.92910000000001</c:v>
              </c:pt>
              <c:pt idx="1007">
                <c:v>-340.86159999999995</c:v>
              </c:pt>
              <c:pt idx="1008">
                <c:v>-340.74579999999997</c:v>
              </c:pt>
              <c:pt idx="1009">
                <c:v>-340.63200000000001</c:v>
              </c:pt>
              <c:pt idx="1010">
                <c:v>-340.51620000000003</c:v>
              </c:pt>
              <c:pt idx="1011">
                <c:v>-340.38470000000001</c:v>
              </c:pt>
              <c:pt idx="1012">
                <c:v>-340.1977</c:v>
              </c:pt>
              <c:pt idx="1013">
                <c:v>-339.97899999999998</c:v>
              </c:pt>
              <c:pt idx="1014">
                <c:v>-339.76030000000003</c:v>
              </c:pt>
              <c:pt idx="1015">
                <c:v>-339.54070000000002</c:v>
              </c:pt>
              <c:pt idx="1016">
                <c:v>-339.32100000000003</c:v>
              </c:pt>
              <c:pt idx="1017">
                <c:v>-339.10230000000001</c:v>
              </c:pt>
              <c:pt idx="1018">
                <c:v>-338.88370000000003</c:v>
              </c:pt>
              <c:pt idx="1019">
                <c:v>-338.66500000000002</c:v>
              </c:pt>
              <c:pt idx="1020">
                <c:v>-338.44630000000001</c:v>
              </c:pt>
              <c:pt idx="1021">
                <c:v>-338.22660000000002</c:v>
              </c:pt>
              <c:pt idx="1022">
                <c:v>-338.00690000000003</c:v>
              </c:pt>
              <c:pt idx="1023">
                <c:v>-337.78820000000002</c:v>
              </c:pt>
              <c:pt idx="1024">
                <c:v>-337.56950000000001</c:v>
              </c:pt>
              <c:pt idx="1025">
                <c:v>-337.34969999999998</c:v>
              </c:pt>
              <c:pt idx="1026">
                <c:v>-337.13099999999997</c:v>
              </c:pt>
              <c:pt idx="1027">
                <c:v>-336.91230000000002</c:v>
              </c:pt>
              <c:pt idx="1028">
                <c:v>-336.69350000000003</c:v>
              </c:pt>
              <c:pt idx="1029">
                <c:v>-336.47370000000001</c:v>
              </c:pt>
              <c:pt idx="1030">
                <c:v>-336.25400000000002</c:v>
              </c:pt>
              <c:pt idx="1031">
                <c:v>-336.03519999999997</c:v>
              </c:pt>
              <c:pt idx="1032">
                <c:v>-335.81549999999999</c:v>
              </c:pt>
              <c:pt idx="1033">
                <c:v>-335.59660000000002</c:v>
              </c:pt>
              <c:pt idx="1034">
                <c:v>-335.37790000000001</c:v>
              </c:pt>
              <c:pt idx="1035">
                <c:v>-335.15809999999999</c:v>
              </c:pt>
              <c:pt idx="1036">
                <c:v>-334.9393</c:v>
              </c:pt>
              <c:pt idx="1037">
                <c:v>-334.72039999999998</c:v>
              </c:pt>
              <c:pt idx="1038">
                <c:v>-334.5016</c:v>
              </c:pt>
              <c:pt idx="1039">
                <c:v>-334.28090000000003</c:v>
              </c:pt>
              <c:pt idx="1040">
                <c:v>-334.06200000000001</c:v>
              </c:pt>
              <c:pt idx="1041">
                <c:v>-333.84320000000002</c:v>
              </c:pt>
              <c:pt idx="1042">
                <c:v>-333.6234</c:v>
              </c:pt>
              <c:pt idx="1043">
                <c:v>-333.40449999999998</c:v>
              </c:pt>
              <c:pt idx="1044">
                <c:v>-333.18560000000002</c:v>
              </c:pt>
              <c:pt idx="1045">
                <c:v>-332.9658</c:v>
              </c:pt>
              <c:pt idx="1046">
                <c:v>-332.74689999999998</c:v>
              </c:pt>
              <c:pt idx="1047">
                <c:v>-332.52809999999999</c:v>
              </c:pt>
              <c:pt idx="1048">
                <c:v>-332.30809999999997</c:v>
              </c:pt>
              <c:pt idx="1049">
                <c:v>-332.0883</c:v>
              </c:pt>
              <c:pt idx="1050">
                <c:v>-331.86829999999998</c:v>
              </c:pt>
              <c:pt idx="1051">
                <c:v>-331.64949999999999</c:v>
              </c:pt>
              <c:pt idx="1052">
                <c:v>-331.43059999999997</c:v>
              </c:pt>
              <c:pt idx="1053">
                <c:v>-331.21070000000003</c:v>
              </c:pt>
              <c:pt idx="1054">
                <c:v>-330.99169999999998</c:v>
              </c:pt>
              <c:pt idx="1055">
                <c:v>-330.77280000000002</c:v>
              </c:pt>
              <c:pt idx="1056">
                <c:v>-330.55289999999997</c:v>
              </c:pt>
              <c:pt idx="1057">
                <c:v>-330.334</c:v>
              </c:pt>
              <c:pt idx="1058">
                <c:v>-330.11400000000003</c:v>
              </c:pt>
              <c:pt idx="1059">
                <c:v>-329.89510000000001</c:v>
              </c:pt>
              <c:pt idx="1060">
                <c:v>-329.67610000000002</c:v>
              </c:pt>
              <c:pt idx="1061">
                <c:v>-329.45609999999999</c:v>
              </c:pt>
              <c:pt idx="1062">
                <c:v>-329.2362</c:v>
              </c:pt>
              <c:pt idx="1063">
                <c:v>-329.01619999999997</c:v>
              </c:pt>
              <c:pt idx="1064">
                <c:v>-328.79730000000001</c:v>
              </c:pt>
              <c:pt idx="1065">
                <c:v>-328.57730000000004</c:v>
              </c:pt>
              <c:pt idx="1066">
                <c:v>-328.35820000000001</c:v>
              </c:pt>
              <c:pt idx="1067">
                <c:v>-328.13919999999996</c:v>
              </c:pt>
              <c:pt idx="1068">
                <c:v>-327.91930000000002</c:v>
              </c:pt>
              <c:pt idx="1069">
                <c:v>-327.7002</c:v>
              </c:pt>
              <c:pt idx="1070">
                <c:v>-327.48020000000002</c:v>
              </c:pt>
              <c:pt idx="1071">
                <c:v>-327.26120000000003</c:v>
              </c:pt>
              <c:pt idx="1072">
                <c:v>-327.0412</c:v>
              </c:pt>
              <c:pt idx="1073">
                <c:v>-326.82209999999998</c:v>
              </c:pt>
              <c:pt idx="1074">
                <c:v>-326.60199999999998</c:v>
              </c:pt>
              <c:pt idx="1075">
                <c:v>-326.38290000000001</c:v>
              </c:pt>
              <c:pt idx="1076">
                <c:v>-326.16290000000004</c:v>
              </c:pt>
              <c:pt idx="1077">
                <c:v>-325.94389999999999</c:v>
              </c:pt>
              <c:pt idx="1078">
                <c:v>-325.72379999999998</c:v>
              </c:pt>
              <c:pt idx="1079">
                <c:v>-325.50470000000001</c:v>
              </c:pt>
              <c:pt idx="1080">
                <c:v>-325.28459999999995</c:v>
              </c:pt>
              <c:pt idx="1081">
                <c:v>-325.06450000000001</c:v>
              </c:pt>
              <c:pt idx="1082">
                <c:v>-324.84440000000001</c:v>
              </c:pt>
              <c:pt idx="1083">
                <c:v>-324.62530000000004</c:v>
              </c:pt>
              <c:pt idx="1084">
                <c:v>-324.40520000000004</c:v>
              </c:pt>
              <c:pt idx="1085">
                <c:v>-324.18599999999998</c:v>
              </c:pt>
              <c:pt idx="1086">
                <c:v>-323.96590000000003</c:v>
              </c:pt>
              <c:pt idx="1087">
                <c:v>-323.74680000000001</c:v>
              </c:pt>
              <c:pt idx="1088">
                <c:v>-323.52659999999997</c:v>
              </c:pt>
              <c:pt idx="1089">
                <c:v>-323.3075</c:v>
              </c:pt>
              <c:pt idx="1090">
                <c:v>-323.08729999999997</c:v>
              </c:pt>
              <c:pt idx="1091">
                <c:v>-322.8682</c:v>
              </c:pt>
              <c:pt idx="1092">
                <c:v>-322.64800000000002</c:v>
              </c:pt>
              <c:pt idx="1093">
                <c:v>-322.4289</c:v>
              </c:pt>
              <c:pt idx="1094">
                <c:v>-322.20870000000002</c:v>
              </c:pt>
              <c:pt idx="1095">
                <c:v>-321.98950000000002</c:v>
              </c:pt>
              <c:pt idx="1096">
                <c:v>-321.76929999999999</c:v>
              </c:pt>
              <c:pt idx="1097">
                <c:v>-321.54910000000001</c:v>
              </c:pt>
              <c:pt idx="1098">
                <c:v>-321.32990000000001</c:v>
              </c:pt>
              <c:pt idx="1099">
                <c:v>-321.1096</c:v>
              </c:pt>
              <c:pt idx="1100">
                <c:v>-320.8904</c:v>
              </c:pt>
              <c:pt idx="1101">
                <c:v>-320.67020000000002</c:v>
              </c:pt>
              <c:pt idx="1102">
                <c:v>-320.45</c:v>
              </c:pt>
              <c:pt idx="1103">
                <c:v>-320.23080000000004</c:v>
              </c:pt>
              <c:pt idx="1104">
                <c:v>-320.01060000000001</c:v>
              </c:pt>
              <c:pt idx="1105">
                <c:v>-319.79129999999998</c:v>
              </c:pt>
              <c:pt idx="1106">
                <c:v>-319.57099999999997</c:v>
              </c:pt>
              <c:pt idx="1107">
                <c:v>-319.35079999999999</c:v>
              </c:pt>
              <c:pt idx="1108">
                <c:v>-319.13139999999999</c:v>
              </c:pt>
              <c:pt idx="1109">
                <c:v>-318.91120000000001</c:v>
              </c:pt>
              <c:pt idx="1110">
                <c:v>-318.69190000000003</c:v>
              </c:pt>
              <c:pt idx="1111">
                <c:v>-318.4717</c:v>
              </c:pt>
              <c:pt idx="1112">
                <c:v>-318.25130000000001</c:v>
              </c:pt>
              <c:pt idx="1113">
                <c:v>-318.03210000000001</c:v>
              </c:pt>
              <c:pt idx="1114">
                <c:v>-317.81170000000003</c:v>
              </c:pt>
              <c:pt idx="1115">
                <c:v>-317.59140000000002</c:v>
              </c:pt>
              <c:pt idx="1116">
                <c:v>-317.37209999999999</c:v>
              </c:pt>
              <c:pt idx="1117">
                <c:v>-317.15170000000001</c:v>
              </c:pt>
              <c:pt idx="1118">
                <c:v>-316.9314</c:v>
              </c:pt>
              <c:pt idx="1119">
                <c:v>-316.71199999999999</c:v>
              </c:pt>
              <c:pt idx="1120">
                <c:v>-316.49270000000001</c:v>
              </c:pt>
              <c:pt idx="1121">
                <c:v>-316.27240000000006</c:v>
              </c:pt>
              <c:pt idx="1122">
                <c:v>-316.053</c:v>
              </c:pt>
              <c:pt idx="1123">
                <c:v>-315.83269999999999</c:v>
              </c:pt>
              <c:pt idx="1124">
                <c:v>-315.6123</c:v>
              </c:pt>
              <c:pt idx="1125">
                <c:v>-315.3929</c:v>
              </c:pt>
              <c:pt idx="1126">
                <c:v>-315.17230000000001</c:v>
              </c:pt>
              <c:pt idx="1127">
                <c:v>-314.95190000000002</c:v>
              </c:pt>
              <c:pt idx="1128">
                <c:v>-314.73159999999996</c:v>
              </c:pt>
              <c:pt idx="1129">
                <c:v>-314.51220000000001</c:v>
              </c:pt>
              <c:pt idx="1130">
                <c:v>-314.2919</c:v>
              </c:pt>
              <c:pt idx="1131">
                <c:v>-314.07139999999998</c:v>
              </c:pt>
              <c:pt idx="1132">
                <c:v>-313.85209999999995</c:v>
              </c:pt>
              <c:pt idx="1133">
                <c:v>-313.63170000000002</c:v>
              </c:pt>
              <c:pt idx="1134">
                <c:v>-313.41130000000004</c:v>
              </c:pt>
              <c:pt idx="1135">
                <c:v>-313.19080000000002</c:v>
              </c:pt>
              <c:pt idx="1136">
                <c:v>-312.97160000000002</c:v>
              </c:pt>
              <c:pt idx="1137">
                <c:v>-312.75119999999998</c:v>
              </c:pt>
              <c:pt idx="1138">
                <c:v>-312.53069999999997</c:v>
              </c:pt>
              <c:pt idx="1139">
                <c:v>-312.31040000000002</c:v>
              </c:pt>
              <c:pt idx="1140">
                <c:v>-312.09100000000001</c:v>
              </c:pt>
              <c:pt idx="1141">
                <c:v>-311.87039999999996</c:v>
              </c:pt>
              <c:pt idx="1142">
                <c:v>-311.65000000000003</c:v>
              </c:pt>
              <c:pt idx="1143">
                <c:v>-311.42969999999997</c:v>
              </c:pt>
              <c:pt idx="1144">
                <c:v>-311.21030000000002</c:v>
              </c:pt>
              <c:pt idx="1145">
                <c:v>-310.98969999999997</c:v>
              </c:pt>
              <c:pt idx="1146">
                <c:v>-310.76929999999999</c:v>
              </c:pt>
              <c:pt idx="1147">
                <c:v>-310.5489</c:v>
              </c:pt>
              <c:pt idx="1148">
                <c:v>-310.32849999999996</c:v>
              </c:pt>
              <c:pt idx="1149">
                <c:v>-310.10910000000001</c:v>
              </c:pt>
              <c:pt idx="1150">
                <c:v>-309.88850000000002</c:v>
              </c:pt>
              <c:pt idx="1151">
                <c:v>-309.66800000000001</c:v>
              </c:pt>
              <c:pt idx="1152">
                <c:v>-309.44759999999997</c:v>
              </c:pt>
              <c:pt idx="1153">
                <c:v>-309.22709999999995</c:v>
              </c:pt>
              <c:pt idx="1154">
                <c:v>-309.00759999999997</c:v>
              </c:pt>
              <c:pt idx="1155">
                <c:v>-308.78710000000001</c:v>
              </c:pt>
              <c:pt idx="1156">
                <c:v>-308.56659999999999</c:v>
              </c:pt>
              <c:pt idx="1157">
                <c:v>-308.34609999999998</c:v>
              </c:pt>
              <c:pt idx="1158">
                <c:v>-308.12560000000002</c:v>
              </c:pt>
              <c:pt idx="1159">
                <c:v>-307.90509999999995</c:v>
              </c:pt>
              <c:pt idx="1160">
                <c:v>-307.68560000000002</c:v>
              </c:pt>
              <c:pt idx="1161">
                <c:v>-307.46510000000001</c:v>
              </c:pt>
              <c:pt idx="1162">
                <c:v>-307.24459999999999</c:v>
              </c:pt>
              <c:pt idx="1163">
                <c:v>-307.02409999999998</c:v>
              </c:pt>
              <c:pt idx="1164">
                <c:v>-306.80349999999999</c:v>
              </c:pt>
              <c:pt idx="1165">
                <c:v>-306.58299999999997</c:v>
              </c:pt>
              <c:pt idx="1166">
                <c:v>-306.36259999999999</c:v>
              </c:pt>
              <c:pt idx="1167">
                <c:v>-306.14300000000003</c:v>
              </c:pt>
              <c:pt idx="1168">
                <c:v>-305.92249999999996</c:v>
              </c:pt>
              <c:pt idx="1169">
                <c:v>-305.70190000000002</c:v>
              </c:pt>
              <c:pt idx="1170">
                <c:v>-305.4812</c:v>
              </c:pt>
              <c:pt idx="1171">
                <c:v>-305.26079999999996</c:v>
              </c:pt>
              <c:pt idx="1172">
                <c:v>-305.04020000000003</c:v>
              </c:pt>
              <c:pt idx="1173">
                <c:v>-304.81959999999998</c:v>
              </c:pt>
              <c:pt idx="1174">
                <c:v>-304.59899999999999</c:v>
              </c:pt>
              <c:pt idx="1175">
                <c:v>-304.37840000000006</c:v>
              </c:pt>
              <c:pt idx="1176">
                <c:v>-304.15789999999998</c:v>
              </c:pt>
              <c:pt idx="1177">
                <c:v>-303.93729999999999</c:v>
              </c:pt>
              <c:pt idx="1178">
                <c:v>-303.71780000000001</c:v>
              </c:pt>
              <c:pt idx="1179">
                <c:v>-303.49700000000001</c:v>
              </c:pt>
              <c:pt idx="1180">
                <c:v>-303.27639999999997</c:v>
              </c:pt>
              <c:pt idx="1181">
                <c:v>-303.05590000000001</c:v>
              </c:pt>
              <c:pt idx="1182">
                <c:v>-302.83519999999999</c:v>
              </c:pt>
              <c:pt idx="1183">
                <c:v>-302.61470000000003</c:v>
              </c:pt>
              <c:pt idx="1184">
                <c:v>-302.39400000000001</c:v>
              </c:pt>
              <c:pt idx="1185">
                <c:v>-302.17340000000002</c:v>
              </c:pt>
              <c:pt idx="1186">
                <c:v>-301.95269999999999</c:v>
              </c:pt>
              <c:pt idx="1187">
                <c:v>-301.73220000000003</c:v>
              </c:pt>
              <c:pt idx="1188">
                <c:v>-301.51140000000004</c:v>
              </c:pt>
              <c:pt idx="1189">
                <c:v>-301.29090000000002</c:v>
              </c:pt>
              <c:pt idx="1190">
                <c:v>-301.07010000000002</c:v>
              </c:pt>
              <c:pt idx="1191">
                <c:v>-300.84950000000003</c:v>
              </c:pt>
              <c:pt idx="1192">
                <c:v>-300.62880000000001</c:v>
              </c:pt>
              <c:pt idx="1193">
                <c:v>-300.40820000000002</c:v>
              </c:pt>
              <c:pt idx="1194">
                <c:v>-300.1875</c:v>
              </c:pt>
              <c:pt idx="1195">
                <c:v>-299.96680000000003</c:v>
              </c:pt>
              <c:pt idx="1196">
                <c:v>-299.74610000000001</c:v>
              </c:pt>
              <c:pt idx="1197">
                <c:v>-299.52549999999997</c:v>
              </c:pt>
              <c:pt idx="1198">
                <c:v>-299.30470000000003</c:v>
              </c:pt>
              <c:pt idx="1199">
                <c:v>-299.08409999999998</c:v>
              </c:pt>
              <c:pt idx="1200">
                <c:v>-298.86340000000001</c:v>
              </c:pt>
              <c:pt idx="1201">
                <c:v>-298.64249999999998</c:v>
              </c:pt>
              <c:pt idx="1202">
                <c:v>-298.42189999999999</c:v>
              </c:pt>
              <c:pt idx="1203">
                <c:v>-298.20120000000003</c:v>
              </c:pt>
              <c:pt idx="1204">
                <c:v>-297.98050000000001</c:v>
              </c:pt>
              <c:pt idx="1205">
                <c:v>-297.75979999999998</c:v>
              </c:pt>
              <c:pt idx="1206">
                <c:v>-297.53899999999999</c:v>
              </c:pt>
              <c:pt idx="1207">
                <c:v>-297.31830000000002</c:v>
              </c:pt>
              <c:pt idx="1208">
                <c:v>-297.09749999999997</c:v>
              </c:pt>
              <c:pt idx="1209">
                <c:v>-296.8571</c:v>
              </c:pt>
              <c:pt idx="1210">
                <c:v>-296.60719999999998</c:v>
              </c:pt>
              <c:pt idx="1211">
                <c:v>-296.35740000000004</c:v>
              </c:pt>
              <c:pt idx="1212">
                <c:v>-296.10749999999996</c:v>
              </c:pt>
              <c:pt idx="1213">
                <c:v>-295.85860000000002</c:v>
              </c:pt>
              <c:pt idx="1214">
                <c:v>-295.6087</c:v>
              </c:pt>
              <c:pt idx="1215">
                <c:v>-295.35879999999997</c:v>
              </c:pt>
              <c:pt idx="1216">
                <c:v>-295.10899999999998</c:v>
              </c:pt>
              <c:pt idx="1217">
                <c:v>-294.85900000000004</c:v>
              </c:pt>
              <c:pt idx="1218">
                <c:v>-294.61020000000002</c:v>
              </c:pt>
              <c:pt idx="1219">
                <c:v>-294.36020000000002</c:v>
              </c:pt>
              <c:pt idx="1220">
                <c:v>-294.1103</c:v>
              </c:pt>
              <c:pt idx="1221">
                <c:v>-293.86039999999997</c:v>
              </c:pt>
              <c:pt idx="1222">
                <c:v>-293.6105</c:v>
              </c:pt>
              <c:pt idx="1223">
                <c:v>-293.3605</c:v>
              </c:pt>
              <c:pt idx="1224">
                <c:v>-293.08010000000002</c:v>
              </c:pt>
              <c:pt idx="1225">
                <c:v>-292.798</c:v>
              </c:pt>
              <c:pt idx="1226">
                <c:v>-292.51600000000002</c:v>
              </c:pt>
              <c:pt idx="1227">
                <c:v>-292.23410000000001</c:v>
              </c:pt>
              <c:pt idx="1228">
                <c:v>-291.9522</c:v>
              </c:pt>
              <c:pt idx="1229">
                <c:v>-291.6703</c:v>
              </c:pt>
              <c:pt idx="1230">
                <c:v>-291.38829999999996</c:v>
              </c:pt>
              <c:pt idx="1231">
                <c:v>-291.10629999999998</c:v>
              </c:pt>
              <c:pt idx="1232">
                <c:v>-290.82439999999997</c:v>
              </c:pt>
              <c:pt idx="1233">
                <c:v>-290.54239999999999</c:v>
              </c:pt>
              <c:pt idx="1234">
                <c:v>-290.26049999999998</c:v>
              </c:pt>
              <c:pt idx="1235">
                <c:v>-289.9785</c:v>
              </c:pt>
              <c:pt idx="1236">
                <c:v>-289.69659999999999</c:v>
              </c:pt>
              <c:pt idx="1237">
                <c:v>-289.4144</c:v>
              </c:pt>
              <c:pt idx="1238">
                <c:v>-289.13239999999996</c:v>
              </c:pt>
              <c:pt idx="1239">
                <c:v>-288.85040000000004</c:v>
              </c:pt>
              <c:pt idx="1240">
                <c:v>-288.56830000000002</c:v>
              </c:pt>
              <c:pt idx="1241">
                <c:v>-288.28629999999998</c:v>
              </c:pt>
              <c:pt idx="1242">
                <c:v>-288.00419999999997</c:v>
              </c:pt>
              <c:pt idx="1243">
                <c:v>-287.72210000000001</c:v>
              </c:pt>
              <c:pt idx="1244">
                <c:v>-287.44</c:v>
              </c:pt>
              <c:pt idx="1245">
                <c:v>-287.15799999999996</c:v>
              </c:pt>
              <c:pt idx="1246">
                <c:v>-286.87569999999999</c:v>
              </c:pt>
              <c:pt idx="1247">
                <c:v>-286.59359999999998</c:v>
              </c:pt>
              <c:pt idx="1248">
                <c:v>-286.31150000000002</c:v>
              </c:pt>
              <c:pt idx="1249">
                <c:v>-286.02940000000001</c:v>
              </c:pt>
              <c:pt idx="1250">
                <c:v>-285.74709999999999</c:v>
              </c:pt>
              <c:pt idx="1251">
                <c:v>-285.46510000000001</c:v>
              </c:pt>
              <c:pt idx="1252">
                <c:v>-285.18290000000002</c:v>
              </c:pt>
              <c:pt idx="1253">
                <c:v>-284.90070000000003</c:v>
              </c:pt>
              <c:pt idx="1254">
                <c:v>-284.61829999999998</c:v>
              </c:pt>
              <c:pt idx="1255">
                <c:v>-284.33619999999996</c:v>
              </c:pt>
              <c:pt idx="1256">
                <c:v>-284.05399999999997</c:v>
              </c:pt>
              <c:pt idx="1257">
                <c:v>-283.77179999999998</c:v>
              </c:pt>
              <c:pt idx="1258">
                <c:v>-283.48950000000002</c:v>
              </c:pt>
              <c:pt idx="1259">
                <c:v>-283.20719999999994</c:v>
              </c:pt>
              <c:pt idx="1260">
                <c:v>-282.92499999999995</c:v>
              </c:pt>
              <c:pt idx="1261">
                <c:v>-282.64279999999997</c:v>
              </c:pt>
              <c:pt idx="1262">
                <c:v>-282.36040000000003</c:v>
              </c:pt>
              <c:pt idx="1263">
                <c:v>-282.07810000000001</c:v>
              </c:pt>
              <c:pt idx="1264">
                <c:v>-281.79579999999999</c:v>
              </c:pt>
              <c:pt idx="1265">
                <c:v>-281.51350000000002</c:v>
              </c:pt>
              <c:pt idx="1266">
                <c:v>-281.23109999999997</c:v>
              </c:pt>
              <c:pt idx="1267">
                <c:v>-280.94880000000001</c:v>
              </c:pt>
              <c:pt idx="1268">
                <c:v>-280.66639999999995</c:v>
              </c:pt>
              <c:pt idx="1269">
                <c:v>-280.38400000000001</c:v>
              </c:pt>
              <c:pt idx="1270">
                <c:v>-280.10170000000005</c:v>
              </c:pt>
              <c:pt idx="1271">
                <c:v>-279.8193</c:v>
              </c:pt>
              <c:pt idx="1272">
                <c:v>-279.5369</c:v>
              </c:pt>
              <c:pt idx="1273">
                <c:v>-279.25450000000001</c:v>
              </c:pt>
              <c:pt idx="1274">
                <c:v>-278.97190000000001</c:v>
              </c:pt>
              <c:pt idx="1275">
                <c:v>-278.68970000000002</c:v>
              </c:pt>
              <c:pt idx="1276">
                <c:v>-278.40719999999999</c:v>
              </c:pt>
              <c:pt idx="1277">
                <c:v>-278.12469999999996</c:v>
              </c:pt>
              <c:pt idx="1278">
                <c:v>-277.84219999999999</c:v>
              </c:pt>
              <c:pt idx="1279">
                <c:v>-277.5598</c:v>
              </c:pt>
              <c:pt idx="1280">
                <c:v>-277.27730000000003</c:v>
              </c:pt>
              <c:pt idx="1281">
                <c:v>-276.99470000000002</c:v>
              </c:pt>
              <c:pt idx="1282">
                <c:v>-276.7122</c:v>
              </c:pt>
              <c:pt idx="1283">
                <c:v>-276.42970000000003</c:v>
              </c:pt>
              <c:pt idx="1284">
                <c:v>-276.1472</c:v>
              </c:pt>
              <c:pt idx="1285">
                <c:v>-275.8646</c:v>
              </c:pt>
              <c:pt idx="1286">
                <c:v>-275.5822</c:v>
              </c:pt>
              <c:pt idx="1287">
                <c:v>-275.29949999999997</c:v>
              </c:pt>
              <c:pt idx="1288">
                <c:v>-275.017</c:v>
              </c:pt>
              <c:pt idx="1289">
                <c:v>-274.73429999999996</c:v>
              </c:pt>
              <c:pt idx="1290">
                <c:v>-274.45170000000002</c:v>
              </c:pt>
              <c:pt idx="1291">
                <c:v>-274.16910000000001</c:v>
              </c:pt>
              <c:pt idx="1292">
                <c:v>-273.88650000000001</c:v>
              </c:pt>
              <c:pt idx="1293">
                <c:v>-273.60390000000001</c:v>
              </c:pt>
              <c:pt idx="1294">
                <c:v>-273.32130000000001</c:v>
              </c:pt>
              <c:pt idx="1295">
                <c:v>-273.03860000000003</c:v>
              </c:pt>
              <c:pt idx="1296">
                <c:v>-272.7559</c:v>
              </c:pt>
              <c:pt idx="1297">
                <c:v>-272.47329999999999</c:v>
              </c:pt>
              <c:pt idx="1298">
                <c:v>-272.19060000000002</c:v>
              </c:pt>
              <c:pt idx="1299">
                <c:v>-271.90790000000004</c:v>
              </c:pt>
              <c:pt idx="1300">
                <c:v>-271.62509999999997</c:v>
              </c:pt>
              <c:pt idx="1301">
                <c:v>-271.3424</c:v>
              </c:pt>
              <c:pt idx="1302">
                <c:v>-271.05959999999999</c:v>
              </c:pt>
              <c:pt idx="1303">
                <c:v>-270.77699999999999</c:v>
              </c:pt>
              <c:pt idx="1304">
                <c:v>-270.49419999999998</c:v>
              </c:pt>
              <c:pt idx="1305">
                <c:v>-270.21140000000003</c:v>
              </c:pt>
              <c:pt idx="1306">
                <c:v>-269.92859999999996</c:v>
              </c:pt>
              <c:pt idx="1307">
                <c:v>-269.64580000000001</c:v>
              </c:pt>
              <c:pt idx="1308">
                <c:v>-269.36309999999997</c:v>
              </c:pt>
              <c:pt idx="1309">
                <c:v>-269.08030000000002</c:v>
              </c:pt>
              <c:pt idx="1310">
                <c:v>-268.79739999999998</c:v>
              </c:pt>
              <c:pt idx="1311">
                <c:v>-268.51459999999997</c:v>
              </c:pt>
              <c:pt idx="1312">
                <c:v>-268.23169999999999</c:v>
              </c:pt>
              <c:pt idx="1313">
                <c:v>-267.94880000000001</c:v>
              </c:pt>
              <c:pt idx="1314">
                <c:v>-267.66609999999997</c:v>
              </c:pt>
              <c:pt idx="1315">
                <c:v>-267.38310000000001</c:v>
              </c:pt>
              <c:pt idx="1316">
                <c:v>-267.1003</c:v>
              </c:pt>
              <c:pt idx="1317">
                <c:v>-266.81740000000002</c:v>
              </c:pt>
              <c:pt idx="1318">
                <c:v>-266.53440000000001</c:v>
              </c:pt>
              <c:pt idx="1319">
                <c:v>-266.25150000000002</c:v>
              </c:pt>
              <c:pt idx="1320">
                <c:v>-265.96860000000004</c:v>
              </c:pt>
              <c:pt idx="1321">
                <c:v>-265.68560000000002</c:v>
              </c:pt>
              <c:pt idx="1322">
                <c:v>-265.40269999999998</c:v>
              </c:pt>
              <c:pt idx="1323">
                <c:v>-265.11969999999997</c:v>
              </c:pt>
              <c:pt idx="1324">
                <c:v>-264.83670000000001</c:v>
              </c:pt>
              <c:pt idx="1325">
                <c:v>-264.55380000000002</c:v>
              </c:pt>
              <c:pt idx="1326">
                <c:v>-264.27070000000003</c:v>
              </c:pt>
              <c:pt idx="1327">
                <c:v>-263.98770000000002</c:v>
              </c:pt>
              <c:pt idx="1328">
                <c:v>-263.7047</c:v>
              </c:pt>
              <c:pt idx="1329">
                <c:v>-263.42160000000001</c:v>
              </c:pt>
              <c:pt idx="1330">
                <c:v>-263.1386</c:v>
              </c:pt>
              <c:pt idx="1331">
                <c:v>-262.85559999999998</c:v>
              </c:pt>
              <c:pt idx="1332">
                <c:v>-262.57249999999999</c:v>
              </c:pt>
              <c:pt idx="1333">
                <c:v>-262.2894</c:v>
              </c:pt>
              <c:pt idx="1334">
                <c:v>-262.00639999999999</c:v>
              </c:pt>
              <c:pt idx="1335">
                <c:v>-261.72329999999999</c:v>
              </c:pt>
              <c:pt idx="1336">
                <c:v>-261.44009999999997</c:v>
              </c:pt>
              <c:pt idx="1337">
                <c:v>-261.15690000000001</c:v>
              </c:pt>
              <c:pt idx="1338">
                <c:v>-260.87390000000005</c:v>
              </c:pt>
              <c:pt idx="1339">
                <c:v>-260.59090000000003</c:v>
              </c:pt>
              <c:pt idx="1340">
                <c:v>-260.30759999999998</c:v>
              </c:pt>
              <c:pt idx="1341">
                <c:v>-260.02449999999999</c:v>
              </c:pt>
              <c:pt idx="1342">
                <c:v>-259.74119999999999</c:v>
              </c:pt>
              <c:pt idx="1343">
                <c:v>-259.4581</c:v>
              </c:pt>
              <c:pt idx="1344">
                <c:v>-259.1748</c:v>
              </c:pt>
              <c:pt idx="1345">
                <c:v>-258.89170000000001</c:v>
              </c:pt>
              <c:pt idx="1346">
                <c:v>-258.60839999999996</c:v>
              </c:pt>
              <c:pt idx="1347">
                <c:v>-258.3252</c:v>
              </c:pt>
              <c:pt idx="1348">
                <c:v>-258.04200000000003</c:v>
              </c:pt>
              <c:pt idx="1349">
                <c:v>-257.75880000000001</c:v>
              </c:pt>
              <c:pt idx="1350">
                <c:v>-257.47539999999998</c:v>
              </c:pt>
              <c:pt idx="1351">
                <c:v>-257.19220000000001</c:v>
              </c:pt>
              <c:pt idx="1352">
                <c:v>-256.90899999999999</c:v>
              </c:pt>
              <c:pt idx="1353">
                <c:v>-256.62560000000002</c:v>
              </c:pt>
              <c:pt idx="1354">
                <c:v>-256.34230000000002</c:v>
              </c:pt>
              <c:pt idx="1355">
                <c:v>-256.05900000000003</c:v>
              </c:pt>
              <c:pt idx="1356">
                <c:v>-255.77569999999997</c:v>
              </c:pt>
              <c:pt idx="1357">
                <c:v>-255.4923</c:v>
              </c:pt>
              <c:pt idx="1358">
                <c:v>-255.209</c:v>
              </c:pt>
              <c:pt idx="1359">
                <c:v>-254.92559999999997</c:v>
              </c:pt>
              <c:pt idx="1360">
                <c:v>-254.6422</c:v>
              </c:pt>
              <c:pt idx="1361">
                <c:v>-254.35879999999997</c:v>
              </c:pt>
              <c:pt idx="1362">
                <c:v>-254.07550000000003</c:v>
              </c:pt>
              <c:pt idx="1363">
                <c:v>-253.792</c:v>
              </c:pt>
              <c:pt idx="1364">
                <c:v>-253.50869999999998</c:v>
              </c:pt>
              <c:pt idx="1365">
                <c:v>-253.22520000000003</c:v>
              </c:pt>
              <c:pt idx="1366">
                <c:v>-252.9418</c:v>
              </c:pt>
              <c:pt idx="1367">
                <c:v>-252.6583</c:v>
              </c:pt>
              <c:pt idx="1368">
                <c:v>-252.37479999999999</c:v>
              </c:pt>
              <c:pt idx="1369">
                <c:v>-252.09129999999999</c:v>
              </c:pt>
              <c:pt idx="1370">
                <c:v>-251.80799999999999</c:v>
              </c:pt>
              <c:pt idx="1371">
                <c:v>-251.52440000000001</c:v>
              </c:pt>
              <c:pt idx="1372">
                <c:v>-251.24090000000001</c:v>
              </c:pt>
              <c:pt idx="1373">
                <c:v>-250.9573</c:v>
              </c:pt>
              <c:pt idx="1374">
                <c:v>-250.6739</c:v>
              </c:pt>
              <c:pt idx="1375">
                <c:v>-250.39030000000002</c:v>
              </c:pt>
              <c:pt idx="1376">
                <c:v>-250.1069</c:v>
              </c:pt>
              <c:pt idx="1377">
                <c:v>-249.82319999999999</c:v>
              </c:pt>
              <c:pt idx="1378">
                <c:v>-249.53970000000001</c:v>
              </c:pt>
              <c:pt idx="1379">
                <c:v>-249.2561</c:v>
              </c:pt>
              <c:pt idx="1380">
                <c:v>-248.9725</c:v>
              </c:pt>
              <c:pt idx="1381">
                <c:v>-248.68890000000002</c:v>
              </c:pt>
              <c:pt idx="1382">
                <c:v>-248.40519999999998</c:v>
              </c:pt>
              <c:pt idx="1383">
                <c:v>-248.1215</c:v>
              </c:pt>
              <c:pt idx="1384">
                <c:v>-247.83789999999999</c:v>
              </c:pt>
              <c:pt idx="1385">
                <c:v>-247.55440000000002</c:v>
              </c:pt>
              <c:pt idx="1386">
                <c:v>-247.2706</c:v>
              </c:pt>
              <c:pt idx="1387">
                <c:v>-246.98699999999999</c:v>
              </c:pt>
              <c:pt idx="1388">
                <c:v>-246.70319999999998</c:v>
              </c:pt>
              <c:pt idx="1389">
                <c:v>-246.4196</c:v>
              </c:pt>
              <c:pt idx="1390">
                <c:v>-246.13589999999999</c:v>
              </c:pt>
              <c:pt idx="1391">
                <c:v>-245.85229999999999</c:v>
              </c:pt>
              <c:pt idx="1392">
                <c:v>-245.56830000000002</c:v>
              </c:pt>
              <c:pt idx="1393">
                <c:v>-245.28469999999999</c:v>
              </c:pt>
              <c:pt idx="1394">
                <c:v>-245.0009</c:v>
              </c:pt>
              <c:pt idx="1395">
                <c:v>-244.71719999999999</c:v>
              </c:pt>
              <c:pt idx="1396">
                <c:v>-244.4333</c:v>
              </c:pt>
              <c:pt idx="1397">
                <c:v>-244.1497</c:v>
              </c:pt>
              <c:pt idx="1398">
                <c:v>-243.86590000000001</c:v>
              </c:pt>
              <c:pt idx="1399">
                <c:v>-243.58199999999999</c:v>
              </c:pt>
              <c:pt idx="1400">
                <c:v>-243.29820000000001</c:v>
              </c:pt>
              <c:pt idx="1401">
                <c:v>-243.01440000000002</c:v>
              </c:pt>
              <c:pt idx="1402">
                <c:v>-242.73050000000001</c:v>
              </c:pt>
              <c:pt idx="1403">
                <c:v>-242.4468</c:v>
              </c:pt>
              <c:pt idx="1404">
                <c:v>-242.1628</c:v>
              </c:pt>
              <c:pt idx="1405">
                <c:v>-241.87900000000002</c:v>
              </c:pt>
              <c:pt idx="1406">
                <c:v>-241.595</c:v>
              </c:pt>
              <c:pt idx="1407">
                <c:v>-241.31119999999999</c:v>
              </c:pt>
              <c:pt idx="1408">
                <c:v>-241.02720000000002</c:v>
              </c:pt>
              <c:pt idx="1409">
                <c:v>-240.74339999999998</c:v>
              </c:pt>
              <c:pt idx="1410">
                <c:v>-240.45940000000002</c:v>
              </c:pt>
              <c:pt idx="1411">
                <c:v>-240.1756</c:v>
              </c:pt>
              <c:pt idx="1412">
                <c:v>-239.89150000000001</c:v>
              </c:pt>
              <c:pt idx="1413">
                <c:v>-239.60759999999999</c:v>
              </c:pt>
              <c:pt idx="1414">
                <c:v>-239.32369999999997</c:v>
              </c:pt>
              <c:pt idx="1415">
                <c:v>-239.03960000000001</c:v>
              </c:pt>
              <c:pt idx="1416">
                <c:v>-238.75560000000002</c:v>
              </c:pt>
              <c:pt idx="1417">
                <c:v>-238.47159999999997</c:v>
              </c:pt>
              <c:pt idx="1418">
                <c:v>-238.18760000000003</c:v>
              </c:pt>
              <c:pt idx="1419">
                <c:v>-237.90359999999998</c:v>
              </c:pt>
              <c:pt idx="1420">
                <c:v>-237.61949999999999</c:v>
              </c:pt>
              <c:pt idx="1421">
                <c:v>-237.33549999999997</c:v>
              </c:pt>
              <c:pt idx="1422">
                <c:v>-237.0515</c:v>
              </c:pt>
              <c:pt idx="1423">
                <c:v>-236.76740000000001</c:v>
              </c:pt>
              <c:pt idx="1424">
                <c:v>-236.48340000000002</c:v>
              </c:pt>
              <c:pt idx="1425">
                <c:v>-236.19929999999999</c:v>
              </c:pt>
              <c:pt idx="1426">
                <c:v>-235.91519999999997</c:v>
              </c:pt>
              <c:pt idx="1427">
                <c:v>-235.6311</c:v>
              </c:pt>
              <c:pt idx="1428">
                <c:v>-235.34690000000001</c:v>
              </c:pt>
              <c:pt idx="1429">
                <c:v>-235.06279999999998</c:v>
              </c:pt>
              <c:pt idx="1430">
                <c:v>-234.77859999999998</c:v>
              </c:pt>
              <c:pt idx="1431">
                <c:v>-234.49439999999998</c:v>
              </c:pt>
              <c:pt idx="1432">
                <c:v>-234.21010000000001</c:v>
              </c:pt>
              <c:pt idx="1433">
                <c:v>-233.92610000000002</c:v>
              </c:pt>
              <c:pt idx="1434">
                <c:v>-233.64190000000002</c:v>
              </c:pt>
              <c:pt idx="1435">
                <c:v>-233.35759999999999</c:v>
              </c:pt>
              <c:pt idx="1436">
                <c:v>-233.07350000000002</c:v>
              </c:pt>
              <c:pt idx="1437">
                <c:v>-232.78929999999997</c:v>
              </c:pt>
              <c:pt idx="1438">
                <c:v>-232.505</c:v>
              </c:pt>
              <c:pt idx="1439">
                <c:v>-232.2208</c:v>
              </c:pt>
              <c:pt idx="1440">
                <c:v>-231.9366</c:v>
              </c:pt>
              <c:pt idx="1441">
                <c:v>-231.6523</c:v>
              </c:pt>
              <c:pt idx="1442">
                <c:v>-231.36790000000002</c:v>
              </c:pt>
              <c:pt idx="1443">
                <c:v>-231.08369999999996</c:v>
              </c:pt>
              <c:pt idx="1444">
                <c:v>-230.79930000000002</c:v>
              </c:pt>
              <c:pt idx="1445">
                <c:v>-230.51510000000002</c:v>
              </c:pt>
              <c:pt idx="1446">
                <c:v>-230.23070000000001</c:v>
              </c:pt>
              <c:pt idx="1447">
                <c:v>-229.94639999999998</c:v>
              </c:pt>
              <c:pt idx="1448">
                <c:v>-229.66210000000001</c:v>
              </c:pt>
              <c:pt idx="1449">
                <c:v>-229.3777</c:v>
              </c:pt>
              <c:pt idx="1450">
                <c:v>-229.0933</c:v>
              </c:pt>
              <c:pt idx="1451">
                <c:v>-228.80889999999999</c:v>
              </c:pt>
              <c:pt idx="1452">
                <c:v>-228.52460000000002</c:v>
              </c:pt>
              <c:pt idx="1453">
                <c:v>-228.24009999999998</c:v>
              </c:pt>
              <c:pt idx="1454">
                <c:v>-227.95579999999998</c:v>
              </c:pt>
              <c:pt idx="1455">
                <c:v>-227.67130000000003</c:v>
              </c:pt>
              <c:pt idx="1456">
                <c:v>-227.38689999999997</c:v>
              </c:pt>
              <c:pt idx="1457">
                <c:v>-227.10249999999999</c:v>
              </c:pt>
              <c:pt idx="1458">
                <c:v>-226.81799999999998</c:v>
              </c:pt>
              <c:pt idx="1459">
                <c:v>-226.53339999999997</c:v>
              </c:pt>
              <c:pt idx="1460">
                <c:v>-226.249</c:v>
              </c:pt>
              <c:pt idx="1461">
                <c:v>-225.96449999999999</c:v>
              </c:pt>
              <c:pt idx="1462">
                <c:v>-225.68</c:v>
              </c:pt>
              <c:pt idx="1463">
                <c:v>-225.3954</c:v>
              </c:pt>
              <c:pt idx="1464">
                <c:v>-225.11089999999999</c:v>
              </c:pt>
              <c:pt idx="1465">
                <c:v>-224.82640000000001</c:v>
              </c:pt>
              <c:pt idx="1466">
                <c:v>-224.5419</c:v>
              </c:pt>
              <c:pt idx="1467">
                <c:v>-224.25740000000002</c:v>
              </c:pt>
              <c:pt idx="1468">
                <c:v>-223.97279999999998</c:v>
              </c:pt>
              <c:pt idx="1469">
                <c:v>-223.68819999999999</c:v>
              </c:pt>
              <c:pt idx="1470">
                <c:v>-223.40369999999999</c:v>
              </c:pt>
              <c:pt idx="1471">
                <c:v>-223.11899999999997</c:v>
              </c:pt>
              <c:pt idx="1472">
                <c:v>-222.83450000000002</c:v>
              </c:pt>
              <c:pt idx="1473">
                <c:v>-222.5498</c:v>
              </c:pt>
              <c:pt idx="1474">
                <c:v>-222.26519999999999</c:v>
              </c:pt>
              <c:pt idx="1475">
                <c:v>-221.98039999999997</c:v>
              </c:pt>
              <c:pt idx="1476">
                <c:v>-221.69579999999999</c:v>
              </c:pt>
              <c:pt idx="1477">
                <c:v>-221.41120000000001</c:v>
              </c:pt>
              <c:pt idx="1478">
                <c:v>-221.12639999999999</c:v>
              </c:pt>
              <c:pt idx="1479">
                <c:v>-220.8417</c:v>
              </c:pt>
              <c:pt idx="1480">
                <c:v>-220.55709999999999</c:v>
              </c:pt>
              <c:pt idx="1481">
                <c:v>-220.2724</c:v>
              </c:pt>
              <c:pt idx="1482">
                <c:v>-219.98760000000001</c:v>
              </c:pt>
              <c:pt idx="1483">
                <c:v>-219.7029</c:v>
              </c:pt>
              <c:pt idx="1484">
                <c:v>-219.41809999999998</c:v>
              </c:pt>
              <c:pt idx="1485">
                <c:v>-219.13350000000003</c:v>
              </c:pt>
              <c:pt idx="1486">
                <c:v>-218.84859999999998</c:v>
              </c:pt>
              <c:pt idx="1487">
                <c:v>-218.56390000000002</c:v>
              </c:pt>
              <c:pt idx="1488">
                <c:v>-218.2791</c:v>
              </c:pt>
              <c:pt idx="1489">
                <c:v>-217.99419999999998</c:v>
              </c:pt>
              <c:pt idx="1490">
                <c:v>-217.70939999999999</c:v>
              </c:pt>
              <c:pt idx="1491">
                <c:v>-217.4246</c:v>
              </c:pt>
              <c:pt idx="1492">
                <c:v>-217.13979999999998</c:v>
              </c:pt>
              <c:pt idx="1493">
                <c:v>-216.85490000000001</c:v>
              </c:pt>
              <c:pt idx="1494">
                <c:v>-216.57</c:v>
              </c:pt>
              <c:pt idx="1495">
                <c:v>-216.2852</c:v>
              </c:pt>
              <c:pt idx="1496">
                <c:v>-216.00039999999998</c:v>
              </c:pt>
              <c:pt idx="1497">
                <c:v>-215.71539999999999</c:v>
              </c:pt>
              <c:pt idx="1498">
                <c:v>-215.43059999999997</c:v>
              </c:pt>
              <c:pt idx="1499">
                <c:v>-215.14569999999998</c:v>
              </c:pt>
              <c:pt idx="1500">
                <c:v>-214.86060000000001</c:v>
              </c:pt>
              <c:pt idx="1501">
                <c:v>-214.57580000000002</c:v>
              </c:pt>
              <c:pt idx="1502">
                <c:v>-214.29079999999999</c:v>
              </c:pt>
              <c:pt idx="1503">
                <c:v>-214.00590000000003</c:v>
              </c:pt>
              <c:pt idx="1504">
                <c:v>-213.7209</c:v>
              </c:pt>
              <c:pt idx="1505">
                <c:v>-213.43599999999998</c:v>
              </c:pt>
              <c:pt idx="1506">
                <c:v>-213.15089999999998</c:v>
              </c:pt>
              <c:pt idx="1507">
                <c:v>-212.86589999999998</c:v>
              </c:pt>
              <c:pt idx="1508">
                <c:v>-212.58080000000001</c:v>
              </c:pt>
              <c:pt idx="1509">
                <c:v>-212.29590000000002</c:v>
              </c:pt>
              <c:pt idx="1510">
                <c:v>-212.01089999999999</c:v>
              </c:pt>
              <c:pt idx="1511">
                <c:v>-211.72580000000002</c:v>
              </c:pt>
              <c:pt idx="1512">
                <c:v>-211.44070000000002</c:v>
              </c:pt>
              <c:pt idx="1513">
                <c:v>-211.15570000000002</c:v>
              </c:pt>
              <c:pt idx="1514">
                <c:v>-210.8706</c:v>
              </c:pt>
              <c:pt idx="1515">
                <c:v>-210.5855</c:v>
              </c:pt>
              <c:pt idx="1516">
                <c:v>-210.3005</c:v>
              </c:pt>
              <c:pt idx="1517">
                <c:v>-210.0154</c:v>
              </c:pt>
              <c:pt idx="1518">
                <c:v>-209.7302</c:v>
              </c:pt>
              <c:pt idx="1519">
                <c:v>-209.4451</c:v>
              </c:pt>
              <c:pt idx="1520">
                <c:v>-209.16</c:v>
              </c:pt>
              <c:pt idx="1521">
                <c:v>-208.87479999999999</c:v>
              </c:pt>
              <c:pt idx="1522">
                <c:v>-208.58949999999999</c:v>
              </c:pt>
              <c:pt idx="1523">
                <c:v>-208.30430000000001</c:v>
              </c:pt>
              <c:pt idx="1524">
                <c:v>-208.01920000000001</c:v>
              </c:pt>
              <c:pt idx="1525">
                <c:v>-207.73399999999998</c:v>
              </c:pt>
              <c:pt idx="1526">
                <c:v>-207.44880000000001</c:v>
              </c:pt>
              <c:pt idx="1527">
                <c:v>-207.1635</c:v>
              </c:pt>
              <c:pt idx="1528">
                <c:v>-206.87829999999997</c:v>
              </c:pt>
              <c:pt idx="1529">
                <c:v>-206.59300000000002</c:v>
              </c:pt>
              <c:pt idx="1530">
                <c:v>-206.30779999999999</c:v>
              </c:pt>
              <c:pt idx="1531">
                <c:v>-206.02249999999998</c:v>
              </c:pt>
              <c:pt idx="1532">
                <c:v>-205.73739999999998</c:v>
              </c:pt>
              <c:pt idx="1533">
                <c:v>-205.45190000000002</c:v>
              </c:pt>
              <c:pt idx="1534">
                <c:v>-205.16680000000002</c:v>
              </c:pt>
              <c:pt idx="1535">
                <c:v>-204.88130000000001</c:v>
              </c:pt>
              <c:pt idx="1536">
                <c:v>-204.59609999999998</c:v>
              </c:pt>
              <c:pt idx="1537">
                <c:v>-204.3107</c:v>
              </c:pt>
              <c:pt idx="1538">
                <c:v>-204.02539999999999</c:v>
              </c:pt>
              <c:pt idx="1539">
                <c:v>-203.74009999999998</c:v>
              </c:pt>
              <c:pt idx="1540">
                <c:v>-203.4547</c:v>
              </c:pt>
              <c:pt idx="1541">
                <c:v>-203.16929999999999</c:v>
              </c:pt>
              <c:pt idx="1542">
                <c:v>-202.88399999999999</c:v>
              </c:pt>
              <c:pt idx="1543">
                <c:v>-202.5984</c:v>
              </c:pt>
              <c:pt idx="1544">
                <c:v>-202.31299999999999</c:v>
              </c:pt>
              <c:pt idx="1545">
                <c:v>-202.02769999999998</c:v>
              </c:pt>
              <c:pt idx="1546">
                <c:v>-201.7423</c:v>
              </c:pt>
              <c:pt idx="1547">
                <c:v>-201.45669999999998</c:v>
              </c:pt>
              <c:pt idx="1548">
                <c:v>-201.17140000000001</c:v>
              </c:pt>
              <c:pt idx="1549">
                <c:v>-200.88589999999999</c:v>
              </c:pt>
              <c:pt idx="1550">
                <c:v>-200.60040000000001</c:v>
              </c:pt>
              <c:pt idx="1551">
                <c:v>-200.31489999999999</c:v>
              </c:pt>
              <c:pt idx="1552">
                <c:v>-200.02940000000001</c:v>
              </c:pt>
              <c:pt idx="1553">
                <c:v>-199.7439</c:v>
              </c:pt>
              <c:pt idx="1554">
                <c:v>-199.45839999999998</c:v>
              </c:pt>
              <c:pt idx="1555">
                <c:v>-199.1728</c:v>
              </c:pt>
              <c:pt idx="1556">
                <c:v>-198.88729999999998</c:v>
              </c:pt>
              <c:pt idx="1557">
                <c:v>-198.60169999999999</c:v>
              </c:pt>
              <c:pt idx="1558">
                <c:v>-198.31609999999998</c:v>
              </c:pt>
              <c:pt idx="1559">
                <c:v>-198.03060000000002</c:v>
              </c:pt>
              <c:pt idx="1560">
                <c:v>-197.745</c:v>
              </c:pt>
              <c:pt idx="1561">
                <c:v>-197.45940000000002</c:v>
              </c:pt>
              <c:pt idx="1562">
                <c:v>-197.1737</c:v>
              </c:pt>
              <c:pt idx="1563">
                <c:v>-196.88810000000001</c:v>
              </c:pt>
              <c:pt idx="1564">
                <c:v>-196.6026</c:v>
              </c:pt>
              <c:pt idx="1565">
                <c:v>-196.31700000000001</c:v>
              </c:pt>
              <c:pt idx="1566">
                <c:v>-196.03119999999998</c:v>
              </c:pt>
              <c:pt idx="1567">
                <c:v>-195.7456</c:v>
              </c:pt>
              <c:pt idx="1568">
                <c:v>-195.4598</c:v>
              </c:pt>
              <c:pt idx="1569">
                <c:v>-195.17420000000001</c:v>
              </c:pt>
              <c:pt idx="1570">
                <c:v>-194.88850000000002</c:v>
              </c:pt>
              <c:pt idx="1571">
                <c:v>-194.6027</c:v>
              </c:pt>
              <c:pt idx="1572">
                <c:v>-194.31709999999998</c:v>
              </c:pt>
              <c:pt idx="1573">
                <c:v>-194.03129999999999</c:v>
              </c:pt>
              <c:pt idx="1574">
                <c:v>-193.7456</c:v>
              </c:pt>
              <c:pt idx="1575">
                <c:v>-193.45979999999997</c:v>
              </c:pt>
              <c:pt idx="1576">
                <c:v>-193.17400000000001</c:v>
              </c:pt>
              <c:pt idx="1577">
                <c:v>-192.88820000000001</c:v>
              </c:pt>
              <c:pt idx="1578">
                <c:v>-192.60250000000002</c:v>
              </c:pt>
              <c:pt idx="1579">
                <c:v>-192.3167</c:v>
              </c:pt>
              <c:pt idx="1580">
                <c:v>-192.03089999999997</c:v>
              </c:pt>
              <c:pt idx="1581">
                <c:v>-191.7449</c:v>
              </c:pt>
              <c:pt idx="1582">
                <c:v>-191.45920000000001</c:v>
              </c:pt>
              <c:pt idx="1583">
                <c:v>-191.17329999999998</c:v>
              </c:pt>
              <c:pt idx="1584">
                <c:v>-190.88749999999999</c:v>
              </c:pt>
              <c:pt idx="1585">
                <c:v>-190.60149999999999</c:v>
              </c:pt>
              <c:pt idx="1586">
                <c:v>-190.3158</c:v>
              </c:pt>
              <c:pt idx="1587">
                <c:v>-190.02990000000003</c:v>
              </c:pt>
              <c:pt idx="1588">
                <c:v>-189.74399999999997</c:v>
              </c:pt>
              <c:pt idx="1589">
                <c:v>-189.4581</c:v>
              </c:pt>
              <c:pt idx="1590">
                <c:v>-189.1721</c:v>
              </c:pt>
              <c:pt idx="1591">
                <c:v>-188.8862</c:v>
              </c:pt>
              <c:pt idx="1592">
                <c:v>-188.6002</c:v>
              </c:pt>
              <c:pt idx="1593">
                <c:v>-188.31429999999997</c:v>
              </c:pt>
              <c:pt idx="1594">
                <c:v>-188.0283</c:v>
              </c:pt>
              <c:pt idx="1595">
                <c:v>-187.7423</c:v>
              </c:pt>
              <c:pt idx="1596">
                <c:v>-187.4564</c:v>
              </c:pt>
              <c:pt idx="1597">
                <c:v>-187.1703</c:v>
              </c:pt>
              <c:pt idx="1598">
                <c:v>-186.8844</c:v>
              </c:pt>
              <c:pt idx="1599">
                <c:v>-186.5984</c:v>
              </c:pt>
              <c:pt idx="1600">
                <c:v>-186.31230000000002</c:v>
              </c:pt>
              <c:pt idx="1601">
                <c:v>-186.02629999999999</c:v>
              </c:pt>
              <c:pt idx="1602">
                <c:v>-185.74019999999999</c:v>
              </c:pt>
              <c:pt idx="1603">
                <c:v>-185.45400000000001</c:v>
              </c:pt>
              <c:pt idx="1604">
                <c:v>-185.16809999999998</c:v>
              </c:pt>
              <c:pt idx="1605">
                <c:v>-184.88199999999998</c:v>
              </c:pt>
              <c:pt idx="1606">
                <c:v>-184.5958</c:v>
              </c:pt>
              <c:pt idx="1607">
                <c:v>-184.30980000000002</c:v>
              </c:pt>
              <c:pt idx="1608">
                <c:v>-184.02350000000001</c:v>
              </c:pt>
              <c:pt idx="1609">
                <c:v>-183.73740000000001</c:v>
              </c:pt>
              <c:pt idx="1610">
                <c:v>-183.4512</c:v>
              </c:pt>
              <c:pt idx="1611">
                <c:v>-183.1651</c:v>
              </c:pt>
              <c:pt idx="1612">
                <c:v>-182.87889999999999</c:v>
              </c:pt>
              <c:pt idx="1613">
                <c:v>-182.59280000000001</c:v>
              </c:pt>
              <c:pt idx="1614">
                <c:v>-182.3065</c:v>
              </c:pt>
              <c:pt idx="1615">
                <c:v>-182.0204</c:v>
              </c:pt>
              <c:pt idx="1616">
                <c:v>-181.73430000000002</c:v>
              </c:pt>
              <c:pt idx="1617">
                <c:v>-181.44800000000001</c:v>
              </c:pt>
              <c:pt idx="1618">
                <c:v>-181.16180000000003</c:v>
              </c:pt>
              <c:pt idx="1619">
                <c:v>-180.87549999999999</c:v>
              </c:pt>
              <c:pt idx="1620">
                <c:v>-180.58920000000001</c:v>
              </c:pt>
              <c:pt idx="1621">
                <c:v>-180.303</c:v>
              </c:pt>
              <c:pt idx="1622">
                <c:v>-180.01669999999999</c:v>
              </c:pt>
              <c:pt idx="1623">
                <c:v>-179.73050000000001</c:v>
              </c:pt>
              <c:pt idx="1624">
                <c:v>-179.44409999999999</c:v>
              </c:pt>
              <c:pt idx="1625">
                <c:v>-179.15780000000001</c:v>
              </c:pt>
              <c:pt idx="1626">
                <c:v>-178.87150000000003</c:v>
              </c:pt>
              <c:pt idx="1627">
                <c:v>-178.58519999999999</c:v>
              </c:pt>
              <c:pt idx="1628">
                <c:v>-178.2988</c:v>
              </c:pt>
              <c:pt idx="1629">
                <c:v>-178.01249999999999</c:v>
              </c:pt>
              <c:pt idx="1630">
                <c:v>-177.72609999999997</c:v>
              </c:pt>
              <c:pt idx="1631">
                <c:v>-177.43979999999999</c:v>
              </c:pt>
              <c:pt idx="1632">
                <c:v>-177.1533</c:v>
              </c:pt>
              <c:pt idx="1633">
                <c:v>-176.86680000000001</c:v>
              </c:pt>
              <c:pt idx="1634">
                <c:v>-176.58050000000003</c:v>
              </c:pt>
              <c:pt idx="1635">
                <c:v>-176.29409999999999</c:v>
              </c:pt>
              <c:pt idx="1636">
                <c:v>-176.0076</c:v>
              </c:pt>
              <c:pt idx="1637">
                <c:v>-175.72109999999998</c:v>
              </c:pt>
              <c:pt idx="1638">
                <c:v>-175.43469999999999</c:v>
              </c:pt>
              <c:pt idx="1639">
                <c:v>-175.14830000000001</c:v>
              </c:pt>
              <c:pt idx="1640">
                <c:v>-174.86179999999999</c:v>
              </c:pt>
              <c:pt idx="1641">
                <c:v>-174.5753</c:v>
              </c:pt>
              <c:pt idx="1642">
                <c:v>-174.28870000000001</c:v>
              </c:pt>
              <c:pt idx="1643">
                <c:v>-174.00219999999999</c:v>
              </c:pt>
              <c:pt idx="1644">
                <c:v>-173.71569999999997</c:v>
              </c:pt>
              <c:pt idx="1645">
                <c:v>-173.42910000000001</c:v>
              </c:pt>
              <c:pt idx="1646">
                <c:v>-173.14260000000002</c:v>
              </c:pt>
              <c:pt idx="1647">
                <c:v>-172.8563</c:v>
              </c:pt>
              <c:pt idx="1648">
                <c:v>-172.56950000000001</c:v>
              </c:pt>
              <c:pt idx="1649">
                <c:v>-172.28289999999998</c:v>
              </c:pt>
              <c:pt idx="1650">
                <c:v>-171.99629999999999</c:v>
              </c:pt>
              <c:pt idx="1651">
                <c:v>-171.7097</c:v>
              </c:pt>
              <c:pt idx="1652">
                <c:v>-171.42319999999998</c:v>
              </c:pt>
              <c:pt idx="1653">
                <c:v>-171.18549999999999</c:v>
              </c:pt>
              <c:pt idx="1654">
                <c:v>-170.95750000000001</c:v>
              </c:pt>
              <c:pt idx="1655">
                <c:v>-170.72929999999999</c:v>
              </c:pt>
              <c:pt idx="1656">
                <c:v>-170.50130000000001</c:v>
              </c:pt>
              <c:pt idx="1657">
                <c:v>-170.27330000000001</c:v>
              </c:pt>
              <c:pt idx="1658">
                <c:v>-170.04509999999999</c:v>
              </c:pt>
              <c:pt idx="1659">
                <c:v>-169.81709999999998</c:v>
              </c:pt>
              <c:pt idx="1660">
                <c:v>-169.589</c:v>
              </c:pt>
              <c:pt idx="1661">
                <c:v>-169.36100000000002</c:v>
              </c:pt>
              <c:pt idx="1662">
                <c:v>-169.1328</c:v>
              </c:pt>
              <c:pt idx="1663">
                <c:v>-168.90469999999999</c:v>
              </c:pt>
              <c:pt idx="1664">
                <c:v>-168.6765</c:v>
              </c:pt>
              <c:pt idx="1665">
                <c:v>-168.44839999999999</c:v>
              </c:pt>
              <c:pt idx="1666">
                <c:v>-168.29829999999998</c:v>
              </c:pt>
              <c:pt idx="1667">
                <c:v>-168.1876</c:v>
              </c:pt>
              <c:pt idx="1668">
                <c:v>-168.07670000000002</c:v>
              </c:pt>
              <c:pt idx="1669">
                <c:v>-167.9658</c:v>
              </c:pt>
              <c:pt idx="1670">
                <c:v>-167.85490000000001</c:v>
              </c:pt>
              <c:pt idx="1671">
                <c:v>-167.7441</c:v>
              </c:pt>
              <c:pt idx="1672">
                <c:v>-167.65879999999999</c:v>
              </c:pt>
              <c:pt idx="1673">
                <c:v>-167.64830000000001</c:v>
              </c:pt>
              <c:pt idx="1674">
                <c:v>-167.6377</c:v>
              </c:pt>
              <c:pt idx="1675">
                <c:v>-167.62719999999999</c:v>
              </c:pt>
              <c:pt idx="1676">
                <c:v>-167.61669999999998</c:v>
              </c:pt>
              <c:pt idx="1677">
                <c:v>-167.60599999999999</c:v>
              </c:pt>
              <c:pt idx="1678">
                <c:v>-167.59560000000002</c:v>
              </c:pt>
              <c:pt idx="1679">
                <c:v>-167.58509999999998</c:v>
              </c:pt>
              <c:pt idx="1680">
                <c:v>-167.5745</c:v>
              </c:pt>
              <c:pt idx="1681">
                <c:v>-167.56389999999999</c:v>
              </c:pt>
              <c:pt idx="1682">
                <c:v>-167.55350000000001</c:v>
              </c:pt>
              <c:pt idx="1683">
                <c:v>-167.54300000000001</c:v>
              </c:pt>
              <c:pt idx="1684">
                <c:v>-167.53229999999999</c:v>
              </c:pt>
              <c:pt idx="1685">
                <c:v>-167.52180000000001</c:v>
              </c:pt>
              <c:pt idx="1686">
                <c:v>-167.51130000000001</c:v>
              </c:pt>
              <c:pt idx="1687">
                <c:v>-167.5008</c:v>
              </c:pt>
              <c:pt idx="1688">
                <c:v>-167.49020000000002</c:v>
              </c:pt>
              <c:pt idx="1689">
                <c:v>-167.4796</c:v>
              </c:pt>
              <c:pt idx="1690">
                <c:v>-167.4692</c:v>
              </c:pt>
              <c:pt idx="1691">
                <c:v>-167.45859999999999</c:v>
              </c:pt>
              <c:pt idx="1692">
                <c:v>-167.44799999999998</c:v>
              </c:pt>
              <c:pt idx="1693">
                <c:v>-167.4374</c:v>
              </c:pt>
              <c:pt idx="1694">
                <c:v>-167.42699999999999</c:v>
              </c:pt>
              <c:pt idx="1695">
                <c:v>-167.41640000000001</c:v>
              </c:pt>
              <c:pt idx="1696">
                <c:v>-167.4058</c:v>
              </c:pt>
              <c:pt idx="1697">
                <c:v>-167.39529999999999</c:v>
              </c:pt>
              <c:pt idx="1698">
                <c:v>-167.38489999999999</c:v>
              </c:pt>
              <c:pt idx="1699">
                <c:v>-167.37430000000001</c:v>
              </c:pt>
              <c:pt idx="1700">
                <c:v>-167.36369999999999</c:v>
              </c:pt>
              <c:pt idx="1701">
                <c:v>-167.35329999999999</c:v>
              </c:pt>
              <c:pt idx="1702">
                <c:v>-167.34270000000001</c:v>
              </c:pt>
              <c:pt idx="1703">
                <c:v>-167.3321</c:v>
              </c:pt>
              <c:pt idx="1704">
                <c:v>-167.32160000000002</c:v>
              </c:pt>
              <c:pt idx="1705">
                <c:v>-167.31110000000001</c:v>
              </c:pt>
              <c:pt idx="1706">
                <c:v>-167.3005</c:v>
              </c:pt>
              <c:pt idx="1707">
                <c:v>-167.29</c:v>
              </c:pt>
              <c:pt idx="1708">
                <c:v>-167.27940000000001</c:v>
              </c:pt>
              <c:pt idx="1709">
                <c:v>-167.2689</c:v>
              </c:pt>
              <c:pt idx="1710">
                <c:v>-167.25829999999999</c:v>
              </c:pt>
              <c:pt idx="1711">
                <c:v>-167.24780000000001</c:v>
              </c:pt>
              <c:pt idx="1712">
                <c:v>-167.2372</c:v>
              </c:pt>
              <c:pt idx="1713">
                <c:v>-167.22669999999999</c:v>
              </c:pt>
              <c:pt idx="1714">
                <c:v>-167.21619999999999</c:v>
              </c:pt>
              <c:pt idx="1715">
                <c:v>-167.2056</c:v>
              </c:pt>
              <c:pt idx="1716">
                <c:v>-167.1951</c:v>
              </c:pt>
              <c:pt idx="1717">
                <c:v>-167.18459999999999</c:v>
              </c:pt>
              <c:pt idx="1718">
                <c:v>-167.17410000000001</c:v>
              </c:pt>
              <c:pt idx="1719">
                <c:v>-167.1635</c:v>
              </c:pt>
              <c:pt idx="1720">
                <c:v>-167.15299999999999</c:v>
              </c:pt>
              <c:pt idx="1721">
                <c:v>-167.14249999999998</c:v>
              </c:pt>
              <c:pt idx="1722">
                <c:v>-167.1319</c:v>
              </c:pt>
              <c:pt idx="1723">
                <c:v>-167.12139999999999</c:v>
              </c:pt>
              <c:pt idx="1724">
                <c:v>-167.11079999999998</c:v>
              </c:pt>
              <c:pt idx="1725">
                <c:v>-167.1003</c:v>
              </c:pt>
              <c:pt idx="1726">
                <c:v>-167.08969999999999</c:v>
              </c:pt>
              <c:pt idx="1727">
                <c:v>-167.07919999999999</c:v>
              </c:pt>
              <c:pt idx="1728">
                <c:v>-167.06870000000001</c:v>
              </c:pt>
              <c:pt idx="1729">
                <c:v>-167.05799999999999</c:v>
              </c:pt>
              <c:pt idx="1730">
                <c:v>-167.04759999999999</c:v>
              </c:pt>
              <c:pt idx="1731">
                <c:v>-167.03699999999998</c:v>
              </c:pt>
              <c:pt idx="1732">
                <c:v>-167.0264</c:v>
              </c:pt>
              <c:pt idx="1733">
                <c:v>-167.01589999999999</c:v>
              </c:pt>
              <c:pt idx="1734">
                <c:v>-167.00540000000001</c:v>
              </c:pt>
              <c:pt idx="1735">
                <c:v>-166.9949</c:v>
              </c:pt>
              <c:pt idx="1736">
                <c:v>-166.98429999999999</c:v>
              </c:pt>
              <c:pt idx="1737">
                <c:v>-166.97390000000001</c:v>
              </c:pt>
              <c:pt idx="1738">
                <c:v>-166.9633</c:v>
              </c:pt>
              <c:pt idx="1739">
                <c:v>-166.95269999999999</c:v>
              </c:pt>
              <c:pt idx="1740">
                <c:v>-166.94229999999999</c:v>
              </c:pt>
              <c:pt idx="1741">
                <c:v>-166.93170000000001</c:v>
              </c:pt>
              <c:pt idx="1742">
                <c:v>-166.92110000000002</c:v>
              </c:pt>
              <c:pt idx="1743">
                <c:v>-166.91059999999999</c:v>
              </c:pt>
              <c:pt idx="1744">
                <c:v>-166.90010000000001</c:v>
              </c:pt>
              <c:pt idx="1745">
                <c:v>-166.8895</c:v>
              </c:pt>
              <c:pt idx="1746">
                <c:v>-166.87889999999999</c:v>
              </c:pt>
              <c:pt idx="1747">
                <c:v>-166.86850000000001</c:v>
              </c:pt>
              <c:pt idx="1748">
                <c:v>-166.8578</c:v>
              </c:pt>
              <c:pt idx="1749">
                <c:v>-166.84730000000002</c:v>
              </c:pt>
              <c:pt idx="1750">
                <c:v>-166.83679999999998</c:v>
              </c:pt>
              <c:pt idx="1751">
                <c:v>-166.82620000000003</c:v>
              </c:pt>
              <c:pt idx="1752">
                <c:v>-166.81569999999999</c:v>
              </c:pt>
              <c:pt idx="1753">
                <c:v>-166.80519999999999</c:v>
              </c:pt>
              <c:pt idx="1754">
                <c:v>-166.79470000000001</c:v>
              </c:pt>
              <c:pt idx="1755">
                <c:v>-166.7841</c:v>
              </c:pt>
              <c:pt idx="1756">
                <c:v>-166.77360000000002</c:v>
              </c:pt>
              <c:pt idx="1757">
                <c:v>-166.76310000000001</c:v>
              </c:pt>
              <c:pt idx="1758">
                <c:v>-166.7525</c:v>
              </c:pt>
              <c:pt idx="1759">
                <c:v>-166.74200000000002</c:v>
              </c:pt>
              <c:pt idx="1760">
                <c:v>-166.73140000000001</c:v>
              </c:pt>
              <c:pt idx="1761">
                <c:v>-166.7209</c:v>
              </c:pt>
              <c:pt idx="1762">
                <c:v>-166.71039999999999</c:v>
              </c:pt>
              <c:pt idx="1763">
                <c:v>-166.69980000000001</c:v>
              </c:pt>
              <c:pt idx="1764">
                <c:v>-166.6893</c:v>
              </c:pt>
              <c:pt idx="1765">
                <c:v>-166.67869999999999</c:v>
              </c:pt>
              <c:pt idx="1766">
                <c:v>-166.66819999999998</c:v>
              </c:pt>
              <c:pt idx="1767">
                <c:v>-166.65769999999998</c:v>
              </c:pt>
              <c:pt idx="1768">
                <c:v>-166.64710000000002</c:v>
              </c:pt>
              <c:pt idx="1769">
                <c:v>-166.63660000000002</c:v>
              </c:pt>
              <c:pt idx="1770">
                <c:v>-166.626</c:v>
              </c:pt>
              <c:pt idx="1771">
                <c:v>-166.6156</c:v>
              </c:pt>
              <c:pt idx="1772">
                <c:v>-166.60500000000002</c:v>
              </c:pt>
              <c:pt idx="1773">
                <c:v>-166.59440000000001</c:v>
              </c:pt>
              <c:pt idx="1774">
                <c:v>-166.58399999999997</c:v>
              </c:pt>
              <c:pt idx="1775">
                <c:v>-166.57339999999999</c:v>
              </c:pt>
              <c:pt idx="1776">
                <c:v>-166.56279999999998</c:v>
              </c:pt>
              <c:pt idx="1777">
                <c:v>-166.5523</c:v>
              </c:pt>
              <c:pt idx="1778">
                <c:v>-166.54179999999999</c:v>
              </c:pt>
              <c:pt idx="1779">
                <c:v>-166.53119999999998</c:v>
              </c:pt>
              <c:pt idx="1780">
                <c:v>-166.52070000000001</c:v>
              </c:pt>
              <c:pt idx="1781">
                <c:v>-166.51009999999999</c:v>
              </c:pt>
              <c:pt idx="1782">
                <c:v>-166.49950000000001</c:v>
              </c:pt>
              <c:pt idx="1783">
                <c:v>-166.48910000000001</c:v>
              </c:pt>
              <c:pt idx="1784">
                <c:v>-166.47839999999999</c:v>
              </c:pt>
              <c:pt idx="1785">
                <c:v>-166.46789999999999</c:v>
              </c:pt>
              <c:pt idx="1786">
                <c:v>-166.45740000000001</c:v>
              </c:pt>
              <c:pt idx="1787">
                <c:v>-166.44680000000002</c:v>
              </c:pt>
              <c:pt idx="1788">
                <c:v>-166.43639999999999</c:v>
              </c:pt>
              <c:pt idx="1789">
                <c:v>-166.42580000000001</c:v>
              </c:pt>
              <c:pt idx="1790">
                <c:v>-166.4153</c:v>
              </c:pt>
              <c:pt idx="1791">
                <c:v>-166.40479999999999</c:v>
              </c:pt>
              <c:pt idx="1792">
                <c:v>-166.39420000000001</c:v>
              </c:pt>
              <c:pt idx="1793">
                <c:v>-166.38369999999998</c:v>
              </c:pt>
              <c:pt idx="1794">
                <c:v>-166.37310000000002</c:v>
              </c:pt>
              <c:pt idx="1795">
                <c:v>-166.36259999999999</c:v>
              </c:pt>
              <c:pt idx="1796">
                <c:v>-166.352</c:v>
              </c:pt>
              <c:pt idx="1797">
                <c:v>-166.3415</c:v>
              </c:pt>
              <c:pt idx="1798">
                <c:v>-166.33100000000002</c:v>
              </c:pt>
              <c:pt idx="1799">
                <c:v>-166.3203</c:v>
              </c:pt>
              <c:pt idx="1800">
                <c:v>-166.3099</c:v>
              </c:pt>
              <c:pt idx="1801">
                <c:v>-166.29929999999999</c:v>
              </c:pt>
              <c:pt idx="1802">
                <c:v>-166.28870000000001</c:v>
              </c:pt>
              <c:pt idx="1803">
                <c:v>-166.2783</c:v>
              </c:pt>
              <c:pt idx="1804">
                <c:v>-166.26760000000002</c:v>
              </c:pt>
              <c:pt idx="1805">
                <c:v>-166.25730000000001</c:v>
              </c:pt>
              <c:pt idx="1806">
                <c:v>-166.2467</c:v>
              </c:pt>
              <c:pt idx="1807">
                <c:v>-166.23609999999999</c:v>
              </c:pt>
              <c:pt idx="1808">
                <c:v>-166.22570000000002</c:v>
              </c:pt>
              <c:pt idx="1809">
                <c:v>-166.215</c:v>
              </c:pt>
              <c:pt idx="1810">
                <c:v>-166.2045</c:v>
              </c:pt>
              <c:pt idx="1811">
                <c:v>-166.19399999999999</c:v>
              </c:pt>
              <c:pt idx="1812">
                <c:v>-166.18340000000001</c:v>
              </c:pt>
              <c:pt idx="1813">
                <c:v>-166.17289999999997</c:v>
              </c:pt>
              <c:pt idx="1814">
                <c:v>-166.16230000000002</c:v>
              </c:pt>
              <c:pt idx="1815">
                <c:v>-166.15179999999998</c:v>
              </c:pt>
              <c:pt idx="1816">
                <c:v>-166.1412</c:v>
              </c:pt>
              <c:pt idx="1817">
                <c:v>-166.13069999999999</c:v>
              </c:pt>
              <c:pt idx="1818">
                <c:v>-166.12010000000001</c:v>
              </c:pt>
              <c:pt idx="1819">
                <c:v>-166.1096</c:v>
              </c:pt>
              <c:pt idx="1820">
                <c:v>-166.09909999999999</c:v>
              </c:pt>
              <c:pt idx="1821">
                <c:v>-166.08859999999999</c:v>
              </c:pt>
              <c:pt idx="1822">
                <c:v>-166.07810000000001</c:v>
              </c:pt>
              <c:pt idx="1823">
                <c:v>-166.0675</c:v>
              </c:pt>
              <c:pt idx="1824">
                <c:v>-166.05699999999999</c:v>
              </c:pt>
              <c:pt idx="1825">
                <c:v>-166.04650000000001</c:v>
              </c:pt>
              <c:pt idx="1826">
                <c:v>-166.0359</c:v>
              </c:pt>
              <c:pt idx="1827">
                <c:v>-166.02539999999999</c:v>
              </c:pt>
              <c:pt idx="1828">
                <c:v>-166.0147</c:v>
              </c:pt>
              <c:pt idx="1829">
                <c:v>-166.0043</c:v>
              </c:pt>
              <c:pt idx="1830">
                <c:v>-165.99369999999999</c:v>
              </c:pt>
              <c:pt idx="1831">
                <c:v>-165.98320000000001</c:v>
              </c:pt>
              <c:pt idx="1832">
                <c:v>-165.9727</c:v>
              </c:pt>
              <c:pt idx="1833">
                <c:v>-165.96200000000002</c:v>
              </c:pt>
              <c:pt idx="1834">
                <c:v>-165.95159999999998</c:v>
              </c:pt>
              <c:pt idx="1835">
                <c:v>-165.9409</c:v>
              </c:pt>
              <c:pt idx="1836">
                <c:v>-165.93049999999999</c:v>
              </c:pt>
              <c:pt idx="1837">
                <c:v>-165.91990000000001</c:v>
              </c:pt>
              <c:pt idx="1838">
                <c:v>-165.90939999999998</c:v>
              </c:pt>
              <c:pt idx="1839">
                <c:v>-165.899</c:v>
              </c:pt>
              <c:pt idx="1840">
                <c:v>-165.88830000000002</c:v>
              </c:pt>
              <c:pt idx="1841">
                <c:v>-165.87790000000001</c:v>
              </c:pt>
              <c:pt idx="1842">
                <c:v>-165.8673</c:v>
              </c:pt>
              <c:pt idx="1843">
                <c:v>-165.85669999999999</c:v>
              </c:pt>
              <c:pt idx="1844">
                <c:v>-165.84620000000001</c:v>
              </c:pt>
              <c:pt idx="1845">
                <c:v>-165.8356</c:v>
              </c:pt>
              <c:pt idx="1846">
                <c:v>-165.82509999999999</c:v>
              </c:pt>
              <c:pt idx="1847">
                <c:v>-165.81459999999998</c:v>
              </c:pt>
              <c:pt idx="1848">
                <c:v>-165.804</c:v>
              </c:pt>
              <c:pt idx="1849">
                <c:v>-165.79349999999999</c:v>
              </c:pt>
              <c:pt idx="1850">
                <c:v>-165.78289999999998</c:v>
              </c:pt>
              <c:pt idx="1851">
                <c:v>-165.7724</c:v>
              </c:pt>
              <c:pt idx="1852">
                <c:v>-165.76179999999999</c:v>
              </c:pt>
              <c:pt idx="1853">
                <c:v>-165.75129999999999</c:v>
              </c:pt>
              <c:pt idx="1854">
                <c:v>-165.74090000000001</c:v>
              </c:pt>
              <c:pt idx="1855">
                <c:v>-165.7302</c:v>
              </c:pt>
              <c:pt idx="1856">
                <c:v>-165.71979999999999</c:v>
              </c:pt>
              <c:pt idx="1857">
                <c:v>-165.70909999999998</c:v>
              </c:pt>
              <c:pt idx="1858">
                <c:v>-165.6987</c:v>
              </c:pt>
              <c:pt idx="1859">
                <c:v>-165.68810000000002</c:v>
              </c:pt>
              <c:pt idx="1860">
                <c:v>-165.67759999999998</c:v>
              </c:pt>
              <c:pt idx="1861">
                <c:v>-165.6671</c:v>
              </c:pt>
              <c:pt idx="1862">
                <c:v>-165.65639999999999</c:v>
              </c:pt>
              <c:pt idx="1863">
                <c:v>-165.64600000000002</c:v>
              </c:pt>
              <c:pt idx="1864">
                <c:v>-165.6354</c:v>
              </c:pt>
              <c:pt idx="1865">
                <c:v>-165.6249</c:v>
              </c:pt>
              <c:pt idx="1866">
                <c:v>-165.61429999999999</c:v>
              </c:pt>
              <c:pt idx="1867">
                <c:v>-165.60380000000001</c:v>
              </c:pt>
              <c:pt idx="1868">
                <c:v>-165.59320000000002</c:v>
              </c:pt>
              <c:pt idx="1869">
                <c:v>-165.58269999999999</c:v>
              </c:pt>
              <c:pt idx="1870">
                <c:v>-165.57220000000001</c:v>
              </c:pt>
              <c:pt idx="1871">
                <c:v>-165.5617</c:v>
              </c:pt>
              <c:pt idx="1872">
                <c:v>-165.55109999999999</c:v>
              </c:pt>
              <c:pt idx="1873">
                <c:v>-165.54060000000001</c:v>
              </c:pt>
              <c:pt idx="1874">
                <c:v>-165.53000000000003</c:v>
              </c:pt>
              <c:pt idx="1875">
                <c:v>-165.51949999999999</c:v>
              </c:pt>
              <c:pt idx="1876">
                <c:v>-165.50899999999999</c:v>
              </c:pt>
              <c:pt idx="1877">
                <c:v>-165.4984</c:v>
              </c:pt>
              <c:pt idx="1878">
                <c:v>-165.48779999999999</c:v>
              </c:pt>
              <c:pt idx="1879">
                <c:v>-165.47729999999999</c:v>
              </c:pt>
              <c:pt idx="1880">
                <c:v>-165.4667</c:v>
              </c:pt>
              <c:pt idx="1881">
                <c:v>-165.4563</c:v>
              </c:pt>
              <c:pt idx="1882">
                <c:v>-165.44560000000001</c:v>
              </c:pt>
              <c:pt idx="1883">
                <c:v>-165.43520000000001</c:v>
              </c:pt>
              <c:pt idx="1884">
                <c:v>-165.42449999999999</c:v>
              </c:pt>
              <c:pt idx="1885">
                <c:v>-165.41419999999999</c:v>
              </c:pt>
              <c:pt idx="1886">
                <c:v>-165.40360000000001</c:v>
              </c:pt>
              <c:pt idx="1887">
                <c:v>-165.393</c:v>
              </c:pt>
              <c:pt idx="1888">
                <c:v>-165.38249999999999</c:v>
              </c:pt>
              <c:pt idx="1889">
                <c:v>-165.37189999999998</c:v>
              </c:pt>
              <c:pt idx="1890">
                <c:v>-165.3614</c:v>
              </c:pt>
              <c:pt idx="1891">
                <c:v>-165.3509</c:v>
              </c:pt>
              <c:pt idx="1892">
                <c:v>-165.34030000000001</c:v>
              </c:pt>
              <c:pt idx="1893">
                <c:v>-165.32980000000001</c:v>
              </c:pt>
              <c:pt idx="1894">
                <c:v>-165.3192</c:v>
              </c:pt>
              <c:pt idx="1895">
                <c:v>-165.30869999999999</c:v>
              </c:pt>
              <c:pt idx="1896">
                <c:v>-165.29820000000001</c:v>
              </c:pt>
              <c:pt idx="1897">
                <c:v>-165.2876</c:v>
              </c:pt>
              <c:pt idx="1898">
                <c:v>-165.27710000000002</c:v>
              </c:pt>
              <c:pt idx="1899">
                <c:v>-165.26650000000001</c:v>
              </c:pt>
              <c:pt idx="1900">
                <c:v>-165.2559</c:v>
              </c:pt>
              <c:pt idx="1901">
                <c:v>-165.24560000000002</c:v>
              </c:pt>
              <c:pt idx="1902">
                <c:v>-165.23490000000001</c:v>
              </c:pt>
              <c:pt idx="1903">
                <c:v>-165.22449999999998</c:v>
              </c:pt>
              <c:pt idx="1904">
                <c:v>-165.21379999999999</c:v>
              </c:pt>
              <c:pt idx="1905">
                <c:v>-165.20339999999999</c:v>
              </c:pt>
              <c:pt idx="1906">
                <c:v>-165.1927</c:v>
              </c:pt>
              <c:pt idx="1907">
                <c:v>-165.1823</c:v>
              </c:pt>
              <c:pt idx="1908">
                <c:v>-165.17169999999999</c:v>
              </c:pt>
              <c:pt idx="1909">
                <c:v>-165.16120000000001</c:v>
              </c:pt>
              <c:pt idx="1910">
                <c:v>-165.1506</c:v>
              </c:pt>
              <c:pt idx="1911">
                <c:v>-165.14010000000002</c:v>
              </c:pt>
              <c:pt idx="1912">
                <c:v>-165.12950000000001</c:v>
              </c:pt>
              <c:pt idx="1913">
                <c:v>-165.1191</c:v>
              </c:pt>
              <c:pt idx="1914">
                <c:v>-165.10839999999999</c:v>
              </c:pt>
              <c:pt idx="1915">
                <c:v>-165.09800000000001</c:v>
              </c:pt>
              <c:pt idx="1916">
                <c:v>-165.0874</c:v>
              </c:pt>
              <c:pt idx="1917">
                <c:v>-165.07689999999999</c:v>
              </c:pt>
              <c:pt idx="1918">
                <c:v>-165.06639999999999</c:v>
              </c:pt>
              <c:pt idx="1919">
                <c:v>-165.05579999999998</c:v>
              </c:pt>
              <c:pt idx="1920">
                <c:v>-165.0453</c:v>
              </c:pt>
              <c:pt idx="1921">
                <c:v>-165.03470000000002</c:v>
              </c:pt>
              <c:pt idx="1922">
                <c:v>-165.02420000000001</c:v>
              </c:pt>
              <c:pt idx="1923">
                <c:v>-165.0137</c:v>
              </c:pt>
              <c:pt idx="1924">
                <c:v>-165.00310000000002</c:v>
              </c:pt>
              <c:pt idx="1925">
                <c:v>-164.99260000000001</c:v>
              </c:pt>
              <c:pt idx="1926">
                <c:v>-164.982</c:v>
              </c:pt>
              <c:pt idx="1927">
                <c:v>-164.97149999999999</c:v>
              </c:pt>
              <c:pt idx="1928">
                <c:v>-164.96099999999998</c:v>
              </c:pt>
              <c:pt idx="1929">
                <c:v>-164.9504</c:v>
              </c:pt>
              <c:pt idx="1930">
                <c:v>-164.93979999999999</c:v>
              </c:pt>
              <c:pt idx="1931">
                <c:v>-164.92939999999999</c:v>
              </c:pt>
              <c:pt idx="1932">
                <c:v>-164.9188</c:v>
              </c:pt>
              <c:pt idx="1933">
                <c:v>-164.9084</c:v>
              </c:pt>
              <c:pt idx="1934">
                <c:v>-164.89770000000001</c:v>
              </c:pt>
              <c:pt idx="1935">
                <c:v>-164.88730000000001</c:v>
              </c:pt>
              <c:pt idx="1936">
                <c:v>-164.8766</c:v>
              </c:pt>
              <c:pt idx="1937">
                <c:v>-164.86619999999999</c:v>
              </c:pt>
              <c:pt idx="1938">
                <c:v>-164.85559999999998</c:v>
              </c:pt>
              <c:pt idx="1939">
                <c:v>-164.845</c:v>
              </c:pt>
              <c:pt idx="1940">
                <c:v>-164.83449999999999</c:v>
              </c:pt>
              <c:pt idx="1941">
                <c:v>-164.82389999999998</c:v>
              </c:pt>
              <c:pt idx="1942">
                <c:v>-164.8134</c:v>
              </c:pt>
              <c:pt idx="1943">
                <c:v>-164.80289999999999</c:v>
              </c:pt>
              <c:pt idx="1944">
                <c:v>-164.79230000000001</c:v>
              </c:pt>
              <c:pt idx="1945">
                <c:v>-164.7818</c:v>
              </c:pt>
              <c:pt idx="1946">
                <c:v>-164.77119999999999</c:v>
              </c:pt>
              <c:pt idx="1947">
                <c:v>-164.76079999999999</c:v>
              </c:pt>
              <c:pt idx="1948">
                <c:v>-164.75020000000001</c:v>
              </c:pt>
              <c:pt idx="1949">
                <c:v>-164.7397</c:v>
              </c:pt>
              <c:pt idx="1950">
                <c:v>-164.72910000000002</c:v>
              </c:pt>
              <c:pt idx="1951">
                <c:v>-164.71859999999998</c:v>
              </c:pt>
              <c:pt idx="1952">
                <c:v>-164.708</c:v>
              </c:pt>
              <c:pt idx="1953">
                <c:v>-164.69749999999999</c:v>
              </c:pt>
              <c:pt idx="1954">
                <c:v>-164.68690000000001</c:v>
              </c:pt>
              <c:pt idx="1955">
                <c:v>-164.6764</c:v>
              </c:pt>
              <c:pt idx="1956">
                <c:v>-164.66579999999999</c:v>
              </c:pt>
              <c:pt idx="1957">
                <c:v>-164.65529999999998</c:v>
              </c:pt>
              <c:pt idx="1958">
                <c:v>-164.6448</c:v>
              </c:pt>
              <c:pt idx="1959">
                <c:v>-164.63419999999999</c:v>
              </c:pt>
              <c:pt idx="1960">
                <c:v>-164.62360000000001</c:v>
              </c:pt>
              <c:pt idx="1961">
                <c:v>-164.61320000000001</c:v>
              </c:pt>
              <c:pt idx="1962">
                <c:v>-164.60269999999997</c:v>
              </c:pt>
              <c:pt idx="1963">
                <c:v>-164.59210000000002</c:v>
              </c:pt>
              <c:pt idx="1964">
                <c:v>-164.58160000000001</c:v>
              </c:pt>
              <c:pt idx="1965">
                <c:v>-164.571</c:v>
              </c:pt>
              <c:pt idx="1966">
                <c:v>-164.56049999999999</c:v>
              </c:pt>
              <c:pt idx="1967">
                <c:v>-164.54989999999998</c:v>
              </c:pt>
              <c:pt idx="1968">
                <c:v>-164.5394</c:v>
              </c:pt>
              <c:pt idx="1969">
                <c:v>-164.52879999999999</c:v>
              </c:pt>
              <c:pt idx="1970">
                <c:v>-164.51839999999999</c:v>
              </c:pt>
              <c:pt idx="1971">
                <c:v>-164.5077</c:v>
              </c:pt>
              <c:pt idx="1972">
                <c:v>-164.49719999999999</c:v>
              </c:pt>
              <c:pt idx="1973">
                <c:v>-164.48660000000001</c:v>
              </c:pt>
              <c:pt idx="1974">
                <c:v>-164.4761</c:v>
              </c:pt>
              <c:pt idx="1975">
                <c:v>-164.4658</c:v>
              </c:pt>
              <c:pt idx="1976">
                <c:v>-164.4461</c:v>
              </c:pt>
              <c:pt idx="1977">
                <c:v>-164.42100000000002</c:v>
              </c:pt>
              <c:pt idx="1978">
                <c:v>-164.39609999999999</c:v>
              </c:pt>
              <c:pt idx="1979">
                <c:v>-164.37099999999998</c:v>
              </c:pt>
              <c:pt idx="1980">
                <c:v>-164.3458</c:v>
              </c:pt>
              <c:pt idx="1981">
                <c:v>-164.32080000000002</c:v>
              </c:pt>
              <c:pt idx="1982">
                <c:v>-164.29579999999999</c:v>
              </c:pt>
              <c:pt idx="1983">
                <c:v>-164.27070000000001</c:v>
              </c:pt>
              <c:pt idx="1984">
                <c:v>-164.2457</c:v>
              </c:pt>
              <c:pt idx="1985">
                <c:v>-164.22059999999999</c:v>
              </c:pt>
              <c:pt idx="1986">
                <c:v>-164.19549999999998</c:v>
              </c:pt>
              <c:pt idx="1987">
                <c:v>-164.1704</c:v>
              </c:pt>
              <c:pt idx="1988">
                <c:v>-164.1454</c:v>
              </c:pt>
              <c:pt idx="1989">
                <c:v>-164.12040000000002</c:v>
              </c:pt>
              <c:pt idx="1990">
                <c:v>-164.09539999999998</c:v>
              </c:pt>
              <c:pt idx="1991">
                <c:v>-164.0702</c:v>
              </c:pt>
              <c:pt idx="1992">
                <c:v>-164.04509999999999</c:v>
              </c:pt>
              <c:pt idx="1993">
                <c:v>-164.02020000000002</c:v>
              </c:pt>
              <c:pt idx="1994">
                <c:v>-163.99509999999998</c:v>
              </c:pt>
              <c:pt idx="1995">
                <c:v>-163.97</c:v>
              </c:pt>
              <c:pt idx="1996">
                <c:v>-163.94499999999999</c:v>
              </c:pt>
              <c:pt idx="1997">
                <c:v>-163.91980000000001</c:v>
              </c:pt>
              <c:pt idx="1998">
                <c:v>-163.89490000000001</c:v>
              </c:pt>
              <c:pt idx="1999">
                <c:v>-163.8698</c:v>
              </c:pt>
              <c:pt idx="2000">
                <c:v>-163.84469999999999</c:v>
              </c:pt>
              <c:pt idx="2001">
                <c:v>-163.81970000000001</c:v>
              </c:pt>
              <c:pt idx="2002">
                <c:v>-163.7946</c:v>
              </c:pt>
              <c:pt idx="2003">
                <c:v>-163.76959999999997</c:v>
              </c:pt>
              <c:pt idx="2004">
                <c:v>-163.74449999999999</c:v>
              </c:pt>
              <c:pt idx="2005">
                <c:v>-163.71950000000001</c:v>
              </c:pt>
              <c:pt idx="2006">
                <c:v>-163.69440000000003</c:v>
              </c:pt>
              <c:pt idx="2007">
                <c:v>-163.66919999999999</c:v>
              </c:pt>
              <c:pt idx="2008">
                <c:v>-163.64420000000001</c:v>
              </c:pt>
              <c:pt idx="2009">
                <c:v>-163.61929999999998</c:v>
              </c:pt>
              <c:pt idx="2010">
                <c:v>-163.5942</c:v>
              </c:pt>
              <c:pt idx="2011">
                <c:v>-163.56909999999999</c:v>
              </c:pt>
              <c:pt idx="2012">
                <c:v>-163.54399999999998</c:v>
              </c:pt>
              <c:pt idx="2013">
                <c:v>-163.51900000000001</c:v>
              </c:pt>
              <c:pt idx="2014">
                <c:v>-163.494</c:v>
              </c:pt>
              <c:pt idx="2015">
                <c:v>-163.46890000000002</c:v>
              </c:pt>
              <c:pt idx="2016">
                <c:v>-163.44379999999998</c:v>
              </c:pt>
              <c:pt idx="2017">
                <c:v>-163.4188</c:v>
              </c:pt>
              <c:pt idx="2018">
                <c:v>-163.39359999999999</c:v>
              </c:pt>
              <c:pt idx="2019">
                <c:v>-163.36870000000002</c:v>
              </c:pt>
              <c:pt idx="2020">
                <c:v>-163.34369999999998</c:v>
              </c:pt>
              <c:pt idx="2021">
                <c:v>-163.3185</c:v>
              </c:pt>
              <c:pt idx="2022">
                <c:v>-163.29339999999999</c:v>
              </c:pt>
              <c:pt idx="2023">
                <c:v>-163.26840000000001</c:v>
              </c:pt>
              <c:pt idx="2024">
                <c:v>-163.24340000000001</c:v>
              </c:pt>
              <c:pt idx="2025">
                <c:v>-163.21830000000003</c:v>
              </c:pt>
              <c:pt idx="2026">
                <c:v>-163.19319999999999</c:v>
              </c:pt>
              <c:pt idx="2027">
                <c:v>-163.16820000000001</c:v>
              </c:pt>
              <c:pt idx="2028">
                <c:v>-163.14319999999998</c:v>
              </c:pt>
              <c:pt idx="2029">
                <c:v>-163.1181</c:v>
              </c:pt>
              <c:pt idx="2030">
                <c:v>-163.09289999999999</c:v>
              </c:pt>
              <c:pt idx="2031">
                <c:v>-163.06800000000001</c:v>
              </c:pt>
              <c:pt idx="2032">
                <c:v>-163.0429</c:v>
              </c:pt>
              <c:pt idx="2033">
                <c:v>-163.0179</c:v>
              </c:pt>
              <c:pt idx="2034">
                <c:v>-162.99279999999999</c:v>
              </c:pt>
              <c:pt idx="2035">
                <c:v>-162.9676</c:v>
              </c:pt>
              <c:pt idx="2036">
                <c:v>-162.9427</c:v>
              </c:pt>
              <c:pt idx="2037">
                <c:v>-162.9177</c:v>
              </c:pt>
              <c:pt idx="2038">
                <c:v>-162.89260000000002</c:v>
              </c:pt>
              <c:pt idx="2039">
                <c:v>-162.86750000000001</c:v>
              </c:pt>
              <c:pt idx="2040">
                <c:v>-162.84240000000003</c:v>
              </c:pt>
              <c:pt idx="2041">
                <c:v>-162.81729999999999</c:v>
              </c:pt>
              <c:pt idx="2042">
                <c:v>-162.79240000000001</c:v>
              </c:pt>
              <c:pt idx="2043">
                <c:v>-162.76740000000001</c:v>
              </c:pt>
              <c:pt idx="2044">
                <c:v>-162.74219999999997</c:v>
              </c:pt>
              <c:pt idx="2045">
                <c:v>-162.71710000000002</c:v>
              </c:pt>
              <c:pt idx="2046">
                <c:v>-162.69210000000001</c:v>
              </c:pt>
              <c:pt idx="2047">
                <c:v>-162.66699999999997</c:v>
              </c:pt>
              <c:pt idx="2048">
                <c:v>-162.6421</c:v>
              </c:pt>
              <c:pt idx="2049">
                <c:v>-162.61699999999999</c:v>
              </c:pt>
              <c:pt idx="2050">
                <c:v>-162.59180000000001</c:v>
              </c:pt>
              <c:pt idx="2051">
                <c:v>-162.5668</c:v>
              </c:pt>
              <c:pt idx="2052">
                <c:v>-162.54169999999999</c:v>
              </c:pt>
              <c:pt idx="2053">
                <c:v>-162.51670000000001</c:v>
              </c:pt>
              <c:pt idx="2054">
                <c:v>-162.49180000000001</c:v>
              </c:pt>
              <c:pt idx="2055">
                <c:v>-162.4665</c:v>
              </c:pt>
              <c:pt idx="2056">
                <c:v>-162.44149999999999</c:v>
              </c:pt>
              <c:pt idx="2057">
                <c:v>-162.41649999999998</c:v>
              </c:pt>
              <c:pt idx="2058">
                <c:v>-162.3914</c:v>
              </c:pt>
              <c:pt idx="2059">
                <c:v>-162.3664</c:v>
              </c:pt>
              <c:pt idx="2060">
                <c:v>-162.34129999999999</c:v>
              </c:pt>
              <c:pt idx="2061">
                <c:v>-162.31630000000001</c:v>
              </c:pt>
              <c:pt idx="2062">
                <c:v>-162.2912</c:v>
              </c:pt>
              <c:pt idx="2063">
                <c:v>-162.26609999999999</c:v>
              </c:pt>
              <c:pt idx="2064">
                <c:v>-162.24109999999999</c:v>
              </c:pt>
              <c:pt idx="2065">
                <c:v>-162.21600000000001</c:v>
              </c:pt>
              <c:pt idx="2066">
                <c:v>-162.1909</c:v>
              </c:pt>
              <c:pt idx="2067">
                <c:v>-162.15939999999998</c:v>
              </c:pt>
              <c:pt idx="2068">
                <c:v>-162.12810000000002</c:v>
              </c:pt>
              <c:pt idx="2069">
                <c:v>-162.09660000000002</c:v>
              </c:pt>
              <c:pt idx="2070">
                <c:v>-162.0651</c:v>
              </c:pt>
              <c:pt idx="2071">
                <c:v>-162.02909999999997</c:v>
              </c:pt>
              <c:pt idx="2072">
                <c:v>-161.9915</c:v>
              </c:pt>
              <c:pt idx="2073">
                <c:v>-161.9538</c:v>
              </c:pt>
              <c:pt idx="2074">
                <c:v>-161.916</c:v>
              </c:pt>
              <c:pt idx="2075">
                <c:v>-161.8783</c:v>
              </c:pt>
              <c:pt idx="2076">
                <c:v>-161.84070000000003</c:v>
              </c:pt>
              <c:pt idx="2077">
                <c:v>-161.80289999999999</c:v>
              </c:pt>
              <c:pt idx="2078">
                <c:v>-161.7653</c:v>
              </c:pt>
              <c:pt idx="2079">
                <c:v>-161.7276</c:v>
              </c:pt>
              <c:pt idx="2080">
                <c:v>-161.68970000000002</c:v>
              </c:pt>
              <c:pt idx="2081">
                <c:v>-161.65209999999999</c:v>
              </c:pt>
              <c:pt idx="2082">
                <c:v>-161.61439999999999</c:v>
              </c:pt>
              <c:pt idx="2083">
                <c:v>-161.57670000000002</c:v>
              </c:pt>
              <c:pt idx="2084">
                <c:v>-161.53899999999999</c:v>
              </c:pt>
              <c:pt idx="2085">
                <c:v>-161.50130000000001</c:v>
              </c:pt>
              <c:pt idx="2086">
                <c:v>-161.46349999999998</c:v>
              </c:pt>
              <c:pt idx="2087">
                <c:v>-161.42590000000001</c:v>
              </c:pt>
              <c:pt idx="2088">
                <c:v>-161.38820000000001</c:v>
              </c:pt>
              <c:pt idx="2089">
                <c:v>-161.35050000000001</c:v>
              </c:pt>
              <c:pt idx="2090">
                <c:v>-161.31279999999998</c:v>
              </c:pt>
              <c:pt idx="2091">
                <c:v>-161.27500000000001</c:v>
              </c:pt>
              <c:pt idx="2092">
                <c:v>-161.23740000000001</c:v>
              </c:pt>
              <c:pt idx="2093">
                <c:v>-161.1996</c:v>
              </c:pt>
              <c:pt idx="2094">
                <c:v>-161.16200000000001</c:v>
              </c:pt>
              <c:pt idx="2095">
                <c:v>-161.12429999999998</c:v>
              </c:pt>
              <c:pt idx="2096">
                <c:v>-161.0866</c:v>
              </c:pt>
              <c:pt idx="2097">
                <c:v>-161.0489</c:v>
              </c:pt>
              <c:pt idx="2098">
                <c:v>-161.0111</c:v>
              </c:pt>
              <c:pt idx="2099">
                <c:v>-160.9735</c:v>
              </c:pt>
              <c:pt idx="2100">
                <c:v>-160.9357</c:v>
              </c:pt>
              <c:pt idx="2101">
                <c:v>-160.898</c:v>
              </c:pt>
              <c:pt idx="2102">
                <c:v>-160.86030000000002</c:v>
              </c:pt>
              <c:pt idx="2103">
                <c:v>-160.8227</c:v>
              </c:pt>
              <c:pt idx="2104">
                <c:v>-160.78489999999999</c:v>
              </c:pt>
              <c:pt idx="2105">
                <c:v>-160.74719999999999</c:v>
              </c:pt>
              <c:pt idx="2106">
                <c:v>-160.70959999999999</c:v>
              </c:pt>
              <c:pt idx="2107">
                <c:v>-160.67180000000002</c:v>
              </c:pt>
              <c:pt idx="2108">
                <c:v>-160.63409999999999</c:v>
              </c:pt>
              <c:pt idx="2109">
                <c:v>-160.59649999999999</c:v>
              </c:pt>
              <c:pt idx="2110">
                <c:v>-160.55879999999999</c:v>
              </c:pt>
              <c:pt idx="2111">
                <c:v>-160.52100000000002</c:v>
              </c:pt>
              <c:pt idx="2112">
                <c:v>-160.48339999999999</c:v>
              </c:pt>
              <c:pt idx="2113">
                <c:v>-160.44330000000002</c:v>
              </c:pt>
              <c:pt idx="2114">
                <c:v>-160.40049999999999</c:v>
              </c:pt>
              <c:pt idx="2115">
                <c:v>-160.3554</c:v>
              </c:pt>
              <c:pt idx="2116">
                <c:v>-160.31029999999998</c:v>
              </c:pt>
              <c:pt idx="2117">
                <c:v>-160.26519999999999</c:v>
              </c:pt>
              <c:pt idx="2118">
                <c:v>-160.22</c:v>
              </c:pt>
              <c:pt idx="2119">
                <c:v>-160.17500000000001</c:v>
              </c:pt>
              <c:pt idx="2120">
                <c:v>-160.12979999999999</c:v>
              </c:pt>
              <c:pt idx="2121">
                <c:v>-160.08459999999999</c:v>
              </c:pt>
              <c:pt idx="2122">
                <c:v>-160.0395</c:v>
              </c:pt>
              <c:pt idx="2123">
                <c:v>-159.99430000000001</c:v>
              </c:pt>
              <c:pt idx="2124">
                <c:v>-159.94919999999999</c:v>
              </c:pt>
              <c:pt idx="2125">
                <c:v>-159.904</c:v>
              </c:pt>
              <c:pt idx="2126">
                <c:v>-159.85900000000001</c:v>
              </c:pt>
              <c:pt idx="2127">
                <c:v>-159.81380000000001</c:v>
              </c:pt>
              <c:pt idx="2128">
                <c:v>-159.76870000000002</c:v>
              </c:pt>
              <c:pt idx="2129">
                <c:v>-159.7235</c:v>
              </c:pt>
              <c:pt idx="2130">
                <c:v>-159.67829999999998</c:v>
              </c:pt>
              <c:pt idx="2131">
                <c:v>-159.63320000000002</c:v>
              </c:pt>
              <c:pt idx="2132">
                <c:v>-159.5881</c:v>
              </c:pt>
              <c:pt idx="2133">
                <c:v>-159.54299999999998</c:v>
              </c:pt>
              <c:pt idx="2134">
                <c:v>-159.49780000000001</c:v>
              </c:pt>
              <c:pt idx="2135">
                <c:v>-159.45260000000002</c:v>
              </c:pt>
              <c:pt idx="2136">
                <c:v>-159.4076</c:v>
              </c:pt>
              <c:pt idx="2137">
                <c:v>-159.3623</c:v>
              </c:pt>
              <c:pt idx="2138">
                <c:v>-159.31720000000001</c:v>
              </c:pt>
              <c:pt idx="2139">
                <c:v>-159.27209999999999</c:v>
              </c:pt>
              <c:pt idx="2140">
                <c:v>-159.2269</c:v>
              </c:pt>
              <c:pt idx="2141">
                <c:v>-159.18179999999998</c:v>
              </c:pt>
              <c:pt idx="2142">
                <c:v>-159.13669999999999</c:v>
              </c:pt>
              <c:pt idx="2143">
                <c:v>-159.0915</c:v>
              </c:pt>
              <c:pt idx="2144">
                <c:v>-159.0463</c:v>
              </c:pt>
              <c:pt idx="2145">
                <c:v>-159.00130000000001</c:v>
              </c:pt>
              <c:pt idx="2146">
                <c:v>-158.95620000000002</c:v>
              </c:pt>
              <c:pt idx="2147">
                <c:v>-158.911</c:v>
              </c:pt>
              <c:pt idx="2148">
                <c:v>-158.86590000000001</c:v>
              </c:pt>
              <c:pt idx="2149">
                <c:v>-158.82079999999999</c:v>
              </c:pt>
              <c:pt idx="2150">
                <c:v>-158.7756</c:v>
              </c:pt>
              <c:pt idx="2151">
                <c:v>-158.7303</c:v>
              </c:pt>
              <c:pt idx="2152">
                <c:v>-158.68540000000002</c:v>
              </c:pt>
              <c:pt idx="2153">
                <c:v>-158.64019999999999</c:v>
              </c:pt>
              <c:pt idx="2154">
                <c:v>-158.59500000000003</c:v>
              </c:pt>
              <c:pt idx="2155">
                <c:v>-158.54990000000001</c:v>
              </c:pt>
              <c:pt idx="2156">
                <c:v>-158.50480000000002</c:v>
              </c:pt>
              <c:pt idx="2157">
                <c:v>-158.4597</c:v>
              </c:pt>
              <c:pt idx="2158">
                <c:v>-158.4145</c:v>
              </c:pt>
              <c:pt idx="2159">
                <c:v>-158.36930000000001</c:v>
              </c:pt>
              <c:pt idx="2160">
                <c:v>-158.32410000000002</c:v>
              </c:pt>
              <c:pt idx="2161">
                <c:v>-158.27910000000003</c:v>
              </c:pt>
              <c:pt idx="2162">
                <c:v>-158.23400000000001</c:v>
              </c:pt>
              <c:pt idx="2163">
                <c:v>-158.18880000000001</c:v>
              </c:pt>
              <c:pt idx="2164">
                <c:v>-158.1437</c:v>
              </c:pt>
              <c:pt idx="2165">
                <c:v>-158.0986</c:v>
              </c:pt>
              <c:pt idx="2166">
                <c:v>-158.05340000000001</c:v>
              </c:pt>
              <c:pt idx="2167">
                <c:v>-158.00829999999999</c:v>
              </c:pt>
              <c:pt idx="2168">
                <c:v>-157.9631</c:v>
              </c:pt>
              <c:pt idx="2169">
                <c:v>-157.91800000000001</c:v>
              </c:pt>
              <c:pt idx="2170">
                <c:v>-157.87289999999999</c:v>
              </c:pt>
              <c:pt idx="2171">
                <c:v>-157.82770000000002</c:v>
              </c:pt>
              <c:pt idx="2172">
                <c:v>-157.7826</c:v>
              </c:pt>
              <c:pt idx="2173">
                <c:v>-157.73750000000001</c:v>
              </c:pt>
              <c:pt idx="2174">
                <c:v>-157.69229999999999</c:v>
              </c:pt>
              <c:pt idx="2175">
                <c:v>-157.64730000000003</c:v>
              </c:pt>
              <c:pt idx="2176">
                <c:v>-157.60210000000001</c:v>
              </c:pt>
              <c:pt idx="2177">
                <c:v>-157.55690000000001</c:v>
              </c:pt>
              <c:pt idx="2178">
                <c:v>-157.51179999999999</c:v>
              </c:pt>
              <c:pt idx="2179">
                <c:v>-157.4666</c:v>
              </c:pt>
              <c:pt idx="2180">
                <c:v>-157.42150000000001</c:v>
              </c:pt>
              <c:pt idx="2181">
                <c:v>-157.37630000000001</c:v>
              </c:pt>
              <c:pt idx="2182">
                <c:v>-157.33120000000002</c:v>
              </c:pt>
              <c:pt idx="2183">
                <c:v>-157.286</c:v>
              </c:pt>
              <c:pt idx="2184">
                <c:v>-157.24100000000001</c:v>
              </c:pt>
              <c:pt idx="2185">
                <c:v>-157.19569999999999</c:v>
              </c:pt>
              <c:pt idx="2186">
                <c:v>-157.1507</c:v>
              </c:pt>
              <c:pt idx="2187">
                <c:v>-157.10550000000001</c:v>
              </c:pt>
              <c:pt idx="2188">
                <c:v>-157.06050000000002</c:v>
              </c:pt>
              <c:pt idx="2189">
                <c:v>-157.01530000000002</c:v>
              </c:pt>
              <c:pt idx="2190">
                <c:v>-156.97020000000001</c:v>
              </c:pt>
              <c:pt idx="2191">
                <c:v>-156.92509999999999</c:v>
              </c:pt>
              <c:pt idx="2192">
                <c:v>-156.87990000000002</c:v>
              </c:pt>
              <c:pt idx="2193">
                <c:v>-156.8347</c:v>
              </c:pt>
              <c:pt idx="2194">
                <c:v>-156.7895</c:v>
              </c:pt>
              <c:pt idx="2195">
                <c:v>-156.74439999999998</c:v>
              </c:pt>
              <c:pt idx="2196">
                <c:v>-156.69929999999999</c:v>
              </c:pt>
              <c:pt idx="2197">
                <c:v>-156.6541</c:v>
              </c:pt>
              <c:pt idx="2198">
                <c:v>-156.60910000000001</c:v>
              </c:pt>
              <c:pt idx="2199">
                <c:v>-156.56389999999999</c:v>
              </c:pt>
              <c:pt idx="2200">
                <c:v>-156.5188</c:v>
              </c:pt>
              <c:pt idx="2201">
                <c:v>-156.47359999999998</c:v>
              </c:pt>
              <c:pt idx="2202">
                <c:v>-156.42859999999999</c:v>
              </c:pt>
              <c:pt idx="2203">
                <c:v>-156.38329999999999</c:v>
              </c:pt>
              <c:pt idx="2204">
                <c:v>-156.3383</c:v>
              </c:pt>
              <c:pt idx="2205">
                <c:v>-156.29309999999998</c:v>
              </c:pt>
              <c:pt idx="2206">
                <c:v>-156.24799999999999</c:v>
              </c:pt>
              <c:pt idx="2207">
                <c:v>-156.2028</c:v>
              </c:pt>
              <c:pt idx="2208">
                <c:v>-156.15780000000001</c:v>
              </c:pt>
              <c:pt idx="2209">
                <c:v>-156.11250000000001</c:v>
              </c:pt>
              <c:pt idx="2210">
                <c:v>-156.06740000000002</c:v>
              </c:pt>
              <c:pt idx="2211">
                <c:v>-156.0223</c:v>
              </c:pt>
              <c:pt idx="2212">
                <c:v>-155.97710000000001</c:v>
              </c:pt>
              <c:pt idx="2213">
                <c:v>-155.93200000000002</c:v>
              </c:pt>
              <c:pt idx="2214">
                <c:v>-155.887</c:v>
              </c:pt>
              <c:pt idx="2215">
                <c:v>-155.8417</c:v>
              </c:pt>
              <c:pt idx="2216">
                <c:v>-155.79660000000001</c:v>
              </c:pt>
              <c:pt idx="2217">
                <c:v>-155.75129999999999</c:v>
              </c:pt>
              <c:pt idx="2218">
                <c:v>-155.7063</c:v>
              </c:pt>
              <c:pt idx="2219">
                <c:v>-155.66129999999998</c:v>
              </c:pt>
              <c:pt idx="2220">
                <c:v>-155.61599999999999</c:v>
              </c:pt>
              <c:pt idx="2221">
                <c:v>-155.57089999999999</c:v>
              </c:pt>
              <c:pt idx="2222">
                <c:v>-155.5257</c:v>
              </c:pt>
              <c:pt idx="2223">
                <c:v>-155.48060000000001</c:v>
              </c:pt>
              <c:pt idx="2224">
                <c:v>-155.43560000000002</c:v>
              </c:pt>
              <c:pt idx="2225">
                <c:v>-155.3904</c:v>
              </c:pt>
              <c:pt idx="2226">
                <c:v>-155.34520000000001</c:v>
              </c:pt>
              <c:pt idx="2227">
                <c:v>-155.30000000000001</c:v>
              </c:pt>
              <c:pt idx="2228">
                <c:v>-155.255</c:v>
              </c:pt>
              <c:pt idx="2229">
                <c:v>-155.2099</c:v>
              </c:pt>
              <c:pt idx="2230">
                <c:v>-155.16460000000001</c:v>
              </c:pt>
              <c:pt idx="2231">
                <c:v>-155.11959999999999</c:v>
              </c:pt>
              <c:pt idx="2232">
                <c:v>-155.0744</c:v>
              </c:pt>
              <c:pt idx="2233">
                <c:v>-155.02930000000001</c:v>
              </c:pt>
              <c:pt idx="2234">
                <c:v>-154.98409999999998</c:v>
              </c:pt>
              <c:pt idx="2235">
                <c:v>-154.93900000000002</c:v>
              </c:pt>
              <c:pt idx="2236">
                <c:v>-154.8938</c:v>
              </c:pt>
              <c:pt idx="2237">
                <c:v>-154.84870000000001</c:v>
              </c:pt>
              <c:pt idx="2238">
                <c:v>-154.80360000000002</c:v>
              </c:pt>
              <c:pt idx="2239">
                <c:v>-154.75840000000002</c:v>
              </c:pt>
              <c:pt idx="2240">
                <c:v>-154.7133</c:v>
              </c:pt>
              <c:pt idx="2241">
                <c:v>-154.66819999999998</c:v>
              </c:pt>
              <c:pt idx="2242">
                <c:v>-154.6232</c:v>
              </c:pt>
              <c:pt idx="2243">
                <c:v>-154.5778</c:v>
              </c:pt>
              <c:pt idx="2244">
                <c:v>-154.53280000000001</c:v>
              </c:pt>
              <c:pt idx="2245">
                <c:v>-154.48770000000002</c:v>
              </c:pt>
              <c:pt idx="2246">
                <c:v>-154.4426</c:v>
              </c:pt>
              <c:pt idx="2247">
                <c:v>-154.3973</c:v>
              </c:pt>
              <c:pt idx="2248">
                <c:v>-154.35230000000001</c:v>
              </c:pt>
              <c:pt idx="2249">
                <c:v>-154.30710000000002</c:v>
              </c:pt>
              <c:pt idx="2250">
                <c:v>-154.2621</c:v>
              </c:pt>
              <c:pt idx="2251">
                <c:v>-154.2167</c:v>
              </c:pt>
              <c:pt idx="2252">
                <c:v>-154.17159999999998</c:v>
              </c:pt>
              <c:pt idx="2253">
                <c:v>-154.1266</c:v>
              </c:pt>
              <c:pt idx="2254">
                <c:v>-154.0814</c:v>
              </c:pt>
              <c:pt idx="2255">
                <c:v>-154.03630000000001</c:v>
              </c:pt>
              <c:pt idx="2256">
                <c:v>-153.99099999999999</c:v>
              </c:pt>
              <c:pt idx="2257">
                <c:v>-153.946</c:v>
              </c:pt>
              <c:pt idx="2258">
                <c:v>-153.9008</c:v>
              </c:pt>
              <c:pt idx="2259">
                <c:v>-153.85580000000002</c:v>
              </c:pt>
              <c:pt idx="2260">
                <c:v>-153.81060000000002</c:v>
              </c:pt>
              <c:pt idx="2261">
                <c:v>-153.7655</c:v>
              </c:pt>
              <c:pt idx="2262">
                <c:v>-153.72020000000001</c:v>
              </c:pt>
              <c:pt idx="2263">
                <c:v>-153.67510000000001</c:v>
              </c:pt>
              <c:pt idx="2264">
                <c:v>-153.6301</c:v>
              </c:pt>
              <c:pt idx="2265">
                <c:v>-153.5849</c:v>
              </c:pt>
              <c:pt idx="2266">
                <c:v>-153.53989999999999</c:v>
              </c:pt>
              <c:pt idx="2267">
                <c:v>-153.49460000000002</c:v>
              </c:pt>
              <c:pt idx="2268">
                <c:v>-153.4495</c:v>
              </c:pt>
              <c:pt idx="2269">
                <c:v>-153.40440000000001</c:v>
              </c:pt>
              <c:pt idx="2270">
                <c:v>-153.35910000000001</c:v>
              </c:pt>
              <c:pt idx="2271">
                <c:v>-153.3141</c:v>
              </c:pt>
              <c:pt idx="2272">
                <c:v>-153.26889999999997</c:v>
              </c:pt>
              <c:pt idx="2273">
                <c:v>-153.22380000000001</c:v>
              </c:pt>
              <c:pt idx="2274">
                <c:v>-153.17869999999999</c:v>
              </c:pt>
              <c:pt idx="2275">
                <c:v>-153.1336</c:v>
              </c:pt>
              <c:pt idx="2276">
                <c:v>-153.08840000000001</c:v>
              </c:pt>
              <c:pt idx="2277">
                <c:v>-153.04329999999999</c:v>
              </c:pt>
              <c:pt idx="2278">
                <c:v>-152.99809999999999</c:v>
              </c:pt>
              <c:pt idx="2279">
                <c:v>-152.953</c:v>
              </c:pt>
              <c:pt idx="2280">
                <c:v>-152.90780000000001</c:v>
              </c:pt>
              <c:pt idx="2281">
                <c:v>-152.86259999999999</c:v>
              </c:pt>
              <c:pt idx="2282">
                <c:v>-152.81760000000003</c:v>
              </c:pt>
              <c:pt idx="2283">
                <c:v>-152.7724</c:v>
              </c:pt>
              <c:pt idx="2284">
                <c:v>-152.72719999999998</c:v>
              </c:pt>
              <c:pt idx="2285">
                <c:v>-152.68219999999999</c:v>
              </c:pt>
              <c:pt idx="2286">
                <c:v>-152.637</c:v>
              </c:pt>
              <c:pt idx="2287">
                <c:v>-152.59180000000001</c:v>
              </c:pt>
              <c:pt idx="2288">
                <c:v>-152.54680000000002</c:v>
              </c:pt>
              <c:pt idx="2289">
                <c:v>-152.5016</c:v>
              </c:pt>
              <c:pt idx="2290">
                <c:v>-152.45650000000001</c:v>
              </c:pt>
              <c:pt idx="2291">
                <c:v>-152.41140000000001</c:v>
              </c:pt>
              <c:pt idx="2292">
                <c:v>-152.36619999999999</c:v>
              </c:pt>
              <c:pt idx="2293">
                <c:v>-152.3211</c:v>
              </c:pt>
              <c:pt idx="2294">
                <c:v>-152.27600000000001</c:v>
              </c:pt>
              <c:pt idx="2295">
                <c:v>-152.23079999999999</c:v>
              </c:pt>
              <c:pt idx="2296">
                <c:v>-152.18559999999999</c:v>
              </c:pt>
              <c:pt idx="2297">
                <c:v>-152.14049999999997</c:v>
              </c:pt>
              <c:pt idx="2298">
                <c:v>-152.09539999999998</c:v>
              </c:pt>
              <c:pt idx="2299">
                <c:v>-152.05019999999999</c:v>
              </c:pt>
              <c:pt idx="2300">
                <c:v>-152.0051</c:v>
              </c:pt>
              <c:pt idx="2301">
                <c:v>-151.96</c:v>
              </c:pt>
              <c:pt idx="2302">
                <c:v>-151.91480000000001</c:v>
              </c:pt>
              <c:pt idx="2303">
                <c:v>-151.86959999999999</c:v>
              </c:pt>
              <c:pt idx="2304">
                <c:v>-151.8245</c:v>
              </c:pt>
              <c:pt idx="2305">
                <c:v>-151.77949999999998</c:v>
              </c:pt>
              <c:pt idx="2306">
                <c:v>-151.73439999999999</c:v>
              </c:pt>
              <c:pt idx="2307">
                <c:v>-151.6892</c:v>
              </c:pt>
              <c:pt idx="2308">
                <c:v>-151.64410000000001</c:v>
              </c:pt>
              <c:pt idx="2309">
                <c:v>-151.59900000000002</c:v>
              </c:pt>
              <c:pt idx="2310">
                <c:v>-151.5538</c:v>
              </c:pt>
              <c:pt idx="2311">
                <c:v>-151.5086</c:v>
              </c:pt>
              <c:pt idx="2312">
                <c:v>-151.46340000000001</c:v>
              </c:pt>
              <c:pt idx="2313">
                <c:v>-151.41830000000002</c:v>
              </c:pt>
              <c:pt idx="2314">
                <c:v>-151.37330000000003</c:v>
              </c:pt>
              <c:pt idx="2315">
                <c:v>-151.32810000000001</c:v>
              </c:pt>
              <c:pt idx="2316">
                <c:v>-151.28289999999998</c:v>
              </c:pt>
              <c:pt idx="2317">
                <c:v>-151.23779999999999</c:v>
              </c:pt>
              <c:pt idx="2318">
                <c:v>-151.19260000000003</c:v>
              </c:pt>
              <c:pt idx="2319">
                <c:v>-151.14760000000001</c:v>
              </c:pt>
              <c:pt idx="2320">
                <c:v>-151.10249999999999</c:v>
              </c:pt>
              <c:pt idx="2321">
                <c:v>-151.0573</c:v>
              </c:pt>
              <c:pt idx="2322">
                <c:v>-151.01209999999998</c:v>
              </c:pt>
              <c:pt idx="2323">
                <c:v>-150.96690000000001</c:v>
              </c:pt>
              <c:pt idx="2324">
                <c:v>-150.92180000000002</c:v>
              </c:pt>
              <c:pt idx="2325">
                <c:v>-150.8768</c:v>
              </c:pt>
              <c:pt idx="2326">
                <c:v>-150.83159999999998</c:v>
              </c:pt>
              <c:pt idx="2327">
                <c:v>-150.78639999999999</c:v>
              </c:pt>
              <c:pt idx="2328">
                <c:v>-150.7413</c:v>
              </c:pt>
              <c:pt idx="2329">
                <c:v>-150.6961</c:v>
              </c:pt>
              <c:pt idx="2330">
                <c:v>-150.65109999999999</c:v>
              </c:pt>
              <c:pt idx="2331">
                <c:v>-150.60599999999999</c:v>
              </c:pt>
              <c:pt idx="2332">
                <c:v>-150.56079999999997</c:v>
              </c:pt>
              <c:pt idx="2333">
                <c:v>-150.51560000000001</c:v>
              </c:pt>
              <c:pt idx="2334">
                <c:v>-150.47050000000002</c:v>
              </c:pt>
              <c:pt idx="2335">
                <c:v>-150.42529999999999</c:v>
              </c:pt>
              <c:pt idx="2336">
                <c:v>-150.3802</c:v>
              </c:pt>
              <c:pt idx="2337">
                <c:v>-150.33500000000001</c:v>
              </c:pt>
              <c:pt idx="2338">
                <c:v>-150.28989999999999</c:v>
              </c:pt>
              <c:pt idx="2339">
                <c:v>-150.2448</c:v>
              </c:pt>
              <c:pt idx="2340">
                <c:v>-150.19970000000001</c:v>
              </c:pt>
              <c:pt idx="2341">
                <c:v>-150.15459999999999</c:v>
              </c:pt>
              <c:pt idx="2342">
                <c:v>-150.10939999999999</c:v>
              </c:pt>
              <c:pt idx="2343">
                <c:v>-150.0642</c:v>
              </c:pt>
              <c:pt idx="2344">
                <c:v>-150.01910000000001</c:v>
              </c:pt>
              <c:pt idx="2345">
                <c:v>-149.97400000000002</c:v>
              </c:pt>
              <c:pt idx="2346">
                <c:v>-149.92880000000002</c:v>
              </c:pt>
              <c:pt idx="2347">
                <c:v>-149.8836</c:v>
              </c:pt>
              <c:pt idx="2348">
                <c:v>-149.83860000000001</c:v>
              </c:pt>
              <c:pt idx="2349">
                <c:v>-149.79339999999999</c:v>
              </c:pt>
              <c:pt idx="2350">
                <c:v>-149.7483</c:v>
              </c:pt>
              <c:pt idx="2351">
                <c:v>-149.70319999999998</c:v>
              </c:pt>
              <c:pt idx="2352">
                <c:v>-149.65810000000002</c:v>
              </c:pt>
              <c:pt idx="2353">
                <c:v>-149.613</c:v>
              </c:pt>
              <c:pt idx="2354">
                <c:v>-149.56769999999997</c:v>
              </c:pt>
              <c:pt idx="2355">
                <c:v>-149.52260000000001</c:v>
              </c:pt>
              <c:pt idx="2356">
                <c:v>-149.47750000000002</c:v>
              </c:pt>
              <c:pt idx="2357">
                <c:v>-149.4323</c:v>
              </c:pt>
              <c:pt idx="2358">
                <c:v>-149.38729999999998</c:v>
              </c:pt>
              <c:pt idx="2359">
                <c:v>-149.34210000000002</c:v>
              </c:pt>
              <c:pt idx="2360">
                <c:v>-149.29689999999999</c:v>
              </c:pt>
              <c:pt idx="2361">
                <c:v>-149.25190000000001</c:v>
              </c:pt>
              <c:pt idx="2362">
                <c:v>-149.20669999999998</c:v>
              </c:pt>
              <c:pt idx="2363">
                <c:v>-149.16149999999999</c:v>
              </c:pt>
              <c:pt idx="2364">
                <c:v>-149.1164</c:v>
              </c:pt>
              <c:pt idx="2365">
                <c:v>-149.0712</c:v>
              </c:pt>
              <c:pt idx="2366">
                <c:v>-149.02609999999999</c:v>
              </c:pt>
              <c:pt idx="2367">
                <c:v>-148.98099999999999</c:v>
              </c:pt>
              <c:pt idx="2368">
                <c:v>-148.9359</c:v>
              </c:pt>
              <c:pt idx="2369">
                <c:v>-148.89070000000001</c:v>
              </c:pt>
              <c:pt idx="2370">
                <c:v>-148.84559999999999</c:v>
              </c:pt>
              <c:pt idx="2371">
                <c:v>-148.8004</c:v>
              </c:pt>
              <c:pt idx="2372">
                <c:v>-148.75539999999998</c:v>
              </c:pt>
              <c:pt idx="2373">
                <c:v>-148.71019999999999</c:v>
              </c:pt>
              <c:pt idx="2374">
                <c:v>-148.66499999999999</c:v>
              </c:pt>
              <c:pt idx="2375">
                <c:v>-148.6199</c:v>
              </c:pt>
              <c:pt idx="2376">
                <c:v>-148.57480000000001</c:v>
              </c:pt>
              <c:pt idx="2377">
                <c:v>-148.52969999999999</c:v>
              </c:pt>
              <c:pt idx="2378">
                <c:v>-148.48449999999997</c:v>
              </c:pt>
              <c:pt idx="2379">
                <c:v>-148.4393</c:v>
              </c:pt>
              <c:pt idx="2380">
                <c:v>-148.39420000000001</c:v>
              </c:pt>
              <c:pt idx="2381">
                <c:v>-148.34899999999999</c:v>
              </c:pt>
              <c:pt idx="2382">
                <c:v>-148.3039</c:v>
              </c:pt>
              <c:pt idx="2383">
                <c:v>-148.2587</c:v>
              </c:pt>
              <c:pt idx="2384">
                <c:v>-148.21370000000002</c:v>
              </c:pt>
              <c:pt idx="2385">
                <c:v>-148.16839999999999</c:v>
              </c:pt>
              <c:pt idx="2386">
                <c:v>-148.12339999999998</c:v>
              </c:pt>
              <c:pt idx="2387">
                <c:v>-148.07830000000001</c:v>
              </c:pt>
              <c:pt idx="2388">
                <c:v>-148.03319999999999</c:v>
              </c:pt>
              <c:pt idx="2389">
                <c:v>-147.988</c:v>
              </c:pt>
              <c:pt idx="2390">
                <c:v>-147.94290000000001</c:v>
              </c:pt>
              <c:pt idx="2391">
                <c:v>-147.89770000000001</c:v>
              </c:pt>
              <c:pt idx="2392">
                <c:v>-147.85249999999999</c:v>
              </c:pt>
              <c:pt idx="2393">
                <c:v>-147.8074</c:v>
              </c:pt>
              <c:pt idx="2394">
                <c:v>-147.76240000000001</c:v>
              </c:pt>
              <c:pt idx="2395">
                <c:v>-147.71710000000002</c:v>
              </c:pt>
              <c:pt idx="2396">
                <c:v>-147.6721</c:v>
              </c:pt>
              <c:pt idx="2397">
                <c:v>-147.62690000000001</c:v>
              </c:pt>
              <c:pt idx="2398">
                <c:v>-147.58180000000002</c:v>
              </c:pt>
              <c:pt idx="2399">
                <c:v>-147.53660000000002</c:v>
              </c:pt>
              <c:pt idx="2400">
                <c:v>-147.4914</c:v>
              </c:pt>
              <c:pt idx="2401">
                <c:v>-147.44630000000001</c:v>
              </c:pt>
              <c:pt idx="2402">
                <c:v>-147.40129999999999</c:v>
              </c:pt>
              <c:pt idx="2403">
                <c:v>-147.35599999999999</c:v>
              </c:pt>
              <c:pt idx="2404">
                <c:v>-147.31100000000001</c:v>
              </c:pt>
              <c:pt idx="2405">
                <c:v>-147.2647</c:v>
              </c:pt>
              <c:pt idx="2406">
                <c:v>-147.21609999999998</c:v>
              </c:pt>
              <c:pt idx="2407">
                <c:v>-147.16740000000001</c:v>
              </c:pt>
              <c:pt idx="2408">
                <c:v>-147.1189</c:v>
              </c:pt>
              <c:pt idx="2409">
                <c:v>-147.0702</c:v>
              </c:pt>
              <c:pt idx="2410">
                <c:v>-147.0215</c:v>
              </c:pt>
              <c:pt idx="2411">
                <c:v>-146.97300000000001</c:v>
              </c:pt>
              <c:pt idx="2412">
                <c:v>-146.92429999999999</c:v>
              </c:pt>
              <c:pt idx="2413">
                <c:v>-146.87570000000002</c:v>
              </c:pt>
              <c:pt idx="2414">
                <c:v>-146.82710000000003</c:v>
              </c:pt>
              <c:pt idx="2415">
                <c:v>-146.77850000000001</c:v>
              </c:pt>
              <c:pt idx="2416">
                <c:v>-146.72980000000001</c:v>
              </c:pt>
              <c:pt idx="2417">
                <c:v>-146.68110000000001</c:v>
              </c:pt>
              <c:pt idx="2418">
                <c:v>-146.6326</c:v>
              </c:pt>
              <c:pt idx="2419">
                <c:v>-146.58410000000001</c:v>
              </c:pt>
              <c:pt idx="2420">
                <c:v>-146.53540000000001</c:v>
              </c:pt>
              <c:pt idx="2421">
                <c:v>-146.48680000000002</c:v>
              </c:pt>
              <c:pt idx="2422">
                <c:v>-146.43819999999999</c:v>
              </c:pt>
              <c:pt idx="2423">
                <c:v>-146.3895</c:v>
              </c:pt>
              <c:pt idx="2424">
                <c:v>-146.34100000000001</c:v>
              </c:pt>
              <c:pt idx="2425">
                <c:v>-146.29230000000001</c:v>
              </c:pt>
              <c:pt idx="2426">
                <c:v>-146.24360000000001</c:v>
              </c:pt>
              <c:pt idx="2427">
                <c:v>-146.19499999999999</c:v>
              </c:pt>
              <c:pt idx="2428">
                <c:v>-146.14389999999997</c:v>
              </c:pt>
              <c:pt idx="2429">
                <c:v>-146.09180000000001</c:v>
              </c:pt>
              <c:pt idx="2430">
                <c:v>-146.03969999999998</c:v>
              </c:pt>
              <c:pt idx="2431">
                <c:v>-145.98750000000001</c:v>
              </c:pt>
              <c:pt idx="2432">
                <c:v>-145.93529999999998</c:v>
              </c:pt>
              <c:pt idx="2433">
                <c:v>-145.88320000000002</c:v>
              </c:pt>
              <c:pt idx="2434">
                <c:v>-145.83109999999999</c:v>
              </c:pt>
              <c:pt idx="2435">
                <c:v>-145.77890000000002</c:v>
              </c:pt>
              <c:pt idx="2436">
                <c:v>-145.7268</c:v>
              </c:pt>
              <c:pt idx="2437">
                <c:v>-145.67470000000003</c:v>
              </c:pt>
              <c:pt idx="2438">
                <c:v>-145.6224</c:v>
              </c:pt>
              <c:pt idx="2439">
                <c:v>-145.57040000000001</c:v>
              </c:pt>
              <c:pt idx="2440">
                <c:v>-145.51830000000001</c:v>
              </c:pt>
              <c:pt idx="2441">
                <c:v>-145.46620000000001</c:v>
              </c:pt>
              <c:pt idx="2442">
                <c:v>-145.41399999999999</c:v>
              </c:pt>
              <c:pt idx="2443">
                <c:v>-145.36180000000002</c:v>
              </c:pt>
              <c:pt idx="2444">
                <c:v>-145.30969999999999</c:v>
              </c:pt>
              <c:pt idx="2445">
                <c:v>-145.25749999999999</c:v>
              </c:pt>
              <c:pt idx="2446">
                <c:v>-145.2054</c:v>
              </c:pt>
              <c:pt idx="2447">
                <c:v>-145.1534</c:v>
              </c:pt>
              <c:pt idx="2448">
                <c:v>-145.1011</c:v>
              </c:pt>
              <c:pt idx="2449">
                <c:v>-145.04900000000001</c:v>
              </c:pt>
              <c:pt idx="2450">
                <c:v>-144.99690000000001</c:v>
              </c:pt>
              <c:pt idx="2451">
                <c:v>-144.94479999999999</c:v>
              </c:pt>
              <c:pt idx="2452">
                <c:v>-144.89259999999999</c:v>
              </c:pt>
              <c:pt idx="2453">
                <c:v>-144.84050000000002</c:v>
              </c:pt>
              <c:pt idx="2454">
                <c:v>-144.78829999999999</c:v>
              </c:pt>
              <c:pt idx="2455">
                <c:v>-144.73610000000002</c:v>
              </c:pt>
              <c:pt idx="2456">
                <c:v>-144.6841</c:v>
              </c:pt>
              <c:pt idx="2457">
                <c:v>-144.6319</c:v>
              </c:pt>
              <c:pt idx="2458">
                <c:v>-144.57979999999998</c:v>
              </c:pt>
              <c:pt idx="2459">
                <c:v>-144.52770000000001</c:v>
              </c:pt>
              <c:pt idx="2460">
                <c:v>-144.47549999999998</c:v>
              </c:pt>
              <c:pt idx="2461">
                <c:v>-144.42349999999999</c:v>
              </c:pt>
              <c:pt idx="2462">
                <c:v>-144.37119999999999</c:v>
              </c:pt>
              <c:pt idx="2463">
                <c:v>-144.31909999999999</c:v>
              </c:pt>
              <c:pt idx="2464">
                <c:v>-144.267</c:v>
              </c:pt>
              <c:pt idx="2465">
                <c:v>-144.2148</c:v>
              </c:pt>
              <c:pt idx="2466">
                <c:v>-144.1627</c:v>
              </c:pt>
              <c:pt idx="2467">
                <c:v>-144.11060000000001</c:v>
              </c:pt>
              <c:pt idx="2468">
                <c:v>-144.05840000000001</c:v>
              </c:pt>
              <c:pt idx="2469">
                <c:v>-144.00629999999998</c:v>
              </c:pt>
              <c:pt idx="2470">
                <c:v>-143.95420000000001</c:v>
              </c:pt>
              <c:pt idx="2471">
                <c:v>-143.90189999999998</c:v>
              </c:pt>
              <c:pt idx="2472">
                <c:v>-143.84989999999999</c:v>
              </c:pt>
              <c:pt idx="2473">
                <c:v>-143.79769999999999</c:v>
              </c:pt>
              <c:pt idx="2474">
                <c:v>-143.74560000000002</c:v>
              </c:pt>
              <c:pt idx="2475">
                <c:v>-143.6934</c:v>
              </c:pt>
              <c:pt idx="2476">
                <c:v>-143.6413</c:v>
              </c:pt>
              <c:pt idx="2477">
                <c:v>-143.58920000000001</c:v>
              </c:pt>
              <c:pt idx="2478">
                <c:v>-143.53710000000001</c:v>
              </c:pt>
              <c:pt idx="2479">
                <c:v>-143.48490000000001</c:v>
              </c:pt>
              <c:pt idx="2480">
                <c:v>-143.43270000000001</c:v>
              </c:pt>
              <c:pt idx="2481">
                <c:v>-143.38069999999999</c:v>
              </c:pt>
              <c:pt idx="2482">
                <c:v>-143.32849999999999</c:v>
              </c:pt>
              <c:pt idx="2483">
                <c:v>-143.2764</c:v>
              </c:pt>
              <c:pt idx="2484">
                <c:v>-143.2242</c:v>
              </c:pt>
              <c:pt idx="2485">
                <c:v>-143.1721</c:v>
              </c:pt>
              <c:pt idx="2486">
                <c:v>-143.12</c:v>
              </c:pt>
              <c:pt idx="2487">
                <c:v>-143.06780000000001</c:v>
              </c:pt>
              <c:pt idx="2488">
                <c:v>-143.01580000000001</c:v>
              </c:pt>
              <c:pt idx="2489">
                <c:v>-142.96359999999999</c:v>
              </c:pt>
              <c:pt idx="2490">
                <c:v>-142.91140000000001</c:v>
              </c:pt>
              <c:pt idx="2491">
                <c:v>-142.85929999999999</c:v>
              </c:pt>
              <c:pt idx="2492">
                <c:v>-142.80719999999999</c:v>
              </c:pt>
              <c:pt idx="2493">
                <c:v>-142.755</c:v>
              </c:pt>
              <c:pt idx="2494">
                <c:v>-142.7029</c:v>
              </c:pt>
              <c:pt idx="2495">
                <c:v>-142.6507</c:v>
              </c:pt>
              <c:pt idx="2496">
                <c:v>-142.5986</c:v>
              </c:pt>
              <c:pt idx="2497">
                <c:v>-142.54640000000001</c:v>
              </c:pt>
              <c:pt idx="2498">
                <c:v>-142.49439999999998</c:v>
              </c:pt>
              <c:pt idx="2499">
                <c:v>-142.44209999999998</c:v>
              </c:pt>
              <c:pt idx="2500">
                <c:v>-142.38999999999999</c:v>
              </c:pt>
              <c:pt idx="2501">
                <c:v>-142.33780000000002</c:v>
              </c:pt>
              <c:pt idx="2502">
                <c:v>-142.28579999999999</c:v>
              </c:pt>
              <c:pt idx="2503">
                <c:v>-142.2336</c:v>
              </c:pt>
              <c:pt idx="2504">
                <c:v>-142.18149999999997</c:v>
              </c:pt>
              <c:pt idx="2505">
                <c:v>-142.1293</c:v>
              </c:pt>
              <c:pt idx="2506">
                <c:v>-142.0772</c:v>
              </c:pt>
              <c:pt idx="2507">
                <c:v>-142.02500000000001</c:v>
              </c:pt>
              <c:pt idx="2508">
                <c:v>-141.97290000000001</c:v>
              </c:pt>
              <c:pt idx="2509">
                <c:v>-141.92070000000001</c:v>
              </c:pt>
              <c:pt idx="2510">
                <c:v>-141.86859999999999</c:v>
              </c:pt>
              <c:pt idx="2511">
                <c:v>-141.81639999999999</c:v>
              </c:pt>
              <c:pt idx="2512">
                <c:v>-141.7645</c:v>
              </c:pt>
              <c:pt idx="2513">
                <c:v>-141.7123</c:v>
              </c:pt>
              <c:pt idx="2514">
                <c:v>-141.6602</c:v>
              </c:pt>
              <c:pt idx="2515">
                <c:v>-141.608</c:v>
              </c:pt>
              <c:pt idx="2516">
                <c:v>-141.55590000000001</c:v>
              </c:pt>
              <c:pt idx="2517">
                <c:v>-141.50369999999998</c:v>
              </c:pt>
              <c:pt idx="2518">
                <c:v>-141.45160000000001</c:v>
              </c:pt>
              <c:pt idx="2519">
                <c:v>-141.39940000000001</c:v>
              </c:pt>
              <c:pt idx="2520">
                <c:v>-141.34729999999999</c:v>
              </c:pt>
              <c:pt idx="2521">
                <c:v>-141.29520000000002</c:v>
              </c:pt>
              <c:pt idx="2522">
                <c:v>-141.2431</c:v>
              </c:pt>
              <c:pt idx="2523">
                <c:v>-141.191</c:v>
              </c:pt>
              <c:pt idx="2524">
                <c:v>-141.1388</c:v>
              </c:pt>
              <c:pt idx="2525">
                <c:v>-141.08670000000001</c:v>
              </c:pt>
              <c:pt idx="2526">
                <c:v>-141.03450000000001</c:v>
              </c:pt>
              <c:pt idx="2527">
                <c:v>-140.98230000000001</c:v>
              </c:pt>
              <c:pt idx="2528">
                <c:v>-140.93020000000001</c:v>
              </c:pt>
              <c:pt idx="2529">
                <c:v>-140.87810000000002</c:v>
              </c:pt>
              <c:pt idx="2530">
                <c:v>-140.82599999999999</c:v>
              </c:pt>
              <c:pt idx="2531">
                <c:v>-140.77379999999999</c:v>
              </c:pt>
              <c:pt idx="2532">
                <c:v>-140.7217</c:v>
              </c:pt>
              <c:pt idx="2533">
                <c:v>-140.6695</c:v>
              </c:pt>
              <c:pt idx="2534">
                <c:v>-140.6173</c:v>
              </c:pt>
              <c:pt idx="2535">
                <c:v>-140.56530000000001</c:v>
              </c:pt>
              <c:pt idx="2536">
                <c:v>-140.51310000000001</c:v>
              </c:pt>
              <c:pt idx="2537">
                <c:v>-140.46090000000001</c:v>
              </c:pt>
              <c:pt idx="2538">
                <c:v>-140.40889999999999</c:v>
              </c:pt>
              <c:pt idx="2539">
                <c:v>-140.35669999999999</c:v>
              </c:pt>
              <c:pt idx="2540">
                <c:v>-140.30459999999999</c:v>
              </c:pt>
              <c:pt idx="2541">
                <c:v>-140.25239999999999</c:v>
              </c:pt>
              <c:pt idx="2542">
                <c:v>-140.2002</c:v>
              </c:pt>
              <c:pt idx="2543">
                <c:v>-140.1481</c:v>
              </c:pt>
              <c:pt idx="2544">
                <c:v>-140.0959</c:v>
              </c:pt>
              <c:pt idx="2545">
                <c:v>-140.04390000000001</c:v>
              </c:pt>
              <c:pt idx="2546">
                <c:v>-139.99179999999998</c:v>
              </c:pt>
              <c:pt idx="2547">
                <c:v>-139.93959999999998</c:v>
              </c:pt>
              <c:pt idx="2548">
                <c:v>-139.88740000000001</c:v>
              </c:pt>
              <c:pt idx="2549">
                <c:v>-139.83529999999999</c:v>
              </c:pt>
              <c:pt idx="2550">
                <c:v>-139.78319999999999</c:v>
              </c:pt>
              <c:pt idx="2551">
                <c:v>-139.73110000000003</c:v>
              </c:pt>
              <c:pt idx="2552">
                <c:v>-139.6789</c:v>
              </c:pt>
              <c:pt idx="2553">
                <c:v>-139.6268</c:v>
              </c:pt>
              <c:pt idx="2554">
                <c:v>-139.57470000000001</c:v>
              </c:pt>
              <c:pt idx="2555">
                <c:v>-139.52250000000001</c:v>
              </c:pt>
              <c:pt idx="2556">
                <c:v>-139.47030000000001</c:v>
              </c:pt>
              <c:pt idx="2557">
                <c:v>-139.41830000000002</c:v>
              </c:pt>
              <c:pt idx="2558">
                <c:v>-139.36609999999999</c:v>
              </c:pt>
              <c:pt idx="2559">
                <c:v>-139.31389999999999</c:v>
              </c:pt>
              <c:pt idx="2560">
                <c:v>-139.26170000000002</c:v>
              </c:pt>
              <c:pt idx="2561">
                <c:v>-139.2097</c:v>
              </c:pt>
              <c:pt idx="2562">
                <c:v>-139.1575</c:v>
              </c:pt>
              <c:pt idx="2563">
                <c:v>-139.1053</c:v>
              </c:pt>
              <c:pt idx="2564">
                <c:v>-139.05330000000001</c:v>
              </c:pt>
              <c:pt idx="2565">
                <c:v>-139.00119999999998</c:v>
              </c:pt>
              <c:pt idx="2566">
                <c:v>-138.94889999999998</c:v>
              </c:pt>
              <c:pt idx="2567">
                <c:v>-138.89679999999998</c:v>
              </c:pt>
              <c:pt idx="2568">
                <c:v>-138.84480000000002</c:v>
              </c:pt>
              <c:pt idx="2569">
                <c:v>-138.79250000000002</c:v>
              </c:pt>
              <c:pt idx="2570">
                <c:v>-138.74039999999999</c:v>
              </c:pt>
              <c:pt idx="2571">
                <c:v>-138.6884</c:v>
              </c:pt>
              <c:pt idx="2572">
                <c:v>-138.6361</c:v>
              </c:pt>
              <c:pt idx="2573">
                <c:v>-138.584</c:v>
              </c:pt>
              <c:pt idx="2574">
                <c:v>-138.53190000000001</c:v>
              </c:pt>
              <c:pt idx="2575">
                <c:v>-138.47970000000001</c:v>
              </c:pt>
              <c:pt idx="2576">
                <c:v>-138.42759999999998</c:v>
              </c:pt>
              <c:pt idx="2577">
                <c:v>-138.37539999999998</c:v>
              </c:pt>
              <c:pt idx="2578">
                <c:v>-138.32339999999999</c:v>
              </c:pt>
              <c:pt idx="2579">
                <c:v>-138.27119999999999</c:v>
              </c:pt>
              <c:pt idx="2580">
                <c:v>-138.2191</c:v>
              </c:pt>
              <c:pt idx="2581">
                <c:v>-138.1669</c:v>
              </c:pt>
              <c:pt idx="2582">
                <c:v>-138.1148</c:v>
              </c:pt>
              <c:pt idx="2583">
                <c:v>-138.06270000000001</c:v>
              </c:pt>
              <c:pt idx="2584">
                <c:v>-138.0104</c:v>
              </c:pt>
              <c:pt idx="2585">
                <c:v>-137.95840000000001</c:v>
              </c:pt>
              <c:pt idx="2586">
                <c:v>-137.90619999999998</c:v>
              </c:pt>
              <c:pt idx="2587">
                <c:v>-137.85419999999999</c:v>
              </c:pt>
              <c:pt idx="2588">
                <c:v>-137.80189999999999</c:v>
              </c:pt>
              <c:pt idx="2589">
                <c:v>-137.74979999999999</c:v>
              </c:pt>
              <c:pt idx="2590">
                <c:v>-137.69759999999999</c:v>
              </c:pt>
              <c:pt idx="2591">
                <c:v>-137.6456</c:v>
              </c:pt>
              <c:pt idx="2592">
                <c:v>-137.5934</c:v>
              </c:pt>
              <c:pt idx="2593">
                <c:v>-137.54130000000001</c:v>
              </c:pt>
              <c:pt idx="2594">
                <c:v>-137.48910000000001</c:v>
              </c:pt>
              <c:pt idx="2595">
                <c:v>-137.43700000000001</c:v>
              </c:pt>
              <c:pt idx="2596">
                <c:v>-137.38489999999999</c:v>
              </c:pt>
              <c:pt idx="2597">
                <c:v>-137.33269999999999</c:v>
              </c:pt>
              <c:pt idx="2598">
                <c:v>-137.28060000000002</c:v>
              </c:pt>
              <c:pt idx="2599">
                <c:v>-137.22839999999999</c:v>
              </c:pt>
              <c:pt idx="2600">
                <c:v>-137.1763</c:v>
              </c:pt>
              <c:pt idx="2601">
                <c:v>-137.12430000000001</c:v>
              </c:pt>
              <c:pt idx="2602">
                <c:v>-137.07210000000001</c:v>
              </c:pt>
              <c:pt idx="2603">
                <c:v>-137.01990000000001</c:v>
              </c:pt>
              <c:pt idx="2604">
                <c:v>-136.96770000000001</c:v>
              </c:pt>
              <c:pt idx="2605">
                <c:v>-136.91560000000001</c:v>
              </c:pt>
              <c:pt idx="2606">
                <c:v>-136.86349999999999</c:v>
              </c:pt>
              <c:pt idx="2607">
                <c:v>-136.81129999999999</c:v>
              </c:pt>
              <c:pt idx="2608">
                <c:v>-136.7593</c:v>
              </c:pt>
              <c:pt idx="2609">
                <c:v>-136.7071</c:v>
              </c:pt>
              <c:pt idx="2610">
                <c:v>-136.6549</c:v>
              </c:pt>
              <c:pt idx="2611">
                <c:v>-136.6028</c:v>
              </c:pt>
              <c:pt idx="2612">
                <c:v>-136.55070000000001</c:v>
              </c:pt>
              <c:pt idx="2613">
                <c:v>-136.4984</c:v>
              </c:pt>
              <c:pt idx="2614">
                <c:v>-136.44639999999998</c:v>
              </c:pt>
              <c:pt idx="2615">
                <c:v>-136.39429999999999</c:v>
              </c:pt>
              <c:pt idx="2616">
                <c:v>-136.34219999999999</c:v>
              </c:pt>
              <c:pt idx="2617">
                <c:v>-136.28989999999999</c:v>
              </c:pt>
              <c:pt idx="2618">
                <c:v>-136.23779999999999</c:v>
              </c:pt>
              <c:pt idx="2619">
                <c:v>-136.1857</c:v>
              </c:pt>
              <c:pt idx="2620">
                <c:v>-136.1335</c:v>
              </c:pt>
              <c:pt idx="2621">
                <c:v>-136.0813</c:v>
              </c:pt>
              <c:pt idx="2622">
                <c:v>-136.02929999999998</c:v>
              </c:pt>
              <c:pt idx="2623">
                <c:v>-135.97720000000001</c:v>
              </c:pt>
              <c:pt idx="2624">
                <c:v>-135.92510000000001</c:v>
              </c:pt>
              <c:pt idx="2625">
                <c:v>-135.87289999999999</c:v>
              </c:pt>
              <c:pt idx="2626">
                <c:v>-135.82069999999999</c:v>
              </c:pt>
              <c:pt idx="2627">
                <c:v>-135.76859999999999</c:v>
              </c:pt>
              <c:pt idx="2628">
                <c:v>-135.7165</c:v>
              </c:pt>
              <c:pt idx="2629">
                <c:v>-135.6644</c:v>
              </c:pt>
              <c:pt idx="2630">
                <c:v>-135.6121</c:v>
              </c:pt>
              <c:pt idx="2631">
                <c:v>-135.56</c:v>
              </c:pt>
              <c:pt idx="2632">
                <c:v>-135.50800000000001</c:v>
              </c:pt>
              <c:pt idx="2633">
                <c:v>-135.45580000000001</c:v>
              </c:pt>
              <c:pt idx="2634">
                <c:v>-135.40369999999999</c:v>
              </c:pt>
              <c:pt idx="2635">
                <c:v>-135.35149999999999</c:v>
              </c:pt>
              <c:pt idx="2636">
                <c:v>-135.29940000000002</c:v>
              </c:pt>
              <c:pt idx="2637">
                <c:v>-135.2473</c:v>
              </c:pt>
              <c:pt idx="2638">
                <c:v>-135.1951</c:v>
              </c:pt>
              <c:pt idx="2639">
                <c:v>-135.143</c:v>
              </c:pt>
              <c:pt idx="2640">
                <c:v>-135.0908</c:v>
              </c:pt>
              <c:pt idx="2641">
                <c:v>-135.03870000000001</c:v>
              </c:pt>
              <c:pt idx="2642">
                <c:v>-134.98660000000001</c:v>
              </c:pt>
              <c:pt idx="2643">
                <c:v>-134.93439999999998</c:v>
              </c:pt>
              <c:pt idx="2644">
                <c:v>-134.88229999999999</c:v>
              </c:pt>
              <c:pt idx="2645">
                <c:v>-134.83010000000002</c:v>
              </c:pt>
              <c:pt idx="2646">
                <c:v>-134.77800000000002</c:v>
              </c:pt>
              <c:pt idx="2647">
                <c:v>-134.7259</c:v>
              </c:pt>
              <c:pt idx="2648">
                <c:v>-134.67359999999999</c:v>
              </c:pt>
              <c:pt idx="2649">
                <c:v>-134.62150000000003</c:v>
              </c:pt>
              <c:pt idx="2650">
                <c:v>-134.5694</c:v>
              </c:pt>
              <c:pt idx="2651">
                <c:v>-134.5172</c:v>
              </c:pt>
              <c:pt idx="2652">
                <c:v>-134.46519999999998</c:v>
              </c:pt>
              <c:pt idx="2653">
                <c:v>-134.41309999999999</c:v>
              </c:pt>
              <c:pt idx="2654">
                <c:v>-134.36090000000002</c:v>
              </c:pt>
              <c:pt idx="2655">
                <c:v>-134.30879999999999</c:v>
              </c:pt>
              <c:pt idx="2656">
                <c:v>-134.2567</c:v>
              </c:pt>
              <c:pt idx="2657">
                <c:v>-134.2045</c:v>
              </c:pt>
              <c:pt idx="2658">
                <c:v>-134.1524</c:v>
              </c:pt>
              <c:pt idx="2659">
                <c:v>-134.1003</c:v>
              </c:pt>
              <c:pt idx="2660">
                <c:v>-134.04810000000001</c:v>
              </c:pt>
              <c:pt idx="2661">
                <c:v>-133.99599999999998</c:v>
              </c:pt>
              <c:pt idx="2662">
                <c:v>-133.94380000000001</c:v>
              </c:pt>
              <c:pt idx="2663">
                <c:v>-133.89169999999999</c:v>
              </c:pt>
              <c:pt idx="2664">
                <c:v>-133.83949999999999</c:v>
              </c:pt>
              <c:pt idx="2665">
                <c:v>-133.78739999999999</c:v>
              </c:pt>
              <c:pt idx="2666">
                <c:v>-133.73519999999999</c:v>
              </c:pt>
              <c:pt idx="2667">
                <c:v>-133.68299999999999</c:v>
              </c:pt>
              <c:pt idx="2668">
                <c:v>-133.6309</c:v>
              </c:pt>
              <c:pt idx="2669">
                <c:v>-133.5788</c:v>
              </c:pt>
              <c:pt idx="2670">
                <c:v>-133.52680000000001</c:v>
              </c:pt>
              <c:pt idx="2671">
                <c:v>-133.47450000000001</c:v>
              </c:pt>
              <c:pt idx="2672">
                <c:v>-133.42239999999998</c:v>
              </c:pt>
              <c:pt idx="2673">
                <c:v>-133.37029999999999</c:v>
              </c:pt>
              <c:pt idx="2674">
                <c:v>-133.31819999999999</c:v>
              </c:pt>
              <c:pt idx="2675">
                <c:v>-133.26600000000002</c:v>
              </c:pt>
              <c:pt idx="2676">
                <c:v>-133.21380000000002</c:v>
              </c:pt>
              <c:pt idx="2677">
                <c:v>-133.1618</c:v>
              </c:pt>
              <c:pt idx="2678">
                <c:v>-133.10969999999998</c:v>
              </c:pt>
              <c:pt idx="2679">
                <c:v>-133.0574</c:v>
              </c:pt>
              <c:pt idx="2680">
                <c:v>-133.00530000000001</c:v>
              </c:pt>
              <c:pt idx="2681">
                <c:v>-132.95319999999998</c:v>
              </c:pt>
              <c:pt idx="2682">
                <c:v>-132.90109999999999</c:v>
              </c:pt>
              <c:pt idx="2683">
                <c:v>-132.84890000000001</c:v>
              </c:pt>
              <c:pt idx="2684">
                <c:v>-132.79669999999999</c:v>
              </c:pt>
              <c:pt idx="2685">
                <c:v>-132.74459999999999</c:v>
              </c:pt>
              <c:pt idx="2686">
                <c:v>-132.6925</c:v>
              </c:pt>
              <c:pt idx="2687">
                <c:v>-132.6404</c:v>
              </c:pt>
              <c:pt idx="2688">
                <c:v>-132.5883</c:v>
              </c:pt>
              <c:pt idx="2689">
                <c:v>-132.536</c:v>
              </c:pt>
              <c:pt idx="2690">
                <c:v>-132.48399999999998</c:v>
              </c:pt>
              <c:pt idx="2691">
                <c:v>-132.43189999999998</c:v>
              </c:pt>
              <c:pt idx="2692">
                <c:v>-132.37970000000001</c:v>
              </c:pt>
              <c:pt idx="2693">
                <c:v>-132.32759999999999</c:v>
              </c:pt>
              <c:pt idx="2694">
                <c:v>-132.27539999999999</c:v>
              </c:pt>
              <c:pt idx="2695">
                <c:v>-132.22320000000002</c:v>
              </c:pt>
              <c:pt idx="2696">
                <c:v>-132.1712</c:v>
              </c:pt>
              <c:pt idx="2697">
                <c:v>-132.119</c:v>
              </c:pt>
              <c:pt idx="2698">
                <c:v>-132.0669</c:v>
              </c:pt>
              <c:pt idx="2699">
                <c:v>-132.01480000000001</c:v>
              </c:pt>
              <c:pt idx="2700">
                <c:v>-131.96270000000001</c:v>
              </c:pt>
              <c:pt idx="2701">
                <c:v>-131.91030000000001</c:v>
              </c:pt>
              <c:pt idx="2702">
                <c:v>-131.85829999999999</c:v>
              </c:pt>
              <c:pt idx="2703">
                <c:v>-131.80609999999999</c:v>
              </c:pt>
              <c:pt idx="2704">
                <c:v>-131.75400000000002</c:v>
              </c:pt>
              <c:pt idx="2705">
                <c:v>-131.70189999999999</c:v>
              </c:pt>
              <c:pt idx="2706">
                <c:v>-131.64980000000003</c:v>
              </c:pt>
              <c:pt idx="2707">
                <c:v>-131.5976</c:v>
              </c:pt>
              <c:pt idx="2708">
                <c:v>-131.5455</c:v>
              </c:pt>
              <c:pt idx="2709">
                <c:v>-131.4933</c:v>
              </c:pt>
              <c:pt idx="2710">
                <c:v>-131.44119999999998</c:v>
              </c:pt>
              <c:pt idx="2711">
                <c:v>-131.38900000000001</c:v>
              </c:pt>
              <c:pt idx="2712">
                <c:v>-131.33699999999999</c:v>
              </c:pt>
              <c:pt idx="2713">
                <c:v>-131.28469999999999</c:v>
              </c:pt>
              <c:pt idx="2714">
                <c:v>-131.23270000000002</c:v>
              </c:pt>
              <c:pt idx="2715">
                <c:v>-131.18049999999999</c:v>
              </c:pt>
              <c:pt idx="2716">
                <c:v>-131.1284</c:v>
              </c:pt>
              <c:pt idx="2717">
                <c:v>-131.0763</c:v>
              </c:pt>
              <c:pt idx="2718">
                <c:v>-131.0241</c:v>
              </c:pt>
              <c:pt idx="2719">
                <c:v>-130.97200000000001</c:v>
              </c:pt>
              <c:pt idx="2720">
                <c:v>-130.91989999999998</c:v>
              </c:pt>
              <c:pt idx="2721">
                <c:v>-130.86769999999999</c:v>
              </c:pt>
              <c:pt idx="2722">
                <c:v>-130.81569999999999</c:v>
              </c:pt>
              <c:pt idx="2723">
                <c:v>-130.76340000000002</c:v>
              </c:pt>
              <c:pt idx="2724">
                <c:v>-130.71129999999999</c:v>
              </c:pt>
              <c:pt idx="2725">
                <c:v>-130.6591</c:v>
              </c:pt>
              <c:pt idx="2726">
                <c:v>-130.607</c:v>
              </c:pt>
              <c:pt idx="2727">
                <c:v>-130.5548</c:v>
              </c:pt>
              <c:pt idx="2728">
                <c:v>-130.5027</c:v>
              </c:pt>
              <c:pt idx="2729">
                <c:v>-130.45060000000001</c:v>
              </c:pt>
              <c:pt idx="2730">
                <c:v>-130.39840000000001</c:v>
              </c:pt>
              <c:pt idx="2731">
                <c:v>-130.34640000000002</c:v>
              </c:pt>
              <c:pt idx="2732">
                <c:v>-130.29409999999999</c:v>
              </c:pt>
              <c:pt idx="2733">
                <c:v>-130.24199999999999</c:v>
              </c:pt>
              <c:pt idx="2734">
                <c:v>-130.18989999999999</c:v>
              </c:pt>
              <c:pt idx="2735">
                <c:v>-130.1378</c:v>
              </c:pt>
              <c:pt idx="2736">
                <c:v>-130.0856</c:v>
              </c:pt>
              <c:pt idx="2737">
                <c:v>-130.0334</c:v>
              </c:pt>
              <c:pt idx="2738">
                <c:v>-129.9813</c:v>
              </c:pt>
              <c:pt idx="2739">
                <c:v>-129.92919999999998</c:v>
              </c:pt>
              <c:pt idx="2740">
                <c:v>-129.87700000000001</c:v>
              </c:pt>
              <c:pt idx="2741">
                <c:v>-129.82490000000001</c:v>
              </c:pt>
              <c:pt idx="2742">
                <c:v>-129.77279999999999</c:v>
              </c:pt>
              <c:pt idx="2743">
                <c:v>-129.72060000000002</c:v>
              </c:pt>
              <c:pt idx="2744">
                <c:v>-129.66849999999999</c:v>
              </c:pt>
              <c:pt idx="2745">
                <c:v>-129.61649999999997</c:v>
              </c:pt>
              <c:pt idx="2746">
                <c:v>-129.56440000000001</c:v>
              </c:pt>
              <c:pt idx="2747">
                <c:v>-129.5121</c:v>
              </c:pt>
              <c:pt idx="2748">
                <c:v>-129.45999999999998</c:v>
              </c:pt>
              <c:pt idx="2749">
                <c:v>-129.40789999999998</c:v>
              </c:pt>
              <c:pt idx="2750">
                <c:v>-129.35559999999998</c:v>
              </c:pt>
              <c:pt idx="2751">
                <c:v>-129.30349999999999</c:v>
              </c:pt>
              <c:pt idx="2752">
                <c:v>-129.25139999999999</c:v>
              </c:pt>
              <c:pt idx="2753">
                <c:v>-129.1994</c:v>
              </c:pt>
              <c:pt idx="2754">
                <c:v>-129.14709999999999</c:v>
              </c:pt>
              <c:pt idx="2755">
                <c:v>-129.095</c:v>
              </c:pt>
              <c:pt idx="2756">
                <c:v>-129.0429</c:v>
              </c:pt>
              <c:pt idx="2757">
                <c:v>-128.9907</c:v>
              </c:pt>
              <c:pt idx="2758">
                <c:v>-128.93870000000001</c:v>
              </c:pt>
              <c:pt idx="2759">
                <c:v>-128.88649999999998</c:v>
              </c:pt>
              <c:pt idx="2760">
                <c:v>-128.83430000000001</c:v>
              </c:pt>
              <c:pt idx="2761">
                <c:v>-128.78219999999999</c:v>
              </c:pt>
              <c:pt idx="2762">
                <c:v>-128.73009999999999</c:v>
              </c:pt>
              <c:pt idx="2763">
                <c:v>-128.67789999999999</c:v>
              </c:pt>
              <c:pt idx="2764">
                <c:v>-128.6258</c:v>
              </c:pt>
              <c:pt idx="2765">
                <c:v>-128.5736</c:v>
              </c:pt>
              <c:pt idx="2766">
                <c:v>-128.5215</c:v>
              </c:pt>
              <c:pt idx="2767">
                <c:v>-128.46940000000001</c:v>
              </c:pt>
              <c:pt idx="2768">
                <c:v>-128.41730000000001</c:v>
              </c:pt>
              <c:pt idx="2769">
                <c:v>-128.36510000000001</c:v>
              </c:pt>
              <c:pt idx="2770">
                <c:v>-128.31299999999999</c:v>
              </c:pt>
              <c:pt idx="2771">
                <c:v>-128.26080000000002</c:v>
              </c:pt>
              <c:pt idx="2772">
                <c:v>-128.20869999999999</c:v>
              </c:pt>
              <c:pt idx="2773">
                <c:v>-128.1566</c:v>
              </c:pt>
              <c:pt idx="2774">
                <c:v>-128.1044</c:v>
              </c:pt>
              <c:pt idx="2775">
                <c:v>-128.0523</c:v>
              </c:pt>
              <c:pt idx="2776">
                <c:v>-128.0001</c:v>
              </c:pt>
              <c:pt idx="2777">
                <c:v>-127.9479</c:v>
              </c:pt>
              <c:pt idx="2778">
                <c:v>-127.89580000000001</c:v>
              </c:pt>
              <c:pt idx="2779">
                <c:v>-127.8437</c:v>
              </c:pt>
              <c:pt idx="2780">
                <c:v>-127.79159999999999</c:v>
              </c:pt>
              <c:pt idx="2781">
                <c:v>-127.73950000000002</c:v>
              </c:pt>
              <c:pt idx="2782">
                <c:v>-127.68729999999999</c:v>
              </c:pt>
              <c:pt idx="2783">
                <c:v>-127.63510000000001</c:v>
              </c:pt>
              <c:pt idx="2784">
                <c:v>-127.583</c:v>
              </c:pt>
              <c:pt idx="2785">
                <c:v>-127.53089999999999</c:v>
              </c:pt>
              <c:pt idx="2786">
                <c:v>-127.47879999999999</c:v>
              </c:pt>
              <c:pt idx="2787">
                <c:v>-127.42660000000001</c:v>
              </c:pt>
              <c:pt idx="2788">
                <c:v>-127.3745</c:v>
              </c:pt>
              <c:pt idx="2789">
                <c:v>-127.3223</c:v>
              </c:pt>
              <c:pt idx="2790">
                <c:v>-127.27019999999999</c:v>
              </c:pt>
              <c:pt idx="2791">
                <c:v>-127.218</c:v>
              </c:pt>
              <c:pt idx="2792">
                <c:v>-127.16590000000001</c:v>
              </c:pt>
              <c:pt idx="2793">
                <c:v>-127.1138</c:v>
              </c:pt>
              <c:pt idx="2794">
                <c:v>-127.0616</c:v>
              </c:pt>
              <c:pt idx="2795">
                <c:v>-127.0095</c:v>
              </c:pt>
              <c:pt idx="2796">
                <c:v>-126.95740000000001</c:v>
              </c:pt>
              <c:pt idx="2797">
                <c:v>-126.90530000000001</c:v>
              </c:pt>
              <c:pt idx="2798">
                <c:v>-126.8531</c:v>
              </c:pt>
              <c:pt idx="2799">
                <c:v>-126.801</c:v>
              </c:pt>
              <c:pt idx="2800">
                <c:v>-126.74880000000002</c:v>
              </c:pt>
              <c:pt idx="2801">
                <c:v>-126.69670000000001</c:v>
              </c:pt>
              <c:pt idx="2802">
                <c:v>-126.64449999999999</c:v>
              </c:pt>
              <c:pt idx="2803">
                <c:v>-126.59229999999999</c:v>
              </c:pt>
              <c:pt idx="2804">
                <c:v>-126.54040000000001</c:v>
              </c:pt>
              <c:pt idx="2805">
                <c:v>-126.48820000000001</c:v>
              </c:pt>
              <c:pt idx="2806">
                <c:v>-126.43600000000001</c:v>
              </c:pt>
              <c:pt idx="2807">
                <c:v>-126.38390000000001</c:v>
              </c:pt>
              <c:pt idx="2808">
                <c:v>-126.33180000000002</c:v>
              </c:pt>
              <c:pt idx="2809">
                <c:v>-126.2795</c:v>
              </c:pt>
              <c:pt idx="2810">
                <c:v>-126.22750000000001</c:v>
              </c:pt>
              <c:pt idx="2811">
                <c:v>-126.17529999999999</c:v>
              </c:pt>
              <c:pt idx="2812">
                <c:v>-126.12320000000001</c:v>
              </c:pt>
              <c:pt idx="2813">
                <c:v>-126.071</c:v>
              </c:pt>
              <c:pt idx="2814">
                <c:v>-126.0189</c:v>
              </c:pt>
              <c:pt idx="2815">
                <c:v>-125.96680000000001</c:v>
              </c:pt>
              <c:pt idx="2816">
                <c:v>-125.91460000000001</c:v>
              </c:pt>
              <c:pt idx="2817">
                <c:v>-125.86250000000001</c:v>
              </c:pt>
              <c:pt idx="2818">
                <c:v>-125.81030000000001</c:v>
              </c:pt>
              <c:pt idx="2819">
                <c:v>-125.75819999999999</c:v>
              </c:pt>
              <c:pt idx="2820">
                <c:v>-125.706</c:v>
              </c:pt>
              <c:pt idx="2821">
                <c:v>-125.65389999999999</c:v>
              </c:pt>
              <c:pt idx="2822">
                <c:v>-125.6018</c:v>
              </c:pt>
              <c:pt idx="2823">
                <c:v>-125.5497</c:v>
              </c:pt>
              <c:pt idx="2824">
                <c:v>-125.4974</c:v>
              </c:pt>
              <c:pt idx="2825">
                <c:v>-125.44540000000001</c:v>
              </c:pt>
              <c:pt idx="2826">
                <c:v>-125.39320000000001</c:v>
              </c:pt>
              <c:pt idx="2827">
                <c:v>-125.3411</c:v>
              </c:pt>
              <c:pt idx="2828">
                <c:v>-125.2889</c:v>
              </c:pt>
              <c:pt idx="2829">
                <c:v>-125.23689999999999</c:v>
              </c:pt>
              <c:pt idx="2830">
                <c:v>-125.18469999999999</c:v>
              </c:pt>
              <c:pt idx="2831">
                <c:v>-125.1326</c:v>
              </c:pt>
              <c:pt idx="2832">
                <c:v>-125.0804</c:v>
              </c:pt>
              <c:pt idx="2833">
                <c:v>-125.0282</c:v>
              </c:pt>
              <c:pt idx="2834">
                <c:v>-124.97619999999998</c:v>
              </c:pt>
              <c:pt idx="2835">
                <c:v>-124.92400000000001</c:v>
              </c:pt>
              <c:pt idx="2836">
                <c:v>-124.8719</c:v>
              </c:pt>
              <c:pt idx="2837">
                <c:v>-124.8198</c:v>
              </c:pt>
              <c:pt idx="2838">
                <c:v>-124.76750000000001</c:v>
              </c:pt>
              <c:pt idx="2839">
                <c:v>-124.71549999999999</c:v>
              </c:pt>
              <c:pt idx="2840">
                <c:v>-124.66330000000001</c:v>
              </c:pt>
              <c:pt idx="2841">
                <c:v>-124.61109999999999</c:v>
              </c:pt>
              <c:pt idx="2842">
                <c:v>-124.5591</c:v>
              </c:pt>
              <c:pt idx="2843">
                <c:v>-124.5069</c:v>
              </c:pt>
              <c:pt idx="2844">
                <c:v>-124.45480000000001</c:v>
              </c:pt>
              <c:pt idx="2845">
                <c:v>-124.40260000000001</c:v>
              </c:pt>
              <c:pt idx="2846">
                <c:v>-124.3506</c:v>
              </c:pt>
              <c:pt idx="2847">
                <c:v>-124.29830000000001</c:v>
              </c:pt>
              <c:pt idx="2848">
                <c:v>-124.24619999999999</c:v>
              </c:pt>
              <c:pt idx="2849">
                <c:v>-124.19410000000001</c:v>
              </c:pt>
              <c:pt idx="2850">
                <c:v>-124.14190000000001</c:v>
              </c:pt>
              <c:pt idx="2851">
                <c:v>-124.0898</c:v>
              </c:pt>
              <c:pt idx="2852">
                <c:v>-124.0377</c:v>
              </c:pt>
              <c:pt idx="2853">
                <c:v>-123.9855</c:v>
              </c:pt>
              <c:pt idx="2854">
                <c:v>-123.93340000000001</c:v>
              </c:pt>
              <c:pt idx="2855">
                <c:v>-123.88119999999999</c:v>
              </c:pt>
              <c:pt idx="2856">
                <c:v>-123.8291</c:v>
              </c:pt>
              <c:pt idx="2857">
                <c:v>-123.77699999999999</c:v>
              </c:pt>
              <c:pt idx="2858">
                <c:v>-123.72479999999999</c:v>
              </c:pt>
              <c:pt idx="2859">
                <c:v>-123.67270000000001</c:v>
              </c:pt>
              <c:pt idx="2860">
                <c:v>-123.62049999999999</c:v>
              </c:pt>
              <c:pt idx="2861">
                <c:v>-123.5685</c:v>
              </c:pt>
              <c:pt idx="2862">
                <c:v>-123.5164</c:v>
              </c:pt>
              <c:pt idx="2863">
                <c:v>-123.46420000000001</c:v>
              </c:pt>
              <c:pt idx="2864">
                <c:v>-123.41200000000001</c:v>
              </c:pt>
              <c:pt idx="2865">
                <c:v>-123.3599</c:v>
              </c:pt>
              <c:pt idx="2866">
                <c:v>-123.3078</c:v>
              </c:pt>
              <c:pt idx="2867">
                <c:v>-123.25550000000001</c:v>
              </c:pt>
              <c:pt idx="2868">
                <c:v>-123.20339999999999</c:v>
              </c:pt>
              <c:pt idx="2869">
                <c:v>-123.1514</c:v>
              </c:pt>
              <c:pt idx="2870">
                <c:v>-123.0992</c:v>
              </c:pt>
              <c:pt idx="2871">
                <c:v>-123.047</c:v>
              </c:pt>
              <c:pt idx="2872">
                <c:v>-122.9949</c:v>
              </c:pt>
              <c:pt idx="2873">
                <c:v>-122.94280000000001</c:v>
              </c:pt>
              <c:pt idx="2874">
                <c:v>-122.89060000000001</c:v>
              </c:pt>
              <c:pt idx="2875">
                <c:v>-122.83859999999999</c:v>
              </c:pt>
              <c:pt idx="2876">
                <c:v>-122.7863</c:v>
              </c:pt>
              <c:pt idx="2877">
                <c:v>-122.7342</c:v>
              </c:pt>
              <c:pt idx="2878">
                <c:v>-122.68219999999999</c:v>
              </c:pt>
              <c:pt idx="2879">
                <c:v>-122.62989999999999</c:v>
              </c:pt>
              <c:pt idx="2880">
                <c:v>-122.5778</c:v>
              </c:pt>
              <c:pt idx="2881">
                <c:v>-122.5256</c:v>
              </c:pt>
              <c:pt idx="2882">
                <c:v>-122.4736</c:v>
              </c:pt>
              <c:pt idx="2883">
                <c:v>-122.42140000000001</c:v>
              </c:pt>
              <c:pt idx="2884">
                <c:v>-122.36920000000001</c:v>
              </c:pt>
              <c:pt idx="2885">
                <c:v>-122.3171</c:v>
              </c:pt>
              <c:pt idx="2886">
                <c:v>-122.26499999999999</c:v>
              </c:pt>
              <c:pt idx="2887">
                <c:v>-122.21279999999999</c:v>
              </c:pt>
              <c:pt idx="2888">
                <c:v>-122.16069999999999</c:v>
              </c:pt>
              <c:pt idx="2889">
                <c:v>-122.10849999999999</c:v>
              </c:pt>
              <c:pt idx="2890">
                <c:v>-122.0565</c:v>
              </c:pt>
              <c:pt idx="2891">
                <c:v>-122.00440000000002</c:v>
              </c:pt>
              <c:pt idx="2892">
                <c:v>-121.95209999999999</c:v>
              </c:pt>
              <c:pt idx="2893">
                <c:v>-121.89989999999999</c:v>
              </c:pt>
              <c:pt idx="2894">
                <c:v>-121.84790000000001</c:v>
              </c:pt>
              <c:pt idx="2895">
                <c:v>-121.79570000000001</c:v>
              </c:pt>
              <c:pt idx="2896">
                <c:v>-121.74360000000001</c:v>
              </c:pt>
              <c:pt idx="2897">
                <c:v>-121.69149999999999</c:v>
              </c:pt>
              <c:pt idx="2898">
                <c:v>-121.63929999999999</c:v>
              </c:pt>
              <c:pt idx="2899">
                <c:v>-121.5872</c:v>
              </c:pt>
              <c:pt idx="2900">
                <c:v>-121.5351</c:v>
              </c:pt>
              <c:pt idx="2901">
                <c:v>-121.4828</c:v>
              </c:pt>
              <c:pt idx="2902">
                <c:v>-121.4307</c:v>
              </c:pt>
              <c:pt idx="2903">
                <c:v>-121.37869999999998</c:v>
              </c:pt>
              <c:pt idx="2904">
                <c:v>-121.32660000000001</c:v>
              </c:pt>
              <c:pt idx="2905">
                <c:v>-121.27439999999999</c:v>
              </c:pt>
              <c:pt idx="2906">
                <c:v>-121.22220000000002</c:v>
              </c:pt>
              <c:pt idx="2907">
                <c:v>-121.17009999999999</c:v>
              </c:pt>
              <c:pt idx="2908">
                <c:v>-121.11800000000001</c:v>
              </c:pt>
              <c:pt idx="2909">
                <c:v>-121.0658</c:v>
              </c:pt>
              <c:pt idx="2910">
                <c:v>-121.0136</c:v>
              </c:pt>
              <c:pt idx="2911">
                <c:v>-120.9615</c:v>
              </c:pt>
              <c:pt idx="2912">
                <c:v>-120.9093</c:v>
              </c:pt>
              <c:pt idx="2913">
                <c:v>-120.85730000000001</c:v>
              </c:pt>
              <c:pt idx="2914">
                <c:v>-120.80510000000001</c:v>
              </c:pt>
              <c:pt idx="2915">
                <c:v>-120.75300000000001</c:v>
              </c:pt>
              <c:pt idx="2916">
                <c:v>-120.7008</c:v>
              </c:pt>
              <c:pt idx="2917">
                <c:v>-120.6486</c:v>
              </c:pt>
              <c:pt idx="2918">
                <c:v>-120.59650000000001</c:v>
              </c:pt>
              <c:pt idx="2919">
                <c:v>-120.5445</c:v>
              </c:pt>
              <c:pt idx="2920">
                <c:v>-120.4922</c:v>
              </c:pt>
              <c:pt idx="2921">
                <c:v>-120.4401</c:v>
              </c:pt>
              <c:pt idx="2922">
                <c:v>-120.38800000000001</c:v>
              </c:pt>
              <c:pt idx="2923">
                <c:v>-120.3359</c:v>
              </c:pt>
              <c:pt idx="2924">
                <c:v>-120.28370000000001</c:v>
              </c:pt>
              <c:pt idx="2925">
                <c:v>-120.23159999999999</c:v>
              </c:pt>
              <c:pt idx="2926">
                <c:v>-120.17949999999999</c:v>
              </c:pt>
              <c:pt idx="2927">
                <c:v>-120.12739999999999</c:v>
              </c:pt>
              <c:pt idx="2928">
                <c:v>-120.0753</c:v>
              </c:pt>
              <c:pt idx="2929">
                <c:v>-120.023</c:v>
              </c:pt>
              <c:pt idx="2930">
                <c:v>-119.97090000000001</c:v>
              </c:pt>
              <c:pt idx="2931">
                <c:v>-119.9187</c:v>
              </c:pt>
              <c:pt idx="2932">
                <c:v>-119.86660000000001</c:v>
              </c:pt>
              <c:pt idx="2933">
                <c:v>-119.8145</c:v>
              </c:pt>
              <c:pt idx="2934">
                <c:v>-119.7625</c:v>
              </c:pt>
              <c:pt idx="2935">
                <c:v>-119.7102</c:v>
              </c:pt>
              <c:pt idx="2936">
                <c:v>-119.6581</c:v>
              </c:pt>
              <c:pt idx="2937">
                <c:v>-119.60599999999999</c:v>
              </c:pt>
              <c:pt idx="2938">
                <c:v>-119.5538</c:v>
              </c:pt>
              <c:pt idx="2939">
                <c:v>-119.5017</c:v>
              </c:pt>
              <c:pt idx="2940">
                <c:v>-119.44959999999999</c:v>
              </c:pt>
              <c:pt idx="2941">
                <c:v>-119.3974</c:v>
              </c:pt>
              <c:pt idx="2942">
                <c:v>-119.34520000000001</c:v>
              </c:pt>
              <c:pt idx="2943">
                <c:v>-119.29300000000001</c:v>
              </c:pt>
              <c:pt idx="2944">
                <c:v>-119.24090000000001</c:v>
              </c:pt>
              <c:pt idx="2945">
                <c:v>-119.18889999999999</c:v>
              </c:pt>
              <c:pt idx="2946">
                <c:v>-119.13679999999999</c:v>
              </c:pt>
              <c:pt idx="2947">
                <c:v>-119.08459999999999</c:v>
              </c:pt>
              <c:pt idx="2948">
                <c:v>-119.0325</c:v>
              </c:pt>
              <c:pt idx="2949">
                <c:v>-118.9803</c:v>
              </c:pt>
              <c:pt idx="2950">
                <c:v>-118.9282</c:v>
              </c:pt>
              <c:pt idx="2951">
                <c:v>-118.876</c:v>
              </c:pt>
              <c:pt idx="2952">
                <c:v>-118.82380000000001</c:v>
              </c:pt>
              <c:pt idx="2953">
                <c:v>-118.77179999999998</c:v>
              </c:pt>
              <c:pt idx="2954">
                <c:v>-118.71960000000001</c:v>
              </c:pt>
              <c:pt idx="2955">
                <c:v>-118.6674</c:v>
              </c:pt>
              <c:pt idx="2956">
                <c:v>-118.61539999999999</c:v>
              </c:pt>
              <c:pt idx="2957">
                <c:v>-118.56320000000001</c:v>
              </c:pt>
              <c:pt idx="2958">
                <c:v>-118.511</c:v>
              </c:pt>
              <c:pt idx="2959">
                <c:v>-118.459</c:v>
              </c:pt>
              <c:pt idx="2960">
                <c:v>-118.4067</c:v>
              </c:pt>
              <c:pt idx="2961">
                <c:v>-118.3545</c:v>
              </c:pt>
              <c:pt idx="2962">
                <c:v>-118.30250000000001</c:v>
              </c:pt>
              <c:pt idx="2963">
                <c:v>-118.25030000000001</c:v>
              </c:pt>
              <c:pt idx="2964">
                <c:v>-118.1981</c:v>
              </c:pt>
              <c:pt idx="2965">
                <c:v>-118.1461</c:v>
              </c:pt>
              <c:pt idx="2966">
                <c:v>-118.0939</c:v>
              </c:pt>
              <c:pt idx="2967">
                <c:v>-118.04169999999999</c:v>
              </c:pt>
              <c:pt idx="2968">
                <c:v>-117.98960000000001</c:v>
              </c:pt>
              <c:pt idx="2969">
                <c:v>-117.9375</c:v>
              </c:pt>
              <c:pt idx="2970">
                <c:v>-117.8854</c:v>
              </c:pt>
              <c:pt idx="2971">
                <c:v>-117.83320000000001</c:v>
              </c:pt>
              <c:pt idx="2972">
                <c:v>-117.78110000000001</c:v>
              </c:pt>
              <c:pt idx="2973">
                <c:v>-117.72900000000001</c:v>
              </c:pt>
              <c:pt idx="2974">
                <c:v>-117.6768</c:v>
              </c:pt>
              <c:pt idx="2975">
                <c:v>-117.6247</c:v>
              </c:pt>
              <c:pt idx="2976">
                <c:v>-117.57249999999999</c:v>
              </c:pt>
              <c:pt idx="2977">
                <c:v>-117.5204</c:v>
              </c:pt>
              <c:pt idx="2978">
                <c:v>-117.4683</c:v>
              </c:pt>
              <c:pt idx="2979">
                <c:v>-117.4162</c:v>
              </c:pt>
              <c:pt idx="2980">
                <c:v>-117.364</c:v>
              </c:pt>
              <c:pt idx="2981">
                <c:v>-117.31190000000001</c:v>
              </c:pt>
              <c:pt idx="2982">
                <c:v>-117.25970000000001</c:v>
              </c:pt>
              <c:pt idx="2983">
                <c:v>-117.20760000000001</c:v>
              </c:pt>
              <c:pt idx="2984">
                <c:v>-117.15539999999999</c:v>
              </c:pt>
              <c:pt idx="2985">
                <c:v>-117.10330000000002</c:v>
              </c:pt>
              <c:pt idx="2986">
                <c:v>-117.05119999999999</c:v>
              </c:pt>
              <c:pt idx="2987">
                <c:v>-116.9991</c:v>
              </c:pt>
              <c:pt idx="2988">
                <c:v>-116.9469</c:v>
              </c:pt>
              <c:pt idx="2989">
                <c:v>-116.8948</c:v>
              </c:pt>
              <c:pt idx="2990">
                <c:v>-116.8426</c:v>
              </c:pt>
              <c:pt idx="2991">
                <c:v>-116.79050000000001</c:v>
              </c:pt>
              <c:pt idx="2992">
                <c:v>-116.7384</c:v>
              </c:pt>
              <c:pt idx="2993">
                <c:v>-116.68620000000001</c:v>
              </c:pt>
              <c:pt idx="2994">
                <c:v>-116.6341</c:v>
              </c:pt>
              <c:pt idx="2995">
                <c:v>-116.5819</c:v>
              </c:pt>
              <c:pt idx="2996">
                <c:v>-116.52979999999999</c:v>
              </c:pt>
              <c:pt idx="2997">
                <c:v>-116.47770000000001</c:v>
              </c:pt>
              <c:pt idx="2998">
                <c:v>-116.4255</c:v>
              </c:pt>
              <c:pt idx="2999">
                <c:v>-116.3734</c:v>
              </c:pt>
              <c:pt idx="3000">
                <c:v>-116.32129999999999</c:v>
              </c:pt>
              <c:pt idx="3001">
                <c:v>-116.26900000000001</c:v>
              </c:pt>
              <c:pt idx="3002">
                <c:v>-116.21689999999998</c:v>
              </c:pt>
              <c:pt idx="3003">
                <c:v>-116.16489999999999</c:v>
              </c:pt>
              <c:pt idx="3004">
                <c:v>-116.11269999999999</c:v>
              </c:pt>
              <c:pt idx="3005">
                <c:v>-116.06059999999999</c:v>
              </c:pt>
              <c:pt idx="3006">
                <c:v>-116.0085</c:v>
              </c:pt>
              <c:pt idx="3007">
                <c:v>-115.9563</c:v>
              </c:pt>
              <c:pt idx="3008">
                <c:v>-115.9042</c:v>
              </c:pt>
              <c:pt idx="3009">
                <c:v>-115.852</c:v>
              </c:pt>
              <c:pt idx="3010">
                <c:v>-115.7998</c:v>
              </c:pt>
              <c:pt idx="3011">
                <c:v>-115.74769999999999</c:v>
              </c:pt>
              <c:pt idx="3012">
                <c:v>-115.6956</c:v>
              </c:pt>
              <c:pt idx="3013">
                <c:v>-115.64349999999999</c:v>
              </c:pt>
              <c:pt idx="3014">
                <c:v>-115.5913</c:v>
              </c:pt>
              <c:pt idx="3015">
                <c:v>-115.53919999999999</c:v>
              </c:pt>
              <c:pt idx="3016">
                <c:v>-115.48699999999999</c:v>
              </c:pt>
              <c:pt idx="3017">
                <c:v>-115.435</c:v>
              </c:pt>
              <c:pt idx="3018">
                <c:v>-115.3827</c:v>
              </c:pt>
              <c:pt idx="3019">
                <c:v>-115.3306</c:v>
              </c:pt>
              <c:pt idx="3020">
                <c:v>-115.27850000000001</c:v>
              </c:pt>
              <c:pt idx="3021">
                <c:v>-115.2264</c:v>
              </c:pt>
              <c:pt idx="3022">
                <c:v>-115.1743</c:v>
              </c:pt>
              <c:pt idx="3023">
                <c:v>-115.122</c:v>
              </c:pt>
              <c:pt idx="3024">
                <c:v>-115.0699</c:v>
              </c:pt>
              <c:pt idx="3025">
                <c:v>-115.01779999999999</c:v>
              </c:pt>
              <c:pt idx="3026">
                <c:v>-114.9657</c:v>
              </c:pt>
              <c:pt idx="3027">
                <c:v>-114.9136</c:v>
              </c:pt>
              <c:pt idx="3028">
                <c:v>-114.8614</c:v>
              </c:pt>
              <c:pt idx="3029">
                <c:v>-114.8092</c:v>
              </c:pt>
              <c:pt idx="3030">
                <c:v>-114.75710000000001</c:v>
              </c:pt>
              <c:pt idx="3031">
                <c:v>-114.70489999999999</c:v>
              </c:pt>
              <c:pt idx="3032">
                <c:v>-114.6529</c:v>
              </c:pt>
              <c:pt idx="3033">
                <c:v>-114.60069999999999</c:v>
              </c:pt>
              <c:pt idx="3034">
                <c:v>-114.54849999999999</c:v>
              </c:pt>
              <c:pt idx="3035">
                <c:v>-114.49639999999999</c:v>
              </c:pt>
              <c:pt idx="3036">
                <c:v>-114.4444</c:v>
              </c:pt>
              <c:pt idx="3037">
                <c:v>-114.3921</c:v>
              </c:pt>
              <c:pt idx="3038">
                <c:v>-114.33999999999999</c:v>
              </c:pt>
              <c:pt idx="3039">
                <c:v>-114.28789999999999</c:v>
              </c:pt>
              <c:pt idx="3040">
                <c:v>-114.23569999999999</c:v>
              </c:pt>
              <c:pt idx="3041">
                <c:v>-114.1836</c:v>
              </c:pt>
              <c:pt idx="3042">
                <c:v>-114.1314</c:v>
              </c:pt>
              <c:pt idx="3043">
                <c:v>-114.07929999999999</c:v>
              </c:pt>
              <c:pt idx="3044">
                <c:v>-114.02719999999999</c:v>
              </c:pt>
              <c:pt idx="3045">
                <c:v>-113.97499999999999</c:v>
              </c:pt>
              <c:pt idx="3046">
                <c:v>-113.9228</c:v>
              </c:pt>
              <c:pt idx="3047">
                <c:v>-113.8708</c:v>
              </c:pt>
              <c:pt idx="3048">
                <c:v>-113.8186</c:v>
              </c:pt>
              <c:pt idx="3049">
                <c:v>-113.7664</c:v>
              </c:pt>
              <c:pt idx="3050">
                <c:v>-113.71430000000001</c:v>
              </c:pt>
              <c:pt idx="3051">
                <c:v>-113.66220000000001</c:v>
              </c:pt>
              <c:pt idx="3052">
                <c:v>-113.61000000000001</c:v>
              </c:pt>
              <c:pt idx="3053">
                <c:v>-113.55789999999999</c:v>
              </c:pt>
              <c:pt idx="3054">
                <c:v>-113.50580000000001</c:v>
              </c:pt>
              <c:pt idx="3055">
                <c:v>-113.4537</c:v>
              </c:pt>
              <c:pt idx="3056">
                <c:v>-113.4016</c:v>
              </c:pt>
              <c:pt idx="3057">
                <c:v>-113.3494</c:v>
              </c:pt>
              <c:pt idx="3058">
                <c:v>-113.2972</c:v>
              </c:pt>
              <c:pt idx="3059">
                <c:v>-113.2452</c:v>
              </c:pt>
              <c:pt idx="3060">
                <c:v>-113.19289999999999</c:v>
              </c:pt>
              <c:pt idx="3061">
                <c:v>-113.14080000000001</c:v>
              </c:pt>
              <c:pt idx="3062">
                <c:v>-113.08869999999999</c:v>
              </c:pt>
              <c:pt idx="3063">
                <c:v>-113.03649999999999</c:v>
              </c:pt>
              <c:pt idx="3064">
                <c:v>-112.98429999999999</c:v>
              </c:pt>
              <c:pt idx="3065">
                <c:v>-112.9324</c:v>
              </c:pt>
              <c:pt idx="3066">
                <c:v>-112.8802</c:v>
              </c:pt>
              <c:pt idx="3067">
                <c:v>-112.8279</c:v>
              </c:pt>
              <c:pt idx="3068">
                <c:v>-112.77590000000001</c:v>
              </c:pt>
              <c:pt idx="3069">
                <c:v>-112.72369999999998</c:v>
              </c:pt>
              <c:pt idx="3070">
                <c:v>-112.67160000000001</c:v>
              </c:pt>
              <c:pt idx="3071">
                <c:v>-112.6195</c:v>
              </c:pt>
              <c:pt idx="3072">
                <c:v>-112.5673</c:v>
              </c:pt>
              <c:pt idx="3073">
                <c:v>-112.51519999999999</c:v>
              </c:pt>
              <c:pt idx="3074">
                <c:v>-112.46299999999999</c:v>
              </c:pt>
              <c:pt idx="3075">
                <c:v>-112.4109</c:v>
              </c:pt>
              <c:pt idx="3076">
                <c:v>-112.3588</c:v>
              </c:pt>
              <c:pt idx="3077">
                <c:v>-112.30659999999999</c:v>
              </c:pt>
              <c:pt idx="3078">
                <c:v>-112.25450000000001</c:v>
              </c:pt>
              <c:pt idx="3079">
                <c:v>-112.20230000000001</c:v>
              </c:pt>
              <c:pt idx="3080">
                <c:v>-112.1503</c:v>
              </c:pt>
              <c:pt idx="3081">
                <c:v>-112.098</c:v>
              </c:pt>
              <c:pt idx="3082">
                <c:v>-112.04600000000001</c:v>
              </c:pt>
              <c:pt idx="3083">
                <c:v>-111.99379999999999</c:v>
              </c:pt>
              <c:pt idx="3084">
                <c:v>-111.94159999999999</c:v>
              </c:pt>
              <c:pt idx="3085">
                <c:v>-111.8895</c:v>
              </c:pt>
              <c:pt idx="3086">
                <c:v>-111.8374</c:v>
              </c:pt>
              <c:pt idx="3087">
                <c:v>-111.7852</c:v>
              </c:pt>
              <c:pt idx="3088">
                <c:v>-111.73310000000001</c:v>
              </c:pt>
              <c:pt idx="3089">
                <c:v>-111.68090000000001</c:v>
              </c:pt>
              <c:pt idx="3090">
                <c:v>-111.62870000000001</c:v>
              </c:pt>
              <c:pt idx="3091">
                <c:v>-111.57680000000001</c:v>
              </c:pt>
              <c:pt idx="3092">
                <c:v>-111.52449999999999</c:v>
              </c:pt>
              <c:pt idx="3093">
                <c:v>-111.47239999999999</c:v>
              </c:pt>
              <c:pt idx="3094">
                <c:v>-111.42019999999999</c:v>
              </c:pt>
              <c:pt idx="3095">
                <c:v>-111.3681</c:v>
              </c:pt>
              <c:pt idx="3096">
                <c:v>-111.31610000000001</c:v>
              </c:pt>
              <c:pt idx="3097">
                <c:v>-111.26390000000001</c:v>
              </c:pt>
              <c:pt idx="3098">
                <c:v>-111.21170000000001</c:v>
              </c:pt>
              <c:pt idx="3099">
                <c:v>-111.1596</c:v>
              </c:pt>
              <c:pt idx="3100">
                <c:v>-111.1074</c:v>
              </c:pt>
              <c:pt idx="3101">
                <c:v>-111.05529999999999</c:v>
              </c:pt>
              <c:pt idx="3102">
                <c:v>-111.00310000000002</c:v>
              </c:pt>
              <c:pt idx="3103">
                <c:v>-110.95099999999999</c:v>
              </c:pt>
              <c:pt idx="3104">
                <c:v>-110.89890000000001</c:v>
              </c:pt>
              <c:pt idx="3105">
                <c:v>-110.8468</c:v>
              </c:pt>
              <c:pt idx="3106">
                <c:v>-110.7946</c:v>
              </c:pt>
              <c:pt idx="3107">
                <c:v>-110.74250000000001</c:v>
              </c:pt>
              <c:pt idx="3108">
                <c:v>-110.69030000000001</c:v>
              </c:pt>
              <c:pt idx="3109">
                <c:v>-110.63820000000001</c:v>
              </c:pt>
              <c:pt idx="3110">
                <c:v>-110.58610000000002</c:v>
              </c:pt>
              <c:pt idx="3111">
                <c:v>-110.5339</c:v>
              </c:pt>
              <c:pt idx="3112">
                <c:v>-110.48190000000001</c:v>
              </c:pt>
              <c:pt idx="3113">
                <c:v>-110.42959999999999</c:v>
              </c:pt>
              <c:pt idx="3114">
                <c:v>-110.3776</c:v>
              </c:pt>
              <c:pt idx="3115">
                <c:v>-110.3253</c:v>
              </c:pt>
              <c:pt idx="3116">
                <c:v>-110.27330000000001</c:v>
              </c:pt>
              <c:pt idx="3117">
                <c:v>-110.22110000000001</c:v>
              </c:pt>
              <c:pt idx="3118">
                <c:v>-110.169</c:v>
              </c:pt>
              <c:pt idx="3119">
                <c:v>-110.1168</c:v>
              </c:pt>
              <c:pt idx="3120">
                <c:v>-110.06469999999999</c:v>
              </c:pt>
              <c:pt idx="3121">
                <c:v>-110.01249999999999</c:v>
              </c:pt>
              <c:pt idx="3122">
                <c:v>-109.9605</c:v>
              </c:pt>
              <c:pt idx="3123">
                <c:v>-109.90819999999999</c:v>
              </c:pt>
              <c:pt idx="3124">
                <c:v>-109.8562</c:v>
              </c:pt>
              <c:pt idx="3125">
                <c:v>-109.804</c:v>
              </c:pt>
              <c:pt idx="3126">
                <c:v>-109.75179999999999</c:v>
              </c:pt>
              <c:pt idx="3127">
                <c:v>-109.69970000000001</c:v>
              </c:pt>
              <c:pt idx="3128">
                <c:v>-109.64750000000001</c:v>
              </c:pt>
              <c:pt idx="3129">
                <c:v>-109.5954</c:v>
              </c:pt>
              <c:pt idx="3130">
                <c:v>-109.54340000000001</c:v>
              </c:pt>
              <c:pt idx="3131">
                <c:v>-109.49109999999999</c:v>
              </c:pt>
              <c:pt idx="3132">
                <c:v>-109.4391</c:v>
              </c:pt>
              <c:pt idx="3133">
                <c:v>-109.387</c:v>
              </c:pt>
              <c:pt idx="3134">
                <c:v>-109.3347</c:v>
              </c:pt>
              <c:pt idx="3135">
                <c:v>-109.2826</c:v>
              </c:pt>
              <c:pt idx="3136">
                <c:v>-109.2304</c:v>
              </c:pt>
              <c:pt idx="3137">
                <c:v>-109.17830000000001</c:v>
              </c:pt>
              <c:pt idx="3138">
                <c:v>-109.12620000000001</c:v>
              </c:pt>
              <c:pt idx="3139">
                <c:v>-109.0741</c:v>
              </c:pt>
              <c:pt idx="3140">
                <c:v>-109.0218</c:v>
              </c:pt>
              <c:pt idx="3141">
                <c:v>-108.96979999999999</c:v>
              </c:pt>
              <c:pt idx="3142">
                <c:v>-108.9177</c:v>
              </c:pt>
              <c:pt idx="3143">
                <c:v>-108.8656</c:v>
              </c:pt>
              <c:pt idx="3144">
                <c:v>-108.8133</c:v>
              </c:pt>
              <c:pt idx="3145">
                <c:v>-108.7612</c:v>
              </c:pt>
              <c:pt idx="3146">
                <c:v>-108.70909999999999</c:v>
              </c:pt>
              <c:pt idx="3147">
                <c:v>-108.65690000000001</c:v>
              </c:pt>
              <c:pt idx="3148">
                <c:v>-108.60480000000001</c:v>
              </c:pt>
              <c:pt idx="3149">
                <c:v>-108.5526</c:v>
              </c:pt>
              <c:pt idx="3150">
                <c:v>-108.50059999999999</c:v>
              </c:pt>
              <c:pt idx="3151">
                <c:v>-108.44839999999999</c:v>
              </c:pt>
              <c:pt idx="3152">
                <c:v>-108.39620000000001</c:v>
              </c:pt>
              <c:pt idx="3153">
                <c:v>-108.3441</c:v>
              </c:pt>
              <c:pt idx="3154">
                <c:v>-108.2919</c:v>
              </c:pt>
              <c:pt idx="3155">
                <c:v>-108.23990000000001</c:v>
              </c:pt>
              <c:pt idx="3156">
                <c:v>-108.18780000000001</c:v>
              </c:pt>
              <c:pt idx="3157">
                <c:v>-108.13550000000001</c:v>
              </c:pt>
              <c:pt idx="3158">
                <c:v>-108.0834</c:v>
              </c:pt>
              <c:pt idx="3159">
                <c:v>-108.03120000000001</c:v>
              </c:pt>
              <c:pt idx="3160">
                <c:v>-107.97910000000002</c:v>
              </c:pt>
              <c:pt idx="3161">
                <c:v>-107.92699999999999</c:v>
              </c:pt>
              <c:pt idx="3162">
                <c:v>-107.87479999999999</c:v>
              </c:pt>
              <c:pt idx="3163">
                <c:v>-107.82279999999999</c:v>
              </c:pt>
              <c:pt idx="3164">
                <c:v>-107.77060000000002</c:v>
              </c:pt>
              <c:pt idx="3165">
                <c:v>-107.71850000000001</c:v>
              </c:pt>
              <c:pt idx="3166">
                <c:v>-107.66630000000001</c:v>
              </c:pt>
              <c:pt idx="3167">
                <c:v>-107.61410000000001</c:v>
              </c:pt>
              <c:pt idx="3168">
                <c:v>-107.56200000000001</c:v>
              </c:pt>
              <c:pt idx="3169">
                <c:v>-107.5099</c:v>
              </c:pt>
              <c:pt idx="3170">
                <c:v>-107.45780000000001</c:v>
              </c:pt>
              <c:pt idx="3171">
                <c:v>-107.40549999999999</c:v>
              </c:pt>
              <c:pt idx="3172">
                <c:v>-107.3535</c:v>
              </c:pt>
              <c:pt idx="3173">
                <c:v>-107.3013</c:v>
              </c:pt>
              <c:pt idx="3174">
                <c:v>-107.2492</c:v>
              </c:pt>
              <c:pt idx="3175">
                <c:v>-107.19710000000001</c:v>
              </c:pt>
              <c:pt idx="3176">
                <c:v>-107.14489999999998</c:v>
              </c:pt>
              <c:pt idx="3177">
                <c:v>-107.09270000000001</c:v>
              </c:pt>
              <c:pt idx="3178">
                <c:v>-107.0407</c:v>
              </c:pt>
              <c:pt idx="3179">
                <c:v>-106.98849999999999</c:v>
              </c:pt>
              <c:pt idx="3180">
                <c:v>-106.93640000000001</c:v>
              </c:pt>
              <c:pt idx="3181">
                <c:v>-106.8843</c:v>
              </c:pt>
              <c:pt idx="3182">
                <c:v>-106.83199999999999</c:v>
              </c:pt>
              <c:pt idx="3183">
                <c:v>-106.7799</c:v>
              </c:pt>
              <c:pt idx="3184">
                <c:v>-106.7278</c:v>
              </c:pt>
              <c:pt idx="3185">
                <c:v>-106.67570000000001</c:v>
              </c:pt>
              <c:pt idx="3186">
                <c:v>-106.62350000000001</c:v>
              </c:pt>
              <c:pt idx="3187">
                <c:v>-106.57140000000001</c:v>
              </c:pt>
              <c:pt idx="3188">
                <c:v>-106.5193</c:v>
              </c:pt>
              <c:pt idx="3189">
                <c:v>-106.46709999999999</c:v>
              </c:pt>
              <c:pt idx="3190">
                <c:v>-106.41490000000002</c:v>
              </c:pt>
              <c:pt idx="3191">
                <c:v>-106.3629</c:v>
              </c:pt>
              <c:pt idx="3192">
                <c:v>-106.3107</c:v>
              </c:pt>
              <c:pt idx="3193">
                <c:v>-106.2586</c:v>
              </c:pt>
              <c:pt idx="3194">
                <c:v>-106.20650000000001</c:v>
              </c:pt>
              <c:pt idx="3195">
                <c:v>-106.15429999999999</c:v>
              </c:pt>
              <c:pt idx="3196">
                <c:v>-106.10210000000001</c:v>
              </c:pt>
              <c:pt idx="3197">
                <c:v>-106.04999999999998</c:v>
              </c:pt>
              <c:pt idx="3198">
                <c:v>-105.9979</c:v>
              </c:pt>
              <c:pt idx="3199">
                <c:v>-105.94579999999999</c:v>
              </c:pt>
              <c:pt idx="3200">
                <c:v>-105.89370000000001</c:v>
              </c:pt>
              <c:pt idx="3201">
                <c:v>-105.8415</c:v>
              </c:pt>
              <c:pt idx="3202">
                <c:v>-105.7893</c:v>
              </c:pt>
              <c:pt idx="3203">
                <c:v>-105.7371</c:v>
              </c:pt>
              <c:pt idx="3204">
                <c:v>-105.685</c:v>
              </c:pt>
              <c:pt idx="3205">
                <c:v>-105.63289999999999</c:v>
              </c:pt>
              <c:pt idx="3206">
                <c:v>-105.58079999999998</c:v>
              </c:pt>
              <c:pt idx="3207">
                <c:v>-105.5286</c:v>
              </c:pt>
              <c:pt idx="3208">
                <c:v>-105.4764</c:v>
              </c:pt>
              <c:pt idx="3209">
                <c:v>-105.42430000000002</c:v>
              </c:pt>
              <c:pt idx="3210">
                <c:v>-105.37220000000001</c:v>
              </c:pt>
              <c:pt idx="3211">
                <c:v>-105.3201</c:v>
              </c:pt>
              <c:pt idx="3212">
                <c:v>-105.2679</c:v>
              </c:pt>
              <c:pt idx="3213">
                <c:v>-105.2157</c:v>
              </c:pt>
              <c:pt idx="3214">
                <c:v>-105.16359999999999</c:v>
              </c:pt>
              <c:pt idx="3215">
                <c:v>-105.11160000000001</c:v>
              </c:pt>
              <c:pt idx="3216">
                <c:v>-105.05940000000001</c:v>
              </c:pt>
              <c:pt idx="3217">
                <c:v>-105.00729999999999</c:v>
              </c:pt>
              <c:pt idx="3218">
                <c:v>-104.95510000000002</c:v>
              </c:pt>
              <c:pt idx="3219">
                <c:v>-104.9029</c:v>
              </c:pt>
              <c:pt idx="3220">
                <c:v>-104.8509</c:v>
              </c:pt>
              <c:pt idx="3221">
                <c:v>-104.7987</c:v>
              </c:pt>
              <c:pt idx="3222">
                <c:v>-104.7465</c:v>
              </c:pt>
              <c:pt idx="3223">
                <c:v>-104.6944</c:v>
              </c:pt>
              <c:pt idx="3224">
                <c:v>-104.64230000000001</c:v>
              </c:pt>
              <c:pt idx="3225">
                <c:v>-104.59009999999999</c:v>
              </c:pt>
              <c:pt idx="3226">
                <c:v>-104.53810000000001</c:v>
              </c:pt>
              <c:pt idx="3227">
                <c:v>-104.4859</c:v>
              </c:pt>
              <c:pt idx="3228">
                <c:v>-104.4337</c:v>
              </c:pt>
              <c:pt idx="3229">
                <c:v>-104.38159999999999</c:v>
              </c:pt>
              <c:pt idx="3230">
                <c:v>-104.32940000000001</c:v>
              </c:pt>
              <c:pt idx="3231">
                <c:v>-104.2773</c:v>
              </c:pt>
              <c:pt idx="3232">
                <c:v>-104.2252</c:v>
              </c:pt>
              <c:pt idx="3233">
                <c:v>-104.17310000000001</c:v>
              </c:pt>
              <c:pt idx="3234">
                <c:v>-104.12100000000001</c:v>
              </c:pt>
              <c:pt idx="3235">
                <c:v>-104.06880000000001</c:v>
              </c:pt>
              <c:pt idx="3236">
                <c:v>-104.0167</c:v>
              </c:pt>
              <c:pt idx="3237">
                <c:v>-103.96449999999999</c:v>
              </c:pt>
              <c:pt idx="3238">
                <c:v>-103.91240000000001</c:v>
              </c:pt>
              <c:pt idx="3239">
                <c:v>-103.86019999999999</c:v>
              </c:pt>
              <c:pt idx="3240">
                <c:v>-103.80799999999999</c:v>
              </c:pt>
              <c:pt idx="3241">
                <c:v>-103.7559</c:v>
              </c:pt>
              <c:pt idx="3242">
                <c:v>-103.7037</c:v>
              </c:pt>
              <c:pt idx="3243">
                <c:v>-103.6516</c:v>
              </c:pt>
              <c:pt idx="3244">
                <c:v>-103.59949999999999</c:v>
              </c:pt>
              <c:pt idx="3245">
                <c:v>-103.54739999999998</c:v>
              </c:pt>
              <c:pt idx="3246">
                <c:v>-103.4952</c:v>
              </c:pt>
              <c:pt idx="3247">
                <c:v>-103.44310000000002</c:v>
              </c:pt>
              <c:pt idx="3248">
                <c:v>-103.39100000000001</c:v>
              </c:pt>
              <c:pt idx="3249">
                <c:v>-103.33879999999999</c:v>
              </c:pt>
              <c:pt idx="3250">
                <c:v>-103.2867</c:v>
              </c:pt>
              <c:pt idx="3251">
                <c:v>-103.2345</c:v>
              </c:pt>
              <c:pt idx="3252">
                <c:v>-103.1825</c:v>
              </c:pt>
              <c:pt idx="3253">
                <c:v>-103.13030000000001</c:v>
              </c:pt>
              <c:pt idx="3254">
                <c:v>-103.07809999999999</c:v>
              </c:pt>
              <c:pt idx="3255">
                <c:v>-103.02590000000001</c:v>
              </c:pt>
              <c:pt idx="3256">
                <c:v>-102.9738</c:v>
              </c:pt>
              <c:pt idx="3257">
                <c:v>-102.9217</c:v>
              </c:pt>
              <c:pt idx="3258">
                <c:v>-102.86959999999999</c:v>
              </c:pt>
              <c:pt idx="3259">
                <c:v>-102.81739999999999</c:v>
              </c:pt>
              <c:pt idx="3260">
                <c:v>-102.76520000000001</c:v>
              </c:pt>
              <c:pt idx="3261">
                <c:v>-102.7132</c:v>
              </c:pt>
              <c:pt idx="3262">
                <c:v>-102.6611</c:v>
              </c:pt>
              <c:pt idx="3263">
                <c:v>-102.6088</c:v>
              </c:pt>
              <c:pt idx="3264">
                <c:v>-102.5568</c:v>
              </c:pt>
              <c:pt idx="3265">
                <c:v>-102.5047</c:v>
              </c:pt>
              <c:pt idx="3266">
                <c:v>-102.4525</c:v>
              </c:pt>
              <c:pt idx="3267">
                <c:v>-102.4003</c:v>
              </c:pt>
              <c:pt idx="3268">
                <c:v>-102.34819999999999</c:v>
              </c:pt>
              <c:pt idx="3269">
                <c:v>-102.2961</c:v>
              </c:pt>
              <c:pt idx="3270">
                <c:v>-102.2439</c:v>
              </c:pt>
              <c:pt idx="3271">
                <c:v>-102.1918</c:v>
              </c:pt>
              <c:pt idx="3272">
                <c:v>-102.1396</c:v>
              </c:pt>
              <c:pt idx="3273">
                <c:v>-102.08750000000001</c:v>
              </c:pt>
              <c:pt idx="3274">
                <c:v>-102.03540000000001</c:v>
              </c:pt>
              <c:pt idx="3275">
                <c:v>-101.98320000000001</c:v>
              </c:pt>
              <c:pt idx="3276">
                <c:v>-101.93100000000001</c:v>
              </c:pt>
              <c:pt idx="3277">
                <c:v>-101.879</c:v>
              </c:pt>
              <c:pt idx="3278">
                <c:v>-101.82680000000001</c:v>
              </c:pt>
              <c:pt idx="3279">
                <c:v>-101.7747</c:v>
              </c:pt>
              <c:pt idx="3280">
                <c:v>-101.72239999999999</c:v>
              </c:pt>
              <c:pt idx="3281">
                <c:v>-101.6704</c:v>
              </c:pt>
              <c:pt idx="3282">
                <c:v>-101.6183</c:v>
              </c:pt>
              <c:pt idx="3283">
                <c:v>-101.56609999999999</c:v>
              </c:pt>
              <c:pt idx="3284">
                <c:v>-101.51389999999999</c:v>
              </c:pt>
              <c:pt idx="3285">
                <c:v>-101.4618</c:v>
              </c:pt>
              <c:pt idx="3286">
                <c:v>-101.4097</c:v>
              </c:pt>
              <c:pt idx="3287">
                <c:v>-101.35749999999999</c:v>
              </c:pt>
              <c:pt idx="3288">
                <c:v>-101.30539999999999</c:v>
              </c:pt>
              <c:pt idx="3289">
                <c:v>-101.25330000000001</c:v>
              </c:pt>
              <c:pt idx="3290">
                <c:v>-101.2011</c:v>
              </c:pt>
              <c:pt idx="3291">
                <c:v>-101.1489</c:v>
              </c:pt>
              <c:pt idx="3292">
                <c:v>-101.09689999999999</c:v>
              </c:pt>
              <c:pt idx="3293">
                <c:v>-101.04470000000001</c:v>
              </c:pt>
              <c:pt idx="3294">
                <c:v>-100.9926</c:v>
              </c:pt>
              <c:pt idx="3295">
                <c:v>-100.94050000000001</c:v>
              </c:pt>
              <c:pt idx="3296">
                <c:v>-100.8884</c:v>
              </c:pt>
              <c:pt idx="3297">
                <c:v>-100.83609999999999</c:v>
              </c:pt>
              <c:pt idx="3298">
                <c:v>-100.78410000000001</c:v>
              </c:pt>
              <c:pt idx="3299">
                <c:v>-100.73179999999999</c:v>
              </c:pt>
              <c:pt idx="3300">
                <c:v>-100.67960000000001</c:v>
              </c:pt>
              <c:pt idx="3301">
                <c:v>-100.6276</c:v>
              </c:pt>
              <c:pt idx="3302">
                <c:v>-100.5754</c:v>
              </c:pt>
              <c:pt idx="3303">
                <c:v>-100.52330000000001</c:v>
              </c:pt>
              <c:pt idx="3304">
                <c:v>-100.4712</c:v>
              </c:pt>
              <c:pt idx="3305">
                <c:v>-100.41900000000001</c:v>
              </c:pt>
              <c:pt idx="3306">
                <c:v>-100.3669</c:v>
              </c:pt>
              <c:pt idx="3307">
                <c:v>-100.31479999999999</c:v>
              </c:pt>
              <c:pt idx="3308">
                <c:v>-100.26260000000001</c:v>
              </c:pt>
              <c:pt idx="3309">
                <c:v>-100.2106</c:v>
              </c:pt>
              <c:pt idx="3310">
                <c:v>-100.1583</c:v>
              </c:pt>
              <c:pt idx="3311">
                <c:v>-100.1061</c:v>
              </c:pt>
              <c:pt idx="3312">
                <c:v>-100.05409999999999</c:v>
              </c:pt>
              <c:pt idx="3313">
                <c:v>-100.00190000000001</c:v>
              </c:pt>
              <c:pt idx="3314">
                <c:v>-99.949799999999996</c:v>
              </c:pt>
              <c:pt idx="3315">
                <c:v>-99.897699999999986</c:v>
              </c:pt>
              <c:pt idx="3316">
                <c:v>-99.845500000000001</c:v>
              </c:pt>
              <c:pt idx="3317">
                <c:v>-99.793399999999991</c:v>
              </c:pt>
              <c:pt idx="3318">
                <c:v>-99.741200000000006</c:v>
              </c:pt>
              <c:pt idx="3319">
                <c:v>-99.689099999999996</c:v>
              </c:pt>
              <c:pt idx="3320">
                <c:v>-99.636899999999997</c:v>
              </c:pt>
              <c:pt idx="3321">
                <c:v>-99.584699999999998</c:v>
              </c:pt>
              <c:pt idx="3322">
                <c:v>-99.532699999999991</c:v>
              </c:pt>
              <c:pt idx="3323">
                <c:v>-99.480599999999995</c:v>
              </c:pt>
              <c:pt idx="3324">
                <c:v>-99.428500000000014</c:v>
              </c:pt>
              <c:pt idx="3325">
                <c:v>-99.376300000000001</c:v>
              </c:pt>
              <c:pt idx="3326">
                <c:v>-99.324099999999987</c:v>
              </c:pt>
              <c:pt idx="3327">
                <c:v>-99.271900000000002</c:v>
              </c:pt>
              <c:pt idx="3328">
                <c:v>-99.219899999999996</c:v>
              </c:pt>
              <c:pt idx="3329">
                <c:v>-99.167700000000011</c:v>
              </c:pt>
              <c:pt idx="3330">
                <c:v>-99.115700000000004</c:v>
              </c:pt>
              <c:pt idx="3331">
                <c:v>-99.063499999999991</c:v>
              </c:pt>
              <c:pt idx="3332">
                <c:v>-99.011200000000002</c:v>
              </c:pt>
              <c:pt idx="3333">
                <c:v>-98.959100000000007</c:v>
              </c:pt>
              <c:pt idx="3334">
                <c:v>-98.906900000000007</c:v>
              </c:pt>
              <c:pt idx="3335">
                <c:v>-98.854900000000001</c:v>
              </c:pt>
              <c:pt idx="3336">
                <c:v>-98.802799999999991</c:v>
              </c:pt>
              <c:pt idx="3337">
                <c:v>-98.750699999999995</c:v>
              </c:pt>
              <c:pt idx="3338">
                <c:v>-98.698400000000007</c:v>
              </c:pt>
              <c:pt idx="3339">
                <c:v>-98.646299999999997</c:v>
              </c:pt>
              <c:pt idx="3340">
                <c:v>-98.594199999999987</c:v>
              </c:pt>
              <c:pt idx="3341">
                <c:v>-98.542100000000005</c:v>
              </c:pt>
              <c:pt idx="3342">
                <c:v>-98.489900000000006</c:v>
              </c:pt>
              <c:pt idx="3343">
                <c:v>-98.437700000000007</c:v>
              </c:pt>
              <c:pt idx="3344">
                <c:v>-98.385699999999986</c:v>
              </c:pt>
              <c:pt idx="3345">
                <c:v>-98.333500000000001</c:v>
              </c:pt>
              <c:pt idx="3346">
                <c:v>-98.281399999999991</c:v>
              </c:pt>
              <c:pt idx="3347">
                <c:v>-98.229100000000003</c:v>
              </c:pt>
              <c:pt idx="3348">
                <c:v>-98.177099999999996</c:v>
              </c:pt>
              <c:pt idx="3349">
                <c:v>-98.124899999999997</c:v>
              </c:pt>
              <c:pt idx="3350">
                <c:v>-98.072800000000001</c:v>
              </c:pt>
              <c:pt idx="3351">
                <c:v>-98.020700000000005</c:v>
              </c:pt>
              <c:pt idx="3352">
                <c:v>-97.968499999999992</c:v>
              </c:pt>
              <c:pt idx="3353">
                <c:v>-97.916299999999993</c:v>
              </c:pt>
              <c:pt idx="3354">
                <c:v>-97.864199999999997</c:v>
              </c:pt>
              <c:pt idx="3355">
                <c:v>-97.81219999999999</c:v>
              </c:pt>
              <c:pt idx="3356">
                <c:v>-97.759899999999988</c:v>
              </c:pt>
              <c:pt idx="3357">
                <c:v>-97.707900000000009</c:v>
              </c:pt>
              <c:pt idx="3358">
                <c:v>-97.655699999999996</c:v>
              </c:pt>
              <c:pt idx="3359">
                <c:v>-97.6036</c:v>
              </c:pt>
              <c:pt idx="3360">
                <c:v>-97.551400000000001</c:v>
              </c:pt>
              <c:pt idx="3361">
                <c:v>-97.499200000000002</c:v>
              </c:pt>
              <c:pt idx="3362">
                <c:v>-97.447100000000006</c:v>
              </c:pt>
              <c:pt idx="3363">
                <c:v>-97.39500000000001</c:v>
              </c:pt>
              <c:pt idx="3364">
                <c:v>-97.342799999999997</c:v>
              </c:pt>
              <c:pt idx="3365">
                <c:v>-97.290800000000004</c:v>
              </c:pt>
              <c:pt idx="3366">
                <c:v>-97.238599999999991</c:v>
              </c:pt>
              <c:pt idx="3367">
                <c:v>-97.186499999999995</c:v>
              </c:pt>
              <c:pt idx="3368">
                <c:v>-97.134199999999993</c:v>
              </c:pt>
              <c:pt idx="3369">
                <c:v>-97.082099999999997</c:v>
              </c:pt>
              <c:pt idx="3370">
                <c:v>-97.030100000000004</c:v>
              </c:pt>
              <c:pt idx="3371">
                <c:v>-96.977800000000002</c:v>
              </c:pt>
              <c:pt idx="3372">
                <c:v>-96.925799999999995</c:v>
              </c:pt>
              <c:pt idx="3373">
                <c:v>-96.873700000000014</c:v>
              </c:pt>
              <c:pt idx="3374">
                <c:v>-96.821400000000011</c:v>
              </c:pt>
              <c:pt idx="3375">
                <c:v>-96.769300000000001</c:v>
              </c:pt>
              <c:pt idx="3376">
                <c:v>-96.717299999999994</c:v>
              </c:pt>
              <c:pt idx="3377">
                <c:v>-96.665000000000006</c:v>
              </c:pt>
              <c:pt idx="3378">
                <c:v>-96.61290000000001</c:v>
              </c:pt>
              <c:pt idx="3379">
                <c:v>-96.5608</c:v>
              </c:pt>
              <c:pt idx="3380">
                <c:v>-96.50869999999999</c:v>
              </c:pt>
              <c:pt idx="3381">
                <c:v>-96.456500000000005</c:v>
              </c:pt>
              <c:pt idx="3382">
                <c:v>-96.404399999999995</c:v>
              </c:pt>
              <c:pt idx="3383">
                <c:v>-96.352199999999996</c:v>
              </c:pt>
              <c:pt idx="3384">
                <c:v>-96.300099999999986</c:v>
              </c:pt>
              <c:pt idx="3385">
                <c:v>-96.24799999999999</c:v>
              </c:pt>
              <c:pt idx="3386">
                <c:v>-96.195800000000006</c:v>
              </c:pt>
              <c:pt idx="3387">
                <c:v>-96.143699999999995</c:v>
              </c:pt>
              <c:pt idx="3388">
                <c:v>-96.091499999999996</c:v>
              </c:pt>
              <c:pt idx="3389">
                <c:v>-96.039300000000011</c:v>
              </c:pt>
              <c:pt idx="3390">
                <c:v>-95.987300000000005</c:v>
              </c:pt>
              <c:pt idx="3391">
                <c:v>-95.935099999999991</c:v>
              </c:pt>
              <c:pt idx="3392">
                <c:v>-95.882999999999996</c:v>
              </c:pt>
              <c:pt idx="3393">
                <c:v>-95.830700000000007</c:v>
              </c:pt>
              <c:pt idx="3394">
                <c:v>-95.778700000000001</c:v>
              </c:pt>
              <c:pt idx="3395">
                <c:v>-95.726600000000005</c:v>
              </c:pt>
              <c:pt idx="3396">
                <c:v>-95.674399999999991</c:v>
              </c:pt>
              <c:pt idx="3397">
                <c:v>-95.622299999999996</c:v>
              </c:pt>
              <c:pt idx="3398">
                <c:v>-95.570099999999996</c:v>
              </c:pt>
              <c:pt idx="3399">
                <c:v>-95.517999999999986</c:v>
              </c:pt>
              <c:pt idx="3400">
                <c:v>-95.465899999999991</c:v>
              </c:pt>
              <c:pt idx="3401">
                <c:v>-95.413700000000006</c:v>
              </c:pt>
              <c:pt idx="3402">
                <c:v>-95.361599999999996</c:v>
              </c:pt>
              <c:pt idx="3403">
                <c:v>-95.309399999999997</c:v>
              </c:pt>
              <c:pt idx="3404">
                <c:v>-95.257400000000004</c:v>
              </c:pt>
              <c:pt idx="3405">
                <c:v>-95.205100000000002</c:v>
              </c:pt>
              <c:pt idx="3406">
                <c:v>-95.153000000000006</c:v>
              </c:pt>
              <c:pt idx="3407">
                <c:v>-95.100899999999996</c:v>
              </c:pt>
              <c:pt idx="3408">
                <c:v>-95.0488</c:v>
              </c:pt>
              <c:pt idx="3409">
                <c:v>-94.996700000000004</c:v>
              </c:pt>
              <c:pt idx="3410">
                <c:v>-94.944400000000002</c:v>
              </c:pt>
              <c:pt idx="3411">
                <c:v>-94.892300000000006</c:v>
              </c:pt>
              <c:pt idx="3412">
                <c:v>-94.84020000000001</c:v>
              </c:pt>
              <c:pt idx="3413">
                <c:v>-94.7881</c:v>
              </c:pt>
              <c:pt idx="3414">
                <c:v>-94.735899999999987</c:v>
              </c:pt>
              <c:pt idx="3415">
                <c:v>-94.683699999999988</c:v>
              </c:pt>
              <c:pt idx="3416">
                <c:v>-94.631600000000006</c:v>
              </c:pt>
              <c:pt idx="3417">
                <c:v>-94.579499999999996</c:v>
              </c:pt>
              <c:pt idx="3418">
                <c:v>-94.5274</c:v>
              </c:pt>
              <c:pt idx="3419">
                <c:v>-94.475200000000001</c:v>
              </c:pt>
              <c:pt idx="3420">
                <c:v>-94.423100000000005</c:v>
              </c:pt>
              <c:pt idx="3421">
                <c:v>-94.370800000000003</c:v>
              </c:pt>
              <c:pt idx="3422">
                <c:v>-94.31880000000001</c:v>
              </c:pt>
              <c:pt idx="3423">
                <c:v>-94.2667</c:v>
              </c:pt>
              <c:pt idx="3424">
                <c:v>-94.214500000000001</c:v>
              </c:pt>
              <c:pt idx="3425">
                <c:v>-94.162499999999994</c:v>
              </c:pt>
              <c:pt idx="3426">
                <c:v>-94.110299999999995</c:v>
              </c:pt>
              <c:pt idx="3427">
                <c:v>-94.058099999999996</c:v>
              </c:pt>
              <c:pt idx="3428">
                <c:v>-94.005899999999997</c:v>
              </c:pt>
              <c:pt idx="3429">
                <c:v>-93.953800000000001</c:v>
              </c:pt>
              <c:pt idx="3430">
                <c:v>-93.901600000000002</c:v>
              </c:pt>
              <c:pt idx="3431">
                <c:v>-93.849600000000009</c:v>
              </c:pt>
              <c:pt idx="3432">
                <c:v>-93.79740000000001</c:v>
              </c:pt>
              <c:pt idx="3433">
                <c:v>-93.7453</c:v>
              </c:pt>
              <c:pt idx="3434">
                <c:v>-93.693099999999987</c:v>
              </c:pt>
              <c:pt idx="3435">
                <c:v>-93.641100000000009</c:v>
              </c:pt>
              <c:pt idx="3436">
                <c:v>-93.58890000000001</c:v>
              </c:pt>
              <c:pt idx="3437">
                <c:v>-93.536699999999996</c:v>
              </c:pt>
              <c:pt idx="3438">
                <c:v>-93.484499999999997</c:v>
              </c:pt>
              <c:pt idx="3439">
                <c:v>-93.432500000000005</c:v>
              </c:pt>
              <c:pt idx="3440">
                <c:v>-93.380300000000005</c:v>
              </c:pt>
              <c:pt idx="3441">
                <c:v>-93.328199999999995</c:v>
              </c:pt>
              <c:pt idx="3442">
                <c:v>-93.275999999999996</c:v>
              </c:pt>
              <c:pt idx="3443">
                <c:v>-93.2239</c:v>
              </c:pt>
              <c:pt idx="3444">
                <c:v>-93.17179999999999</c:v>
              </c:pt>
              <c:pt idx="3445">
                <c:v>-93.119699999999995</c:v>
              </c:pt>
              <c:pt idx="3446">
                <c:v>-93.067499999999995</c:v>
              </c:pt>
              <c:pt idx="3447">
                <c:v>-93.0154</c:v>
              </c:pt>
              <c:pt idx="3448">
                <c:v>-92.963200000000001</c:v>
              </c:pt>
              <c:pt idx="3449">
                <c:v>-92.911000000000001</c:v>
              </c:pt>
              <c:pt idx="3450">
                <c:v>-92.859000000000009</c:v>
              </c:pt>
              <c:pt idx="3451">
                <c:v>-92.80680000000001</c:v>
              </c:pt>
              <c:pt idx="3452">
                <c:v>-92.7547</c:v>
              </c:pt>
              <c:pt idx="3453">
                <c:v>-92.702500000000001</c:v>
              </c:pt>
              <c:pt idx="3454">
                <c:v>-92.650399999999991</c:v>
              </c:pt>
              <c:pt idx="3455">
                <c:v>-92.598200000000006</c:v>
              </c:pt>
              <c:pt idx="3456">
                <c:v>-92.546099999999996</c:v>
              </c:pt>
              <c:pt idx="3457">
                <c:v>-92.494</c:v>
              </c:pt>
              <c:pt idx="3458">
                <c:v>-92.441800000000001</c:v>
              </c:pt>
              <c:pt idx="3459">
                <c:v>-92.389700000000005</c:v>
              </c:pt>
              <c:pt idx="3460">
                <c:v>-92.337500000000006</c:v>
              </c:pt>
              <c:pt idx="3461">
                <c:v>-92.28540000000001</c:v>
              </c:pt>
              <c:pt idx="3462">
                <c:v>-92.233200000000011</c:v>
              </c:pt>
              <c:pt idx="3463">
                <c:v>-92.180999999999997</c:v>
              </c:pt>
              <c:pt idx="3464">
                <c:v>-92.128999999999991</c:v>
              </c:pt>
              <c:pt idx="3465">
                <c:v>-92.076799999999992</c:v>
              </c:pt>
              <c:pt idx="3466">
                <c:v>-92.024699999999996</c:v>
              </c:pt>
              <c:pt idx="3467">
                <c:v>-91.972500000000011</c:v>
              </c:pt>
              <c:pt idx="3468">
                <c:v>-91.920400000000001</c:v>
              </c:pt>
              <c:pt idx="3469">
                <c:v>-91.868299999999991</c:v>
              </c:pt>
              <c:pt idx="3470">
                <c:v>-91.816099999999992</c:v>
              </c:pt>
              <c:pt idx="3471">
                <c:v>-91.76400000000001</c:v>
              </c:pt>
              <c:pt idx="3472">
                <c:v>-91.711799999999997</c:v>
              </c:pt>
              <c:pt idx="3473">
                <c:v>-91.659599999999998</c:v>
              </c:pt>
              <c:pt idx="3474">
                <c:v>-91.607599999999991</c:v>
              </c:pt>
              <c:pt idx="3475">
                <c:v>-91.555399999999992</c:v>
              </c:pt>
              <c:pt idx="3476">
                <c:v>-91.503299999999996</c:v>
              </c:pt>
              <c:pt idx="3477">
                <c:v>-91.4512</c:v>
              </c:pt>
              <c:pt idx="3478">
                <c:v>-91.399000000000001</c:v>
              </c:pt>
              <c:pt idx="3479">
                <c:v>-91.346900000000005</c:v>
              </c:pt>
              <c:pt idx="3480">
                <c:v>-91.294700000000006</c:v>
              </c:pt>
              <c:pt idx="3481">
                <c:v>-91.242599999999996</c:v>
              </c:pt>
              <c:pt idx="3482">
                <c:v>-91.1905</c:v>
              </c:pt>
              <c:pt idx="3483">
                <c:v>-91.138300000000001</c:v>
              </c:pt>
              <c:pt idx="3484">
                <c:v>-91.086199999999991</c:v>
              </c:pt>
              <c:pt idx="3485">
                <c:v>-91.034100000000009</c:v>
              </c:pt>
              <c:pt idx="3486">
                <c:v>-90.981800000000007</c:v>
              </c:pt>
              <c:pt idx="3487">
                <c:v>-90.929699999999997</c:v>
              </c:pt>
              <c:pt idx="3488">
                <c:v>-90.877600000000001</c:v>
              </c:pt>
              <c:pt idx="3489">
                <c:v>-90.825500000000005</c:v>
              </c:pt>
              <c:pt idx="3490">
                <c:v>-90.773399999999995</c:v>
              </c:pt>
              <c:pt idx="3491">
                <c:v>-90.721199999999996</c:v>
              </c:pt>
              <c:pt idx="3492">
                <c:v>-90.669000000000011</c:v>
              </c:pt>
              <c:pt idx="3493">
                <c:v>-90.616900000000001</c:v>
              </c:pt>
              <c:pt idx="3494">
                <c:v>-90.564800000000005</c:v>
              </c:pt>
              <c:pt idx="3495">
                <c:v>-90.512600000000006</c:v>
              </c:pt>
              <c:pt idx="3496">
                <c:v>-90.460499999999996</c:v>
              </c:pt>
              <c:pt idx="3497">
                <c:v>-90.4084</c:v>
              </c:pt>
              <c:pt idx="3498">
                <c:v>-90.356300000000005</c:v>
              </c:pt>
              <c:pt idx="3499">
                <c:v>-90.304000000000002</c:v>
              </c:pt>
              <c:pt idx="3500">
                <c:v>-90.251899999999992</c:v>
              </c:pt>
              <c:pt idx="3501">
                <c:v>-90.199799999999996</c:v>
              </c:pt>
              <c:pt idx="3502">
                <c:v>-90.1477</c:v>
              </c:pt>
              <c:pt idx="3503">
                <c:v>-90.095500000000001</c:v>
              </c:pt>
              <c:pt idx="3504">
                <c:v>-90.043499999999995</c:v>
              </c:pt>
              <c:pt idx="3505">
                <c:v>-89.991200000000006</c:v>
              </c:pt>
              <c:pt idx="3506">
                <c:v>-89.939099999999996</c:v>
              </c:pt>
              <c:pt idx="3507">
                <c:v>-89.887</c:v>
              </c:pt>
              <c:pt idx="3508">
                <c:v>-89.834900000000005</c:v>
              </c:pt>
              <c:pt idx="3509">
                <c:v>-89.782700000000006</c:v>
              </c:pt>
              <c:pt idx="3510">
                <c:v>-89.730599999999995</c:v>
              </c:pt>
              <c:pt idx="3511">
                <c:v>-89.678299999999993</c:v>
              </c:pt>
              <c:pt idx="3512">
                <c:v>-89.626400000000004</c:v>
              </c:pt>
              <c:pt idx="3513">
                <c:v>-89.574100000000001</c:v>
              </c:pt>
              <c:pt idx="3514">
                <c:v>-89.522000000000006</c:v>
              </c:pt>
              <c:pt idx="3515">
                <c:v>-89.469700000000003</c:v>
              </c:pt>
              <c:pt idx="3516">
                <c:v>-89.4178</c:v>
              </c:pt>
              <c:pt idx="3517">
                <c:v>-89.365700000000004</c:v>
              </c:pt>
              <c:pt idx="3518">
                <c:v>-89.313400000000001</c:v>
              </c:pt>
              <c:pt idx="3519">
                <c:v>-89.261300000000006</c:v>
              </c:pt>
              <c:pt idx="3520">
                <c:v>-89.20920000000001</c:v>
              </c:pt>
              <c:pt idx="3521">
                <c:v>-89.1571</c:v>
              </c:pt>
              <c:pt idx="3522">
                <c:v>-89.104800000000012</c:v>
              </c:pt>
              <c:pt idx="3523">
                <c:v>-89.052700000000002</c:v>
              </c:pt>
              <c:pt idx="3524">
                <c:v>-89.000699999999995</c:v>
              </c:pt>
              <c:pt idx="3525">
                <c:v>-88.948499999999996</c:v>
              </c:pt>
              <c:pt idx="3526">
                <c:v>-88.896299999999997</c:v>
              </c:pt>
              <c:pt idx="3527">
                <c:v>-88.844200000000001</c:v>
              </c:pt>
              <c:pt idx="3528">
                <c:v>-88.792000000000002</c:v>
              </c:pt>
              <c:pt idx="3529">
                <c:v>-88.74</c:v>
              </c:pt>
              <c:pt idx="3530">
                <c:v>-88.687799999999996</c:v>
              </c:pt>
              <c:pt idx="3531">
                <c:v>-88.635599999999997</c:v>
              </c:pt>
              <c:pt idx="3532">
                <c:v>-88.583500000000001</c:v>
              </c:pt>
              <c:pt idx="3533">
                <c:v>-88.531300000000002</c:v>
              </c:pt>
              <c:pt idx="3534">
                <c:v>-88.479199999999992</c:v>
              </c:pt>
              <c:pt idx="3535">
                <c:v>-88.427099999999996</c:v>
              </c:pt>
              <c:pt idx="3536">
                <c:v>-88.375</c:v>
              </c:pt>
              <c:pt idx="3537">
                <c:v>-88.322900000000004</c:v>
              </c:pt>
              <c:pt idx="3538">
                <c:v>-88.270600000000002</c:v>
              </c:pt>
              <c:pt idx="3539">
                <c:v>-88.218500000000006</c:v>
              </c:pt>
              <c:pt idx="3540">
                <c:v>-88.166499999999999</c:v>
              </c:pt>
              <c:pt idx="3541">
                <c:v>-88.1143</c:v>
              </c:pt>
              <c:pt idx="3542">
                <c:v>-88.062100000000001</c:v>
              </c:pt>
              <c:pt idx="3543">
                <c:v>-88.01</c:v>
              </c:pt>
              <c:pt idx="3544">
                <c:v>-87.957800000000006</c:v>
              </c:pt>
              <c:pt idx="3545">
                <c:v>-87.90570000000001</c:v>
              </c:pt>
              <c:pt idx="3546">
                <c:v>-87.853499999999997</c:v>
              </c:pt>
              <c:pt idx="3547">
                <c:v>-87.801400000000001</c:v>
              </c:pt>
              <c:pt idx="3548">
                <c:v>-87.749300000000005</c:v>
              </c:pt>
              <c:pt idx="3549">
                <c:v>-87.697199999999995</c:v>
              </c:pt>
              <c:pt idx="3550">
                <c:v>-87.64500000000001</c:v>
              </c:pt>
              <c:pt idx="3551">
                <c:v>-87.5929</c:v>
              </c:pt>
              <c:pt idx="3552">
                <c:v>-87.540700000000001</c:v>
              </c:pt>
              <c:pt idx="3553">
                <c:v>-87.488500000000002</c:v>
              </c:pt>
              <c:pt idx="3554">
                <c:v>-87.436399999999992</c:v>
              </c:pt>
              <c:pt idx="3555">
                <c:v>-87.384299999999996</c:v>
              </c:pt>
              <c:pt idx="3556">
                <c:v>-87.3322</c:v>
              </c:pt>
              <c:pt idx="3557">
                <c:v>-87.280100000000004</c:v>
              </c:pt>
              <c:pt idx="3558">
                <c:v>-87.227899999999991</c:v>
              </c:pt>
              <c:pt idx="3559">
                <c:v>-87.175699999999992</c:v>
              </c:pt>
              <c:pt idx="3560">
                <c:v>-87.123500000000007</c:v>
              </c:pt>
              <c:pt idx="3561">
                <c:v>-87.0715</c:v>
              </c:pt>
              <c:pt idx="3562">
                <c:v>-87.019300000000001</c:v>
              </c:pt>
              <c:pt idx="3563">
                <c:v>-86.967100000000002</c:v>
              </c:pt>
              <c:pt idx="3564">
                <c:v>-86.915099999999995</c:v>
              </c:pt>
              <c:pt idx="3565">
                <c:v>-86.86290000000001</c:v>
              </c:pt>
              <c:pt idx="3566">
                <c:v>-86.8108</c:v>
              </c:pt>
              <c:pt idx="3567">
                <c:v>-86.758600000000001</c:v>
              </c:pt>
              <c:pt idx="3568">
                <c:v>-86.706600000000009</c:v>
              </c:pt>
              <c:pt idx="3569">
                <c:v>-86.65440000000001</c:v>
              </c:pt>
              <c:pt idx="3570">
                <c:v>-86.6023</c:v>
              </c:pt>
              <c:pt idx="3571">
                <c:v>-86.5501</c:v>
              </c:pt>
              <c:pt idx="3572">
                <c:v>-86.49799999999999</c:v>
              </c:pt>
              <c:pt idx="3573">
                <c:v>-86.445800000000006</c:v>
              </c:pt>
              <c:pt idx="3574">
                <c:v>-86.393600000000006</c:v>
              </c:pt>
              <c:pt idx="3575">
                <c:v>-86.341499999999996</c:v>
              </c:pt>
              <c:pt idx="3576">
                <c:v>-86.289299999999997</c:v>
              </c:pt>
              <c:pt idx="3577">
                <c:v>-86.237200000000001</c:v>
              </c:pt>
              <c:pt idx="3578">
                <c:v>-86.185000000000002</c:v>
              </c:pt>
              <c:pt idx="3579">
                <c:v>-86.132900000000006</c:v>
              </c:pt>
              <c:pt idx="3580">
                <c:v>-86.080700000000007</c:v>
              </c:pt>
              <c:pt idx="3581">
                <c:v>-86.028700000000001</c:v>
              </c:pt>
              <c:pt idx="3582">
                <c:v>-85.976500000000001</c:v>
              </c:pt>
              <c:pt idx="3583">
                <c:v>-85.924400000000006</c:v>
              </c:pt>
              <c:pt idx="3584">
                <c:v>-85.872200000000007</c:v>
              </c:pt>
              <c:pt idx="3585">
                <c:v>-85.820099999999996</c:v>
              </c:pt>
              <c:pt idx="3586">
                <c:v>-85.768000000000001</c:v>
              </c:pt>
              <c:pt idx="3587">
                <c:v>-85.715800000000002</c:v>
              </c:pt>
              <c:pt idx="3588">
                <c:v>-85.663800000000009</c:v>
              </c:pt>
              <c:pt idx="3589">
                <c:v>-85.611599999999996</c:v>
              </c:pt>
              <c:pt idx="3590">
                <c:v>-85.559500000000014</c:v>
              </c:pt>
              <c:pt idx="3591">
                <c:v>-85.507300000000001</c:v>
              </c:pt>
              <c:pt idx="3592">
                <c:v>-85.455199999999991</c:v>
              </c:pt>
              <c:pt idx="3593">
                <c:v>-85.402999999999992</c:v>
              </c:pt>
              <c:pt idx="3594">
                <c:v>-85.350899999999996</c:v>
              </c:pt>
              <c:pt idx="3595">
                <c:v>-85.298699999999997</c:v>
              </c:pt>
              <c:pt idx="3596">
                <c:v>-85.246600000000001</c:v>
              </c:pt>
              <c:pt idx="3597">
                <c:v>-85.194500000000005</c:v>
              </c:pt>
              <c:pt idx="3598">
                <c:v>-85.142300000000006</c:v>
              </c:pt>
              <c:pt idx="3599">
                <c:v>-85.090199999999996</c:v>
              </c:pt>
              <c:pt idx="3600">
                <c:v>-85.0381</c:v>
              </c:pt>
              <c:pt idx="3601">
                <c:v>-84.986000000000004</c:v>
              </c:pt>
              <c:pt idx="3602">
                <c:v>-84.933700000000002</c:v>
              </c:pt>
              <c:pt idx="3603">
                <c:v>-84.881499999999988</c:v>
              </c:pt>
              <c:pt idx="3604">
                <c:v>-84.829399999999993</c:v>
              </c:pt>
              <c:pt idx="3605">
                <c:v>-84.777299999999997</c:v>
              </c:pt>
              <c:pt idx="3606">
                <c:v>-84.725200000000001</c:v>
              </c:pt>
              <c:pt idx="3607">
                <c:v>-84.673000000000002</c:v>
              </c:pt>
              <c:pt idx="3608">
                <c:v>-84.620800000000003</c:v>
              </c:pt>
              <c:pt idx="3609">
                <c:v>-84.568799999999996</c:v>
              </c:pt>
              <c:pt idx="3610">
                <c:v>-84.516599999999997</c:v>
              </c:pt>
              <c:pt idx="3611">
                <c:v>-84.464400000000012</c:v>
              </c:pt>
              <c:pt idx="3612">
                <c:v>-84.412400000000005</c:v>
              </c:pt>
              <c:pt idx="3613">
                <c:v>-84.360199999999992</c:v>
              </c:pt>
              <c:pt idx="3614">
                <c:v>-84.308099999999996</c:v>
              </c:pt>
              <c:pt idx="3615">
                <c:v>-84.256</c:v>
              </c:pt>
              <c:pt idx="3616">
                <c:v>-84.203800000000001</c:v>
              </c:pt>
              <c:pt idx="3617">
                <c:v>-84.151700000000005</c:v>
              </c:pt>
              <c:pt idx="3618">
                <c:v>-84.099599999999995</c:v>
              </c:pt>
              <c:pt idx="3619">
                <c:v>-84.047300000000007</c:v>
              </c:pt>
              <c:pt idx="3620">
                <c:v>-83.995200000000011</c:v>
              </c:pt>
              <c:pt idx="3621">
                <c:v>-83.943100000000001</c:v>
              </c:pt>
              <c:pt idx="3622">
                <c:v>-83.890900000000002</c:v>
              </c:pt>
              <c:pt idx="3623">
                <c:v>-83.838799999999992</c:v>
              </c:pt>
              <c:pt idx="3624">
                <c:v>-83.78670000000001</c:v>
              </c:pt>
              <c:pt idx="3625">
                <c:v>-83.734499999999997</c:v>
              </c:pt>
              <c:pt idx="3626">
                <c:v>-83.682500000000005</c:v>
              </c:pt>
              <c:pt idx="3627">
                <c:v>-83.630300000000005</c:v>
              </c:pt>
              <c:pt idx="3628">
                <c:v>-83.578100000000006</c:v>
              </c:pt>
              <c:pt idx="3629">
                <c:v>-83.525900000000007</c:v>
              </c:pt>
              <c:pt idx="3630">
                <c:v>-83.473799999999997</c:v>
              </c:pt>
              <c:pt idx="3631">
                <c:v>-83.42179999999999</c:v>
              </c:pt>
              <c:pt idx="3632">
                <c:v>-83.369500000000002</c:v>
              </c:pt>
              <c:pt idx="3633">
                <c:v>-83.317499999999995</c:v>
              </c:pt>
              <c:pt idx="3634">
                <c:v>-83.265299999999996</c:v>
              </c:pt>
              <c:pt idx="3635">
                <c:v>-83.213200000000001</c:v>
              </c:pt>
              <c:pt idx="3636">
                <c:v>-83.160899999999998</c:v>
              </c:pt>
              <c:pt idx="3637">
                <c:v>-83.108800000000002</c:v>
              </c:pt>
              <c:pt idx="3638">
                <c:v>-83.056699999999992</c:v>
              </c:pt>
              <c:pt idx="3639">
                <c:v>-83.004599999999996</c:v>
              </c:pt>
              <c:pt idx="3640">
                <c:v>-82.952399999999997</c:v>
              </c:pt>
              <c:pt idx="3641">
                <c:v>-82.900300000000001</c:v>
              </c:pt>
              <c:pt idx="3642">
                <c:v>-82.848199999999991</c:v>
              </c:pt>
              <c:pt idx="3643">
                <c:v>-82.795999999999992</c:v>
              </c:pt>
              <c:pt idx="3644">
                <c:v>-82.743799999999993</c:v>
              </c:pt>
              <c:pt idx="3645">
                <c:v>-82.691800000000001</c:v>
              </c:pt>
              <c:pt idx="3646">
                <c:v>-82.639600000000002</c:v>
              </c:pt>
              <c:pt idx="3647">
                <c:v>-82.587600000000009</c:v>
              </c:pt>
              <c:pt idx="3648">
                <c:v>-82.535200000000003</c:v>
              </c:pt>
              <c:pt idx="3649">
                <c:v>-82.483200000000011</c:v>
              </c:pt>
              <c:pt idx="3650">
                <c:v>-82.430999999999997</c:v>
              </c:pt>
              <c:pt idx="3651">
                <c:v>-82.378900000000002</c:v>
              </c:pt>
              <c:pt idx="3652">
                <c:v>-82.326899999999995</c:v>
              </c:pt>
              <c:pt idx="3653">
                <c:v>-82.274600000000007</c:v>
              </c:pt>
              <c:pt idx="3654">
                <c:v>-82.222499999999997</c:v>
              </c:pt>
              <c:pt idx="3655">
                <c:v>-82.170299999999997</c:v>
              </c:pt>
              <c:pt idx="3656">
                <c:v>-82.118200000000002</c:v>
              </c:pt>
              <c:pt idx="3657">
                <c:v>-82.066199999999995</c:v>
              </c:pt>
              <c:pt idx="3658">
                <c:v>-82.013900000000007</c:v>
              </c:pt>
              <c:pt idx="3659">
                <c:v>-81.961699999999993</c:v>
              </c:pt>
              <c:pt idx="3660">
                <c:v>-81.909699999999987</c:v>
              </c:pt>
              <c:pt idx="3661">
                <c:v>-81.857500000000016</c:v>
              </c:pt>
              <c:pt idx="3662">
                <c:v>-81.805400000000006</c:v>
              </c:pt>
              <c:pt idx="3663">
                <c:v>-81.753299999999996</c:v>
              </c:pt>
              <c:pt idx="3664">
                <c:v>-81.701100000000011</c:v>
              </c:pt>
              <c:pt idx="3665">
                <c:v>-81.648899999999998</c:v>
              </c:pt>
              <c:pt idx="3666">
                <c:v>-81.596800000000002</c:v>
              </c:pt>
              <c:pt idx="3667">
                <c:v>-81.544600000000003</c:v>
              </c:pt>
              <c:pt idx="3668">
                <c:v>-81.492499999999993</c:v>
              </c:pt>
              <c:pt idx="3669">
                <c:v>-81.440400000000011</c:v>
              </c:pt>
              <c:pt idx="3670">
                <c:v>-81.388300000000001</c:v>
              </c:pt>
              <c:pt idx="3671">
                <c:v>-81.336099999999988</c:v>
              </c:pt>
              <c:pt idx="3672">
                <c:v>-81.284000000000006</c:v>
              </c:pt>
              <c:pt idx="3673">
                <c:v>-81.231799999999993</c:v>
              </c:pt>
              <c:pt idx="3674">
                <c:v>-81.179699999999997</c:v>
              </c:pt>
              <c:pt idx="3675">
                <c:v>-81.127499999999998</c:v>
              </c:pt>
              <c:pt idx="3676">
                <c:v>-81.075400000000002</c:v>
              </c:pt>
              <c:pt idx="3677">
                <c:v>-81.023300000000006</c:v>
              </c:pt>
              <c:pt idx="3678">
                <c:v>-80.971199999999996</c:v>
              </c:pt>
              <c:pt idx="3679">
                <c:v>-80.918999999999997</c:v>
              </c:pt>
              <c:pt idx="3680">
                <c:v>-80.866799999999998</c:v>
              </c:pt>
              <c:pt idx="3681">
                <c:v>-80.814799999999991</c:v>
              </c:pt>
              <c:pt idx="3682">
                <c:v>-80.762599999999992</c:v>
              </c:pt>
              <c:pt idx="3683">
                <c:v>-80.710499999999996</c:v>
              </c:pt>
              <c:pt idx="3684">
                <c:v>-80.6584</c:v>
              </c:pt>
              <c:pt idx="3685">
                <c:v>-80.606200000000001</c:v>
              </c:pt>
              <c:pt idx="3686">
                <c:v>-80.553899999999999</c:v>
              </c:pt>
              <c:pt idx="3687">
                <c:v>-80.501800000000003</c:v>
              </c:pt>
              <c:pt idx="3688">
                <c:v>-80.449700000000007</c:v>
              </c:pt>
              <c:pt idx="3689">
                <c:v>-80.397500000000008</c:v>
              </c:pt>
              <c:pt idx="3690">
                <c:v>-80.345420000000004</c:v>
              </c:pt>
              <c:pt idx="3691">
                <c:v>-80.293419999999998</c:v>
              </c:pt>
              <c:pt idx="3692">
                <c:v>-80.241219999999998</c:v>
              </c:pt>
              <c:pt idx="3693">
                <c:v>-80.189109999999999</c:v>
              </c:pt>
              <c:pt idx="3694">
                <c:v>-80.137010000000004</c:v>
              </c:pt>
              <c:pt idx="3695">
                <c:v>-80.08480999999999</c:v>
              </c:pt>
              <c:pt idx="3696">
                <c:v>-80.032610000000005</c:v>
              </c:pt>
              <c:pt idx="3697">
                <c:v>-79.980509999999995</c:v>
              </c:pt>
              <c:pt idx="3698">
                <c:v>-79.928309999999996</c:v>
              </c:pt>
              <c:pt idx="3699">
                <c:v>-79.87621</c:v>
              </c:pt>
              <c:pt idx="3700">
                <c:v>-79.82410999999999</c:v>
              </c:pt>
              <c:pt idx="3701">
                <c:v>-79.771909999999991</c:v>
              </c:pt>
              <c:pt idx="3702">
                <c:v>-79.719809999999995</c:v>
              </c:pt>
              <c:pt idx="3703">
                <c:v>-79.66771</c:v>
              </c:pt>
              <c:pt idx="3704">
                <c:v>-79.61551</c:v>
              </c:pt>
              <c:pt idx="3705">
                <c:v>-79.563410000000005</c:v>
              </c:pt>
              <c:pt idx="3706">
                <c:v>-79.511219999999994</c:v>
              </c:pt>
              <c:pt idx="3707">
                <c:v>-79.45902000000001</c:v>
              </c:pt>
              <c:pt idx="3708">
                <c:v>-79.40692</c:v>
              </c:pt>
              <c:pt idx="3709">
                <c:v>-79.354730000000004</c:v>
              </c:pt>
              <c:pt idx="3710">
                <c:v>-79.302629999999994</c:v>
              </c:pt>
              <c:pt idx="3711">
                <c:v>-79.250540000000001</c:v>
              </c:pt>
              <c:pt idx="3712">
                <c:v>-79.198340000000002</c:v>
              </c:pt>
              <c:pt idx="3713">
                <c:v>-79.146249999999995</c:v>
              </c:pt>
              <c:pt idx="3714">
                <c:v>-79.094149999999999</c:v>
              </c:pt>
              <c:pt idx="3715">
                <c:v>-79.041960000000003</c:v>
              </c:pt>
              <c:pt idx="3716">
                <c:v>-78.989869999999996</c:v>
              </c:pt>
              <c:pt idx="3717">
                <c:v>-78.937669999999997</c:v>
              </c:pt>
              <c:pt idx="3718">
                <c:v>-78.885580000000004</c:v>
              </c:pt>
              <c:pt idx="3719">
                <c:v>-78.833390000000009</c:v>
              </c:pt>
              <c:pt idx="3720">
                <c:v>-78.781300000000002</c:v>
              </c:pt>
              <c:pt idx="3721">
                <c:v>-78.729110000000006</c:v>
              </c:pt>
              <c:pt idx="3722">
                <c:v>-78.676919999999996</c:v>
              </c:pt>
              <c:pt idx="3723">
                <c:v>-78.624929999999992</c:v>
              </c:pt>
              <c:pt idx="3724">
                <c:v>-78.572739999999996</c:v>
              </c:pt>
              <c:pt idx="3725">
                <c:v>-78.520650000000003</c:v>
              </c:pt>
              <c:pt idx="3726">
                <c:v>-78.468459999999993</c:v>
              </c:pt>
              <c:pt idx="3727">
                <c:v>-78.416269999999997</c:v>
              </c:pt>
              <c:pt idx="3728">
                <c:v>-78.364180000000005</c:v>
              </c:pt>
              <c:pt idx="3729">
                <c:v>-78.312089999999998</c:v>
              </c:pt>
              <c:pt idx="3730">
                <c:v>-78.259910000000005</c:v>
              </c:pt>
              <c:pt idx="3731">
                <c:v>-78.207719999999995</c:v>
              </c:pt>
              <c:pt idx="3732">
                <c:v>-78.155630000000002</c:v>
              </c:pt>
              <c:pt idx="3733">
                <c:v>-78.103350000000006</c:v>
              </c:pt>
              <c:pt idx="3734">
                <c:v>-78.051360000000003</c:v>
              </c:pt>
              <c:pt idx="3735">
                <c:v>-77.999279999999999</c:v>
              </c:pt>
              <c:pt idx="3736">
                <c:v>-77.94699</c:v>
              </c:pt>
              <c:pt idx="3737">
                <c:v>-77.894909999999996</c:v>
              </c:pt>
              <c:pt idx="3738">
                <c:v>-77.842820000000003</c:v>
              </c:pt>
              <c:pt idx="3739">
                <c:v>-77.790639999999996</c:v>
              </c:pt>
              <c:pt idx="3740">
                <c:v>-77.738460000000003</c:v>
              </c:pt>
              <c:pt idx="3741">
                <c:v>-77.686370000000011</c:v>
              </c:pt>
              <c:pt idx="3742">
                <c:v>-77.63418999999999</c:v>
              </c:pt>
              <c:pt idx="3743">
                <c:v>-77.58211</c:v>
              </c:pt>
              <c:pt idx="3744">
                <c:v>-77.529929999999993</c:v>
              </c:pt>
              <c:pt idx="3745">
                <c:v>-77.477750000000015</c:v>
              </c:pt>
              <c:pt idx="3746">
                <c:v>-77.425669999999997</c:v>
              </c:pt>
              <c:pt idx="3747">
                <c:v>-77.373480000000001</c:v>
              </c:pt>
              <c:pt idx="3748">
                <c:v>-77.321299999999994</c:v>
              </c:pt>
              <c:pt idx="3749">
                <c:v>-77.269229999999993</c:v>
              </c:pt>
              <c:pt idx="3750">
                <c:v>-77.21705</c:v>
              </c:pt>
              <c:pt idx="3751">
                <c:v>-77.164969999999997</c:v>
              </c:pt>
              <c:pt idx="3752">
                <c:v>-77.11278999999999</c:v>
              </c:pt>
              <c:pt idx="3753">
                <c:v>-77.060709999999986</c:v>
              </c:pt>
              <c:pt idx="3754">
                <c:v>-77.008529999999993</c:v>
              </c:pt>
              <c:pt idx="3755">
                <c:v>-76.956460000000007</c:v>
              </c:pt>
              <c:pt idx="3756">
                <c:v>-76.904179999999997</c:v>
              </c:pt>
              <c:pt idx="3757">
                <c:v>-76.852209999999999</c:v>
              </c:pt>
              <c:pt idx="3758">
                <c:v>-76.799930000000003</c:v>
              </c:pt>
              <c:pt idx="3759">
                <c:v>-76.747950000000003</c:v>
              </c:pt>
              <c:pt idx="3760">
                <c:v>-76.69568000000001</c:v>
              </c:pt>
              <c:pt idx="3761">
                <c:v>-76.643500000000003</c:v>
              </c:pt>
              <c:pt idx="3762">
                <c:v>-76.591430000000003</c:v>
              </c:pt>
              <c:pt idx="3763">
                <c:v>-76.539159999999995</c:v>
              </c:pt>
              <c:pt idx="3764">
                <c:v>-76.487179999999995</c:v>
              </c:pt>
              <c:pt idx="3765">
                <c:v>-76.434910000000002</c:v>
              </c:pt>
              <c:pt idx="3766">
                <c:v>-76.382940000000005</c:v>
              </c:pt>
              <c:pt idx="3767">
                <c:v>-76.330669999999998</c:v>
              </c:pt>
              <c:pt idx="3768">
                <c:v>-76.278700000000001</c:v>
              </c:pt>
              <c:pt idx="3769">
                <c:v>-76.226420000000005</c:v>
              </c:pt>
              <c:pt idx="3770">
                <c:v>-76.174250000000001</c:v>
              </c:pt>
              <c:pt idx="3771">
                <c:v>-76.12218</c:v>
              </c:pt>
              <c:pt idx="3772">
                <c:v>-76.070010000000011</c:v>
              </c:pt>
              <c:pt idx="3773">
                <c:v>-76.017840000000007</c:v>
              </c:pt>
              <c:pt idx="3774">
                <c:v>-75.965770000000006</c:v>
              </c:pt>
              <c:pt idx="3775">
                <c:v>-75.913610000000006</c:v>
              </c:pt>
              <c:pt idx="3776">
                <c:v>-75.861439999999988</c:v>
              </c:pt>
              <c:pt idx="3777">
                <c:v>-75.809269999999998</c:v>
              </c:pt>
              <c:pt idx="3778">
                <c:v>-75.757199999999997</c:v>
              </c:pt>
              <c:pt idx="3779">
                <c:v>-75.704939999999993</c:v>
              </c:pt>
              <c:pt idx="3780">
                <c:v>-75.65297000000001</c:v>
              </c:pt>
              <c:pt idx="3781">
                <c:v>-75.600799999999992</c:v>
              </c:pt>
              <c:pt idx="3782">
                <c:v>-75.548540000000003</c:v>
              </c:pt>
              <c:pt idx="3783">
                <c:v>-75.496570000000006</c:v>
              </c:pt>
              <c:pt idx="3784">
                <c:v>-75.444310000000002</c:v>
              </c:pt>
              <c:pt idx="3785">
                <c:v>-75.392239999999987</c:v>
              </c:pt>
              <c:pt idx="3786">
                <c:v>-75.34008</c:v>
              </c:pt>
              <c:pt idx="3787">
                <c:v>-75.28792</c:v>
              </c:pt>
              <c:pt idx="3788">
                <c:v>-75.235849999999999</c:v>
              </c:pt>
              <c:pt idx="3789">
                <c:v>-75.183589999999995</c:v>
              </c:pt>
              <c:pt idx="3790">
                <c:v>-75.131429999999995</c:v>
              </c:pt>
              <c:pt idx="3791">
                <c:v>-75.079359999999994</c:v>
              </c:pt>
              <c:pt idx="3792">
                <c:v>-75.027199999999993</c:v>
              </c:pt>
              <c:pt idx="3793">
                <c:v>-74.975040000000007</c:v>
              </c:pt>
              <c:pt idx="3794">
                <c:v>-74.922979999999995</c:v>
              </c:pt>
              <c:pt idx="3795">
                <c:v>-74.870720000000006</c:v>
              </c:pt>
              <c:pt idx="3796">
                <c:v>-74.818659999999994</c:v>
              </c:pt>
              <c:pt idx="3797">
                <c:v>-74.766500000000008</c:v>
              </c:pt>
              <c:pt idx="3798">
                <c:v>-74.714439999999996</c:v>
              </c:pt>
              <c:pt idx="3799">
                <c:v>-74.662279999999996</c:v>
              </c:pt>
              <c:pt idx="3800">
                <c:v>-74.610129999999998</c:v>
              </c:pt>
              <c:pt idx="3801">
                <c:v>-74.557970000000012</c:v>
              </c:pt>
              <c:pt idx="3802">
                <c:v>-74.505809999999997</c:v>
              </c:pt>
              <c:pt idx="3803">
                <c:v>-74.453649999999996</c:v>
              </c:pt>
              <c:pt idx="3804">
                <c:v>-74.401499999999999</c:v>
              </c:pt>
              <c:pt idx="3805">
                <c:v>-74.349440000000001</c:v>
              </c:pt>
              <c:pt idx="3806">
                <c:v>-74.297190000000001</c:v>
              </c:pt>
              <c:pt idx="3807">
                <c:v>-74.245130000000003</c:v>
              </c:pt>
              <c:pt idx="3808">
                <c:v>-74.192970000000003</c:v>
              </c:pt>
              <c:pt idx="3809">
                <c:v>-74.140919999999994</c:v>
              </c:pt>
              <c:pt idx="3810">
                <c:v>-74.088769999999997</c:v>
              </c:pt>
              <c:pt idx="3811">
                <c:v>-74.036509999999993</c:v>
              </c:pt>
              <c:pt idx="3812">
                <c:v>-73.984459999999999</c:v>
              </c:pt>
              <c:pt idx="3813">
                <c:v>-73.932310000000001</c:v>
              </c:pt>
              <c:pt idx="3814">
                <c:v>-73.880149999999986</c:v>
              </c:pt>
              <c:pt idx="3815">
                <c:v>-73.828100000000006</c:v>
              </c:pt>
              <c:pt idx="3816">
                <c:v>-73.775949999999995</c:v>
              </c:pt>
              <c:pt idx="3817">
                <c:v>-73.723699999999994</c:v>
              </c:pt>
              <c:pt idx="3818">
                <c:v>-73.671549999999996</c:v>
              </c:pt>
              <c:pt idx="3819">
                <c:v>-73.619499999999988</c:v>
              </c:pt>
              <c:pt idx="3820">
                <c:v>-73.567350000000005</c:v>
              </c:pt>
              <c:pt idx="3821">
                <c:v>-73.515199999999993</c:v>
              </c:pt>
              <c:pt idx="3822">
                <c:v>-73.462950000000006</c:v>
              </c:pt>
              <c:pt idx="3823">
                <c:v>-73.410899999999998</c:v>
              </c:pt>
              <c:pt idx="3824">
                <c:v>-73.358750000000015</c:v>
              </c:pt>
              <c:pt idx="3825">
                <c:v>-73.306600000000003</c:v>
              </c:pt>
              <c:pt idx="3826">
                <c:v>-73.254359999999991</c:v>
              </c:pt>
              <c:pt idx="3827">
                <c:v>-73.202310000000011</c:v>
              </c:pt>
              <c:pt idx="3828">
                <c:v>-73.15016</c:v>
              </c:pt>
              <c:pt idx="3829">
                <c:v>-73.098020000000005</c:v>
              </c:pt>
              <c:pt idx="3830">
                <c:v>-73.045869999999994</c:v>
              </c:pt>
              <c:pt idx="3831">
                <c:v>-72.993830000000003</c:v>
              </c:pt>
              <c:pt idx="3832">
                <c:v>-72.941580000000002</c:v>
              </c:pt>
              <c:pt idx="3833">
                <c:v>-72.889440000000008</c:v>
              </c:pt>
              <c:pt idx="3834">
                <c:v>-72.837289999999996</c:v>
              </c:pt>
              <c:pt idx="3835">
                <c:v>-72.785249999999991</c:v>
              </c:pt>
              <c:pt idx="3836">
                <c:v>-72.733109999999996</c:v>
              </c:pt>
              <c:pt idx="3837">
                <c:v>-72.680959999999999</c:v>
              </c:pt>
              <c:pt idx="3838">
                <c:v>-72.628720000000001</c:v>
              </c:pt>
              <c:pt idx="3839">
                <c:v>-72.576580000000007</c:v>
              </c:pt>
              <c:pt idx="3840">
                <c:v>-72.524540000000002</c:v>
              </c:pt>
              <c:pt idx="3841">
                <c:v>-72.472399999999993</c:v>
              </c:pt>
              <c:pt idx="3842">
                <c:v>-72.420159999999996</c:v>
              </c:pt>
              <c:pt idx="3843">
                <c:v>-72.368009999999998</c:v>
              </c:pt>
              <c:pt idx="3844">
                <c:v>-72.315870000000004</c:v>
              </c:pt>
              <c:pt idx="3845">
                <c:v>-72.263840000000002</c:v>
              </c:pt>
              <c:pt idx="3846">
                <c:v>-72.211600000000004</c:v>
              </c:pt>
              <c:pt idx="3847">
                <c:v>-72.159559999999999</c:v>
              </c:pt>
              <c:pt idx="3848">
                <c:v>-72.107419999999991</c:v>
              </c:pt>
              <c:pt idx="3849">
                <c:v>-72.055279999999996</c:v>
              </c:pt>
              <c:pt idx="3850">
                <c:v>-72.003140000000002</c:v>
              </c:pt>
              <c:pt idx="3851">
                <c:v>-71.951010000000011</c:v>
              </c:pt>
              <c:pt idx="3852">
                <c:v>-71.898869999999988</c:v>
              </c:pt>
              <c:pt idx="3853">
                <c:v>-71.846630000000005</c:v>
              </c:pt>
              <c:pt idx="3854">
                <c:v>-71.794499999999999</c:v>
              </c:pt>
              <c:pt idx="3855">
                <c:v>-71.742359999999991</c:v>
              </c:pt>
              <c:pt idx="3856">
                <c:v>-71.690330000000003</c:v>
              </c:pt>
              <c:pt idx="3857">
                <c:v>-71.638189999999994</c:v>
              </c:pt>
              <c:pt idx="3858">
                <c:v>-71.586060000000003</c:v>
              </c:pt>
              <c:pt idx="3859">
                <c:v>-71.533829999999995</c:v>
              </c:pt>
              <c:pt idx="3860">
                <c:v>-71.48169</c:v>
              </c:pt>
              <c:pt idx="3861">
                <c:v>-71.429460000000006</c:v>
              </c:pt>
              <c:pt idx="3862">
                <c:v>-71.377430000000004</c:v>
              </c:pt>
              <c:pt idx="3863">
                <c:v>-71.325389999999999</c:v>
              </c:pt>
              <c:pt idx="3864">
                <c:v>-71.27315999999999</c:v>
              </c:pt>
              <c:pt idx="3865">
                <c:v>-71.221029999999999</c:v>
              </c:pt>
              <c:pt idx="3866">
                <c:v>-71.168800000000005</c:v>
              </c:pt>
              <c:pt idx="3867">
                <c:v>-71.116770000000002</c:v>
              </c:pt>
              <c:pt idx="3868">
                <c:v>-71.064539999999994</c:v>
              </c:pt>
              <c:pt idx="3869">
                <c:v>-71.012410000000003</c:v>
              </c:pt>
              <c:pt idx="3870">
                <c:v>-70.960180000000008</c:v>
              </c:pt>
              <c:pt idx="3871">
                <c:v>-70.908150000000006</c:v>
              </c:pt>
              <c:pt idx="3872">
                <c:v>-70.856020000000001</c:v>
              </c:pt>
              <c:pt idx="3873">
                <c:v>-70.803899999999999</c:v>
              </c:pt>
              <c:pt idx="3874">
                <c:v>-70.751769999999993</c:v>
              </c:pt>
              <c:pt idx="3875">
                <c:v>-70.699640000000002</c:v>
              </c:pt>
              <c:pt idx="3876">
                <c:v>-70.647419999999997</c:v>
              </c:pt>
              <c:pt idx="3877">
                <c:v>-70.595290000000006</c:v>
              </c:pt>
              <c:pt idx="3878">
                <c:v>-70.54316</c:v>
              </c:pt>
              <c:pt idx="3879">
                <c:v>-70.491039999999998</c:v>
              </c:pt>
              <c:pt idx="3880">
                <c:v>-70.438810000000004</c:v>
              </c:pt>
              <c:pt idx="3881">
                <c:v>-70.386790000000005</c:v>
              </c:pt>
              <c:pt idx="3882">
                <c:v>-70.334559999999996</c:v>
              </c:pt>
              <c:pt idx="3883">
                <c:v>-70.282439999999994</c:v>
              </c:pt>
              <c:pt idx="3884">
                <c:v>-70.230419999999995</c:v>
              </c:pt>
              <c:pt idx="3885">
                <c:v>-70.178190000000001</c:v>
              </c:pt>
              <c:pt idx="3886">
                <c:v>-70.126170000000002</c:v>
              </c:pt>
              <c:pt idx="3887">
                <c:v>-70.073949999999996</c:v>
              </c:pt>
              <c:pt idx="3888">
                <c:v>-70.021729999999991</c:v>
              </c:pt>
              <c:pt idx="3889">
                <c:v>-69.969709999999992</c:v>
              </c:pt>
              <c:pt idx="3890">
                <c:v>-69.917490000000001</c:v>
              </c:pt>
              <c:pt idx="3891">
                <c:v>-69.865369999999999</c:v>
              </c:pt>
              <c:pt idx="3892">
                <c:v>-69.813249999999996</c:v>
              </c:pt>
              <c:pt idx="3893">
                <c:v>-69.761030000000005</c:v>
              </c:pt>
              <c:pt idx="3894">
                <c:v>-69.708910000000003</c:v>
              </c:pt>
              <c:pt idx="3895">
                <c:v>-69.656790000000001</c:v>
              </c:pt>
              <c:pt idx="3896">
                <c:v>-69.604669999999999</c:v>
              </c:pt>
              <c:pt idx="3897">
                <c:v>-69.552449999999993</c:v>
              </c:pt>
              <c:pt idx="3898">
                <c:v>-69.500430000000009</c:v>
              </c:pt>
              <c:pt idx="3899">
                <c:v>-69.448220000000006</c:v>
              </c:pt>
              <c:pt idx="3900">
                <c:v>-69.396100000000004</c:v>
              </c:pt>
              <c:pt idx="3901">
                <c:v>-69.343879999999999</c:v>
              </c:pt>
              <c:pt idx="3902">
                <c:v>-69.291870000000003</c:v>
              </c:pt>
              <c:pt idx="3903">
                <c:v>-69.239649999999997</c:v>
              </c:pt>
              <c:pt idx="3904">
                <c:v>-69.187539999999998</c:v>
              </c:pt>
              <c:pt idx="3905">
                <c:v>-69.135319999999993</c:v>
              </c:pt>
              <c:pt idx="3906">
                <c:v>-69.083310000000012</c:v>
              </c:pt>
              <c:pt idx="3907">
                <c:v>-69.031100000000009</c:v>
              </c:pt>
              <c:pt idx="3908">
                <c:v>-68.978980000000007</c:v>
              </c:pt>
              <c:pt idx="3909">
                <c:v>-68.926770000000005</c:v>
              </c:pt>
              <c:pt idx="3910">
                <c:v>-68.874659999999992</c:v>
              </c:pt>
              <c:pt idx="3911">
                <c:v>-68.822540000000004</c:v>
              </c:pt>
              <c:pt idx="3912">
                <c:v>-68.770430000000005</c:v>
              </c:pt>
              <c:pt idx="3913">
                <c:v>-68.718319999999991</c:v>
              </c:pt>
              <c:pt idx="3914">
                <c:v>-68.666110000000003</c:v>
              </c:pt>
              <c:pt idx="3915">
                <c:v>-68.614000000000004</c:v>
              </c:pt>
              <c:pt idx="3916">
                <c:v>-68.561789999999988</c:v>
              </c:pt>
              <c:pt idx="3917">
                <c:v>-68.509680000000003</c:v>
              </c:pt>
              <c:pt idx="3918">
                <c:v>-68.457669999999993</c:v>
              </c:pt>
              <c:pt idx="3919">
                <c:v>-68.405459999999991</c:v>
              </c:pt>
              <c:pt idx="3920">
                <c:v>-68.353350000000006</c:v>
              </c:pt>
              <c:pt idx="3921">
                <c:v>-68.301150000000007</c:v>
              </c:pt>
              <c:pt idx="3922">
                <c:v>-68.249039999999994</c:v>
              </c:pt>
              <c:pt idx="3923">
                <c:v>-68.196929999999995</c:v>
              </c:pt>
              <c:pt idx="3924">
                <c:v>-68.144729999999996</c:v>
              </c:pt>
              <c:pt idx="3925">
                <c:v>-68.092620000000011</c:v>
              </c:pt>
              <c:pt idx="3926">
                <c:v>-68.040509999999998</c:v>
              </c:pt>
              <c:pt idx="3927">
                <c:v>-67.988209999999995</c:v>
              </c:pt>
              <c:pt idx="3928">
                <c:v>-67.936099999999996</c:v>
              </c:pt>
              <c:pt idx="3929">
                <c:v>-67.884</c:v>
              </c:pt>
              <c:pt idx="3930">
                <c:v>-67.831890000000001</c:v>
              </c:pt>
              <c:pt idx="3931">
                <c:v>-67.779690000000002</c:v>
              </c:pt>
              <c:pt idx="3932">
                <c:v>-67.727589999999992</c:v>
              </c:pt>
              <c:pt idx="3933">
                <c:v>-67.675479999999993</c:v>
              </c:pt>
              <c:pt idx="3934">
                <c:v>-67.623280000000008</c:v>
              </c:pt>
              <c:pt idx="3935">
                <c:v>-67.571179999999998</c:v>
              </c:pt>
              <c:pt idx="3936">
                <c:v>-67.519080000000002</c:v>
              </c:pt>
              <c:pt idx="3937">
                <c:v>-67.466980000000007</c:v>
              </c:pt>
              <c:pt idx="3938">
                <c:v>-67.414779999999993</c:v>
              </c:pt>
              <c:pt idx="3939">
                <c:v>-67.362570000000005</c:v>
              </c:pt>
              <c:pt idx="3940">
                <c:v>-67.310469999999995</c:v>
              </c:pt>
              <c:pt idx="3941">
                <c:v>-67.258380000000002</c:v>
              </c:pt>
              <c:pt idx="3942">
                <c:v>-67.206280000000007</c:v>
              </c:pt>
              <c:pt idx="3943">
                <c:v>-67.154080000000008</c:v>
              </c:pt>
              <c:pt idx="3944">
                <c:v>-67.101879999999994</c:v>
              </c:pt>
              <c:pt idx="3945">
                <c:v>-67.049779999999998</c:v>
              </c:pt>
              <c:pt idx="3946">
                <c:v>-66.997579999999999</c:v>
              </c:pt>
              <c:pt idx="3947">
                <c:v>-66.945489999999992</c:v>
              </c:pt>
              <c:pt idx="3948">
                <c:v>-66.893389999999997</c:v>
              </c:pt>
              <c:pt idx="3949">
                <c:v>-66.841290000000001</c:v>
              </c:pt>
              <c:pt idx="3950">
                <c:v>-66.789099999999991</c:v>
              </c:pt>
              <c:pt idx="3951">
                <c:v>-66.736900000000006</c:v>
              </c:pt>
              <c:pt idx="3952">
                <c:v>-66.684809999999999</c:v>
              </c:pt>
              <c:pt idx="3953">
                <c:v>-66.63261</c:v>
              </c:pt>
              <c:pt idx="3954">
                <c:v>-66.580519999999993</c:v>
              </c:pt>
              <c:pt idx="3955">
                <c:v>-66.528420000000011</c:v>
              </c:pt>
              <c:pt idx="3956">
                <c:v>-66.476230000000001</c:v>
              </c:pt>
              <c:pt idx="3957">
                <c:v>-66.424139999999994</c:v>
              </c:pt>
              <c:pt idx="3958">
                <c:v>-66.372050000000002</c:v>
              </c:pt>
              <c:pt idx="3959">
                <c:v>-66.319850000000002</c:v>
              </c:pt>
              <c:pt idx="3960">
                <c:v>-66.267659999999992</c:v>
              </c:pt>
              <c:pt idx="3961">
                <c:v>-66.215469999999996</c:v>
              </c:pt>
              <c:pt idx="3962">
                <c:v>-66.163380000000004</c:v>
              </c:pt>
              <c:pt idx="3963">
                <c:v>-66.111289999999997</c:v>
              </c:pt>
              <c:pt idx="3964">
                <c:v>-66.059100000000001</c:v>
              </c:pt>
              <c:pt idx="3965">
                <c:v>-66.006910000000005</c:v>
              </c:pt>
              <c:pt idx="3966">
                <c:v>-65.954819999999998</c:v>
              </c:pt>
              <c:pt idx="3967">
                <c:v>-65.902730000000005</c:v>
              </c:pt>
              <c:pt idx="3968">
                <c:v>-65.850539999999995</c:v>
              </c:pt>
              <c:pt idx="3969">
                <c:v>-65.798450000000003</c:v>
              </c:pt>
              <c:pt idx="3970">
                <c:v>-65.746269999999996</c:v>
              </c:pt>
              <c:pt idx="3971">
                <c:v>-65.69408</c:v>
              </c:pt>
              <c:pt idx="3972">
                <c:v>-65.641989999999993</c:v>
              </c:pt>
              <c:pt idx="3973">
                <c:v>-65.589910000000003</c:v>
              </c:pt>
              <c:pt idx="3974">
                <c:v>-65.537720000000007</c:v>
              </c:pt>
              <c:pt idx="3975">
                <c:v>-65.48554</c:v>
              </c:pt>
              <c:pt idx="3976">
                <c:v>-65.433350000000004</c:v>
              </c:pt>
              <c:pt idx="3977">
                <c:v>-65.381370000000004</c:v>
              </c:pt>
              <c:pt idx="3978">
                <c:v>-65.329279999999997</c:v>
              </c:pt>
              <c:pt idx="3979">
                <c:v>-65.277000000000001</c:v>
              </c:pt>
              <c:pt idx="3980">
                <c:v>-65.224909999999994</c:v>
              </c:pt>
              <c:pt idx="3981">
                <c:v>-65.172730000000001</c:v>
              </c:pt>
              <c:pt idx="3982">
                <c:v>-65.120650000000012</c:v>
              </c:pt>
              <c:pt idx="3983">
                <c:v>-65.068470000000005</c:v>
              </c:pt>
              <c:pt idx="3984">
                <c:v>-65.016279999999995</c:v>
              </c:pt>
              <c:pt idx="3985">
                <c:v>-64.964199999999991</c:v>
              </c:pt>
              <c:pt idx="3986">
                <c:v>-64.912019999999998</c:v>
              </c:pt>
              <c:pt idx="3987">
                <c:v>-64.859939999999995</c:v>
              </c:pt>
              <c:pt idx="3988">
                <c:v>-64.807760000000002</c:v>
              </c:pt>
              <c:pt idx="3989">
                <c:v>-64.755679999999998</c:v>
              </c:pt>
              <c:pt idx="3990">
                <c:v>-64.703499999999991</c:v>
              </c:pt>
              <c:pt idx="3991">
                <c:v>-64.651319999999998</c:v>
              </c:pt>
              <c:pt idx="3992">
                <c:v>-64.599150000000009</c:v>
              </c:pt>
              <c:pt idx="3993">
                <c:v>-64.547169999999994</c:v>
              </c:pt>
              <c:pt idx="3994">
                <c:v>-64.494889999999998</c:v>
              </c:pt>
              <c:pt idx="3995">
                <c:v>-64.442810000000009</c:v>
              </c:pt>
              <c:pt idx="3996">
                <c:v>-64.390639999999991</c:v>
              </c:pt>
              <c:pt idx="3997">
                <c:v>-64.338459999999998</c:v>
              </c:pt>
              <c:pt idx="3998">
                <c:v>-64.286380000000008</c:v>
              </c:pt>
              <c:pt idx="3999">
                <c:v>-64.23420999999999</c:v>
              </c:pt>
              <c:pt idx="4000">
                <c:v>-64.182130000000001</c:v>
              </c:pt>
              <c:pt idx="4001">
                <c:v>-64.129859999999994</c:v>
              </c:pt>
              <c:pt idx="4002">
                <c:v>-64.07777999999999</c:v>
              </c:pt>
              <c:pt idx="4003">
                <c:v>-64.025710000000004</c:v>
              </c:pt>
              <c:pt idx="4004">
                <c:v>-63.973439999999997</c:v>
              </c:pt>
              <c:pt idx="4005">
                <c:v>-63.921360000000007</c:v>
              </c:pt>
              <c:pt idx="4006">
                <c:v>-63.869290000000007</c:v>
              </c:pt>
              <c:pt idx="4007">
                <c:v>-63.817019999999999</c:v>
              </c:pt>
              <c:pt idx="4008">
                <c:v>-63.764950000000006</c:v>
              </c:pt>
              <c:pt idx="4009">
                <c:v>-63.712879999999998</c:v>
              </c:pt>
              <c:pt idx="4010">
                <c:v>-63.660610000000005</c:v>
              </c:pt>
              <c:pt idx="4011">
                <c:v>-63.608530000000002</c:v>
              </c:pt>
              <c:pt idx="4012">
                <c:v>-63.556460000000001</c:v>
              </c:pt>
              <c:pt idx="4013">
                <c:v>-63.504199999999997</c:v>
              </c:pt>
              <c:pt idx="4014">
                <c:v>-63.452030000000001</c:v>
              </c:pt>
              <c:pt idx="4015">
                <c:v>-63.400060000000003</c:v>
              </c:pt>
              <c:pt idx="4016">
                <c:v>-63.347790000000003</c:v>
              </c:pt>
              <c:pt idx="4017">
                <c:v>-63.29562</c:v>
              </c:pt>
              <c:pt idx="4018">
                <c:v>-63.243650000000002</c:v>
              </c:pt>
              <c:pt idx="4019">
                <c:v>-63.191389999999998</c:v>
              </c:pt>
              <c:pt idx="4020">
                <c:v>-63.139319999999998</c:v>
              </c:pt>
              <c:pt idx="4021">
                <c:v>-63.087150000000008</c:v>
              </c:pt>
              <c:pt idx="4022">
                <c:v>-63.034889999999997</c:v>
              </c:pt>
              <c:pt idx="4023">
                <c:v>-62.98292</c:v>
              </c:pt>
              <c:pt idx="4024">
                <c:v>-62.930660000000003</c:v>
              </c:pt>
              <c:pt idx="4025">
                <c:v>-62.878590000000003</c:v>
              </c:pt>
              <c:pt idx="4026">
                <c:v>-62.826430000000002</c:v>
              </c:pt>
              <c:pt idx="4027">
                <c:v>-62.774259999999998</c:v>
              </c:pt>
              <c:pt idx="4028">
                <c:v>-62.722199999999994</c:v>
              </c:pt>
              <c:pt idx="4029">
                <c:v>-62.67004</c:v>
              </c:pt>
              <c:pt idx="4030">
                <c:v>-62.617869999999996</c:v>
              </c:pt>
              <c:pt idx="4031">
                <c:v>-62.565710000000003</c:v>
              </c:pt>
              <c:pt idx="4032">
                <c:v>-62.513550000000002</c:v>
              </c:pt>
              <c:pt idx="4033">
                <c:v>-62.461389999999994</c:v>
              </c:pt>
              <c:pt idx="4034">
                <c:v>-62.409329999999997</c:v>
              </c:pt>
              <c:pt idx="4035">
                <c:v>-62.357170000000004</c:v>
              </c:pt>
              <c:pt idx="4036">
                <c:v>-62.305109999999999</c:v>
              </c:pt>
              <c:pt idx="4037">
                <c:v>-62.252849999999995</c:v>
              </c:pt>
              <c:pt idx="4038">
                <c:v>-62.200789999999998</c:v>
              </c:pt>
              <c:pt idx="4039">
                <c:v>-62.148530000000001</c:v>
              </c:pt>
              <c:pt idx="4040">
                <c:v>-62.096469999999997</c:v>
              </c:pt>
              <c:pt idx="4041">
                <c:v>-62.044409999999999</c:v>
              </c:pt>
              <c:pt idx="4042">
                <c:v>-61.992160000000005</c:v>
              </c:pt>
              <c:pt idx="4043">
                <c:v>-61.940100000000001</c:v>
              </c:pt>
              <c:pt idx="4044">
                <c:v>-61.887839999999997</c:v>
              </c:pt>
              <c:pt idx="4045">
                <c:v>-61.83578</c:v>
              </c:pt>
              <c:pt idx="4046">
                <c:v>-61.783529999999992</c:v>
              </c:pt>
              <c:pt idx="4047">
                <c:v>-61.731470000000002</c:v>
              </c:pt>
              <c:pt idx="4048">
                <c:v>-61.679319999999997</c:v>
              </c:pt>
              <c:pt idx="4049">
                <c:v>-61.627160000000003</c:v>
              </c:pt>
              <c:pt idx="4050">
                <c:v>-61.575010000000006</c:v>
              </c:pt>
              <c:pt idx="4051">
                <c:v>-61.522860000000001</c:v>
              </c:pt>
              <c:pt idx="4052">
                <c:v>-61.470800000000004</c:v>
              </c:pt>
              <c:pt idx="4053">
                <c:v>-61.41865</c:v>
              </c:pt>
              <c:pt idx="4054">
                <c:v>-61.366500000000002</c:v>
              </c:pt>
              <c:pt idx="4055">
                <c:v>-61.314340000000001</c:v>
              </c:pt>
              <c:pt idx="4056">
                <c:v>-61.262289999999993</c:v>
              </c:pt>
              <c:pt idx="4057">
                <c:v>-61.210040000000006</c:v>
              </c:pt>
              <c:pt idx="4058">
                <c:v>-61.157989999999998</c:v>
              </c:pt>
              <c:pt idx="4059">
                <c:v>-61.105840000000001</c:v>
              </c:pt>
              <c:pt idx="4060">
                <c:v>-61.05359</c:v>
              </c:pt>
              <c:pt idx="4061">
                <c:v>-61.001440000000002</c:v>
              </c:pt>
              <c:pt idx="4062">
                <c:v>-60.949390000000001</c:v>
              </c:pt>
              <c:pt idx="4063">
                <c:v>-60.897239999999996</c:v>
              </c:pt>
              <c:pt idx="4064">
                <c:v>-60.845089999999999</c:v>
              </c:pt>
              <c:pt idx="4065">
                <c:v>-60.792940000000002</c:v>
              </c:pt>
              <c:pt idx="4066">
                <c:v>-60.740899999999996</c:v>
              </c:pt>
              <c:pt idx="4067">
                <c:v>-60.688649999999996</c:v>
              </c:pt>
              <c:pt idx="4068">
                <c:v>-60.636499999999998</c:v>
              </c:pt>
              <c:pt idx="4069">
                <c:v>-60.584360000000004</c:v>
              </c:pt>
              <c:pt idx="4070">
                <c:v>-60.532309999999995</c:v>
              </c:pt>
              <c:pt idx="4071">
                <c:v>-60.480170000000001</c:v>
              </c:pt>
              <c:pt idx="4072">
                <c:v>-60.428019999999997</c:v>
              </c:pt>
              <c:pt idx="4073">
                <c:v>-60.375779999999999</c:v>
              </c:pt>
              <c:pt idx="4074">
                <c:v>-60.323630000000001</c:v>
              </c:pt>
              <c:pt idx="4075">
                <c:v>-60.271589999999996</c:v>
              </c:pt>
              <c:pt idx="4076">
                <c:v>-60.219439999999999</c:v>
              </c:pt>
              <c:pt idx="4077">
                <c:v>-60.167199999999994</c:v>
              </c:pt>
              <c:pt idx="4078">
                <c:v>-60.11506</c:v>
              </c:pt>
              <c:pt idx="4079">
                <c:v>-60.063019999999995</c:v>
              </c:pt>
              <c:pt idx="4080">
                <c:v>-60.010869999999997</c:v>
              </c:pt>
              <c:pt idx="4081">
                <c:v>-59.958730000000003</c:v>
              </c:pt>
              <c:pt idx="4082">
                <c:v>-59.906589999999994</c:v>
              </c:pt>
              <c:pt idx="4083">
                <c:v>-59.85445</c:v>
              </c:pt>
              <c:pt idx="4084">
                <c:v>-59.802210000000002</c:v>
              </c:pt>
              <c:pt idx="4085">
                <c:v>-59.750070000000008</c:v>
              </c:pt>
              <c:pt idx="4086">
                <c:v>-59.698030000000003</c:v>
              </c:pt>
              <c:pt idx="4087">
                <c:v>-59.645790000000005</c:v>
              </c:pt>
              <c:pt idx="4088">
                <c:v>-59.59375</c:v>
              </c:pt>
              <c:pt idx="4089">
                <c:v>-59.541619999999995</c:v>
              </c:pt>
              <c:pt idx="4090">
                <c:v>-59.489379999999997</c:v>
              </c:pt>
              <c:pt idx="4091">
                <c:v>-59.437339999999992</c:v>
              </c:pt>
              <c:pt idx="4092">
                <c:v>-59.385199999999998</c:v>
              </c:pt>
              <c:pt idx="4093">
                <c:v>-59.333070000000006</c:v>
              </c:pt>
              <c:pt idx="4094">
                <c:v>-59.280929999999998</c:v>
              </c:pt>
              <c:pt idx="4095">
                <c:v>-59.228700000000003</c:v>
              </c:pt>
              <c:pt idx="4096">
                <c:v>-59.176659999999998</c:v>
              </c:pt>
              <c:pt idx="4097">
                <c:v>-59.124530000000007</c:v>
              </c:pt>
              <c:pt idx="4098">
                <c:v>-59.072389999999999</c:v>
              </c:pt>
              <c:pt idx="4099">
                <c:v>-59.020259999999993</c:v>
              </c:pt>
              <c:pt idx="4100">
                <c:v>-58.968029999999999</c:v>
              </c:pt>
              <c:pt idx="4101">
                <c:v>-58.915990000000001</c:v>
              </c:pt>
              <c:pt idx="4102">
                <c:v>-58.863759999999999</c:v>
              </c:pt>
              <c:pt idx="4103">
                <c:v>-58.811630000000001</c:v>
              </c:pt>
              <c:pt idx="4104">
                <c:v>-58.759499999999996</c:v>
              </c:pt>
              <c:pt idx="4105">
                <c:v>-58.707359999999994</c:v>
              </c:pt>
              <c:pt idx="4106">
                <c:v>-58.655229999999996</c:v>
              </c:pt>
              <c:pt idx="4107">
                <c:v>-58.603099999999998</c:v>
              </c:pt>
              <c:pt idx="4108">
                <c:v>-58.550870000000003</c:v>
              </c:pt>
              <c:pt idx="4109">
                <c:v>-58.498840000000001</c:v>
              </c:pt>
              <c:pt idx="4110">
                <c:v>-58.44661</c:v>
              </c:pt>
              <c:pt idx="4111">
                <c:v>-58.394480000000001</c:v>
              </c:pt>
              <c:pt idx="4112">
                <c:v>-58.342359999999999</c:v>
              </c:pt>
              <c:pt idx="4113">
                <c:v>-58.290230000000001</c:v>
              </c:pt>
              <c:pt idx="4114">
                <c:v>-58.238</c:v>
              </c:pt>
              <c:pt idx="4115">
                <c:v>-58.185870000000001</c:v>
              </c:pt>
              <c:pt idx="4116">
                <c:v>-58.133849999999995</c:v>
              </c:pt>
              <c:pt idx="4117">
                <c:v>-58.081620000000001</c:v>
              </c:pt>
              <c:pt idx="4118">
                <c:v>-58.029589999999999</c:v>
              </c:pt>
              <c:pt idx="4119">
                <c:v>-57.977369999999993</c:v>
              </c:pt>
              <c:pt idx="4120">
                <c:v>-57.925139999999999</c:v>
              </c:pt>
              <c:pt idx="4121">
                <c:v>-57.87312</c:v>
              </c:pt>
              <c:pt idx="4122">
                <c:v>-57.820889999999999</c:v>
              </c:pt>
              <c:pt idx="4123">
                <c:v>-57.768770000000004</c:v>
              </c:pt>
              <c:pt idx="4124">
                <c:v>-57.716650000000001</c:v>
              </c:pt>
              <c:pt idx="4125">
                <c:v>-57.664519999999996</c:v>
              </c:pt>
              <c:pt idx="4126">
                <c:v>-57.612299999999991</c:v>
              </c:pt>
              <c:pt idx="4127">
                <c:v>-57.560180000000003</c:v>
              </c:pt>
              <c:pt idx="4128">
                <c:v>-57.508160000000004</c:v>
              </c:pt>
              <c:pt idx="4129">
                <c:v>-57.455939999999998</c:v>
              </c:pt>
              <c:pt idx="4130">
                <c:v>-57.40381</c:v>
              </c:pt>
              <c:pt idx="4131">
                <c:v>-57.351690000000005</c:v>
              </c:pt>
              <c:pt idx="4132">
                <c:v>-57.299570000000003</c:v>
              </c:pt>
              <c:pt idx="4133">
                <c:v>-57.247450000000001</c:v>
              </c:pt>
              <c:pt idx="4134">
                <c:v>-57.195229999999995</c:v>
              </c:pt>
              <c:pt idx="4135">
                <c:v>-57.143119999999996</c:v>
              </c:pt>
              <c:pt idx="4136">
                <c:v>-57.091000000000001</c:v>
              </c:pt>
              <c:pt idx="4137">
                <c:v>-57.038780000000003</c:v>
              </c:pt>
              <c:pt idx="4138">
                <c:v>-56.986660000000001</c:v>
              </c:pt>
              <c:pt idx="4139">
                <c:v>-56.934539999999998</c:v>
              </c:pt>
              <c:pt idx="4140">
                <c:v>-56.882429999999999</c:v>
              </c:pt>
              <c:pt idx="4141">
                <c:v>-56.830210000000001</c:v>
              </c:pt>
              <c:pt idx="4142">
                <c:v>-56.778089999999999</c:v>
              </c:pt>
              <c:pt idx="4143">
                <c:v>-56.726079999999996</c:v>
              </c:pt>
              <c:pt idx="4144">
                <c:v>-56.673860000000005</c:v>
              </c:pt>
              <c:pt idx="4145">
                <c:v>-56.621650000000002</c:v>
              </c:pt>
              <c:pt idx="4146">
                <c:v>-56.56953</c:v>
              </c:pt>
              <c:pt idx="4147">
                <c:v>-56.517420000000001</c:v>
              </c:pt>
              <c:pt idx="4148">
                <c:v>-56.465209999999999</c:v>
              </c:pt>
              <c:pt idx="4149">
                <c:v>-56.41319</c:v>
              </c:pt>
              <c:pt idx="4150">
                <c:v>-56.360979999999998</c:v>
              </c:pt>
              <c:pt idx="4151">
                <c:v>-56.308869999999999</c:v>
              </c:pt>
              <c:pt idx="4152">
                <c:v>-56.25676</c:v>
              </c:pt>
              <c:pt idx="4153">
                <c:v>-56.204549999999998</c:v>
              </c:pt>
              <c:pt idx="4154">
                <c:v>-56.152429999999995</c:v>
              </c:pt>
              <c:pt idx="4155">
                <c:v>-56.10022</c:v>
              </c:pt>
              <c:pt idx="4156">
                <c:v>-56.048159999999996</c:v>
              </c:pt>
              <c:pt idx="4157">
                <c:v>-55.99597</c:v>
              </c:pt>
              <c:pt idx="4158">
                <c:v>-55.943889999999996</c:v>
              </c:pt>
              <c:pt idx="4159">
                <c:v>-55.8917</c:v>
              </c:pt>
              <c:pt idx="4160">
                <c:v>-55.839509999999997</c:v>
              </c:pt>
              <c:pt idx="4161">
                <c:v>-55.787409999999994</c:v>
              </c:pt>
              <c:pt idx="4162">
                <c:v>-55.735219999999998</c:v>
              </c:pt>
              <c:pt idx="4163">
                <c:v>-55.683230000000002</c:v>
              </c:pt>
              <c:pt idx="4164">
                <c:v>-55.631050000000002</c:v>
              </c:pt>
              <c:pt idx="4165">
                <c:v>-55.578859999999999</c:v>
              </c:pt>
              <c:pt idx="4166">
                <c:v>-55.526669999999996</c:v>
              </c:pt>
              <c:pt idx="4167">
                <c:v>-55.474580000000003</c:v>
              </c:pt>
              <c:pt idx="4168">
                <c:v>-55.42239</c:v>
              </c:pt>
              <c:pt idx="4169">
                <c:v>-55.3703</c:v>
              </c:pt>
              <c:pt idx="4170">
                <c:v>-55.318119999999993</c:v>
              </c:pt>
              <c:pt idx="4171">
                <c:v>-55.266019999999997</c:v>
              </c:pt>
              <c:pt idx="4172">
                <c:v>-55.213840000000005</c:v>
              </c:pt>
              <c:pt idx="4173">
                <c:v>-55.161739999999995</c:v>
              </c:pt>
              <c:pt idx="4174">
                <c:v>-55.109660000000005</c:v>
              </c:pt>
              <c:pt idx="4175">
                <c:v>-55.057470000000002</c:v>
              </c:pt>
              <c:pt idx="4176">
                <c:v>-55.005380000000002</c:v>
              </c:pt>
              <c:pt idx="4177">
                <c:v>-54.953199999999995</c:v>
              </c:pt>
              <c:pt idx="4178">
                <c:v>-54.901110000000003</c:v>
              </c:pt>
              <c:pt idx="4179">
                <c:v>-54.848909999999997</c:v>
              </c:pt>
              <c:pt idx="4180">
                <c:v>-54.796729999999997</c:v>
              </c:pt>
              <c:pt idx="4181">
                <c:v>-54.744640000000004</c:v>
              </c:pt>
              <c:pt idx="4182">
                <c:v>-54.692459999999997</c:v>
              </c:pt>
              <c:pt idx="4183">
                <c:v>-54.640369999999997</c:v>
              </c:pt>
              <c:pt idx="4184">
                <c:v>-54.588279999999997</c:v>
              </c:pt>
              <c:pt idx="4185">
                <c:v>-54.536090000000002</c:v>
              </c:pt>
              <c:pt idx="4186">
                <c:v>-54.483900000000006</c:v>
              </c:pt>
              <c:pt idx="4187">
                <c:v>-54.431820000000002</c:v>
              </c:pt>
              <c:pt idx="4188">
                <c:v>-54.379629999999999</c:v>
              </c:pt>
              <c:pt idx="4189">
                <c:v>-54.327539999999999</c:v>
              </c:pt>
              <c:pt idx="4190">
                <c:v>-54.275360000000006</c:v>
              </c:pt>
              <c:pt idx="4191">
                <c:v>-54.223169999999996</c:v>
              </c:pt>
              <c:pt idx="4192">
                <c:v>-54.171080000000003</c:v>
              </c:pt>
              <c:pt idx="4193">
                <c:v>-54.119</c:v>
              </c:pt>
              <c:pt idx="4194">
                <c:v>-54.06682</c:v>
              </c:pt>
              <c:pt idx="4195">
                <c:v>-54.014620000000001</c:v>
              </c:pt>
              <c:pt idx="4196">
                <c:v>-53.962539999999997</c:v>
              </c:pt>
              <c:pt idx="4197">
                <c:v>-53.91046</c:v>
              </c:pt>
              <c:pt idx="4198">
                <c:v>-53.858170000000001</c:v>
              </c:pt>
              <c:pt idx="4199">
                <c:v>-53.806079999999994</c:v>
              </c:pt>
              <c:pt idx="4200">
                <c:v>-53.753999999999998</c:v>
              </c:pt>
              <c:pt idx="4201">
                <c:v>-53.701810000000002</c:v>
              </c:pt>
              <c:pt idx="4202">
                <c:v>-53.649630000000002</c:v>
              </c:pt>
              <c:pt idx="4203">
                <c:v>-53.597549999999998</c:v>
              </c:pt>
              <c:pt idx="4204">
                <c:v>-53.545360000000002</c:v>
              </c:pt>
              <c:pt idx="4205">
                <c:v>-53.493269999999995</c:v>
              </c:pt>
              <c:pt idx="4206">
                <c:v>-53.441189999999999</c:v>
              </c:pt>
              <c:pt idx="4207">
                <c:v>-53.3889</c:v>
              </c:pt>
              <c:pt idx="4208">
                <c:v>-53.336820000000003</c:v>
              </c:pt>
              <c:pt idx="4209">
                <c:v>-53.284729999999996</c:v>
              </c:pt>
              <c:pt idx="4210">
                <c:v>-53.232543</c:v>
              </c:pt>
              <c:pt idx="4211">
                <c:v>-53.180464999999998</c:v>
              </c:pt>
              <c:pt idx="4212">
                <c:v>-53.128278999999999</c:v>
              </c:pt>
              <c:pt idx="4213">
                <c:v>-53.076092000000003</c:v>
              </c:pt>
              <c:pt idx="4214">
                <c:v>-53.024006</c:v>
              </c:pt>
              <c:pt idx="4215">
                <c:v>-52.971819999999994</c:v>
              </c:pt>
              <c:pt idx="4216">
                <c:v>-52.919735000000003</c:v>
              </c:pt>
              <c:pt idx="4217">
                <c:v>-52.867550000000001</c:v>
              </c:pt>
              <c:pt idx="4218">
                <c:v>-52.815466000000001</c:v>
              </c:pt>
              <c:pt idx="4219">
                <c:v>-52.763281999999997</c:v>
              </c:pt>
              <c:pt idx="4220">
                <c:v>-52.711199000000001</c:v>
              </c:pt>
              <c:pt idx="4221">
                <c:v>-52.659016000000001</c:v>
              </c:pt>
              <c:pt idx="4222">
                <c:v>-52.606833000000002</c:v>
              </c:pt>
              <c:pt idx="4223">
                <c:v>-52.554651000000007</c:v>
              </c:pt>
              <c:pt idx="4224">
                <c:v>-52.502569000000001</c:v>
              </c:pt>
              <c:pt idx="4225">
                <c:v>-52.450386999999999</c:v>
              </c:pt>
              <c:pt idx="4226">
                <c:v>-52.398306000000005</c:v>
              </c:pt>
              <c:pt idx="4227">
                <c:v>-52.346115999999995</c:v>
              </c:pt>
              <c:pt idx="4228">
                <c:v>-52.294035000000001</c:v>
              </c:pt>
              <c:pt idx="4229">
                <c:v>-52.241855999999999</c:v>
              </c:pt>
              <c:pt idx="4230">
                <c:v>-52.189666000000003</c:v>
              </c:pt>
              <c:pt idx="4231">
                <c:v>-52.137586999999996</c:v>
              </c:pt>
              <c:pt idx="4232">
                <c:v>-52.085408999999999</c:v>
              </c:pt>
              <c:pt idx="4233">
                <c:v>-52.033321000000001</c:v>
              </c:pt>
              <c:pt idx="4234">
                <c:v>-51.981143000000003</c:v>
              </c:pt>
              <c:pt idx="4235">
                <c:v>-51.929056000000003</c:v>
              </c:pt>
              <c:pt idx="4236">
                <c:v>-51.876879000000002</c:v>
              </c:pt>
              <c:pt idx="4237">
                <c:v>-51.824691999999999</c:v>
              </c:pt>
              <c:pt idx="4238">
                <c:v>-51.772615999999999</c:v>
              </c:pt>
              <c:pt idx="4239">
                <c:v>-51.720430999999998</c:v>
              </c:pt>
              <c:pt idx="4240">
                <c:v>-51.668244999999999</c:v>
              </c:pt>
              <c:pt idx="4241">
                <c:v>-51.616170999999994</c:v>
              </c:pt>
              <c:pt idx="4242">
                <c:v>-51.564086000000003</c:v>
              </c:pt>
              <c:pt idx="4243">
                <c:v>-51.511901999999999</c:v>
              </c:pt>
              <c:pt idx="4244">
                <c:v>-51.459818999999996</c:v>
              </c:pt>
              <c:pt idx="4245">
                <c:v>-51.407646</c:v>
              </c:pt>
              <c:pt idx="4246">
                <c:v>-51.355463</c:v>
              </c:pt>
              <c:pt idx="4247">
                <c:v>-51.303381000000002</c:v>
              </c:pt>
              <c:pt idx="4248">
                <c:v>-51.251199</c:v>
              </c:pt>
              <c:pt idx="4249">
                <c:v>-51.199016999999998</c:v>
              </c:pt>
              <c:pt idx="4250">
                <c:v>-51.146836</c:v>
              </c:pt>
              <c:pt idx="4251">
                <c:v>-51.094856000000007</c:v>
              </c:pt>
              <c:pt idx="4252">
                <c:v>-51.042675000000003</c:v>
              </c:pt>
              <c:pt idx="4253">
                <c:v>-50.990496000000007</c:v>
              </c:pt>
              <c:pt idx="4254">
                <c:v>-50.938316</c:v>
              </c:pt>
              <c:pt idx="4255">
                <c:v>-50.886236999999994</c:v>
              </c:pt>
              <c:pt idx="4256">
                <c:v>-50.834049</c:v>
              </c:pt>
              <c:pt idx="4257">
                <c:v>-50.781970999999999</c:v>
              </c:pt>
              <c:pt idx="4258">
                <c:v>-50.729793000000001</c:v>
              </c:pt>
              <c:pt idx="4259">
                <c:v>-50.677616</c:v>
              </c:pt>
              <c:pt idx="4260">
                <c:v>-50.625439</c:v>
              </c:pt>
              <c:pt idx="4261">
                <c:v>-50.573352</c:v>
              </c:pt>
              <c:pt idx="4262">
                <c:v>-50.521276299999997</c:v>
              </c:pt>
              <c:pt idx="4263">
                <c:v>-50.469090600000001</c:v>
              </c:pt>
              <c:pt idx="4264">
                <c:v>-50.416915399999993</c:v>
              </c:pt>
              <c:pt idx="4265">
                <c:v>-50.364740600000005</c:v>
              </c:pt>
              <c:pt idx="4266">
                <c:v>-50.312656200000006</c:v>
              </c:pt>
              <c:pt idx="4267">
                <c:v>-50.2604823</c:v>
              </c:pt>
              <c:pt idx="4268">
                <c:v>-50.208398750000001</c:v>
              </c:pt>
              <c:pt idx="4269">
                <c:v>-50.156315599999999</c:v>
              </c:pt>
              <c:pt idx="4270">
                <c:v>-50.104142899999999</c:v>
              </c:pt>
              <c:pt idx="4271">
                <c:v>-50.051960600000001</c:v>
              </c:pt>
              <c:pt idx="4272">
                <c:v>-49.999788699999996</c:v>
              </c:pt>
              <c:pt idx="4273">
                <c:v>-49.947707299999998</c:v>
              </c:pt>
              <c:pt idx="4274">
                <c:v>-49.895525999999997</c:v>
              </c:pt>
              <c:pt idx="4275">
                <c:v>-49.843345999999997</c:v>
              </c:pt>
              <c:pt idx="4276">
                <c:v>-49.791274999999999</c:v>
              </c:pt>
              <c:pt idx="4277">
                <c:v>-49.739096000000004</c:v>
              </c:pt>
              <c:pt idx="4278">
                <c:v>-49.686915999999997</c:v>
              </c:pt>
              <c:pt idx="4279">
                <c:v>-49.634837000000005</c:v>
              </c:pt>
              <c:pt idx="4280">
                <c:v>-49.582658999999992</c:v>
              </c:pt>
              <c:pt idx="4281">
                <c:v>-49.530480999999995</c:v>
              </c:pt>
              <c:pt idx="4282">
                <c:v>-49.478403</c:v>
              </c:pt>
              <c:pt idx="4283">
                <c:v>-49.426226</c:v>
              </c:pt>
              <c:pt idx="4284">
                <c:v>-49.374149000000003</c:v>
              </c:pt>
              <c:pt idx="4285">
                <c:v>-49.321972000000002</c:v>
              </c:pt>
              <c:pt idx="4286">
                <c:v>-49.269795999999999</c:v>
              </c:pt>
              <c:pt idx="4287">
                <c:v>-49.217720999999997</c:v>
              </c:pt>
              <c:pt idx="4288">
                <c:v>-49.165535000000006</c:v>
              </c:pt>
              <c:pt idx="4289">
                <c:v>-49.113461000000001</c:v>
              </c:pt>
              <c:pt idx="4290">
                <c:v>-49.061285999999996</c:v>
              </c:pt>
              <c:pt idx="4291">
                <c:v>-49.009212000000005</c:v>
              </c:pt>
              <c:pt idx="4292">
                <c:v>-48.957029000000006</c:v>
              </c:pt>
              <c:pt idx="4293">
                <c:v>-48.904855999999995</c:v>
              </c:pt>
              <c:pt idx="4294">
                <c:v>-48.852682999999999</c:v>
              </c:pt>
              <c:pt idx="4295">
                <c:v>-48.800601</c:v>
              </c:pt>
              <c:pt idx="4296">
                <c:v>-48.748429000000002</c:v>
              </c:pt>
              <c:pt idx="4297">
                <c:v>-48.696247</c:v>
              </c:pt>
              <c:pt idx="4298">
                <c:v>-48.644176000000002</c:v>
              </c:pt>
              <c:pt idx="4299">
                <c:v>-48.592095</c:v>
              </c:pt>
              <c:pt idx="4300">
                <c:v>-48.539825</c:v>
              </c:pt>
              <c:pt idx="4301">
                <c:v>-48.487744999999997</c:v>
              </c:pt>
              <c:pt idx="4302">
                <c:v>-48.435575999999998</c:v>
              </c:pt>
              <c:pt idx="4303">
                <c:v>-48.383496999999998</c:v>
              </c:pt>
              <c:pt idx="4304">
                <c:v>-48.331319000000001</c:v>
              </c:pt>
              <c:pt idx="4305">
                <c:v>-48.279139999999998</c:v>
              </c:pt>
              <c:pt idx="4306">
                <c:v>-48.226973000000001</c:v>
              </c:pt>
              <c:pt idx="4307">
                <c:v>-48.174895000000006</c:v>
              </c:pt>
              <c:pt idx="4308">
                <c:v>-48.122719000000004</c:v>
              </c:pt>
              <c:pt idx="4309">
                <c:v>-48.070542000000003</c:v>
              </c:pt>
              <c:pt idx="4310">
                <c:v>-48.018466000000004</c:v>
              </c:pt>
              <c:pt idx="4311">
                <c:v>-47.966290000000001</c:v>
              </c:pt>
              <c:pt idx="4312">
                <c:v>-47.914225000000002</c:v>
              </c:pt>
              <c:pt idx="4313">
                <c:v>-47.86195</c:v>
              </c:pt>
              <c:pt idx="4314">
                <c:v>-47.809876000000003</c:v>
              </c:pt>
              <c:pt idx="4315">
                <c:v>-47.757801999999998</c:v>
              </c:pt>
              <c:pt idx="4316">
                <c:v>-47.705618000000001</c:v>
              </c:pt>
              <c:pt idx="4317">
                <c:v>-47.653444999999998</c:v>
              </c:pt>
              <c:pt idx="4318">
                <c:v>-47.601372999999995</c:v>
              </c:pt>
              <c:pt idx="4319">
                <c:v>-47.549199999999999</c:v>
              </c:pt>
              <c:pt idx="4320">
                <c:v>-47.497028</c:v>
              </c:pt>
              <c:pt idx="4321">
                <c:v>-47.444956999999995</c:v>
              </c:pt>
              <c:pt idx="4322">
                <c:v>-47.392775999999998</c:v>
              </c:pt>
              <c:pt idx="4323">
                <c:v>-47.340605000000004</c:v>
              </c:pt>
              <c:pt idx="4324">
                <c:v>-47.288535000000003</c:v>
              </c:pt>
              <c:pt idx="4325">
                <c:v>-47.236255</c:v>
              </c:pt>
              <c:pt idx="4326">
                <c:v>-47.184190000000001</c:v>
              </c:pt>
              <c:pt idx="4327">
                <c:v>-47.13212</c:v>
              </c:pt>
              <c:pt idx="4328">
                <c:v>-47.079940000000008</c:v>
              </c:pt>
              <c:pt idx="4329">
                <c:v>-47.027769999999997</c:v>
              </c:pt>
              <c:pt idx="4330">
                <c:v>-46.975589999999997</c:v>
              </c:pt>
              <c:pt idx="4331">
                <c:v>-46.92353</c:v>
              </c:pt>
              <c:pt idx="4332">
                <c:v>-46.871350000000007</c:v>
              </c:pt>
              <c:pt idx="4333">
                <c:v>-46.81917</c:v>
              </c:pt>
              <c:pt idx="4334">
                <c:v>-46.767110000000002</c:v>
              </c:pt>
              <c:pt idx="4335">
                <c:v>-46.714929999999995</c:v>
              </c:pt>
              <c:pt idx="4336">
                <c:v>-46.662859999999995</c:v>
              </c:pt>
              <c:pt idx="4337">
                <c:v>-46.610590000000002</c:v>
              </c:pt>
              <c:pt idx="4338">
                <c:v>-46.558520000000001</c:v>
              </c:pt>
              <c:pt idx="4339">
                <c:v>-46.506340000000002</c:v>
              </c:pt>
              <c:pt idx="4340">
                <c:v>-46.454270000000001</c:v>
              </c:pt>
              <c:pt idx="4341">
                <c:v>-46.402100000000004</c:v>
              </c:pt>
              <c:pt idx="4342">
                <c:v>-46.350030000000004</c:v>
              </c:pt>
              <c:pt idx="4343">
                <c:v>-46.297760000000004</c:v>
              </c:pt>
              <c:pt idx="4344">
                <c:v>-46.24559</c:v>
              </c:pt>
              <c:pt idx="4345">
                <c:v>-46.193519999999999</c:v>
              </c:pt>
              <c:pt idx="4346">
                <c:v>-46.141350000000003</c:v>
              </c:pt>
              <c:pt idx="4347">
                <c:v>-46.089280000000002</c:v>
              </c:pt>
              <c:pt idx="4348">
                <c:v>-46.037089999999992</c:v>
              </c:pt>
              <c:pt idx="4349">
                <c:v>-45.985029999999995</c:v>
              </c:pt>
              <c:pt idx="4350">
                <c:v>-45.932859999999998</c:v>
              </c:pt>
              <c:pt idx="4351">
                <c:v>-45.880589999999998</c:v>
              </c:pt>
              <c:pt idx="4352">
                <c:v>-45.828519999999997</c:v>
              </c:pt>
              <c:pt idx="4353">
                <c:v>-45.776350000000008</c:v>
              </c:pt>
              <c:pt idx="4354">
                <c:v>-45.724170000000001</c:v>
              </c:pt>
              <c:pt idx="4355">
                <c:v>-45.672110000000004</c:v>
              </c:pt>
              <c:pt idx="4356">
                <c:v>-45.61994</c:v>
              </c:pt>
              <c:pt idx="4357">
                <c:v>-45.567860000000003</c:v>
              </c:pt>
              <c:pt idx="4358">
                <c:v>-45.515699999999995</c:v>
              </c:pt>
              <c:pt idx="4359">
                <c:v>-45.463520000000003</c:v>
              </c:pt>
              <c:pt idx="4360">
                <c:v>-45.411450000000002</c:v>
              </c:pt>
              <c:pt idx="4361">
                <c:v>-45.359279999999998</c:v>
              </c:pt>
              <c:pt idx="4362">
                <c:v>-45.307119999999998</c:v>
              </c:pt>
              <c:pt idx="4363">
                <c:v>-45.254939999999998</c:v>
              </c:pt>
              <c:pt idx="4364">
                <c:v>-45.202879999999993</c:v>
              </c:pt>
              <c:pt idx="4365">
                <c:v>-45.150700000000001</c:v>
              </c:pt>
              <c:pt idx="4366">
                <c:v>-45.09854</c:v>
              </c:pt>
              <c:pt idx="4367">
                <c:v>-45.046370000000003</c:v>
              </c:pt>
              <c:pt idx="4368">
                <c:v>-44.994300000000003</c:v>
              </c:pt>
              <c:pt idx="4369">
                <c:v>-44.942129999999999</c:v>
              </c:pt>
              <c:pt idx="4370">
                <c:v>-44.889970000000005</c:v>
              </c:pt>
              <c:pt idx="4371">
                <c:v>-44.837789999999998</c:v>
              </c:pt>
              <c:pt idx="4372">
                <c:v>-44.785719999999998</c:v>
              </c:pt>
              <c:pt idx="4373">
                <c:v>-44.733549999999994</c:v>
              </c:pt>
              <c:pt idx="4374">
                <c:v>-44.68139</c:v>
              </c:pt>
              <c:pt idx="4375">
                <c:v>-44.629219999999997</c:v>
              </c:pt>
              <c:pt idx="4376">
                <c:v>-44.57705</c:v>
              </c:pt>
              <c:pt idx="4377">
                <c:v>-44.525080000000003</c:v>
              </c:pt>
              <c:pt idx="4378">
                <c:v>-44.472909999999999</c:v>
              </c:pt>
              <c:pt idx="4379">
                <c:v>-44.420740000000002</c:v>
              </c:pt>
              <c:pt idx="4380">
                <c:v>-44.368579999999994</c:v>
              </c:pt>
              <c:pt idx="4381">
                <c:v>-44.316410000000005</c:v>
              </c:pt>
              <c:pt idx="4382">
                <c:v>-44.264250000000004</c:v>
              </c:pt>
              <c:pt idx="4383">
                <c:v>-44.21208</c:v>
              </c:pt>
              <c:pt idx="4384">
                <c:v>-44.16</c:v>
              </c:pt>
              <c:pt idx="4385">
                <c:v>-44.107939999999999</c:v>
              </c:pt>
              <c:pt idx="4386">
                <c:v>-44.055779999999999</c:v>
              </c:pt>
              <c:pt idx="4387">
                <c:v>-44.003599999999999</c:v>
              </c:pt>
              <c:pt idx="4388">
                <c:v>-43.951439999999998</c:v>
              </c:pt>
              <c:pt idx="4389">
                <c:v>-43.899270000000001</c:v>
              </c:pt>
              <c:pt idx="4390">
                <c:v>-43.847200000000001</c:v>
              </c:pt>
              <c:pt idx="4391">
                <c:v>-43.79504</c:v>
              </c:pt>
              <c:pt idx="4392">
                <c:v>-43.742869999999996</c:v>
              </c:pt>
              <c:pt idx="4393">
                <c:v>-43.690710000000003</c:v>
              </c:pt>
              <c:pt idx="4394">
                <c:v>-43.638539999999999</c:v>
              </c:pt>
              <c:pt idx="4395">
                <c:v>-43.586470000000006</c:v>
              </c:pt>
              <c:pt idx="4396">
                <c:v>-43.534300000000002</c:v>
              </c:pt>
              <c:pt idx="4397">
                <c:v>-43.482129999999998</c:v>
              </c:pt>
              <c:pt idx="4398">
                <c:v>-43.42998</c:v>
              </c:pt>
              <c:pt idx="4399">
                <c:v>-43.37791</c:v>
              </c:pt>
              <c:pt idx="4400">
                <c:v>-43.325740000000003</c:v>
              </c:pt>
              <c:pt idx="4401">
                <c:v>-43.273579999999995</c:v>
              </c:pt>
              <c:pt idx="4402">
                <c:v>-43.221510000000002</c:v>
              </c:pt>
              <c:pt idx="4403">
                <c:v>-43.169340000000005</c:v>
              </c:pt>
              <c:pt idx="4404">
                <c:v>-43.117179999999998</c:v>
              </c:pt>
              <c:pt idx="4405">
                <c:v>-43.065010000000001</c:v>
              </c:pt>
              <c:pt idx="4406">
                <c:v>-43.012950000000004</c:v>
              </c:pt>
              <c:pt idx="4407">
                <c:v>-42.96078</c:v>
              </c:pt>
              <c:pt idx="4408">
                <c:v>-42.90851</c:v>
              </c:pt>
              <c:pt idx="4409">
                <c:v>-42.856450000000002</c:v>
              </c:pt>
              <c:pt idx="4410">
                <c:v>-42.804290000000002</c:v>
              </c:pt>
              <c:pt idx="4411">
                <c:v>-42.752220000000001</c:v>
              </c:pt>
              <c:pt idx="4412">
                <c:v>-42.700060000000001</c:v>
              </c:pt>
              <c:pt idx="4413">
                <c:v>-42.647890000000004</c:v>
              </c:pt>
              <c:pt idx="4414">
                <c:v>-42.595829999999999</c:v>
              </c:pt>
              <c:pt idx="4415">
                <c:v>-42.543669999999999</c:v>
              </c:pt>
              <c:pt idx="4416">
                <c:v>-42.491399999999999</c:v>
              </c:pt>
              <c:pt idx="4417">
                <c:v>-42.439340000000001</c:v>
              </c:pt>
              <c:pt idx="4418">
                <c:v>-42.387180000000001</c:v>
              </c:pt>
              <c:pt idx="4419">
                <c:v>-42.335099999999997</c:v>
              </c:pt>
              <c:pt idx="4420">
                <c:v>-42.282939999999996</c:v>
              </c:pt>
              <c:pt idx="4421">
                <c:v>-42.230779999999996</c:v>
              </c:pt>
              <c:pt idx="4422">
                <c:v>-42.178620000000002</c:v>
              </c:pt>
              <c:pt idx="4423">
                <c:v>-42.126460000000002</c:v>
              </c:pt>
              <c:pt idx="4424">
                <c:v>-42.074389999999994</c:v>
              </c:pt>
              <c:pt idx="4425">
                <c:v>-42.022130000000004</c:v>
              </c:pt>
              <c:pt idx="4426">
                <c:v>-41.970059999999997</c:v>
              </c:pt>
              <c:pt idx="4427">
                <c:v>-41.917230000000004</c:v>
              </c:pt>
              <c:pt idx="4428">
                <c:v>-41.864010000000007</c:v>
              </c:pt>
              <c:pt idx="4429">
                <c:v>-41.810879999999997</c:v>
              </c:pt>
              <c:pt idx="4430">
                <c:v>-41.757760000000005</c:v>
              </c:pt>
              <c:pt idx="4431">
                <c:v>-41.704629999999995</c:v>
              </c:pt>
              <c:pt idx="4432">
                <c:v>-41.651409999999998</c:v>
              </c:pt>
              <c:pt idx="4433">
                <c:v>-41.598179999999999</c:v>
              </c:pt>
              <c:pt idx="4434">
                <c:v>-41.545050000000003</c:v>
              </c:pt>
              <c:pt idx="4435">
                <c:v>-41.49194</c:v>
              </c:pt>
              <c:pt idx="4436">
                <c:v>-41.438810000000004</c:v>
              </c:pt>
              <c:pt idx="4437">
                <c:v>-41.385589999999993</c:v>
              </c:pt>
              <c:pt idx="4438">
                <c:v>-41.332470000000001</c:v>
              </c:pt>
              <c:pt idx="4439">
                <c:v>-41.279259999999994</c:v>
              </c:pt>
              <c:pt idx="4440">
                <c:v>-41.226039999999998</c:v>
              </c:pt>
              <c:pt idx="4441">
                <c:v>-41.172919999999998</c:v>
              </c:pt>
              <c:pt idx="4442">
                <c:v>-41.119700000000002</c:v>
              </c:pt>
              <c:pt idx="4443">
                <c:v>-41.066580000000002</c:v>
              </c:pt>
              <c:pt idx="4444">
                <c:v>-41.013459999999995</c:v>
              </c:pt>
              <c:pt idx="4445">
                <c:v>-40.960349999999998</c:v>
              </c:pt>
              <c:pt idx="4446">
                <c:v>-40.907139999999998</c:v>
              </c:pt>
              <c:pt idx="4447">
                <c:v>-40.854019999999998</c:v>
              </c:pt>
              <c:pt idx="4448">
                <c:v>-40.800809999999998</c:v>
              </c:pt>
              <c:pt idx="4449">
                <c:v>-40.747699999999995</c:v>
              </c:pt>
              <c:pt idx="4450">
                <c:v>-40.694490000000002</c:v>
              </c:pt>
              <c:pt idx="4451">
                <c:v>-40.641039999999997</c:v>
              </c:pt>
              <c:pt idx="4452">
                <c:v>-40.58717</c:v>
              </c:pt>
              <c:pt idx="4453">
                <c:v>-40.533090000000001</c:v>
              </c:pt>
              <c:pt idx="4454">
                <c:v>-40.479210000000002</c:v>
              </c:pt>
              <c:pt idx="4455">
                <c:v>-40.425129999999996</c:v>
              </c:pt>
              <c:pt idx="4456">
                <c:v>-40.37115</c:v>
              </c:pt>
              <c:pt idx="4457">
                <c:v>-40.31718</c:v>
              </c:pt>
              <c:pt idx="4458">
                <c:v>-40.263109999999998</c:v>
              </c:pt>
              <c:pt idx="4459">
                <c:v>-40.209230000000005</c:v>
              </c:pt>
              <c:pt idx="4460">
                <c:v>-40.14846</c:v>
              </c:pt>
              <c:pt idx="4461">
                <c:v>-40.083629999999999</c:v>
              </c:pt>
              <c:pt idx="4462">
                <c:v>-40.018789999999996</c:v>
              </c:pt>
              <c:pt idx="4463">
                <c:v>-39.953959999999995</c:v>
              </c:pt>
              <c:pt idx="4464">
                <c:v>-39.889220000000002</c:v>
              </c:pt>
              <c:pt idx="4465">
                <c:v>-39.824390000000001</c:v>
              </c:pt>
              <c:pt idx="4466">
                <c:v>-39.759649999999993</c:v>
              </c:pt>
              <c:pt idx="4467">
                <c:v>-39.694829999999996</c:v>
              </c:pt>
              <c:pt idx="4468">
                <c:v>-39.629989999999999</c:v>
              </c:pt>
              <c:pt idx="4469">
                <c:v>-39.565260000000002</c:v>
              </c:pt>
              <c:pt idx="4470">
                <c:v>-39.500329999999998</c:v>
              </c:pt>
              <c:pt idx="4471">
                <c:v>-39.435599999999994</c:v>
              </c:pt>
              <c:pt idx="4472">
                <c:v>-39.370759999999997</c:v>
              </c:pt>
              <c:pt idx="4473">
                <c:v>-39.306040000000003</c:v>
              </c:pt>
              <c:pt idx="4474">
                <c:v>-39.241199999999999</c:v>
              </c:pt>
              <c:pt idx="4475">
                <c:v>-39.176370000000006</c:v>
              </c:pt>
              <c:pt idx="4476">
                <c:v>-39.111539999999998</c:v>
              </c:pt>
              <c:pt idx="4477">
                <c:v>-39.046810000000001</c:v>
              </c:pt>
              <c:pt idx="4478">
                <c:v>-38.981979999999993</c:v>
              </c:pt>
              <c:pt idx="4479">
                <c:v>-38.917149999999999</c:v>
              </c:pt>
              <c:pt idx="4480">
                <c:v>-38.852320000000006</c:v>
              </c:pt>
              <c:pt idx="4481">
                <c:v>-38.787589999999994</c:v>
              </c:pt>
              <c:pt idx="4482">
                <c:v>-38.722660000000005</c:v>
              </c:pt>
              <c:pt idx="4483">
                <c:v>-38.657920000000004</c:v>
              </c:pt>
              <c:pt idx="4484">
                <c:v>-38.593199999999996</c:v>
              </c:pt>
              <c:pt idx="4485">
                <c:v>-38.528269999999992</c:v>
              </c:pt>
              <c:pt idx="4486">
                <c:v>-38.463539999999995</c:v>
              </c:pt>
              <c:pt idx="4487">
                <c:v>-38.398619999999994</c:v>
              </c:pt>
              <c:pt idx="4488">
                <c:v>-38.333889999999997</c:v>
              </c:pt>
              <c:pt idx="4489">
                <c:v>-38.269149999999996</c:v>
              </c:pt>
              <c:pt idx="4490">
                <c:v>-38.204229999999995</c:v>
              </c:pt>
              <c:pt idx="4491">
                <c:v>-38.139499999999998</c:v>
              </c:pt>
              <c:pt idx="4492">
                <c:v>-38.074670000000005</c:v>
              </c:pt>
              <c:pt idx="4493">
                <c:v>-38.00985</c:v>
              </c:pt>
              <c:pt idx="4494">
                <c:v>-37.94502</c:v>
              </c:pt>
              <c:pt idx="4495">
                <c:v>-37.880290000000002</c:v>
              </c:pt>
              <c:pt idx="4496">
                <c:v>-37.815460000000002</c:v>
              </c:pt>
              <c:pt idx="4497">
                <c:v>-37.750640000000004</c:v>
              </c:pt>
              <c:pt idx="4498">
                <c:v>-37.685809999999996</c:v>
              </c:pt>
              <c:pt idx="4499">
                <c:v>-37.621089999999995</c:v>
              </c:pt>
              <c:pt idx="4500">
                <c:v>-37.556159999999998</c:v>
              </c:pt>
              <c:pt idx="4501">
                <c:v>-37.491429999999994</c:v>
              </c:pt>
              <c:pt idx="4502">
                <c:v>-37.426609999999997</c:v>
              </c:pt>
              <c:pt idx="4503">
                <c:v>-37.361879999999999</c:v>
              </c:pt>
              <c:pt idx="4504">
                <c:v>-37.297060000000002</c:v>
              </c:pt>
              <c:pt idx="4505">
                <c:v>-37.232129999999998</c:v>
              </c:pt>
              <c:pt idx="4506">
                <c:v>-37.167409999999997</c:v>
              </c:pt>
              <c:pt idx="4507">
                <c:v>-37.102580000000003</c:v>
              </c:pt>
              <c:pt idx="4508">
                <c:v>-37.037859999999995</c:v>
              </c:pt>
              <c:pt idx="4509">
                <c:v>-36.973029999999994</c:v>
              </c:pt>
              <c:pt idx="4510">
                <c:v>-36.908209999999997</c:v>
              </c:pt>
              <c:pt idx="4511">
                <c:v>-36.843389999999999</c:v>
              </c:pt>
              <c:pt idx="4512">
                <c:v>-36.778559999999999</c:v>
              </c:pt>
              <c:pt idx="4513">
                <c:v>-36.713740000000001</c:v>
              </c:pt>
              <c:pt idx="4514">
                <c:v>-36.648920000000004</c:v>
              </c:pt>
              <c:pt idx="4515">
                <c:v>-36.58419</c:v>
              </c:pt>
              <c:pt idx="4516">
                <c:v>-36.519370000000002</c:v>
              </c:pt>
              <c:pt idx="4517">
                <c:v>-36.454540000000001</c:v>
              </c:pt>
              <c:pt idx="4518">
                <c:v>-36.38973</c:v>
              </c:pt>
              <c:pt idx="4519">
                <c:v>-36.325000000000003</c:v>
              </c:pt>
              <c:pt idx="4520">
                <c:v>-36.260179999999998</c:v>
              </c:pt>
              <c:pt idx="4521">
                <c:v>-36.195360000000001</c:v>
              </c:pt>
              <c:pt idx="4522">
                <c:v>-36.130539999999996</c:v>
              </c:pt>
              <c:pt idx="4523">
                <c:v>-36.065719999999999</c:v>
              </c:pt>
              <c:pt idx="4524">
                <c:v>-36.000990000000002</c:v>
              </c:pt>
              <c:pt idx="4525">
                <c:v>-35.936170000000004</c:v>
              </c:pt>
              <c:pt idx="4526">
                <c:v>-35.871349999999993</c:v>
              </c:pt>
              <c:pt idx="4527">
                <c:v>-35.806530000000002</c:v>
              </c:pt>
              <c:pt idx="4528">
                <c:v>-35.741709999999998</c:v>
              </c:pt>
              <c:pt idx="4529">
                <c:v>-35.67689</c:v>
              </c:pt>
              <c:pt idx="4530">
                <c:v>-35.612070000000003</c:v>
              </c:pt>
              <c:pt idx="4531">
                <c:v>-35.547250000000005</c:v>
              </c:pt>
              <c:pt idx="4532">
                <c:v>-35.482420000000005</c:v>
              </c:pt>
              <c:pt idx="4533">
                <c:v>-35.417609999999996</c:v>
              </c:pt>
              <c:pt idx="4534">
                <c:v>-35.352789999999999</c:v>
              </c:pt>
              <c:pt idx="4535">
                <c:v>-35.287970000000001</c:v>
              </c:pt>
              <c:pt idx="4536">
                <c:v>-35.22325</c:v>
              </c:pt>
              <c:pt idx="4537">
                <c:v>-35.158439999999999</c:v>
              </c:pt>
              <c:pt idx="4538">
                <c:v>-35.093620000000001</c:v>
              </c:pt>
              <c:pt idx="4539">
                <c:v>-35.028790000000001</c:v>
              </c:pt>
              <c:pt idx="4540">
                <c:v>-34.963979999999999</c:v>
              </c:pt>
              <c:pt idx="4541">
                <c:v>-34.899169999999998</c:v>
              </c:pt>
              <c:pt idx="4542">
                <c:v>-34.834339999999997</c:v>
              </c:pt>
              <c:pt idx="4543">
                <c:v>-34.769620000000003</c:v>
              </c:pt>
              <c:pt idx="4544">
                <c:v>-34.704799999999999</c:v>
              </c:pt>
              <c:pt idx="4545">
                <c:v>-34.639989999999997</c:v>
              </c:pt>
              <c:pt idx="4546">
                <c:v>-34.57517</c:v>
              </c:pt>
              <c:pt idx="4547">
                <c:v>-34.510460000000002</c:v>
              </c:pt>
              <c:pt idx="4548">
                <c:v>-34.445640000000004</c:v>
              </c:pt>
              <c:pt idx="4549">
                <c:v>-34.380719999999997</c:v>
              </c:pt>
              <c:pt idx="4550">
                <c:v>-34.315910000000002</c:v>
              </c:pt>
              <c:pt idx="4551">
                <c:v>-34.251190000000001</c:v>
              </c:pt>
              <c:pt idx="4552">
                <c:v>-34.18638</c:v>
              </c:pt>
              <c:pt idx="4553">
                <c:v>-34.121560000000002</c:v>
              </c:pt>
              <c:pt idx="4554">
                <c:v>-34.056849999999997</c:v>
              </c:pt>
              <c:pt idx="4555">
                <c:v>-33.991929999999996</c:v>
              </c:pt>
              <c:pt idx="4556">
                <c:v>-33.927120000000002</c:v>
              </c:pt>
              <c:pt idx="4557">
                <c:v>-33.862400000000001</c:v>
              </c:pt>
              <c:pt idx="4558">
                <c:v>-33.79759</c:v>
              </c:pt>
              <c:pt idx="4559">
                <c:v>-33.732669999999999</c:v>
              </c:pt>
              <c:pt idx="4560">
                <c:v>-33.667960000000001</c:v>
              </c:pt>
              <c:pt idx="4561">
                <c:v>-33.603139999999996</c:v>
              </c:pt>
              <c:pt idx="4562">
                <c:v>-33.538229999999999</c:v>
              </c:pt>
              <c:pt idx="4563">
                <c:v>-33.473519999999994</c:v>
              </c:pt>
              <c:pt idx="4564">
                <c:v>-33.408709999999999</c:v>
              </c:pt>
              <c:pt idx="4565">
                <c:v>-33.343890000000002</c:v>
              </c:pt>
              <c:pt idx="4566">
                <c:v>-33.27908</c:v>
              </c:pt>
              <c:pt idx="4567">
                <c:v>-33.214370000000002</c:v>
              </c:pt>
              <c:pt idx="4568">
                <c:v>-33.149450000000002</c:v>
              </c:pt>
              <c:pt idx="4569">
                <c:v>-33.08464</c:v>
              </c:pt>
              <c:pt idx="4570">
                <c:v>-33.019829999999999</c:v>
              </c:pt>
              <c:pt idx="4571">
                <c:v>-32.955020000000005</c:v>
              </c:pt>
              <c:pt idx="4572">
                <c:v>-32.890309999999999</c:v>
              </c:pt>
              <c:pt idx="4573">
                <c:v>-32.825400000000002</c:v>
              </c:pt>
              <c:pt idx="4574">
                <c:v>-32.760680000000001</c:v>
              </c:pt>
              <c:pt idx="4575">
                <c:v>-32.695770000000003</c:v>
              </c:pt>
              <c:pt idx="4576">
                <c:v>-32.631070000000001</c:v>
              </c:pt>
              <c:pt idx="4577">
                <c:v>-32.566249999999997</c:v>
              </c:pt>
              <c:pt idx="4578">
                <c:v>-32.501440000000002</c:v>
              </c:pt>
              <c:pt idx="4579">
                <c:v>-32.436630000000001</c:v>
              </c:pt>
              <c:pt idx="4580">
                <c:v>-32.37182</c:v>
              </c:pt>
              <c:pt idx="4581">
                <c:v>-32.307009999999998</c:v>
              </c:pt>
              <c:pt idx="4582">
                <c:v>-32.242109999999997</c:v>
              </c:pt>
              <c:pt idx="4583">
                <c:v>-32.177390000000003</c:v>
              </c:pt>
              <c:pt idx="4584">
                <c:v>-32.112579999999994</c:v>
              </c:pt>
              <c:pt idx="4585">
                <c:v>-32.04777</c:v>
              </c:pt>
              <c:pt idx="4586">
                <c:v>-31.982960000000002</c:v>
              </c:pt>
              <c:pt idx="4587">
                <c:v>-31.918150000000004</c:v>
              </c:pt>
              <c:pt idx="4588">
                <c:v>-31.853349999999999</c:v>
              </c:pt>
              <c:pt idx="4589">
                <c:v>-31.788540000000001</c:v>
              </c:pt>
              <c:pt idx="4590">
                <c:v>-31.72383</c:v>
              </c:pt>
              <c:pt idx="4591">
                <c:v>-31.658930000000002</c:v>
              </c:pt>
              <c:pt idx="4592">
                <c:v>-31.594120000000004</c:v>
              </c:pt>
              <c:pt idx="4593">
                <c:v>-31.529310000000002</c:v>
              </c:pt>
              <c:pt idx="4594">
                <c:v>-31.464500000000001</c:v>
              </c:pt>
              <c:pt idx="4595">
                <c:v>-31.39969</c:v>
              </c:pt>
              <c:pt idx="4596">
                <c:v>-31.334890000000001</c:v>
              </c:pt>
              <c:pt idx="4597">
                <c:v>-31.270189999999999</c:v>
              </c:pt>
              <c:pt idx="4598">
                <c:v>-31.205270000000002</c:v>
              </c:pt>
              <c:pt idx="4599">
                <c:v>-31.140470000000001</c:v>
              </c:pt>
              <c:pt idx="4600">
                <c:v>-31.075669999999999</c:v>
              </c:pt>
              <c:pt idx="4601">
                <c:v>-31.010860000000001</c:v>
              </c:pt>
              <c:pt idx="4602">
                <c:v>-30.946149999999999</c:v>
              </c:pt>
              <c:pt idx="4603">
                <c:v>-30.881250000000001</c:v>
              </c:pt>
              <c:pt idx="4604">
                <c:v>-30.816439999999997</c:v>
              </c:pt>
              <c:pt idx="4605">
                <c:v>-30.751639999999998</c:v>
              </c:pt>
              <c:pt idx="4606">
                <c:v>-30.68683</c:v>
              </c:pt>
              <c:pt idx="4607">
                <c:v>-30.622029999999999</c:v>
              </c:pt>
              <c:pt idx="4608">
                <c:v>-30.557320000000001</c:v>
              </c:pt>
              <c:pt idx="4609">
                <c:v>-30.492520000000003</c:v>
              </c:pt>
              <c:pt idx="4610">
                <c:v>-30.427609999999998</c:v>
              </c:pt>
              <c:pt idx="4611">
                <c:v>-30.362811999999998</c:v>
              </c:pt>
              <c:pt idx="4612">
                <c:v>-30.298010000000001</c:v>
              </c:pt>
              <c:pt idx="4613">
                <c:v>-30.233207</c:v>
              </c:pt>
              <c:pt idx="4614">
                <c:v>-30.168403000000001</c:v>
              </c:pt>
              <c:pt idx="4615">
                <c:v>-30.103598000000002</c:v>
              </c:pt>
              <c:pt idx="4616">
                <c:v>-30.038790999999996</c:v>
              </c:pt>
              <c:pt idx="4617">
                <c:v>-29.973993999999998</c:v>
              </c:pt>
              <c:pt idx="4618">
                <c:v>-29.909194999999997</c:v>
              </c:pt>
              <c:pt idx="4619">
                <c:v>-29.844384999999999</c:v>
              </c:pt>
              <c:pt idx="4620">
                <c:v>-29.779582999999999</c:v>
              </c:pt>
              <c:pt idx="4621">
                <c:v>-29.714781000000002</c:v>
              </c:pt>
              <c:pt idx="4622">
                <c:v>-29.649986999999999</c:v>
              </c:pt>
              <c:pt idx="4623">
                <c:v>-29.585182</c:v>
              </c:pt>
              <c:pt idx="4624">
                <c:v>-29.520375999999999</c:v>
              </c:pt>
              <c:pt idx="4625">
                <c:v>-29.455577999999999</c:v>
              </c:pt>
              <c:pt idx="4626">
                <c:v>-29.390779000000002</c:v>
              </c:pt>
              <c:pt idx="4627">
                <c:v>-29.325879</c:v>
              </c:pt>
              <c:pt idx="4628">
                <c:v>-29.261077999999998</c:v>
              </c:pt>
              <c:pt idx="4629">
                <c:v>-29.196276000000001</c:v>
              </c:pt>
              <c:pt idx="4630">
                <c:v>-29.131481999999998</c:v>
              </c:pt>
              <c:pt idx="4631">
                <c:v>-29.066678</c:v>
              </c:pt>
              <c:pt idx="4632">
                <c:v>-29.001981999999998</c:v>
              </c:pt>
              <c:pt idx="4633">
                <c:v>-28.937084000000002</c:v>
              </c:pt>
              <c:pt idx="4634">
                <c:v>-28.872276000000003</c:v>
              </c:pt>
              <c:pt idx="4635">
                <c:v>-28.807485999999997</c:v>
              </c:pt>
              <c:pt idx="4636">
                <c:v>-28.742685000000002</c:v>
              </c:pt>
              <c:pt idx="4637">
                <c:v>-28.677883000000001</c:v>
              </c:pt>
              <c:pt idx="4638">
                <c:v>-28.61299</c:v>
              </c:pt>
              <c:pt idx="4639">
                <c:v>-28.548285</c:v>
              </c:pt>
              <c:pt idx="4640">
                <c:v>-28.483489000000002</c:v>
              </c:pt>
              <c:pt idx="4641">
                <c:v>-28.418591999999997</c:v>
              </c:pt>
              <c:pt idx="4642">
                <c:v>-28.353793999999997</c:v>
              </c:pt>
              <c:pt idx="4643">
                <c:v>-28.289094999999996</c:v>
              </c:pt>
              <c:pt idx="4644">
                <c:v>-28.224204</c:v>
              </c:pt>
              <c:pt idx="4645">
                <c:v>-28.159402</c:v>
              </c:pt>
              <c:pt idx="4646">
                <c:v>-28.094608999999998</c:v>
              </c:pt>
              <c:pt idx="4647">
                <c:v>-28.029814999999999</c:v>
              </c:pt>
              <c:pt idx="4648">
                <c:v>-27.965008999999998</c:v>
              </c:pt>
              <c:pt idx="4649">
                <c:v>-27.900222199999998</c:v>
              </c:pt>
              <c:pt idx="4650">
                <c:v>-27.835324199999999</c:v>
              </c:pt>
              <c:pt idx="4651">
                <c:v>-27.770625000000003</c:v>
              </c:pt>
              <c:pt idx="4652">
                <c:v>-27.705734490000001</c:v>
              </c:pt>
              <c:pt idx="4653">
                <c:v>-27.640932800000002</c:v>
              </c:pt>
              <c:pt idx="4654">
                <c:v>-27.576239900000004</c:v>
              </c:pt>
              <c:pt idx="4655">
                <c:v>-27.511345800000001</c:v>
              </c:pt>
              <c:pt idx="4656">
                <c:v>-27.4465504</c:v>
              </c:pt>
              <c:pt idx="4657">
                <c:v>-27.381754000000001</c:v>
              </c:pt>
              <c:pt idx="4658">
                <c:v>-27.316966000000001</c:v>
              </c:pt>
              <c:pt idx="4659">
                <c:v>-27.252167</c:v>
              </c:pt>
              <c:pt idx="4660">
                <c:v>-27.187376999999998</c:v>
              </c:pt>
              <c:pt idx="4661">
                <c:v>-27.122484999999998</c:v>
              </c:pt>
              <c:pt idx="4662">
                <c:v>-27.057682999999997</c:v>
              </c:pt>
              <c:pt idx="4663">
                <c:v>-26.992898999999998</c:v>
              </c:pt>
              <c:pt idx="4664">
                <c:v>-26.928103999999998</c:v>
              </c:pt>
              <c:pt idx="4665">
                <c:v>-26.863306999999999</c:v>
              </c:pt>
              <c:pt idx="4666">
                <c:v>-26.79852</c:v>
              </c:pt>
              <c:pt idx="4667">
                <c:v>-26.733621000000003</c:v>
              </c:pt>
              <c:pt idx="4668">
                <c:v>-26.668931000000001</c:v>
              </c:pt>
              <c:pt idx="4669">
                <c:v>-26.604039999999998</c:v>
              </c:pt>
              <c:pt idx="4670">
                <c:v>-26.539346999999999</c:v>
              </c:pt>
              <c:pt idx="4671">
                <c:v>-26.474453999999998</c:v>
              </c:pt>
              <c:pt idx="4672">
                <c:v>-26.409658999999998</c:v>
              </c:pt>
              <c:pt idx="4673">
                <c:v>-26.344873</c:v>
              </c:pt>
              <c:pt idx="4674">
                <c:v>-26.280085</c:v>
              </c:pt>
              <c:pt idx="4675">
                <c:v>-26.215187</c:v>
              </c:pt>
              <c:pt idx="4676">
                <c:v>-26.150397000000002</c:v>
              </c:pt>
              <c:pt idx="4677">
                <c:v>-26.085605999999999</c:v>
              </c:pt>
              <c:pt idx="4678">
                <c:v>-26.020824000000001</c:v>
              </c:pt>
              <c:pt idx="4679">
                <c:v>-25.956030000000002</c:v>
              </c:pt>
              <c:pt idx="4680">
                <c:v>-25.891135999999999</c:v>
              </c:pt>
              <c:pt idx="4681">
                <c:v>-25.826449999999998</c:v>
              </c:pt>
              <c:pt idx="4682">
                <c:v>-25.761562999999999</c:v>
              </c:pt>
              <c:pt idx="4683">
                <c:v>-25.696774000000001</c:v>
              </c:pt>
              <c:pt idx="4684">
                <c:v>-25.631985</c:v>
              </c:pt>
              <c:pt idx="4685">
                <c:v>-25.567093999999997</c:v>
              </c:pt>
              <c:pt idx="4686">
                <c:v>-25.502302</c:v>
              </c:pt>
              <c:pt idx="4687">
                <c:v>-25.437618999999998</c:v>
              </c:pt>
              <c:pt idx="4688">
                <c:v>-25.372724000000002</c:v>
              </c:pt>
              <c:pt idx="4689">
                <c:v>-25.307938999999998</c:v>
              </c:pt>
              <c:pt idx="4690">
                <c:v>-25.243152000000002</c:v>
              </c:pt>
              <c:pt idx="4691">
                <c:v>-25.178364000000002</c:v>
              </c:pt>
              <c:pt idx="4692">
                <c:v>-25.113473999999997</c:v>
              </c:pt>
              <c:pt idx="4693">
                <c:v>-25.048693999999998</c:v>
              </c:pt>
              <c:pt idx="4694">
                <c:v>-24.983902</c:v>
              </c:pt>
              <c:pt idx="4695">
                <c:v>-24.919119999999999</c:v>
              </c:pt>
              <c:pt idx="4696">
                <c:v>-24.854230000000001</c:v>
              </c:pt>
              <c:pt idx="4697">
                <c:v>-24.789439999999999</c:v>
              </c:pt>
              <c:pt idx="4698">
                <c:v>-24.72465</c:v>
              </c:pt>
              <c:pt idx="4699">
                <c:v>-24.659870000000002</c:v>
              </c:pt>
              <c:pt idx="4700">
                <c:v>-24.595089999999999</c:v>
              </c:pt>
              <c:pt idx="4701">
                <c:v>-24.530200000000001</c:v>
              </c:pt>
              <c:pt idx="4702">
                <c:v>-24.465409999999999</c:v>
              </c:pt>
              <c:pt idx="4703">
                <c:v>-24.40063</c:v>
              </c:pt>
              <c:pt idx="4704">
                <c:v>-24.335850000000001</c:v>
              </c:pt>
              <c:pt idx="4705">
                <c:v>-24.271059999999999</c:v>
              </c:pt>
              <c:pt idx="4706">
                <c:v>-24.20628</c:v>
              </c:pt>
              <c:pt idx="4707">
                <c:v>-24.141490000000001</c:v>
              </c:pt>
              <c:pt idx="4708">
                <c:v>-24.076710000000002</c:v>
              </c:pt>
              <c:pt idx="4709">
                <c:v>-24.011720000000004</c:v>
              </c:pt>
              <c:pt idx="4710">
                <c:v>-23.946939999999998</c:v>
              </c:pt>
              <c:pt idx="4711">
                <c:v>-23.882149999999999</c:v>
              </c:pt>
              <c:pt idx="4712">
                <c:v>-23.817369999999997</c:v>
              </c:pt>
              <c:pt idx="4713">
                <c:v>-23.752589999999998</c:v>
              </c:pt>
              <c:pt idx="4714">
                <c:v>-23.687809999999999</c:v>
              </c:pt>
              <c:pt idx="4715">
                <c:v>-23.622920000000001</c:v>
              </c:pt>
              <c:pt idx="4716">
                <c:v>-23.558140000000002</c:v>
              </c:pt>
              <c:pt idx="4717">
                <c:v>-23.49335</c:v>
              </c:pt>
              <c:pt idx="4718">
                <c:v>-23.428570000000001</c:v>
              </c:pt>
              <c:pt idx="4719">
                <c:v>-23.363690000000002</c:v>
              </c:pt>
              <c:pt idx="4720">
                <c:v>-23.298919999999999</c:v>
              </c:pt>
              <c:pt idx="4721">
                <c:v>-23.23413</c:v>
              </c:pt>
              <c:pt idx="4722">
                <c:v>-23.169350000000001</c:v>
              </c:pt>
              <c:pt idx="4723">
                <c:v>-23.104469999999999</c:v>
              </c:pt>
              <c:pt idx="4724">
                <c:v>-23.03969</c:v>
              </c:pt>
              <c:pt idx="4725">
                <c:v>-22.974910000000001</c:v>
              </c:pt>
              <c:pt idx="4726">
                <c:v>-22.910030000000003</c:v>
              </c:pt>
              <c:pt idx="4727">
                <c:v>-22.845350000000003</c:v>
              </c:pt>
              <c:pt idx="4728">
                <c:v>-22.780560000000001</c:v>
              </c:pt>
              <c:pt idx="4729">
                <c:v>-22.715690000000002</c:v>
              </c:pt>
              <c:pt idx="4730">
                <c:v>-22.6509</c:v>
              </c:pt>
              <c:pt idx="4731">
                <c:v>-22.586030000000001</c:v>
              </c:pt>
              <c:pt idx="4732">
                <c:v>-22.521250000000002</c:v>
              </c:pt>
              <c:pt idx="4733">
                <c:v>-22.456469999999996</c:v>
              </c:pt>
              <c:pt idx="4734">
                <c:v>-22.391590000000001</c:v>
              </c:pt>
              <c:pt idx="4735">
                <c:v>-22.326909999999998</c:v>
              </c:pt>
              <c:pt idx="4736">
                <c:v>-22.262029999999999</c:v>
              </c:pt>
              <c:pt idx="4737">
                <c:v>-22.19725</c:v>
              </c:pt>
              <c:pt idx="4738">
                <c:v>-22.132370000000002</c:v>
              </c:pt>
              <c:pt idx="4739">
                <c:v>-22.067599999999999</c:v>
              </c:pt>
              <c:pt idx="4740">
                <c:v>-22.00282</c:v>
              </c:pt>
              <c:pt idx="4741">
                <c:v>-21.938040000000001</c:v>
              </c:pt>
              <c:pt idx="4742">
                <c:v>-21.873170000000002</c:v>
              </c:pt>
              <c:pt idx="4743">
                <c:v>-21.808389999999996</c:v>
              </c:pt>
              <c:pt idx="4744">
                <c:v>-21.74362</c:v>
              </c:pt>
              <c:pt idx="4745">
                <c:v>-21.678730000000002</c:v>
              </c:pt>
              <c:pt idx="4746">
                <c:v>-21.613959999999999</c:v>
              </c:pt>
              <c:pt idx="4747">
                <c:v>-21.54918</c:v>
              </c:pt>
              <c:pt idx="4748">
                <c:v>-21.484400000000001</c:v>
              </c:pt>
              <c:pt idx="4749">
                <c:v>-21.419530000000002</c:v>
              </c:pt>
              <c:pt idx="4750">
                <c:v>-21.354750000000003</c:v>
              </c:pt>
              <c:pt idx="4751">
                <c:v>-21.28998</c:v>
              </c:pt>
              <c:pt idx="4752">
                <c:v>-21.225110000000001</c:v>
              </c:pt>
              <c:pt idx="4753">
                <c:v>-21.160330000000002</c:v>
              </c:pt>
              <c:pt idx="4754">
                <c:v>-21.095550000000003</c:v>
              </c:pt>
              <c:pt idx="4755">
                <c:v>-21.030679999999997</c:v>
              </c:pt>
              <c:pt idx="4756">
                <c:v>-20.965909999999997</c:v>
              </c:pt>
              <c:pt idx="4757">
                <c:v>-20.901029999999999</c:v>
              </c:pt>
              <c:pt idx="4758">
                <c:v>-20.836359999999999</c:v>
              </c:pt>
              <c:pt idx="4759">
                <c:v>-20.77149</c:v>
              </c:pt>
              <c:pt idx="4760">
                <c:v>-20.706610000000001</c:v>
              </c:pt>
              <c:pt idx="4761">
                <c:v>-20.641839999999998</c:v>
              </c:pt>
              <c:pt idx="4762">
                <c:v>-20.577069999999999</c:v>
              </c:pt>
              <c:pt idx="4763">
                <c:v>-20.51229</c:v>
              </c:pt>
              <c:pt idx="4764">
                <c:v>-20.447420000000001</c:v>
              </c:pt>
              <c:pt idx="4765">
                <c:v>-20.382640000000002</c:v>
              </c:pt>
              <c:pt idx="4766">
                <c:v>-20.317770000000003</c:v>
              </c:pt>
              <c:pt idx="4767">
                <c:v>-20.253</c:v>
              </c:pt>
              <c:pt idx="4768">
                <c:v>-20.188229999999997</c:v>
              </c:pt>
              <c:pt idx="4769">
                <c:v>-20.123459999999998</c:v>
              </c:pt>
              <c:pt idx="4770">
                <c:v>-20.058579999999999</c:v>
              </c:pt>
              <c:pt idx="4771">
                <c:v>-19.993819999999999</c:v>
              </c:pt>
              <c:pt idx="4772">
                <c:v>-19.928939999999997</c:v>
              </c:pt>
              <c:pt idx="4773">
                <c:v>-19.864170000000001</c:v>
              </c:pt>
              <c:pt idx="4774">
                <c:v>-19.799399999999999</c:v>
              </c:pt>
              <c:pt idx="4775">
                <c:v>-19.734529999999999</c:v>
              </c:pt>
              <c:pt idx="4776">
                <c:v>-19.66976</c:v>
              </c:pt>
              <c:pt idx="4777">
                <c:v>-19.604889999999997</c:v>
              </c:pt>
              <c:pt idx="4778">
                <c:v>-19.540120000000002</c:v>
              </c:pt>
              <c:pt idx="4779">
                <c:v>-19.475350000000002</c:v>
              </c:pt>
              <c:pt idx="4780">
                <c:v>-19.41048</c:v>
              </c:pt>
              <c:pt idx="4781">
                <c:v>-19.34571</c:v>
              </c:pt>
              <c:pt idx="4782">
                <c:v>-19.280940000000001</c:v>
              </c:pt>
              <c:pt idx="4783">
                <c:v>-19.216070000000002</c:v>
              </c:pt>
              <c:pt idx="4784">
                <c:v>-19.151299999999999</c:v>
              </c:pt>
              <c:pt idx="4785">
                <c:v>-19.086539999999999</c:v>
              </c:pt>
              <c:pt idx="4786">
                <c:v>-19.021660000000001</c:v>
              </c:pt>
              <c:pt idx="4787">
                <c:v>-18.956900000000001</c:v>
              </c:pt>
              <c:pt idx="4788">
                <c:v>-18.892129999999998</c:v>
              </c:pt>
              <c:pt idx="4789">
                <c:v>-18.827359999999999</c:v>
              </c:pt>
              <c:pt idx="4790">
                <c:v>-18.76239</c:v>
              </c:pt>
              <c:pt idx="4791">
                <c:v>-18.697620000000001</c:v>
              </c:pt>
              <c:pt idx="4792">
                <c:v>-18.632860000000001</c:v>
              </c:pt>
              <c:pt idx="4793">
                <c:v>-18.568089999999998</c:v>
              </c:pt>
              <c:pt idx="4794">
                <c:v>-18.503230000000002</c:v>
              </c:pt>
              <c:pt idx="4795">
                <c:v>-18.438459999999999</c:v>
              </c:pt>
              <c:pt idx="4796">
                <c:v>-18.37359</c:v>
              </c:pt>
              <c:pt idx="4797">
                <c:v>-18.30883</c:v>
              </c:pt>
              <c:pt idx="4798">
                <c:v>-18.244059999999998</c:v>
              </c:pt>
              <c:pt idx="4799">
                <c:v>-18.179200000000002</c:v>
              </c:pt>
              <c:pt idx="4800">
                <c:v>-18.114330000000002</c:v>
              </c:pt>
              <c:pt idx="4801">
                <c:v>-18.04956</c:v>
              </c:pt>
              <c:pt idx="4802">
                <c:v>-17.9848</c:v>
              </c:pt>
              <c:pt idx="4803">
                <c:v>-17.919940000000004</c:v>
              </c:pt>
              <c:pt idx="4804">
                <c:v>-17.85521</c:v>
              </c:pt>
              <c:pt idx="4805">
                <c:v>-17.79045</c:v>
              </c:pt>
              <c:pt idx="4806">
                <c:v>-17.725589999999997</c:v>
              </c:pt>
              <c:pt idx="4807">
                <c:v>-17.660629999999998</c:v>
              </c:pt>
              <c:pt idx="4808">
                <c:v>-17.595869999999998</c:v>
              </c:pt>
              <c:pt idx="4809">
                <c:v>-17.531009999999998</c:v>
              </c:pt>
              <c:pt idx="4810">
                <c:v>-17.466250000000002</c:v>
              </c:pt>
              <c:pt idx="4811">
                <c:v>-17.401479999999999</c:v>
              </c:pt>
              <c:pt idx="4812">
                <c:v>-17.33662</c:v>
              </c:pt>
              <c:pt idx="4813">
                <c:v>-17.271850000000001</c:v>
              </c:pt>
              <c:pt idx="4814">
                <c:v>-17.207079999999998</c:v>
              </c:pt>
              <c:pt idx="4815">
                <c:v>-17.142309999999998</c:v>
              </c:pt>
              <c:pt idx="4816">
                <c:v>-17.077440000000003</c:v>
              </c:pt>
              <c:pt idx="4817">
                <c:v>-17.01267</c:v>
              </c:pt>
              <c:pt idx="4818">
                <c:v>-16.947800000000001</c:v>
              </c:pt>
              <c:pt idx="4819">
                <c:v>-16.883020000000002</c:v>
              </c:pt>
              <c:pt idx="4820">
                <c:v>-16.818150000000003</c:v>
              </c:pt>
              <c:pt idx="4821">
                <c:v>-16.75337</c:v>
              </c:pt>
              <c:pt idx="4822">
                <c:v>-16.6905</c:v>
              </c:pt>
              <c:pt idx="4823">
                <c:v>-16.628969999999999</c:v>
              </c:pt>
              <c:pt idx="4824">
                <c:v>-16.567339999999998</c:v>
              </c:pt>
              <c:pt idx="4825">
                <c:v>-16.505809999999997</c:v>
              </c:pt>
              <c:pt idx="4826">
                <c:v>-16.444279999999999</c:v>
              </c:pt>
              <c:pt idx="4827">
                <c:v>-16.382740000000002</c:v>
              </c:pt>
              <c:pt idx="4828">
                <c:v>-16.321210000000001</c:v>
              </c:pt>
              <c:pt idx="4829">
                <c:v>-16.25977</c:v>
              </c:pt>
              <c:pt idx="4830">
                <c:v>-16.198139999999999</c:v>
              </c:pt>
              <c:pt idx="4831">
                <c:v>-16.136600000000001</c:v>
              </c:pt>
              <c:pt idx="4832">
                <c:v>-16.07507</c:v>
              </c:pt>
              <c:pt idx="4833">
                <c:v>-16.015280000000001</c:v>
              </c:pt>
              <c:pt idx="4834">
                <c:v>-15.955590000000001</c:v>
              </c:pt>
              <c:pt idx="4835">
                <c:v>-15.895999999999999</c:v>
              </c:pt>
              <c:pt idx="4836">
                <c:v>-15.836510000000001</c:v>
              </c:pt>
              <c:pt idx="4837">
                <c:v>-15.776920000000002</c:v>
              </c:pt>
              <c:pt idx="4838">
                <c:v>-15.71733</c:v>
              </c:pt>
              <c:pt idx="4839">
                <c:v>-15.65774</c:v>
              </c:pt>
              <c:pt idx="4840">
                <c:v>-15.598149999999999</c:v>
              </c:pt>
              <c:pt idx="4841">
                <c:v>-15.53856</c:v>
              </c:pt>
              <c:pt idx="4842">
                <c:v>-15.479059999999997</c:v>
              </c:pt>
              <c:pt idx="4843">
                <c:v>-15.41957</c:v>
              </c:pt>
              <c:pt idx="4844">
                <c:v>-15.359870000000001</c:v>
              </c:pt>
              <c:pt idx="4845">
                <c:v>-15.300379999999997</c:v>
              </c:pt>
              <c:pt idx="4846">
                <c:v>-15.240680000000001</c:v>
              </c:pt>
              <c:pt idx="4847">
                <c:v>-15.181289999999997</c:v>
              </c:pt>
              <c:pt idx="4848">
                <c:v>-15.121590000000001</c:v>
              </c:pt>
              <c:pt idx="4849">
                <c:v>-15.061990000000002</c:v>
              </c:pt>
              <c:pt idx="4850">
                <c:v>-15.002479999999998</c:v>
              </c:pt>
              <c:pt idx="4851">
                <c:v>-14.943680000000001</c:v>
              </c:pt>
              <c:pt idx="4852">
                <c:v>-14.88467</c:v>
              </c:pt>
              <c:pt idx="4853">
                <c:v>-14.825869999999998</c:v>
              </c:pt>
              <c:pt idx="4854">
                <c:v>-14.766970000000001</c:v>
              </c:pt>
              <c:pt idx="4855">
                <c:v>-14.708069999999999</c:v>
              </c:pt>
              <c:pt idx="4856">
                <c:v>-14.649159999999998</c:v>
              </c:pt>
              <c:pt idx="4857">
                <c:v>-14.590159999999997</c:v>
              </c:pt>
              <c:pt idx="4858">
                <c:v>-14.53135</c:v>
              </c:pt>
              <c:pt idx="4859">
                <c:v>-14.472440000000002</c:v>
              </c:pt>
              <c:pt idx="4860">
                <c:v>-14.41353</c:v>
              </c:pt>
              <c:pt idx="4861">
                <c:v>-14.35463</c:v>
              </c:pt>
              <c:pt idx="4862">
                <c:v>-14.295720000000001</c:v>
              </c:pt>
              <c:pt idx="4863">
                <c:v>-14.23681</c:v>
              </c:pt>
              <c:pt idx="4864">
                <c:v>-14.177900000000001</c:v>
              </c:pt>
              <c:pt idx="4865">
                <c:v>-14.118979999999997</c:v>
              </c:pt>
              <c:pt idx="4866">
                <c:v>-14.060169999999999</c:v>
              </c:pt>
              <c:pt idx="4867">
                <c:v>-14.00116</c:v>
              </c:pt>
              <c:pt idx="4868">
                <c:v>-13.942249999999998</c:v>
              </c:pt>
              <c:pt idx="4869">
                <c:v>-13.88353</c:v>
              </c:pt>
              <c:pt idx="4870">
                <c:v>-13.824520000000003</c:v>
              </c:pt>
              <c:pt idx="4871">
                <c:v>-13.765599999999999</c:v>
              </c:pt>
              <c:pt idx="4872">
                <c:v>-13.706680000000002</c:v>
              </c:pt>
              <c:pt idx="4873">
                <c:v>-13.647859999999998</c:v>
              </c:pt>
              <c:pt idx="4874">
                <c:v>-13.588849999999999</c:v>
              </c:pt>
              <c:pt idx="4875">
                <c:v>-13.52993</c:v>
              </c:pt>
              <c:pt idx="4876">
                <c:v>-13.47101</c:v>
              </c:pt>
              <c:pt idx="4877">
                <c:v>-13.41229</c:v>
              </c:pt>
              <c:pt idx="4878">
                <c:v>-13.353360000000002</c:v>
              </c:pt>
              <c:pt idx="4879">
                <c:v>-13.294439999999998</c:v>
              </c:pt>
              <c:pt idx="4880">
                <c:v>-13.235420000000001</c:v>
              </c:pt>
              <c:pt idx="4881">
                <c:v>-13.176490000000001</c:v>
              </c:pt>
              <c:pt idx="4882">
                <c:v>-13.117669999999997</c:v>
              </c:pt>
              <c:pt idx="4883">
                <c:v>-13.058840000000002</c:v>
              </c:pt>
              <c:pt idx="4884">
                <c:v>-12.999919999999999</c:v>
              </c:pt>
              <c:pt idx="4885">
                <c:v>-12.940990000000001</c:v>
              </c:pt>
              <c:pt idx="4886">
                <c:v>-12.882160000000002</c:v>
              </c:pt>
              <c:pt idx="4887">
                <c:v>-12.823129999999999</c:v>
              </c:pt>
              <c:pt idx="4888">
                <c:v>-12.764200000000002</c:v>
              </c:pt>
              <c:pt idx="4889">
                <c:v>-12.705270000000002</c:v>
              </c:pt>
              <c:pt idx="4890">
                <c:v>-12.646439999999998</c:v>
              </c:pt>
              <c:pt idx="4891">
                <c:v>-12.587510000000002</c:v>
              </c:pt>
              <c:pt idx="4892">
                <c:v>-12.528580000000002</c:v>
              </c:pt>
              <c:pt idx="4893">
                <c:v>-12.469850000000001</c:v>
              </c:pt>
              <c:pt idx="4894">
                <c:v>-12.410910000000001</c:v>
              </c:pt>
              <c:pt idx="4895">
                <c:v>-12.351979999999998</c:v>
              </c:pt>
              <c:pt idx="4896">
                <c:v>-12.293139999999999</c:v>
              </c:pt>
              <c:pt idx="4897">
                <c:v>-12.234210000000001</c:v>
              </c:pt>
              <c:pt idx="4898">
                <c:v>-12.175269999999998</c:v>
              </c:pt>
              <c:pt idx="4899">
                <c:v>-12.116429999999999</c:v>
              </c:pt>
              <c:pt idx="4900">
                <c:v>-12.057490000000001</c:v>
              </c:pt>
              <c:pt idx="4901">
                <c:v>-11.998449999999998</c:v>
              </c:pt>
              <c:pt idx="4902">
                <c:v>-11.939609999999998</c:v>
              </c:pt>
              <c:pt idx="4903">
                <c:v>-11.88067</c:v>
              </c:pt>
              <c:pt idx="4904">
                <c:v>-11.821829999999999</c:v>
              </c:pt>
              <c:pt idx="4905">
                <c:v>-11.762889999999999</c:v>
              </c:pt>
              <c:pt idx="4906">
                <c:v>-11.704040000000003</c:v>
              </c:pt>
              <c:pt idx="4907">
                <c:v>-11.645199999999999</c:v>
              </c:pt>
              <c:pt idx="4908">
                <c:v>-11.58625</c:v>
              </c:pt>
              <c:pt idx="4909">
                <c:v>-11.527410000000003</c:v>
              </c:pt>
              <c:pt idx="4910">
                <c:v>-11.46846</c:v>
              </c:pt>
              <c:pt idx="4911">
                <c:v>-11.409520000000002</c:v>
              </c:pt>
              <c:pt idx="4912">
                <c:v>-11.350569999999999</c:v>
              </c:pt>
              <c:pt idx="4913">
                <c:v>-11.29172</c:v>
              </c:pt>
              <c:pt idx="4914">
                <c:v>-11.232770000000002</c:v>
              </c:pt>
              <c:pt idx="4915">
                <c:v>-11.174019999999999</c:v>
              </c:pt>
              <c:pt idx="4916">
                <c:v>-11.115070000000001</c:v>
              </c:pt>
              <c:pt idx="4917">
                <c:v>-11.056120000000002</c:v>
              </c:pt>
              <c:pt idx="4918">
                <c:v>-10.997159999999997</c:v>
              </c:pt>
              <c:pt idx="4919">
                <c:v>-10.938310000000001</c:v>
              </c:pt>
              <c:pt idx="4920">
                <c:v>-10.879460000000002</c:v>
              </c:pt>
              <c:pt idx="4921">
                <c:v>-10.820499999999999</c:v>
              </c:pt>
              <c:pt idx="4922">
                <c:v>-10.761649999999999</c:v>
              </c:pt>
              <c:pt idx="4923">
                <c:v>-10.70269</c:v>
              </c:pt>
              <c:pt idx="4924">
                <c:v>-10.643829999999999</c:v>
              </c:pt>
              <c:pt idx="4925">
                <c:v>-10.584869999999999</c:v>
              </c:pt>
              <c:pt idx="4926">
                <c:v>-10.526010000000003</c:v>
              </c:pt>
              <c:pt idx="4927">
                <c:v>-10.46716</c:v>
              </c:pt>
              <c:pt idx="4928">
                <c:v>-10.408190000000001</c:v>
              </c:pt>
              <c:pt idx="4929">
                <c:v>-10.349330000000002</c:v>
              </c:pt>
              <c:pt idx="4930">
                <c:v>-10.290469999999999</c:v>
              </c:pt>
              <c:pt idx="4931">
                <c:v>-10.23141</c:v>
              </c:pt>
              <c:pt idx="4932">
                <c:v>-10.172650000000001</c:v>
              </c:pt>
              <c:pt idx="4933">
                <c:v>-10.113779999999998</c:v>
              </c:pt>
              <c:pt idx="4934">
                <c:v>-10.05472</c:v>
              </c:pt>
              <c:pt idx="4935">
                <c:v>-9.9959500000000023</c:v>
              </c:pt>
              <c:pt idx="4936">
                <c:v>-9.9369799999999984</c:v>
              </c:pt>
              <c:pt idx="4937">
                <c:v>-9.8781199999999991</c:v>
              </c:pt>
              <c:pt idx="4938">
                <c:v>-9.819250000000002</c:v>
              </c:pt>
              <c:pt idx="4939">
                <c:v>-9.7602799999999981</c:v>
              </c:pt>
              <c:pt idx="4940">
                <c:v>-9.701410000000001</c:v>
              </c:pt>
              <c:pt idx="4941">
                <c:v>-9.6424400000000006</c:v>
              </c:pt>
              <c:pt idx="4942">
                <c:v>-9.5836699999999997</c:v>
              </c:pt>
              <c:pt idx="4943">
                <c:v>-9.5246999999999993</c:v>
              </c:pt>
              <c:pt idx="4944">
                <c:v>-9.4658200000000008</c:v>
              </c:pt>
              <c:pt idx="4945">
                <c:v>-9.4068499999999986</c:v>
              </c:pt>
              <c:pt idx="4946">
                <c:v>-9.3479799999999997</c:v>
              </c:pt>
              <c:pt idx="4947">
                <c:v>-9.2891000000000012</c:v>
              </c:pt>
              <c:pt idx="4948">
                <c:v>-9.2302299999999988</c:v>
              </c:pt>
              <c:pt idx="4949">
                <c:v>-9.1713500000000003</c:v>
              </c:pt>
              <c:pt idx="4950">
                <c:v>-9.1123700000000021</c:v>
              </c:pt>
              <c:pt idx="4951">
                <c:v>-9.0534899999999983</c:v>
              </c:pt>
              <c:pt idx="4952">
                <c:v>-8.9945199999999979</c:v>
              </c:pt>
              <c:pt idx="4953">
                <c:v>-8.9357400000000009</c:v>
              </c:pt>
              <c:pt idx="4954">
                <c:v>-8.8767499999999977</c:v>
              </c:pt>
              <c:pt idx="4955">
                <c:v>-8.817969999999999</c:v>
              </c:pt>
              <c:pt idx="4956">
                <c:v>-8.758890000000001</c:v>
              </c:pt>
              <c:pt idx="4957">
                <c:v>-8.7000099999999971</c:v>
              </c:pt>
              <c:pt idx="4958">
                <c:v>-8.6412300000000002</c:v>
              </c:pt>
              <c:pt idx="4959">
                <c:v>-8.5822399999999988</c:v>
              </c:pt>
              <c:pt idx="4960">
                <c:v>-8.523360000000002</c:v>
              </c:pt>
              <c:pt idx="4961">
                <c:v>-8.4644699999999986</c:v>
              </c:pt>
              <c:pt idx="4962">
                <c:v>-8.4055800000000005</c:v>
              </c:pt>
              <c:pt idx="4963">
                <c:v>-8.346700000000002</c:v>
              </c:pt>
              <c:pt idx="4964">
                <c:v>-8.2878100000000003</c:v>
              </c:pt>
              <c:pt idx="4965">
                <c:v>-8.2289200000000005</c:v>
              </c:pt>
              <c:pt idx="4966">
                <c:v>-8.1699300000000008</c:v>
              </c:pt>
              <c:pt idx="4967">
                <c:v>-8.1111399999999989</c:v>
              </c:pt>
              <c:pt idx="4968">
                <c:v>-8.0522500000000008</c:v>
              </c:pt>
              <c:pt idx="4969">
                <c:v>-7.9932600000000029</c:v>
              </c:pt>
              <c:pt idx="4970">
                <c:v>-7.9343599999999981</c:v>
              </c:pt>
              <c:pt idx="4971">
                <c:v>-7.87547</c:v>
              </c:pt>
              <c:pt idx="4972">
                <c:v>-7.8165700000000022</c:v>
              </c:pt>
              <c:pt idx="4973">
                <c:v>-7.757679999999997</c:v>
              </c:pt>
              <c:pt idx="4974">
                <c:v>-7.6987799999999993</c:v>
              </c:pt>
              <c:pt idx="4975">
                <c:v>-7.6398900000000012</c:v>
              </c:pt>
              <c:pt idx="4976">
                <c:v>-7.5808899999999966</c:v>
              </c:pt>
              <c:pt idx="4977">
                <c:v>-7.5220899999999986</c:v>
              </c:pt>
              <c:pt idx="4978">
                <c:v>-7.4631900000000009</c:v>
              </c:pt>
              <c:pt idx="4979">
                <c:v>-7.4042900000000031</c:v>
              </c:pt>
              <c:pt idx="4980">
                <c:v>-7.3452899999999985</c:v>
              </c:pt>
              <c:pt idx="4981">
                <c:v>-7.2863900000000008</c:v>
              </c:pt>
              <c:pt idx="4982">
                <c:v>-7.2274900000000013</c:v>
              </c:pt>
              <c:pt idx="4983">
                <c:v>-7.1686899999999998</c:v>
              </c:pt>
              <c:pt idx="4984">
                <c:v>-7.1097800000000007</c:v>
              </c:pt>
              <c:pt idx="4985">
                <c:v>-7.0508800000000029</c:v>
              </c:pt>
              <c:pt idx="4986">
                <c:v>-6.9919699999999985</c:v>
              </c:pt>
              <c:pt idx="4987">
                <c:v>-6.9330700000000007</c:v>
              </c:pt>
              <c:pt idx="4988">
                <c:v>-6.8741599999999998</c:v>
              </c:pt>
              <c:pt idx="4989">
                <c:v>-6.8152499999999989</c:v>
              </c:pt>
              <c:pt idx="4990">
                <c:v>-6.7564399999999978</c:v>
              </c:pt>
              <c:pt idx="4991">
                <c:v>-6.69754</c:v>
              </c:pt>
              <c:pt idx="4992">
                <c:v>-6.6385300000000012</c:v>
              </c:pt>
              <c:pt idx="4993">
                <c:v>-6.5796099999999988</c:v>
              </c:pt>
              <c:pt idx="4994">
                <c:v>-6.5207000000000015</c:v>
              </c:pt>
              <c:pt idx="4995">
                <c:v>-6.4618900000000021</c:v>
              </c:pt>
              <c:pt idx="4996">
                <c:v>-6.4029799999999994</c:v>
              </c:pt>
              <c:pt idx="4997">
                <c:v>-6.3440600000000007</c:v>
              </c:pt>
              <c:pt idx="4998">
                <c:v>-6.2851500000000016</c:v>
              </c:pt>
              <c:pt idx="4999">
                <c:v>-6.2263300000000008</c:v>
              </c:pt>
              <c:pt idx="5000">
                <c:v>-6.1673199999999984</c:v>
              </c:pt>
              <c:pt idx="5001">
                <c:v>-6.1083999999999996</c:v>
              </c:pt>
              <c:pt idx="5002">
                <c:v>-6.0495800000000006</c:v>
              </c:pt>
              <c:pt idx="5003">
                <c:v>-5.9906799999999993</c:v>
              </c:pt>
              <c:pt idx="5004">
                <c:v>-5.931750000000001</c:v>
              </c:pt>
              <c:pt idx="5005">
                <c:v>-5.8728200000000026</c:v>
              </c:pt>
              <c:pt idx="5006">
                <c:v>-5.8139799999999973</c:v>
              </c:pt>
              <c:pt idx="5007">
                <c:v>-5.7550500000000007</c:v>
              </c:pt>
              <c:pt idx="5008">
                <c:v>-5.6960999999999995</c:v>
              </c:pt>
              <c:pt idx="5009">
                <c:v>-5.637260000000003</c:v>
              </c:pt>
              <c:pt idx="5010">
                <c:v>-5.5783199999999979</c:v>
              </c:pt>
              <c:pt idx="5011">
                <c:v>-5.5194799999999997</c:v>
              </c:pt>
              <c:pt idx="5012">
                <c:v>-5.4605300000000003</c:v>
              </c:pt>
              <c:pt idx="5013">
                <c:v>-5.4015799999999992</c:v>
              </c:pt>
              <c:pt idx="5014">
                <c:v>-5.3427299999999978</c:v>
              </c:pt>
              <c:pt idx="5015">
                <c:v>-5.2837900000000015</c:v>
              </c:pt>
              <c:pt idx="5016">
                <c:v>-5.2250300000000021</c:v>
              </c:pt>
              <c:pt idx="5017">
                <c:v>-5.1660799999999973</c:v>
              </c:pt>
              <c:pt idx="5018">
                <c:v>-5.1071200000000019</c:v>
              </c:pt>
              <c:pt idx="5019">
                <c:v>-5.0482600000000009</c:v>
              </c:pt>
              <c:pt idx="5020">
                <c:v>-4.9892999999999983</c:v>
              </c:pt>
              <c:pt idx="5021">
                <c:v>-4.9304299999999976</c:v>
              </c:pt>
              <c:pt idx="5022">
                <c:v>-4.8714700000000022</c:v>
              </c:pt>
              <c:pt idx="5023">
                <c:v>-4.8127100000000009</c:v>
              </c:pt>
              <c:pt idx="5024">
                <c:v>-4.7537399999999987</c:v>
              </c:pt>
              <c:pt idx="5025">
                <c:v>-4.6948699999999981</c:v>
              </c:pt>
              <c:pt idx="5026">
                <c:v>-4.6359000000000012</c:v>
              </c:pt>
              <c:pt idx="5027">
                <c:v>-4.5770199999999974</c:v>
              </c:pt>
              <c:pt idx="5028">
                <c:v>-4.5181500000000003</c:v>
              </c:pt>
              <c:pt idx="5029">
                <c:v>-4.4592700000000001</c:v>
              </c:pt>
              <c:pt idx="5030">
                <c:v>-4.4002900000000018</c:v>
              </c:pt>
              <c:pt idx="5031">
                <c:v>-4.3414099999999998</c:v>
              </c:pt>
              <c:pt idx="5032">
                <c:v>-4.2825299999999995</c:v>
              </c:pt>
              <c:pt idx="5033">
                <c:v>-4.223650000000001</c:v>
              </c:pt>
              <c:pt idx="5034">
                <c:v>-4.1647600000000011</c:v>
              </c:pt>
              <c:pt idx="5035">
                <c:v>-4.1057699999999997</c:v>
              </c:pt>
              <c:pt idx="5036">
                <c:v>-4.0469899999999992</c:v>
              </c:pt>
              <c:pt idx="5037">
                <c:v>-3.9879900000000017</c:v>
              </c:pt>
              <c:pt idx="5038">
                <c:v>-3.9290999999999983</c:v>
              </c:pt>
              <c:pt idx="5039">
                <c:v>-3.8703000000000003</c:v>
              </c:pt>
              <c:pt idx="5040">
                <c:v>-3.811300000000001</c:v>
              </c:pt>
              <c:pt idx="5041">
                <c:v>-3.7524100000000011</c:v>
              </c:pt>
              <c:pt idx="5042">
                <c:v>-3.6935099999999998</c:v>
              </c:pt>
              <c:pt idx="5043">
                <c:v>-3.6346100000000003</c:v>
              </c:pt>
              <c:pt idx="5044">
                <c:v>-3.5757000000000012</c:v>
              </c:pt>
              <c:pt idx="5045">
                <c:v>-3.5167999999999964</c:v>
              </c:pt>
              <c:pt idx="5046">
                <c:v>-3.457889999999999</c:v>
              </c:pt>
              <c:pt idx="5047">
                <c:v>-3.3990700000000018</c:v>
              </c:pt>
              <c:pt idx="5048">
                <c:v>-3.3401600000000009</c:v>
              </c:pt>
              <c:pt idx="5049">
                <c:v>-3.2811499999999985</c:v>
              </c:pt>
              <c:pt idx="5050">
                <c:v>-3.2223299999999995</c:v>
              </c:pt>
              <c:pt idx="5051">
                <c:v>-3.1634200000000003</c:v>
              </c:pt>
              <c:pt idx="5052">
                <c:v>-3.1045000000000016</c:v>
              </c:pt>
              <c:pt idx="5053">
                <c:v>-3.0455799999999975</c:v>
              </c:pt>
              <c:pt idx="5054">
                <c:v>-2.9867600000000003</c:v>
              </c:pt>
              <c:pt idx="5055">
                <c:v>-2.9278400000000016</c:v>
              </c:pt>
              <c:pt idx="5056">
                <c:v>-2.8689100000000014</c:v>
              </c:pt>
              <c:pt idx="5057">
                <c:v>-2.8099799999999977</c:v>
              </c:pt>
              <c:pt idx="5058">
                <c:v>-2.7511500000000009</c:v>
              </c:pt>
              <c:pt idx="5059">
                <c:v>-2.6922199999999989</c:v>
              </c:pt>
              <c:pt idx="5060">
                <c:v>-2.6333800000000025</c:v>
              </c:pt>
              <c:pt idx="5061">
                <c:v>-2.574349999999999</c:v>
              </c:pt>
              <c:pt idx="5062">
                <c:v>-2.5155199999999986</c:v>
              </c:pt>
              <c:pt idx="5063">
                <c:v>-2.456570000000001</c:v>
              </c:pt>
              <c:pt idx="5064">
                <c:v>-2.3977400000000006</c:v>
              </c:pt>
              <c:pt idx="5065">
                <c:v>-2.3387899999999995</c:v>
              </c:pt>
              <c:pt idx="5066">
                <c:v>-2.2799400000000016</c:v>
              </c:pt>
              <c:pt idx="5067">
                <c:v>-2.2211100000000012</c:v>
              </c:pt>
              <c:pt idx="5068">
                <c:v>-2.1620599999999985</c:v>
              </c:pt>
              <c:pt idx="5069">
                <c:v>-2.1032099999999989</c:v>
              </c:pt>
              <c:pt idx="5070">
                <c:v>-2.0442499999999999</c:v>
              </c:pt>
              <c:pt idx="5071">
                <c:v>-1.9854000000000003</c:v>
              </c:pt>
              <c:pt idx="5072">
                <c:v>-1.9265399999999993</c:v>
              </c:pt>
              <c:pt idx="5073">
                <c:v>-1.8675800000000002</c:v>
              </c:pt>
              <c:pt idx="5074">
                <c:v>-1.8087299999999988</c:v>
              </c:pt>
              <c:pt idx="5075">
                <c:v>-1.7498700000000014</c:v>
              </c:pt>
              <c:pt idx="5076">
                <c:v>-1.6908999999999974</c:v>
              </c:pt>
              <c:pt idx="5077">
                <c:v>-1.6320299999999985</c:v>
              </c:pt>
              <c:pt idx="5078">
                <c:v>-1.5731700000000011</c:v>
              </c:pt>
              <c:pt idx="5079">
                <c:v>-1.5142000000000007</c:v>
              </c:pt>
              <c:pt idx="5080">
                <c:v>-1.4553299999999982</c:v>
              </c:pt>
              <c:pt idx="5081">
                <c:v>-1.3964700000000008</c:v>
              </c:pt>
              <c:pt idx="5082">
                <c:v>-1.3375900000000005</c:v>
              </c:pt>
              <c:pt idx="5083">
                <c:v>-1.2786200000000019</c:v>
              </c:pt>
              <c:pt idx="5084">
                <c:v>-1.2197299999999967</c:v>
              </c:pt>
              <c:pt idx="5085">
                <c:v>-1.1608599999999978</c:v>
              </c:pt>
              <c:pt idx="5086">
                <c:v>-1.1019799999999993</c:v>
              </c:pt>
              <c:pt idx="5087">
                <c:v>-1.043000000000001</c:v>
              </c:pt>
              <c:pt idx="5088">
                <c:v>-0.98410999999999937</c:v>
              </c:pt>
              <c:pt idx="5089">
                <c:v>-0.92522999999999911</c:v>
              </c:pt>
              <c:pt idx="5090">
                <c:v>-0.8663299999999996</c:v>
              </c:pt>
              <c:pt idx="5091">
                <c:v>-0.80745000000000289</c:v>
              </c:pt>
              <c:pt idx="5092">
                <c:v>-0.74846000000000146</c:v>
              </c:pt>
              <c:pt idx="5093">
                <c:v>-0.68955999999999662</c:v>
              </c:pt>
              <c:pt idx="5094">
                <c:v>-0.63065999999999889</c:v>
              </c:pt>
              <c:pt idx="5095">
                <c:v>-0.57187000000000054</c:v>
              </c:pt>
              <c:pt idx="5096">
                <c:v>-0.51296999999999926</c:v>
              </c:pt>
              <c:pt idx="5097">
                <c:v>-0.45406999999999798</c:v>
              </c:pt>
              <c:pt idx="5098">
                <c:v>-0.39517000000000024</c:v>
              </c:pt>
              <c:pt idx="5099">
                <c:v>-0.33616999999999919</c:v>
              </c:pt>
              <c:pt idx="5100">
                <c:v>-0.27725000000000222</c:v>
              </c:pt>
              <c:pt idx="5101">
                <c:v>-0.21833000000000169</c:v>
              </c:pt>
              <c:pt idx="5102">
                <c:v>-0.15950999999999738</c:v>
              </c:pt>
              <c:pt idx="5103">
                <c:v>-0.10060000000000002</c:v>
              </c:pt>
              <c:pt idx="5104">
                <c:v>-4.1679999999999495E-2</c:v>
              </c:pt>
              <c:pt idx="5105">
                <c:v>1.7240000000001032E-2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F1C-4988-9924-0F49371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472889891557003"/>
          <c:y val="0.15542368885532243"/>
          <c:w val="0.32322029430413568"/>
          <c:h val="0.12893166066503378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txPr>
    <a:bodyPr/>
    <a:lstStyle/>
    <a:p>
      <a:pPr>
        <a:defRPr sz="11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Mechanism'!$H$137:$H$142</c:f>
              <c:numCache>
                <c:formatCode>0.0000</c:formatCode>
                <c:ptCount val="6"/>
                <c:pt idx="0">
                  <c:v>0.19962745482949315</c:v>
                </c:pt>
                <c:pt idx="1">
                  <c:v>0.19871452567757905</c:v>
                </c:pt>
                <c:pt idx="2">
                  <c:v>0.1947946665138677</c:v>
                </c:pt>
                <c:pt idx="3">
                  <c:v>0</c:v>
                </c:pt>
              </c:numCache>
            </c:numRef>
          </c:xVal>
          <c:yVal>
            <c:numRef>
              <c:f>'Post-yield Mechanism'!$B$137:$B$142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Mechanism'!$G$125</c:f>
              <c:strCache>
                <c:ptCount val="1"/>
                <c:pt idx="0">
                  <c:v>-286.31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Mechanism'!$G$126:$G$129</c:f>
              <c:numCache>
                <c:formatCode>0.0000</c:formatCode>
                <c:ptCount val="4"/>
                <c:pt idx="0">
                  <c:v>4.9986999999999997E-2</c:v>
                </c:pt>
                <c:pt idx="1">
                  <c:v>4.5845999999999998E-2</c:v>
                </c:pt>
                <c:pt idx="2">
                  <c:v>3.0802099999999999E-2</c:v>
                </c:pt>
                <c:pt idx="3">
                  <c:v>0</c:v>
                </c:pt>
              </c:numCache>
            </c:numRef>
          </c:xVal>
          <c:yVal>
            <c:numRef>
              <c:f>'Post-yield Mechanism'!$C$126:$C$129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0.19999999993730322</c:v>
                      </c:pt>
                      <c:pt idx="1">
                        <c:v>0.19915043508080341</c:v>
                      </c:pt>
                      <c:pt idx="2">
                        <c:v>0.19506198235761751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1.8109748063023019E-2</c:v>
                      </c:pt>
                      <c:pt idx="1">
                        <c:v>1.5017542603366024E-2</c:v>
                      </c:pt>
                      <c:pt idx="2">
                        <c:v>9.8839899552513374E-3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2.4532627087902478E-2</c:v>
                      </c:pt>
                      <c:pt idx="1">
                        <c:v>2.1095547584390334E-2</c:v>
                      </c:pt>
                      <c:pt idx="2">
                        <c:v>1.2793659329201451E-2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3.232672482796739E-2</c:v>
                      </c:pt>
                      <c:pt idx="1">
                        <c:v>2.9471677260595332E-2</c:v>
                      </c:pt>
                      <c:pt idx="2">
                        <c:v>2.2069583840867702E-2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4.4838342816113694E-2</c:v>
                      </c:pt>
                      <c:pt idx="1">
                        <c:v>4.3483943533355753E-2</c:v>
                      </c:pt>
                      <c:pt idx="2">
                        <c:v>3.8752686891092222E-2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0.19962745482949315</c:v>
                      </c:pt>
                      <c:pt idx="1">
                        <c:v>0.19871452567757905</c:v>
                      </c:pt>
                      <c:pt idx="2">
                        <c:v>0.1947946665138677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  <c:pt idx="0">
                        <c:v>-308.35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Mechanism'!$E$126:$E$131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2.4985299999999998E-2</c:v>
                      </c:pt>
                      <c:pt idx="1">
                        <c:v>2.0791299999999999E-2</c:v>
                      </c:pt>
                      <c:pt idx="2">
                        <c:v>1.03836E-2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  <c:pt idx="0">
                        <c:v>-344.13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Mechanism'!$F$126:$F$131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3.4989100000000002E-2</c:v>
                      </c:pt>
                      <c:pt idx="1">
                        <c:v>3.02668E-2</c:v>
                      </c:pt>
                      <c:pt idx="2">
                        <c:v>1.6157999999999999E-2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  <c:pt idx="0">
                        <c:v>-286.31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Mechanism'!$G$126:$G$129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4.9986999999999997E-2</c:v>
                      </c:pt>
                      <c:pt idx="1">
                        <c:v>4.5845999999999998E-2</c:v>
                      </c:pt>
                      <c:pt idx="2">
                        <c:v>3.0802099999999999E-2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Mechanism'!$C$126:$C$129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Mechanism'!$D$188:$D$191</c:f>
              <c:numCache>
                <c:formatCode>0.000</c:formatCode>
                <c:ptCount val="4"/>
                <c:pt idx="0">
                  <c:v>1</c:v>
                </c:pt>
                <c:pt idx="1">
                  <c:v>0.99542683568903956</c:v>
                </c:pt>
                <c:pt idx="2">
                  <c:v>0.97579096362395012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-184.49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Mechanism'!$E$188:$E$191</c:f>
              <c:numCache>
                <c:formatCode>0.000</c:formatCode>
                <c:ptCount val="4"/>
                <c:pt idx="0">
                  <c:v>1</c:v>
                </c:pt>
                <c:pt idx="1">
                  <c:v>0.75690858792158111</c:v>
                </c:pt>
                <c:pt idx="2">
                  <c:v>0.36780852700016975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343543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8</xdr:col>
      <xdr:colOff>190499</xdr:colOff>
      <xdr:row>27</xdr:row>
      <xdr:rowOff>166686</xdr:rowOff>
    </xdr:from>
    <xdr:to>
      <xdr:col>15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2</xdr:col>
      <xdr:colOff>231819</xdr:colOff>
      <xdr:row>8</xdr:row>
      <xdr:rowOff>78442</xdr:rowOff>
    </xdr:from>
    <xdr:to>
      <xdr:col>7</xdr:col>
      <xdr:colOff>190617</xdr:colOff>
      <xdr:row>23</xdr:row>
      <xdr:rowOff>114178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  <a14:imgEffect>
                    <a14:brightnessContrast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74819" y="1680883"/>
          <a:ext cx="3051622" cy="3346149"/>
        </a:xfrm>
        <a:prstGeom prst="rect">
          <a:avLst/>
        </a:prstGeom>
      </xdr:spPr>
    </xdr:pic>
    <xdr:clientData/>
  </xdr:twoCellAnchor>
  <xdr:twoCellAnchor editAs="oneCell">
    <xdr:from>
      <xdr:col>7</xdr:col>
      <xdr:colOff>504265</xdr:colOff>
      <xdr:row>21</xdr:row>
      <xdr:rowOff>56029</xdr:rowOff>
    </xdr:from>
    <xdr:to>
      <xdr:col>13</xdr:col>
      <xdr:colOff>341078</xdr:colOff>
      <xdr:row>28</xdr:row>
      <xdr:rowOff>25283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40089" y="4482353"/>
          <a:ext cx="3316940" cy="1465939"/>
        </a:xfrm>
        <a:prstGeom prst="rect">
          <a:avLst/>
        </a:prstGeom>
      </xdr:spPr>
    </xdr:pic>
    <xdr:clientData/>
  </xdr:twoCellAnchor>
  <xdr:twoCellAnchor editAs="oneCell">
    <xdr:from>
      <xdr:col>14</xdr:col>
      <xdr:colOff>78440</xdr:colOff>
      <xdr:row>21</xdr:row>
      <xdr:rowOff>145676</xdr:rowOff>
    </xdr:from>
    <xdr:to>
      <xdr:col>16</xdr:col>
      <xdr:colOff>221316</xdr:colOff>
      <xdr:row>25</xdr:row>
      <xdr:rowOff>66396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68234" y="4572000"/>
          <a:ext cx="1411942" cy="7758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</xdr:colOff>
      <xdr:row>25</xdr:row>
      <xdr:rowOff>11904</xdr:rowOff>
    </xdr:from>
    <xdr:to>
      <xdr:col>27</xdr:col>
      <xdr:colOff>559594</xdr:colOff>
      <xdr:row>48</xdr:row>
      <xdr:rowOff>130968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1470" y="4976810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23810</xdr:colOff>
      <xdr:row>13</xdr:row>
      <xdr:rowOff>35715</xdr:rowOff>
    </xdr:from>
    <xdr:to>
      <xdr:col>17</xdr:col>
      <xdr:colOff>857250</xdr:colOff>
      <xdr:row>38</xdr:row>
      <xdr:rowOff>190497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9" y="2631278"/>
          <a:ext cx="12037221" cy="52982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41</xdr:row>
      <xdr:rowOff>3570</xdr:rowOff>
    </xdr:from>
    <xdr:to>
      <xdr:col>26</xdr:col>
      <xdr:colOff>47625</xdr:colOff>
      <xdr:row>61</xdr:row>
      <xdr:rowOff>178593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333374</xdr:colOff>
      <xdr:row>16</xdr:row>
      <xdr:rowOff>185735</xdr:rowOff>
    </xdr:from>
    <xdr:to>
      <xdr:col>15</xdr:col>
      <xdr:colOff>604836</xdr:colOff>
      <xdr:row>43</xdr:row>
      <xdr:rowOff>102394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23811</xdr:colOff>
      <xdr:row>20</xdr:row>
      <xdr:rowOff>166687</xdr:rowOff>
    </xdr:from>
    <xdr:to>
      <xdr:col>8</xdr:col>
      <xdr:colOff>202406</xdr:colOff>
      <xdr:row>43</xdr:row>
      <xdr:rowOff>154782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285750</xdr:colOff>
          <xdr:row>63</xdr:row>
          <xdr:rowOff>161925</xdr:rowOff>
        </xdr:from>
        <xdr:to>
          <xdr:col>23</xdr:col>
          <xdr:colOff>514350</xdr:colOff>
          <xdr:row>66</xdr:row>
          <xdr:rowOff>114300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733425</xdr:colOff>
          <xdr:row>67</xdr:row>
          <xdr:rowOff>9525</xdr:rowOff>
        </xdr:from>
        <xdr:to>
          <xdr:col>22</xdr:col>
          <xdr:colOff>200025</xdr:colOff>
          <xdr:row>70</xdr:row>
          <xdr:rowOff>0</xdr:rowOff>
        </xdr:to>
        <xdr:sp macro="" textlink="">
          <xdr:nvSpPr>
            <xdr:cNvPr id="4101" name="CommandButton2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63</xdr:row>
          <xdr:rowOff>142875</xdr:rowOff>
        </xdr:from>
        <xdr:to>
          <xdr:col>25</xdr:col>
          <xdr:colOff>228600</xdr:colOff>
          <xdr:row>66</xdr:row>
          <xdr:rowOff>95250</xdr:rowOff>
        </xdr:to>
        <xdr:sp macro="" textlink="">
          <xdr:nvSpPr>
            <xdr:cNvPr id="4102" name="CommandButton3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71</xdr:row>
          <xdr:rowOff>76200</xdr:rowOff>
        </xdr:from>
        <xdr:to>
          <xdr:col>22</xdr:col>
          <xdr:colOff>247650</xdr:colOff>
          <xdr:row>74</xdr:row>
          <xdr:rowOff>28575</xdr:rowOff>
        </xdr:to>
        <xdr:sp macro="" textlink="">
          <xdr:nvSpPr>
            <xdr:cNvPr id="4103" name="CommandButton4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64</xdr:row>
          <xdr:rowOff>9525</xdr:rowOff>
        </xdr:from>
        <xdr:to>
          <xdr:col>22</xdr:col>
          <xdr:colOff>238125</xdr:colOff>
          <xdr:row>66</xdr:row>
          <xdr:rowOff>152400</xdr:rowOff>
        </xdr:to>
        <xdr:sp macro="" textlink="">
          <xdr:nvSpPr>
            <xdr:cNvPr id="4104" name="CommandButton5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48</xdr:row>
          <xdr:rowOff>9525</xdr:rowOff>
        </xdr:from>
        <xdr:to>
          <xdr:col>7</xdr:col>
          <xdr:colOff>723900</xdr:colOff>
          <xdr:row>49</xdr:row>
          <xdr:rowOff>9525</xdr:rowOff>
        </xdr:to>
        <xdr:sp macro="" textlink="">
          <xdr:nvSpPr>
            <xdr:cNvPr id="4106" name="SpinButton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49</xdr:row>
          <xdr:rowOff>9525</xdr:rowOff>
        </xdr:from>
        <xdr:to>
          <xdr:col>7</xdr:col>
          <xdr:colOff>723900</xdr:colOff>
          <xdr:row>50</xdr:row>
          <xdr:rowOff>0</xdr:rowOff>
        </xdr:to>
        <xdr:sp macro="" textlink="">
          <xdr:nvSpPr>
            <xdr:cNvPr id="4107" name="SpinButton2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50</xdr:row>
          <xdr:rowOff>9525</xdr:rowOff>
        </xdr:from>
        <xdr:to>
          <xdr:col>7</xdr:col>
          <xdr:colOff>723900</xdr:colOff>
          <xdr:row>51</xdr:row>
          <xdr:rowOff>9525</xdr:rowOff>
        </xdr:to>
        <xdr:sp macro="" textlink="">
          <xdr:nvSpPr>
            <xdr:cNvPr id="4108" name="SpinButton3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876300</xdr:colOff>
          <xdr:row>12</xdr:row>
          <xdr:rowOff>190500</xdr:rowOff>
        </xdr:to>
        <xdr:sp macro="" textlink="">
          <xdr:nvSpPr>
            <xdr:cNvPr id="4112" name="ToggleButton1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876300</xdr:colOff>
          <xdr:row>14</xdr:row>
          <xdr:rowOff>0</xdr:rowOff>
        </xdr:to>
        <xdr:sp macro="" textlink="">
          <xdr:nvSpPr>
            <xdr:cNvPr id="4113" name="ToggleButton2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4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28575</xdr:rowOff>
        </xdr:from>
        <xdr:to>
          <xdr:col>8</xdr:col>
          <xdr:colOff>876300</xdr:colOff>
          <xdr:row>15</xdr:row>
          <xdr:rowOff>0</xdr:rowOff>
        </xdr:to>
        <xdr:sp macro="" textlink="">
          <xdr:nvSpPr>
            <xdr:cNvPr id="4114" name="ToggleButton3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4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image" Target="../media/image14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5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35"/>
  <sheetViews>
    <sheetView zoomScale="80" zoomScaleNormal="80" workbookViewId="0">
      <selection activeCell="AG38" sqref="AG38"/>
    </sheetView>
  </sheetViews>
  <sheetFormatPr defaultColWidth="9.140625" defaultRowHeight="15.75" x14ac:dyDescent="0.25"/>
  <cols>
    <col min="1" max="1" width="9.140625" style="138"/>
    <col min="2" max="2" width="8.140625" style="138" customWidth="1"/>
    <col min="3" max="3" width="9.140625" style="138" customWidth="1"/>
    <col min="4" max="4" width="10.140625" style="138" customWidth="1"/>
    <col min="5" max="5" width="9.140625" style="138" customWidth="1"/>
    <col min="6" max="9" width="9.140625" style="138"/>
    <col min="10" max="10" width="6.28515625" style="138" bestFit="1" customWidth="1"/>
    <col min="11" max="11" width="12.7109375" style="138" customWidth="1"/>
    <col min="12" max="12" width="6.28515625" style="138" bestFit="1" customWidth="1"/>
    <col min="13" max="13" width="8.7109375" style="138" customWidth="1"/>
    <col min="14" max="14" width="6.28515625" style="138" bestFit="1" customWidth="1"/>
    <col min="15" max="15" width="12.7109375" style="138" customWidth="1"/>
    <col min="16" max="16" width="6.28515625" style="138" bestFit="1" customWidth="1"/>
    <col min="17" max="17" width="8.7109375" style="138" customWidth="1"/>
    <col min="18" max="18" width="5" style="138" bestFit="1" customWidth="1"/>
    <col min="19" max="19" width="8" style="138" customWidth="1"/>
    <col min="20" max="20" width="9.5703125" style="138" customWidth="1"/>
    <col min="21" max="21" width="11.28515625" style="138" customWidth="1"/>
    <col min="22" max="25" width="10.5703125" style="138" bestFit="1" customWidth="1"/>
    <col min="26" max="26" width="10.42578125" style="138" bestFit="1" customWidth="1"/>
    <col min="27" max="27" width="14.5703125" style="138" bestFit="1" customWidth="1"/>
    <col min="28" max="28" width="10.7109375" style="138" bestFit="1" customWidth="1"/>
    <col min="29" max="29" width="8.7109375" style="138" bestFit="1" customWidth="1"/>
    <col min="30" max="30" width="10.28515625" style="138" bestFit="1" customWidth="1"/>
    <col min="31" max="31" width="7.28515625" style="138" bestFit="1" customWidth="1"/>
    <col min="32" max="32" width="11.85546875" style="138" bestFit="1" customWidth="1"/>
    <col min="33" max="33" width="11.7109375" style="138" bestFit="1" customWidth="1"/>
    <col min="34" max="34" width="9.5703125" style="138" bestFit="1" customWidth="1"/>
    <col min="35" max="35" width="10.28515625" style="138" bestFit="1" customWidth="1"/>
    <col min="36" max="36" width="5" style="138" bestFit="1" customWidth="1"/>
    <col min="37" max="37" width="13.7109375" style="138" bestFit="1" customWidth="1"/>
    <col min="38" max="38" width="9.28515625" style="138" bestFit="1" customWidth="1"/>
    <col min="39" max="16384" width="9.140625" style="138"/>
  </cols>
  <sheetData>
    <row r="1" spans="2:38" ht="16.5" thickBot="1" x14ac:dyDescent="0.3"/>
    <row r="2" spans="2:38" ht="15" customHeight="1" x14ac:dyDescent="0.25">
      <c r="B2" s="253"/>
      <c r="C2" s="254"/>
      <c r="D2" s="254"/>
      <c r="E2" s="254"/>
      <c r="F2" s="254"/>
      <c r="G2" s="254"/>
      <c r="H2" s="254"/>
      <c r="I2" s="254"/>
      <c r="J2" s="660" t="s">
        <v>4</v>
      </c>
      <c r="K2" s="660"/>
      <c r="L2" s="660"/>
      <c r="M2" s="660"/>
      <c r="N2" s="660"/>
      <c r="O2" s="660"/>
      <c r="P2" s="660"/>
      <c r="Q2" s="255"/>
      <c r="S2" s="625" t="s">
        <v>31</v>
      </c>
      <c r="T2" s="626"/>
      <c r="U2" s="626"/>
      <c r="V2" s="626"/>
      <c r="W2" s="626"/>
      <c r="X2" s="626"/>
      <c r="Y2" s="626"/>
      <c r="Z2" s="626"/>
      <c r="AA2" s="626"/>
      <c r="AB2" s="626"/>
      <c r="AC2" s="627"/>
    </row>
    <row r="3" spans="2:38" ht="15" customHeight="1" x14ac:dyDescent="0.25">
      <c r="B3" s="158"/>
      <c r="C3" s="159"/>
      <c r="D3" s="159"/>
      <c r="E3" s="159"/>
      <c r="F3" s="159"/>
      <c r="G3" s="159"/>
      <c r="H3" s="159"/>
      <c r="I3" s="159"/>
      <c r="J3" s="654"/>
      <c r="K3" s="654"/>
      <c r="L3" s="654"/>
      <c r="M3" s="654"/>
      <c r="N3" s="654"/>
      <c r="O3" s="654"/>
      <c r="P3" s="654"/>
      <c r="Q3" s="162"/>
      <c r="S3" s="628"/>
      <c r="T3" s="629"/>
      <c r="U3" s="629"/>
      <c r="V3" s="629"/>
      <c r="W3" s="629"/>
      <c r="X3" s="629"/>
      <c r="Y3" s="629"/>
      <c r="Z3" s="629"/>
      <c r="AA3" s="629"/>
      <c r="AB3" s="629"/>
      <c r="AC3" s="630"/>
    </row>
    <row r="4" spans="2:38" x14ac:dyDescent="0.25">
      <c r="B4" s="158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62"/>
      <c r="S4" s="647" t="s">
        <v>0</v>
      </c>
      <c r="T4" s="648" t="s">
        <v>2</v>
      </c>
      <c r="U4" s="648" t="s">
        <v>3</v>
      </c>
      <c r="V4" s="643" t="s">
        <v>10</v>
      </c>
      <c r="W4" s="643"/>
      <c r="X4" s="643"/>
      <c r="Y4" s="643"/>
      <c r="Z4" s="646"/>
      <c r="AA4" s="616"/>
      <c r="AB4" s="644" t="s">
        <v>24</v>
      </c>
      <c r="AC4" s="645" t="s">
        <v>25</v>
      </c>
    </row>
    <row r="5" spans="2:38" x14ac:dyDescent="0.25">
      <c r="B5" s="158"/>
      <c r="C5" s="159"/>
      <c r="D5" s="159"/>
      <c r="E5" s="159"/>
      <c r="F5" s="159"/>
      <c r="G5" s="159"/>
      <c r="H5" s="159"/>
      <c r="I5" s="159"/>
      <c r="J5" s="242"/>
      <c r="K5" s="203"/>
      <c r="L5" s="242"/>
      <c r="M5" s="203"/>
      <c r="N5" s="242"/>
      <c r="O5" s="203"/>
      <c r="P5" s="242"/>
      <c r="Q5" s="162"/>
      <c r="S5" s="647"/>
      <c r="T5" s="648"/>
      <c r="U5" s="648"/>
      <c r="V5" s="246" t="s">
        <v>5</v>
      </c>
      <c r="W5" s="246" t="s">
        <v>6</v>
      </c>
      <c r="X5" s="246" t="s">
        <v>7</v>
      </c>
      <c r="Y5" s="246" t="s">
        <v>8</v>
      </c>
      <c r="Z5" s="251" t="s">
        <v>9</v>
      </c>
      <c r="AA5" s="617"/>
      <c r="AB5" s="644"/>
      <c r="AC5" s="645"/>
    </row>
    <row r="6" spans="2:38" ht="18" customHeight="1" x14ac:dyDescent="0.25">
      <c r="B6" s="158"/>
      <c r="C6" s="159"/>
      <c r="D6" s="159"/>
      <c r="E6" s="159"/>
      <c r="F6" s="159"/>
      <c r="G6" s="159"/>
      <c r="H6" s="159"/>
      <c r="I6" s="159"/>
      <c r="J6" s="661"/>
      <c r="K6" s="654"/>
      <c r="L6" s="661"/>
      <c r="M6" s="654"/>
      <c r="N6" s="661"/>
      <c r="O6" s="654"/>
      <c r="P6" s="661"/>
      <c r="Q6" s="162"/>
      <c r="S6" s="256">
        <v>3</v>
      </c>
      <c r="T6" s="257">
        <v>8.75</v>
      </c>
      <c r="U6" s="257">
        <f>T6-T7</f>
        <v>3</v>
      </c>
      <c r="V6" s="257">
        <v>6.3072999999999997</v>
      </c>
      <c r="W6" s="257">
        <v>12.615</v>
      </c>
      <c r="X6" s="257">
        <v>12.615</v>
      </c>
      <c r="Y6" s="257">
        <v>6.3072999999999997</v>
      </c>
      <c r="Z6" s="257">
        <f>Y6+X6+W6+V6</f>
        <v>37.8446</v>
      </c>
      <c r="AA6" s="617"/>
      <c r="AB6" s="258">
        <v>3</v>
      </c>
      <c r="AC6" s="259">
        <v>4.5</v>
      </c>
    </row>
    <row r="7" spans="2:38" ht="18" customHeight="1" x14ac:dyDescent="0.25">
      <c r="B7" s="158"/>
      <c r="C7" s="159"/>
      <c r="D7" s="159"/>
      <c r="E7" s="159"/>
      <c r="F7" s="159"/>
      <c r="G7" s="159"/>
      <c r="H7" s="159"/>
      <c r="I7" s="159"/>
      <c r="J7" s="661"/>
      <c r="K7" s="654"/>
      <c r="L7" s="661"/>
      <c r="M7" s="654"/>
      <c r="N7" s="661"/>
      <c r="O7" s="654"/>
      <c r="P7" s="661"/>
      <c r="Q7" s="162"/>
      <c r="S7" s="256">
        <v>2</v>
      </c>
      <c r="T7" s="257">
        <v>5.75</v>
      </c>
      <c r="U7" s="257">
        <f>T7-T8</f>
        <v>3</v>
      </c>
      <c r="V7" s="257">
        <v>6.7278000000000002</v>
      </c>
      <c r="W7" s="257">
        <v>13.4557</v>
      </c>
      <c r="X7" s="257">
        <v>13.4557</v>
      </c>
      <c r="Y7" s="257">
        <v>6.7278000000000002</v>
      </c>
      <c r="Z7" s="257">
        <f>Y7+X7+W7+V7</f>
        <v>40.367000000000004</v>
      </c>
      <c r="AA7" s="617"/>
      <c r="AB7" s="258">
        <v>2</v>
      </c>
      <c r="AC7" s="259">
        <v>2</v>
      </c>
    </row>
    <row r="8" spans="2:38" x14ac:dyDescent="0.25">
      <c r="B8" s="158"/>
      <c r="C8" s="159"/>
      <c r="D8" s="159"/>
      <c r="E8" s="159"/>
      <c r="F8" s="159"/>
      <c r="G8" s="159"/>
      <c r="H8" s="159"/>
      <c r="I8" s="159"/>
      <c r="J8" s="242"/>
      <c r="K8" s="203"/>
      <c r="L8" s="242"/>
      <c r="M8" s="203"/>
      <c r="N8" s="242"/>
      <c r="O8" s="203"/>
      <c r="P8" s="242"/>
      <c r="Q8" s="162"/>
      <c r="S8" s="256">
        <v>1</v>
      </c>
      <c r="T8" s="257">
        <v>2.75</v>
      </c>
      <c r="U8" s="257">
        <f>T8-T9</f>
        <v>2.75</v>
      </c>
      <c r="V8" s="257">
        <v>6.7278000000000002</v>
      </c>
      <c r="W8" s="257">
        <v>13.4557</v>
      </c>
      <c r="X8" s="257">
        <v>13.4557</v>
      </c>
      <c r="Y8" s="257">
        <v>6.7278000000000002</v>
      </c>
      <c r="Z8" s="257">
        <f>Y8+X8+W8+V8</f>
        <v>40.367000000000004</v>
      </c>
      <c r="AA8" s="617"/>
      <c r="AB8" s="258">
        <v>1</v>
      </c>
      <c r="AC8" s="259">
        <v>4.5</v>
      </c>
    </row>
    <row r="9" spans="2:38" ht="18" customHeight="1" thickBot="1" x14ac:dyDescent="0.3">
      <c r="B9" s="158"/>
      <c r="C9" s="159"/>
      <c r="D9" s="159"/>
      <c r="E9" s="159"/>
      <c r="F9" s="159"/>
      <c r="G9" s="159"/>
      <c r="H9" s="159"/>
      <c r="I9" s="159"/>
      <c r="J9" s="661"/>
      <c r="K9" s="654"/>
      <c r="L9" s="661"/>
      <c r="M9" s="654"/>
      <c r="N9" s="661"/>
      <c r="O9" s="654"/>
      <c r="P9" s="661"/>
      <c r="Q9" s="162"/>
      <c r="S9" s="260" t="s">
        <v>1</v>
      </c>
      <c r="T9" s="261">
        <v>0</v>
      </c>
      <c r="U9" s="261">
        <f>T9-0</f>
        <v>0</v>
      </c>
      <c r="V9" s="261">
        <v>0</v>
      </c>
      <c r="W9" s="261">
        <v>0</v>
      </c>
      <c r="X9" s="261">
        <v>0</v>
      </c>
      <c r="Y9" s="261">
        <v>0</v>
      </c>
      <c r="Z9" s="261">
        <f>Y9+X9+W9+V9</f>
        <v>0</v>
      </c>
      <c r="AA9" s="618"/>
      <c r="AB9" s="262"/>
      <c r="AC9" s="263"/>
    </row>
    <row r="10" spans="2:38" ht="18" customHeight="1" x14ac:dyDescent="0.25">
      <c r="B10" s="158"/>
      <c r="C10" s="159"/>
      <c r="D10" s="159"/>
      <c r="E10" s="159"/>
      <c r="F10" s="159"/>
      <c r="G10" s="159"/>
      <c r="H10" s="159"/>
      <c r="I10" s="159"/>
      <c r="J10" s="661"/>
      <c r="K10" s="654"/>
      <c r="L10" s="661"/>
      <c r="M10" s="654"/>
      <c r="N10" s="661"/>
      <c r="O10" s="654"/>
      <c r="P10" s="661"/>
      <c r="Q10" s="162"/>
      <c r="S10" s="180"/>
      <c r="T10" s="180"/>
      <c r="U10" s="180"/>
      <c r="V10" s="180"/>
      <c r="W10" s="180"/>
      <c r="X10" s="180"/>
      <c r="Y10" s="180"/>
      <c r="Z10" s="180"/>
      <c r="AA10" s="264"/>
      <c r="AB10" s="264"/>
      <c r="AC10" s="264"/>
    </row>
    <row r="11" spans="2:38" ht="16.5" thickBot="1" x14ac:dyDescent="0.3">
      <c r="B11" s="158"/>
      <c r="C11" s="159"/>
      <c r="D11" s="159"/>
      <c r="E11" s="159"/>
      <c r="F11" s="159"/>
      <c r="G11" s="159"/>
      <c r="H11" s="159"/>
      <c r="I11" s="159"/>
      <c r="J11" s="242"/>
      <c r="K11" s="203"/>
      <c r="L11" s="242"/>
      <c r="M11" s="203"/>
      <c r="N11" s="242"/>
      <c r="O11" s="203"/>
      <c r="P11" s="242"/>
      <c r="Q11" s="162"/>
      <c r="S11" s="180"/>
      <c r="T11" s="180"/>
      <c r="U11" s="180"/>
      <c r="V11" s="180"/>
      <c r="W11" s="180"/>
      <c r="X11" s="180"/>
      <c r="Y11" s="180"/>
      <c r="Z11" s="180"/>
      <c r="AA11" s="264"/>
      <c r="AB11" s="264"/>
      <c r="AC11" s="264"/>
    </row>
    <row r="12" spans="2:38" ht="18" customHeight="1" thickBot="1" x14ac:dyDescent="0.3">
      <c r="B12" s="158"/>
      <c r="C12" s="159"/>
      <c r="D12" s="159"/>
      <c r="E12" s="159"/>
      <c r="F12" s="159"/>
      <c r="G12" s="159"/>
      <c r="H12" s="159"/>
      <c r="I12" s="159"/>
      <c r="J12" s="265">
        <v>1113</v>
      </c>
      <c r="K12" s="266">
        <v>5113</v>
      </c>
      <c r="L12" s="265">
        <v>1213</v>
      </c>
      <c r="M12" s="266">
        <v>5213</v>
      </c>
      <c r="N12" s="265">
        <v>1313</v>
      </c>
      <c r="O12" s="266">
        <v>5313</v>
      </c>
      <c r="P12" s="265">
        <v>1413</v>
      </c>
      <c r="Q12" s="162"/>
      <c r="S12" s="180"/>
      <c r="T12" s="180"/>
      <c r="U12" s="180"/>
      <c r="V12" s="180"/>
      <c r="W12" s="180"/>
      <c r="X12" s="180"/>
      <c r="Y12" s="180"/>
      <c r="Z12" s="180"/>
      <c r="AA12" s="264"/>
      <c r="AB12" s="264"/>
      <c r="AC12" s="264"/>
    </row>
    <row r="13" spans="2:38" ht="18" customHeight="1" thickBot="1" x14ac:dyDescent="0.3">
      <c r="B13" s="158"/>
      <c r="C13" s="159"/>
      <c r="D13" s="159"/>
      <c r="E13" s="159"/>
      <c r="F13" s="159"/>
      <c r="G13" s="159"/>
      <c r="H13" s="159"/>
      <c r="I13" s="159"/>
      <c r="J13" s="658">
        <v>7113</v>
      </c>
      <c r="K13" s="656"/>
      <c r="L13" s="658">
        <v>7213</v>
      </c>
      <c r="M13" s="656"/>
      <c r="N13" s="658">
        <v>7313</v>
      </c>
      <c r="O13" s="656"/>
      <c r="P13" s="658">
        <v>7413</v>
      </c>
      <c r="Q13" s="162"/>
    </row>
    <row r="14" spans="2:38" ht="15.75" customHeight="1" thickBot="1" x14ac:dyDescent="0.3">
      <c r="B14" s="158"/>
      <c r="C14" s="159"/>
      <c r="D14" s="159"/>
      <c r="E14" s="159"/>
      <c r="F14" s="159"/>
      <c r="G14" s="159"/>
      <c r="H14" s="159"/>
      <c r="I14" s="159"/>
      <c r="J14" s="659"/>
      <c r="K14" s="657"/>
      <c r="L14" s="659"/>
      <c r="M14" s="657"/>
      <c r="N14" s="659"/>
      <c r="O14" s="657"/>
      <c r="P14" s="659"/>
      <c r="Q14" s="162"/>
      <c r="S14" s="629" t="s">
        <v>11</v>
      </c>
      <c r="T14" s="629"/>
      <c r="U14" s="629"/>
      <c r="V14" s="629"/>
      <c r="W14" s="629"/>
      <c r="X14" s="629"/>
      <c r="Y14" s="629"/>
      <c r="Z14" s="629"/>
      <c r="AA14" s="629"/>
      <c r="AB14" s="629"/>
      <c r="AC14" s="629"/>
      <c r="AD14" s="629"/>
      <c r="AE14" s="629"/>
      <c r="AG14" s="619" t="s">
        <v>200</v>
      </c>
      <c r="AH14" s="620"/>
      <c r="AI14" s="620"/>
      <c r="AJ14" s="620"/>
      <c r="AK14" s="620"/>
      <c r="AL14" s="621"/>
    </row>
    <row r="15" spans="2:38" ht="18" customHeight="1" thickBot="1" x14ac:dyDescent="0.3">
      <c r="B15" s="158"/>
      <c r="C15" s="159"/>
      <c r="D15" s="159"/>
      <c r="E15" s="159"/>
      <c r="F15" s="159"/>
      <c r="G15" s="159"/>
      <c r="H15" s="159"/>
      <c r="I15" s="159"/>
      <c r="J15" s="265">
        <v>1112</v>
      </c>
      <c r="K15" s="266">
        <v>5112</v>
      </c>
      <c r="L15" s="265">
        <v>1212</v>
      </c>
      <c r="M15" s="266">
        <v>5212</v>
      </c>
      <c r="N15" s="265">
        <v>1312</v>
      </c>
      <c r="O15" s="266">
        <v>5312</v>
      </c>
      <c r="P15" s="265">
        <v>1412</v>
      </c>
      <c r="Q15" s="162"/>
      <c r="S15" s="629"/>
      <c r="T15" s="629"/>
      <c r="U15" s="629"/>
      <c r="V15" s="629"/>
      <c r="W15" s="629"/>
      <c r="X15" s="629"/>
      <c r="Y15" s="629"/>
      <c r="Z15" s="629"/>
      <c r="AA15" s="629"/>
      <c r="AB15" s="629"/>
      <c r="AC15" s="629"/>
      <c r="AD15" s="629"/>
      <c r="AE15" s="629"/>
      <c r="AG15" s="622"/>
      <c r="AH15" s="623"/>
      <c r="AI15" s="623"/>
      <c r="AJ15" s="623"/>
      <c r="AK15" s="623"/>
      <c r="AL15" s="624"/>
    </row>
    <row r="16" spans="2:38" ht="18" customHeight="1" x14ac:dyDescent="0.25">
      <c r="B16" s="158"/>
      <c r="C16" s="159"/>
      <c r="D16" s="159"/>
      <c r="E16" s="159"/>
      <c r="F16" s="159"/>
      <c r="G16" s="159"/>
      <c r="H16" s="159"/>
      <c r="I16" s="159"/>
      <c r="J16" s="658">
        <v>7112</v>
      </c>
      <c r="K16" s="656"/>
      <c r="L16" s="658">
        <v>7212</v>
      </c>
      <c r="M16" s="656"/>
      <c r="N16" s="658">
        <v>7312</v>
      </c>
      <c r="O16" s="656"/>
      <c r="P16" s="658">
        <v>7412</v>
      </c>
      <c r="Q16" s="162"/>
      <c r="S16" s="655" t="s">
        <v>12</v>
      </c>
      <c r="T16" s="655"/>
      <c r="U16" s="655"/>
      <c r="V16" s="655"/>
      <c r="W16" s="655"/>
      <c r="X16" s="655"/>
      <c r="Y16" s="655"/>
      <c r="Z16" s="655"/>
      <c r="AA16" s="655"/>
      <c r="AB16" s="655"/>
      <c r="AC16" s="655"/>
      <c r="AD16" s="655"/>
      <c r="AE16" s="655"/>
      <c r="AG16" s="637" t="s">
        <v>135</v>
      </c>
      <c r="AH16" s="638"/>
      <c r="AI16" s="638"/>
      <c r="AJ16" s="638"/>
      <c r="AK16" s="638"/>
      <c r="AL16" s="639"/>
    </row>
    <row r="17" spans="2:38" ht="16.5" thickBot="1" x14ac:dyDescent="0.3">
      <c r="B17" s="158"/>
      <c r="C17" s="159"/>
      <c r="D17" s="159"/>
      <c r="E17" s="159"/>
      <c r="F17" s="159"/>
      <c r="G17" s="159"/>
      <c r="H17" s="159"/>
      <c r="I17" s="159"/>
      <c r="J17" s="659"/>
      <c r="K17" s="657"/>
      <c r="L17" s="659"/>
      <c r="M17" s="657"/>
      <c r="N17" s="659"/>
      <c r="O17" s="657"/>
      <c r="P17" s="659"/>
      <c r="Q17" s="162"/>
      <c r="S17" s="646" t="s">
        <v>22</v>
      </c>
      <c r="T17" s="652"/>
      <c r="U17" s="643" t="s">
        <v>16</v>
      </c>
      <c r="V17" s="643"/>
      <c r="W17" s="643"/>
      <c r="X17" s="643"/>
      <c r="Y17" s="643" t="s">
        <v>17</v>
      </c>
      <c r="Z17" s="643"/>
      <c r="AA17" s="643"/>
      <c r="AB17" s="643" t="s">
        <v>33</v>
      </c>
      <c r="AC17" s="643"/>
      <c r="AD17" s="643" t="s">
        <v>36</v>
      </c>
      <c r="AE17" s="643"/>
      <c r="AG17" s="243" t="s">
        <v>126</v>
      </c>
      <c r="AH17" s="139">
        <v>991</v>
      </c>
      <c r="AI17" s="246" t="s">
        <v>130</v>
      </c>
      <c r="AJ17" s="139">
        <v>0.55000000000000004</v>
      </c>
      <c r="AK17" s="246" t="s">
        <v>134</v>
      </c>
      <c r="AL17" s="267">
        <v>80</v>
      </c>
    </row>
    <row r="18" spans="2:38" ht="18" customHeight="1" thickBot="1" x14ac:dyDescent="0.3">
      <c r="B18" s="158"/>
      <c r="C18" s="159"/>
      <c r="D18" s="159"/>
      <c r="E18" s="159"/>
      <c r="F18" s="159"/>
      <c r="G18" s="159"/>
      <c r="H18" s="159"/>
      <c r="I18" s="159"/>
      <c r="J18" s="265">
        <v>1111</v>
      </c>
      <c r="K18" s="266">
        <v>5111</v>
      </c>
      <c r="L18" s="265">
        <v>1211</v>
      </c>
      <c r="M18" s="266">
        <v>5211</v>
      </c>
      <c r="N18" s="265">
        <v>1311</v>
      </c>
      <c r="O18" s="266">
        <v>5311</v>
      </c>
      <c r="P18" s="265">
        <v>1411</v>
      </c>
      <c r="Q18" s="162"/>
      <c r="S18" s="246" t="s">
        <v>353</v>
      </c>
      <c r="T18" s="268">
        <v>500</v>
      </c>
      <c r="U18" s="246" t="s">
        <v>20</v>
      </c>
      <c r="V18" s="246" t="s">
        <v>18</v>
      </c>
      <c r="W18" s="246" t="s">
        <v>23</v>
      </c>
      <c r="X18" s="246" t="s">
        <v>19</v>
      </c>
      <c r="Y18" s="246" t="s">
        <v>20</v>
      </c>
      <c r="Z18" s="246" t="s">
        <v>23</v>
      </c>
      <c r="AA18" s="246" t="s">
        <v>21</v>
      </c>
      <c r="AB18" s="246" t="s">
        <v>35</v>
      </c>
      <c r="AC18" s="268">
        <v>19.600000000000001</v>
      </c>
      <c r="AD18" s="246" t="s">
        <v>37</v>
      </c>
      <c r="AE18" s="268">
        <v>372</v>
      </c>
      <c r="AG18" s="243" t="s">
        <v>127</v>
      </c>
      <c r="AH18" s="139">
        <v>1873</v>
      </c>
      <c r="AI18" s="246" t="s">
        <v>131</v>
      </c>
      <c r="AJ18" s="139">
        <v>0.44</v>
      </c>
      <c r="AK18" s="246" t="s">
        <v>125</v>
      </c>
      <c r="AL18" s="269">
        <v>0</v>
      </c>
    </row>
    <row r="19" spans="2:38" ht="18" customHeight="1" x14ac:dyDescent="0.25">
      <c r="B19" s="158"/>
      <c r="C19" s="159"/>
      <c r="D19" s="159"/>
      <c r="E19" s="159"/>
      <c r="F19" s="159"/>
      <c r="G19" s="159"/>
      <c r="H19" s="159"/>
      <c r="I19" s="159"/>
      <c r="J19" s="658">
        <v>7111</v>
      </c>
      <c r="K19" s="656"/>
      <c r="L19" s="658">
        <v>7211</v>
      </c>
      <c r="M19" s="656"/>
      <c r="N19" s="658">
        <v>-1</v>
      </c>
      <c r="O19" s="656">
        <v>7311</v>
      </c>
      <c r="P19" s="658">
        <v>7411</v>
      </c>
      <c r="Q19" s="162"/>
      <c r="S19" s="246" t="s">
        <v>13</v>
      </c>
      <c r="T19" s="268">
        <v>350</v>
      </c>
      <c r="U19" s="246" t="s">
        <v>14</v>
      </c>
      <c r="V19" s="268">
        <v>4</v>
      </c>
      <c r="W19" s="268">
        <v>16</v>
      </c>
      <c r="X19" s="139">
        <f>V19*PI()*(W19*0.5)^2</f>
        <v>804.24771931898704</v>
      </c>
      <c r="Y19" s="246" t="s">
        <v>26</v>
      </c>
      <c r="Z19" s="268">
        <v>6</v>
      </c>
      <c r="AA19" s="268">
        <v>100</v>
      </c>
      <c r="AB19" s="246" t="s">
        <v>38</v>
      </c>
      <c r="AC19" s="140">
        <f>(2*AC18)/(12680+460*$AC$18)</f>
        <v>1.8067846607669618E-3</v>
      </c>
      <c r="AD19" s="246" t="s">
        <v>39</v>
      </c>
      <c r="AE19" s="140">
        <f>AE18/200000</f>
        <v>1.8600000000000001E-3</v>
      </c>
      <c r="AG19" s="243" t="s">
        <v>128</v>
      </c>
      <c r="AH19" s="139">
        <v>1089</v>
      </c>
      <c r="AI19" s="246" t="s">
        <v>132</v>
      </c>
      <c r="AJ19" s="139">
        <v>2.02</v>
      </c>
      <c r="AK19" s="246" t="s">
        <v>124</v>
      </c>
      <c r="AL19" s="269">
        <v>0.2</v>
      </c>
    </row>
    <row r="20" spans="2:38" ht="15.75" customHeight="1" thickBot="1" x14ac:dyDescent="0.3">
      <c r="B20" s="158"/>
      <c r="C20" s="159"/>
      <c r="D20" s="159"/>
      <c r="E20" s="159"/>
      <c r="F20" s="159"/>
      <c r="G20" s="159"/>
      <c r="H20" s="159"/>
      <c r="I20" s="159"/>
      <c r="J20" s="659"/>
      <c r="K20" s="657"/>
      <c r="L20" s="659"/>
      <c r="M20" s="657"/>
      <c r="N20" s="659"/>
      <c r="O20" s="657"/>
      <c r="P20" s="659"/>
      <c r="Q20" s="162"/>
      <c r="S20" s="246" t="s">
        <v>41</v>
      </c>
      <c r="T20" s="268">
        <v>20</v>
      </c>
      <c r="U20" s="246" t="s">
        <v>15</v>
      </c>
      <c r="V20" s="268">
        <v>2</v>
      </c>
      <c r="W20" s="268">
        <v>16</v>
      </c>
      <c r="X20" s="139">
        <f>V20*PI()*(W20*0.5)^2</f>
        <v>402.12385965949352</v>
      </c>
      <c r="Y20" s="246"/>
      <c r="Z20" s="268"/>
      <c r="AA20" s="268"/>
      <c r="AB20" s="246" t="s">
        <v>34</v>
      </c>
      <c r="AC20" s="268">
        <v>3.8E-3</v>
      </c>
      <c r="AD20" s="246" t="s">
        <v>40</v>
      </c>
      <c r="AE20" s="268"/>
      <c r="AG20" s="243" t="s">
        <v>166</v>
      </c>
      <c r="AH20" s="139">
        <f>4700*SQRT(AC23)</f>
        <v>20807.787003907935</v>
      </c>
      <c r="AI20" s="246" t="s">
        <v>133</v>
      </c>
      <c r="AJ20" s="139">
        <v>1.18</v>
      </c>
      <c r="AK20" s="246" t="s">
        <v>129</v>
      </c>
      <c r="AL20" s="267">
        <v>6.87</v>
      </c>
    </row>
    <row r="21" spans="2:38" ht="18" customHeight="1" thickBot="1" x14ac:dyDescent="0.3">
      <c r="B21" s="158"/>
      <c r="C21" s="159"/>
      <c r="D21" s="159"/>
      <c r="E21" s="159"/>
      <c r="F21" s="159"/>
      <c r="G21" s="159"/>
      <c r="H21" s="159"/>
      <c r="I21" s="270"/>
      <c r="J21" s="271">
        <v>1110</v>
      </c>
      <c r="K21" s="272"/>
      <c r="L21" s="271">
        <v>1210</v>
      </c>
      <c r="M21" s="272"/>
      <c r="N21" s="271">
        <v>1310</v>
      </c>
      <c r="O21" s="272"/>
      <c r="P21" s="271">
        <v>1410</v>
      </c>
      <c r="Q21" s="273"/>
      <c r="S21" s="649" t="s">
        <v>27</v>
      </c>
      <c r="T21" s="649"/>
      <c r="U21" s="649"/>
      <c r="V21" s="649"/>
      <c r="W21" s="649"/>
      <c r="X21" s="649"/>
      <c r="Y21" s="649"/>
      <c r="Z21" s="649"/>
      <c r="AA21" s="649"/>
      <c r="AB21" s="649"/>
      <c r="AC21" s="649"/>
      <c r="AD21" s="649"/>
      <c r="AE21" s="649"/>
      <c r="AG21" s="640"/>
      <c r="AH21" s="641"/>
      <c r="AI21" s="641"/>
      <c r="AJ21" s="641"/>
      <c r="AK21" s="641"/>
      <c r="AL21" s="642"/>
    </row>
    <row r="22" spans="2:38" ht="18" customHeight="1" x14ac:dyDescent="0.25">
      <c r="B22" s="158"/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62"/>
      <c r="S22" s="646" t="s">
        <v>22</v>
      </c>
      <c r="T22" s="652"/>
      <c r="U22" s="643" t="s">
        <v>16</v>
      </c>
      <c r="V22" s="643"/>
      <c r="W22" s="643"/>
      <c r="X22" s="643"/>
      <c r="Y22" s="643" t="s">
        <v>17</v>
      </c>
      <c r="Z22" s="643"/>
      <c r="AA22" s="643"/>
      <c r="AB22" s="643" t="s">
        <v>33</v>
      </c>
      <c r="AC22" s="643"/>
      <c r="AD22" s="643" t="s">
        <v>36</v>
      </c>
      <c r="AE22" s="643"/>
      <c r="AG22" s="634" t="s">
        <v>136</v>
      </c>
      <c r="AH22" s="635"/>
      <c r="AI22" s="635"/>
      <c r="AJ22" s="635"/>
      <c r="AK22" s="635"/>
      <c r="AL22" s="636"/>
    </row>
    <row r="23" spans="2:38" x14ac:dyDescent="0.25">
      <c r="B23" s="158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62"/>
      <c r="S23" s="246" t="s">
        <v>353</v>
      </c>
      <c r="T23" s="268">
        <v>250</v>
      </c>
      <c r="U23" s="246" t="s">
        <v>20</v>
      </c>
      <c r="V23" s="246" t="s">
        <v>18</v>
      </c>
      <c r="W23" s="246" t="s">
        <v>23</v>
      </c>
      <c r="X23" s="246" t="s">
        <v>19</v>
      </c>
      <c r="Y23" s="246" t="s">
        <v>20</v>
      </c>
      <c r="Z23" s="246" t="s">
        <v>23</v>
      </c>
      <c r="AA23" s="246" t="s">
        <v>21</v>
      </c>
      <c r="AB23" s="246" t="s">
        <v>35</v>
      </c>
      <c r="AC23" s="268">
        <v>19.600000000000001</v>
      </c>
      <c r="AD23" s="246" t="s">
        <v>37</v>
      </c>
      <c r="AE23" s="268">
        <v>372</v>
      </c>
      <c r="AG23" s="243" t="s">
        <v>126</v>
      </c>
      <c r="AH23" s="139">
        <v>991</v>
      </c>
      <c r="AI23" s="246" t="s">
        <v>130</v>
      </c>
      <c r="AJ23" s="139">
        <v>0.31</v>
      </c>
      <c r="AK23" s="246" t="s">
        <v>134</v>
      </c>
      <c r="AL23" s="267">
        <v>240</v>
      </c>
    </row>
    <row r="24" spans="2:38" x14ac:dyDescent="0.25">
      <c r="B24" s="158"/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62"/>
      <c r="S24" s="246" t="s">
        <v>13</v>
      </c>
      <c r="T24" s="268">
        <v>250</v>
      </c>
      <c r="U24" s="246" t="s">
        <v>30</v>
      </c>
      <c r="V24" s="268">
        <v>4</v>
      </c>
      <c r="W24" s="268">
        <v>16</v>
      </c>
      <c r="X24" s="139">
        <f>V24*PI()*(W24*0.5)^2</f>
        <v>804.24771931898704</v>
      </c>
      <c r="Y24" s="246" t="s">
        <v>26</v>
      </c>
      <c r="Z24" s="268">
        <v>6</v>
      </c>
      <c r="AA24" s="268">
        <v>100</v>
      </c>
      <c r="AB24" s="246" t="s">
        <v>38</v>
      </c>
      <c r="AC24" s="140">
        <f>(2*AC23)/(12680+460*AC23)</f>
        <v>1.8067846607669618E-3</v>
      </c>
      <c r="AD24" s="246" t="s">
        <v>39</v>
      </c>
      <c r="AE24" s="140">
        <f>AE23/200000</f>
        <v>1.8600000000000001E-3</v>
      </c>
      <c r="AG24" s="243" t="s">
        <v>127</v>
      </c>
      <c r="AH24" s="139">
        <v>1873</v>
      </c>
      <c r="AI24" s="246" t="s">
        <v>131</v>
      </c>
      <c r="AJ24" s="139">
        <v>0.25</v>
      </c>
      <c r="AK24" s="246" t="s">
        <v>125</v>
      </c>
      <c r="AL24" s="269">
        <v>0</v>
      </c>
    </row>
    <row r="25" spans="2:38" x14ac:dyDescent="0.25">
      <c r="B25" s="158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62"/>
      <c r="S25" s="246" t="s">
        <v>41</v>
      </c>
      <c r="T25" s="268">
        <v>20</v>
      </c>
      <c r="U25" s="246"/>
      <c r="V25" s="268"/>
      <c r="W25" s="268"/>
      <c r="X25" s="139">
        <f>V25*PI()*(W25*0.5)^2</f>
        <v>0</v>
      </c>
      <c r="Y25" s="246"/>
      <c r="Z25" s="268"/>
      <c r="AA25" s="268"/>
      <c r="AB25" s="246" t="s">
        <v>34</v>
      </c>
      <c r="AC25" s="268">
        <v>3.8E-3</v>
      </c>
      <c r="AD25" s="246" t="s">
        <v>40</v>
      </c>
      <c r="AE25" s="268"/>
      <c r="AG25" s="243" t="s">
        <v>128</v>
      </c>
      <c r="AH25" s="139">
        <v>1089</v>
      </c>
      <c r="AI25" s="246" t="s">
        <v>132</v>
      </c>
      <c r="AJ25" s="139">
        <v>1.5</v>
      </c>
      <c r="AK25" s="246" t="s">
        <v>124</v>
      </c>
      <c r="AL25" s="269">
        <v>0.2</v>
      </c>
    </row>
    <row r="26" spans="2:38" x14ac:dyDescent="0.25">
      <c r="B26" s="158"/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62"/>
      <c r="S26" s="650" t="s">
        <v>28</v>
      </c>
      <c r="T26" s="650"/>
      <c r="U26" s="650"/>
      <c r="V26" s="650"/>
      <c r="W26" s="650"/>
      <c r="X26" s="650"/>
      <c r="Y26" s="650"/>
      <c r="Z26" s="650"/>
      <c r="AA26" s="650"/>
      <c r="AB26" s="650"/>
      <c r="AC26" s="650"/>
      <c r="AD26" s="650"/>
      <c r="AE26" s="650"/>
      <c r="AG26" s="243" t="s">
        <v>166</v>
      </c>
      <c r="AH26" s="139">
        <f>4700*SQRT(AC23)</f>
        <v>20807.787003907935</v>
      </c>
      <c r="AI26" s="246" t="s">
        <v>133</v>
      </c>
      <c r="AJ26" s="139">
        <v>1.1100000000000001</v>
      </c>
      <c r="AK26" s="246" t="s">
        <v>129</v>
      </c>
      <c r="AL26" s="269">
        <v>6.87</v>
      </c>
    </row>
    <row r="27" spans="2:38" x14ac:dyDescent="0.25">
      <c r="B27" s="158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62"/>
      <c r="S27" s="646" t="s">
        <v>22</v>
      </c>
      <c r="T27" s="652"/>
      <c r="U27" s="643" t="s">
        <v>16</v>
      </c>
      <c r="V27" s="643"/>
      <c r="W27" s="643"/>
      <c r="X27" s="643"/>
      <c r="Y27" s="643" t="s">
        <v>17</v>
      </c>
      <c r="Z27" s="643"/>
      <c r="AA27" s="643"/>
      <c r="AB27" s="643" t="s">
        <v>33</v>
      </c>
      <c r="AC27" s="643"/>
      <c r="AD27" s="643" t="s">
        <v>36</v>
      </c>
      <c r="AE27" s="643"/>
      <c r="AG27" s="640"/>
      <c r="AH27" s="641"/>
      <c r="AI27" s="641"/>
      <c r="AJ27" s="641"/>
      <c r="AK27" s="641"/>
      <c r="AL27" s="642"/>
    </row>
    <row r="28" spans="2:38" x14ac:dyDescent="0.25">
      <c r="B28" s="653" t="s">
        <v>385</v>
      </c>
      <c r="C28" s="654"/>
      <c r="D28" s="654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62"/>
      <c r="S28" s="246" t="s">
        <v>353</v>
      </c>
      <c r="T28" s="268">
        <v>300</v>
      </c>
      <c r="U28" s="246" t="s">
        <v>20</v>
      </c>
      <c r="V28" s="246" t="s">
        <v>18</v>
      </c>
      <c r="W28" s="246" t="s">
        <v>23</v>
      </c>
      <c r="X28" s="246" t="s">
        <v>19</v>
      </c>
      <c r="Y28" s="246" t="s">
        <v>20</v>
      </c>
      <c r="Z28" s="246" t="s">
        <v>23</v>
      </c>
      <c r="AA28" s="246" t="s">
        <v>21</v>
      </c>
      <c r="AB28" s="246" t="s">
        <v>35</v>
      </c>
      <c r="AC28" s="268">
        <v>19.600000000000001</v>
      </c>
      <c r="AD28" s="246" t="s">
        <v>37</v>
      </c>
      <c r="AE28" s="268">
        <v>372</v>
      </c>
      <c r="AG28" s="631" t="s">
        <v>137</v>
      </c>
      <c r="AH28" s="632"/>
      <c r="AI28" s="632"/>
      <c r="AJ28" s="632"/>
      <c r="AK28" s="632"/>
      <c r="AL28" s="633"/>
    </row>
    <row r="29" spans="2:38" x14ac:dyDescent="0.25">
      <c r="B29" s="653"/>
      <c r="C29" s="654"/>
      <c r="D29" s="654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62"/>
      <c r="S29" s="246" t="s">
        <v>13</v>
      </c>
      <c r="T29" s="268">
        <v>300</v>
      </c>
      <c r="U29" s="246" t="s">
        <v>30</v>
      </c>
      <c r="V29" s="268">
        <v>4</v>
      </c>
      <c r="W29" s="268">
        <v>16</v>
      </c>
      <c r="X29" s="139">
        <f>V29*PI()*(W29*0.5)^2</f>
        <v>804.24771931898704</v>
      </c>
      <c r="Y29" s="246" t="s">
        <v>26</v>
      </c>
      <c r="Z29" s="268">
        <v>6</v>
      </c>
      <c r="AA29" s="268">
        <v>150</v>
      </c>
      <c r="AB29" s="246" t="s">
        <v>38</v>
      </c>
      <c r="AC29" s="140">
        <f>(2*AC28)/(12680+460*AC28)</f>
        <v>1.8067846607669618E-3</v>
      </c>
      <c r="AD29" s="246" t="s">
        <v>39</v>
      </c>
      <c r="AE29" s="140">
        <f>AE28/200000</f>
        <v>1.8600000000000001E-3</v>
      </c>
      <c r="AG29" s="243" t="s">
        <v>126</v>
      </c>
      <c r="AH29" s="139">
        <v>1050</v>
      </c>
      <c r="AI29" s="246" t="s">
        <v>130</v>
      </c>
      <c r="AJ29" s="139">
        <v>0.36</v>
      </c>
      <c r="AK29" s="246" t="s">
        <v>134</v>
      </c>
      <c r="AL29" s="267">
        <v>300</v>
      </c>
    </row>
    <row r="30" spans="2:38" x14ac:dyDescent="0.25">
      <c r="B30" s="158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62"/>
      <c r="S30" s="246" t="s">
        <v>41</v>
      </c>
      <c r="T30" s="268">
        <v>20</v>
      </c>
      <c r="U30" s="246"/>
      <c r="V30" s="268"/>
      <c r="W30" s="268"/>
      <c r="X30" s="139">
        <f>V30*PI()*(W30*0.5)^2</f>
        <v>0</v>
      </c>
      <c r="Y30" s="246"/>
      <c r="Z30" s="268"/>
      <c r="AA30" s="268"/>
      <c r="AB30" s="246" t="s">
        <v>34</v>
      </c>
      <c r="AC30" s="268">
        <v>3.8E-3</v>
      </c>
      <c r="AD30" s="246" t="s">
        <v>40</v>
      </c>
      <c r="AE30" s="268"/>
      <c r="AG30" s="243" t="s">
        <v>127</v>
      </c>
      <c r="AH30" s="139">
        <v>3240</v>
      </c>
      <c r="AI30" s="246" t="s">
        <v>131</v>
      </c>
      <c r="AJ30" s="139">
        <v>0.3</v>
      </c>
      <c r="AK30" s="246" t="s">
        <v>125</v>
      </c>
      <c r="AL30" s="269">
        <v>0</v>
      </c>
    </row>
    <row r="31" spans="2:38" ht="16.5" thickBot="1" x14ac:dyDescent="0.3">
      <c r="B31" s="197"/>
      <c r="C31" s="198"/>
      <c r="D31" s="198"/>
      <c r="E31" s="198"/>
      <c r="F31" s="198"/>
      <c r="G31" s="198"/>
      <c r="H31" s="198"/>
      <c r="I31" s="198"/>
      <c r="J31" s="198"/>
      <c r="K31" s="198"/>
      <c r="L31" s="198"/>
      <c r="M31" s="198"/>
      <c r="N31" s="198"/>
      <c r="O31" s="198"/>
      <c r="P31" s="198"/>
      <c r="Q31" s="199"/>
      <c r="S31" s="651" t="s">
        <v>29</v>
      </c>
      <c r="T31" s="651"/>
      <c r="U31" s="651"/>
      <c r="V31" s="651"/>
      <c r="W31" s="651"/>
      <c r="X31" s="651"/>
      <c r="Y31" s="651"/>
      <c r="Z31" s="651"/>
      <c r="AA31" s="651"/>
      <c r="AB31" s="651"/>
      <c r="AC31" s="651"/>
      <c r="AD31" s="651"/>
      <c r="AE31" s="651"/>
      <c r="AG31" s="243" t="s">
        <v>128</v>
      </c>
      <c r="AH31" s="139">
        <v>1296</v>
      </c>
      <c r="AI31" s="246" t="s">
        <v>132</v>
      </c>
      <c r="AJ31" s="139">
        <v>3.51</v>
      </c>
      <c r="AK31" s="246" t="s">
        <v>124</v>
      </c>
      <c r="AL31" s="269">
        <v>0.2</v>
      </c>
    </row>
    <row r="32" spans="2:38" ht="16.5" thickBot="1" x14ac:dyDescent="0.3">
      <c r="S32" s="646" t="s">
        <v>22</v>
      </c>
      <c r="T32" s="652"/>
      <c r="U32" s="643" t="s">
        <v>16</v>
      </c>
      <c r="V32" s="643"/>
      <c r="W32" s="643"/>
      <c r="X32" s="643"/>
      <c r="Y32" s="643" t="s">
        <v>17</v>
      </c>
      <c r="Z32" s="643"/>
      <c r="AA32" s="643"/>
      <c r="AB32" s="643" t="s">
        <v>33</v>
      </c>
      <c r="AC32" s="643"/>
      <c r="AD32" s="643" t="s">
        <v>36</v>
      </c>
      <c r="AE32" s="643"/>
      <c r="AG32" s="244" t="s">
        <v>166</v>
      </c>
      <c r="AH32" s="274">
        <f>4700*SQRT(AC23)</f>
        <v>20807.787003907935</v>
      </c>
      <c r="AI32" s="275" t="s">
        <v>133</v>
      </c>
      <c r="AJ32" s="274">
        <v>1.5</v>
      </c>
      <c r="AK32" s="275" t="s">
        <v>129</v>
      </c>
      <c r="AL32" s="276">
        <v>7.36</v>
      </c>
    </row>
    <row r="33" spans="19:31" ht="15" customHeight="1" x14ac:dyDescent="0.25">
      <c r="S33" s="246" t="s">
        <v>353</v>
      </c>
      <c r="T33" s="268">
        <v>500</v>
      </c>
      <c r="U33" s="246" t="s">
        <v>20</v>
      </c>
      <c r="V33" s="246" t="s">
        <v>18</v>
      </c>
      <c r="W33" s="246" t="s">
        <v>23</v>
      </c>
      <c r="X33" s="246" t="s">
        <v>19</v>
      </c>
      <c r="Y33" s="246" t="s">
        <v>20</v>
      </c>
      <c r="Z33" s="246" t="s">
        <v>23</v>
      </c>
      <c r="AA33" s="246" t="s">
        <v>21</v>
      </c>
      <c r="AB33" s="246" t="s">
        <v>35</v>
      </c>
      <c r="AC33" s="268">
        <v>19.600000000000001</v>
      </c>
      <c r="AD33" s="246" t="s">
        <v>37</v>
      </c>
      <c r="AE33" s="268">
        <v>372</v>
      </c>
    </row>
    <row r="34" spans="19:31" x14ac:dyDescent="0.25">
      <c r="S34" s="246" t="s">
        <v>13</v>
      </c>
      <c r="T34" s="268">
        <v>350</v>
      </c>
      <c r="U34" s="246" t="s">
        <v>30</v>
      </c>
      <c r="V34" s="268">
        <v>4</v>
      </c>
      <c r="W34" s="268">
        <v>18</v>
      </c>
      <c r="X34" s="139">
        <f>V34*PI()*(W34*0.5)^2</f>
        <v>1017.8760197630929</v>
      </c>
      <c r="Y34" s="246" t="s">
        <v>26</v>
      </c>
      <c r="Z34" s="268">
        <v>6</v>
      </c>
      <c r="AA34" s="268">
        <v>150</v>
      </c>
      <c r="AB34" s="246" t="s">
        <v>38</v>
      </c>
      <c r="AC34" s="140">
        <f>(2*AC33)/(12680+460*AC33)</f>
        <v>1.8067846607669618E-3</v>
      </c>
      <c r="AD34" s="246" t="s">
        <v>39</v>
      </c>
      <c r="AE34" s="140">
        <f>AE33/200000</f>
        <v>1.8600000000000001E-3</v>
      </c>
    </row>
    <row r="35" spans="19:31" x14ac:dyDescent="0.25">
      <c r="S35" s="246" t="s">
        <v>41</v>
      </c>
      <c r="T35" s="268">
        <v>20</v>
      </c>
      <c r="U35" s="246"/>
      <c r="V35" s="268"/>
      <c r="W35" s="268"/>
      <c r="X35" s="139">
        <f>V35*PI()*(W35*0.5)^2</f>
        <v>0</v>
      </c>
      <c r="Y35" s="246"/>
      <c r="Z35" s="268"/>
      <c r="AA35" s="268"/>
      <c r="AB35" s="246" t="s">
        <v>34</v>
      </c>
      <c r="AC35" s="268">
        <v>3.8E-3</v>
      </c>
      <c r="AD35" s="246" t="s">
        <v>40</v>
      </c>
      <c r="AE35" s="268"/>
    </row>
  </sheetData>
  <mergeCells count="76">
    <mergeCell ref="J2:P3"/>
    <mergeCell ref="M16:M17"/>
    <mergeCell ref="J6:J7"/>
    <mergeCell ref="J9:J10"/>
    <mergeCell ref="J13:J14"/>
    <mergeCell ref="N9:N10"/>
    <mergeCell ref="L6:L7"/>
    <mergeCell ref="L9:L10"/>
    <mergeCell ref="L13:L14"/>
    <mergeCell ref="L16:L17"/>
    <mergeCell ref="P16:P17"/>
    <mergeCell ref="N6:N7"/>
    <mergeCell ref="P6:P7"/>
    <mergeCell ref="J16:J17"/>
    <mergeCell ref="P9:P10"/>
    <mergeCell ref="P13:P14"/>
    <mergeCell ref="J19:J20"/>
    <mergeCell ref="L19:L20"/>
    <mergeCell ref="O6:O7"/>
    <mergeCell ref="M6:M7"/>
    <mergeCell ref="N13:N14"/>
    <mergeCell ref="K6:K7"/>
    <mergeCell ref="O19:O20"/>
    <mergeCell ref="O16:O17"/>
    <mergeCell ref="K9:K10"/>
    <mergeCell ref="M9:M10"/>
    <mergeCell ref="M19:M20"/>
    <mergeCell ref="K19:K20"/>
    <mergeCell ref="K16:K17"/>
    <mergeCell ref="K13:K14"/>
    <mergeCell ref="O13:O14"/>
    <mergeCell ref="O9:O10"/>
    <mergeCell ref="B28:D29"/>
    <mergeCell ref="AB17:AC17"/>
    <mergeCell ref="AD17:AE17"/>
    <mergeCell ref="S16:AE16"/>
    <mergeCell ref="S14:AE15"/>
    <mergeCell ref="AB22:AC22"/>
    <mergeCell ref="AD22:AE22"/>
    <mergeCell ref="S17:T17"/>
    <mergeCell ref="U22:X22"/>
    <mergeCell ref="Y22:AA22"/>
    <mergeCell ref="U17:X17"/>
    <mergeCell ref="Y17:AA17"/>
    <mergeCell ref="M13:M14"/>
    <mergeCell ref="N19:N20"/>
    <mergeCell ref="N16:N17"/>
    <mergeCell ref="P19:P20"/>
    <mergeCell ref="AB32:AC32"/>
    <mergeCell ref="AD32:AE32"/>
    <mergeCell ref="S21:AE21"/>
    <mergeCell ref="S26:AE26"/>
    <mergeCell ref="S31:AE31"/>
    <mergeCell ref="S22:T22"/>
    <mergeCell ref="S27:T27"/>
    <mergeCell ref="S32:T32"/>
    <mergeCell ref="U27:X27"/>
    <mergeCell ref="Y27:AA27"/>
    <mergeCell ref="U32:X32"/>
    <mergeCell ref="Y32:AA32"/>
    <mergeCell ref="AA4:AA9"/>
    <mergeCell ref="AG14:AL15"/>
    <mergeCell ref="S2:AC3"/>
    <mergeCell ref="AG28:AL28"/>
    <mergeCell ref="AG22:AL22"/>
    <mergeCell ref="AG16:AL16"/>
    <mergeCell ref="AG21:AL21"/>
    <mergeCell ref="AG27:AL27"/>
    <mergeCell ref="AB27:AC27"/>
    <mergeCell ref="AD27:AE27"/>
    <mergeCell ref="AB4:AB5"/>
    <mergeCell ref="AC4:AC5"/>
    <mergeCell ref="V4:Z4"/>
    <mergeCell ref="S4:S5"/>
    <mergeCell ref="T4:T5"/>
    <mergeCell ref="U4:U5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A1:BZ102"/>
  <sheetViews>
    <sheetView tabSelected="1" topLeftCell="L1" zoomScale="80" zoomScaleNormal="80" workbookViewId="0">
      <selection activeCell="BT13" sqref="BT13:BX13"/>
    </sheetView>
  </sheetViews>
  <sheetFormatPr defaultColWidth="9.140625"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1.42578125" style="1" bestFit="1" customWidth="1"/>
    <col min="6" max="6" width="11" style="1" customWidth="1"/>
    <col min="7" max="7" width="11.28515625" style="1" bestFit="1" customWidth="1"/>
    <col min="8" max="8" width="10.85546875" style="1" bestFit="1" customWidth="1"/>
    <col min="9" max="9" width="11.42578125" style="1" bestFit="1" customWidth="1"/>
    <col min="10" max="10" width="11" style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3" width="8.85546875" style="1" bestFit="1" customWidth="1"/>
    <col min="24" max="24" width="10.5703125" style="1" bestFit="1" customWidth="1"/>
    <col min="25" max="25" width="10.7109375" style="1" bestFit="1" customWidth="1"/>
    <col min="26" max="26" width="11" style="1" bestFit="1" customWidth="1"/>
    <col min="27" max="35" width="9.140625" style="1"/>
    <col min="36" max="36" width="9.85546875" style="1" bestFit="1" customWidth="1"/>
    <col min="37" max="37" width="11.42578125" style="1" customWidth="1"/>
    <col min="38" max="38" width="9.85546875" style="1" bestFit="1" customWidth="1"/>
    <col min="39" max="39" width="9" style="1" customWidth="1"/>
    <col min="40" max="45" width="9.140625" style="1"/>
    <col min="46" max="46" width="11" style="1" customWidth="1"/>
    <col min="47" max="47" width="10.28515625" style="1" bestFit="1" customWidth="1"/>
    <col min="48" max="48" width="10.42578125" style="1" customWidth="1"/>
    <col min="49" max="49" width="11.7109375" style="1" customWidth="1"/>
    <col min="50" max="50" width="10.28515625" style="1" bestFit="1" customWidth="1"/>
    <col min="51" max="51" width="12.7109375" style="1" customWidth="1"/>
    <col min="52" max="52" width="11.5703125" style="1" bestFit="1" customWidth="1"/>
    <col min="53" max="55" width="11.5703125" style="1" customWidth="1"/>
    <col min="56" max="56" width="9.28515625" style="1" bestFit="1" customWidth="1"/>
    <col min="57" max="57" width="10.28515625" style="1" bestFit="1" customWidth="1"/>
    <col min="58" max="58" width="9.7109375" style="1" customWidth="1"/>
    <col min="59" max="59" width="9.85546875" style="1" customWidth="1"/>
    <col min="60" max="60" width="9.140625" style="1"/>
    <col min="61" max="61" width="9.28515625" style="1" bestFit="1" customWidth="1"/>
    <col min="62" max="62" width="9.28515625" style="1" customWidth="1"/>
    <col min="63" max="63" width="11.42578125" style="1" bestFit="1" customWidth="1"/>
    <col min="64" max="64" width="11.7109375" style="1" customWidth="1"/>
    <col min="65" max="65" width="11.28515625" style="1" bestFit="1" customWidth="1"/>
    <col min="66" max="66" width="11.5703125" style="1" bestFit="1" customWidth="1"/>
    <col min="67" max="70" width="9.140625" style="1"/>
    <col min="71" max="71" width="10.28515625" style="1" customWidth="1"/>
    <col min="72" max="74" width="9.28515625" style="1" bestFit="1" customWidth="1"/>
    <col min="75" max="76" width="10.28515625" style="1" bestFit="1" customWidth="1"/>
    <col min="77" max="77" width="8.42578125" style="1" bestFit="1" customWidth="1"/>
    <col min="78" max="16384" width="9.140625" style="1"/>
  </cols>
  <sheetData>
    <row r="1" spans="2:78" ht="15" customHeight="1" thickBot="1" x14ac:dyDescent="0.3"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</row>
    <row r="2" spans="2:78" ht="16.5" thickBot="1" x14ac:dyDescent="0.3">
      <c r="B2" s="742" t="s">
        <v>281</v>
      </c>
      <c r="C2" s="743"/>
      <c r="D2" s="743"/>
      <c r="E2" s="743"/>
      <c r="F2" s="743"/>
      <c r="G2" s="743"/>
      <c r="H2" s="743"/>
      <c r="I2" s="743"/>
      <c r="J2" s="743"/>
      <c r="K2" s="743"/>
      <c r="L2" s="744"/>
      <c r="M2" s="4"/>
      <c r="N2" s="4"/>
      <c r="O2" s="4"/>
      <c r="Q2" s="755" t="s">
        <v>208</v>
      </c>
      <c r="R2" s="756"/>
      <c r="S2" s="756"/>
      <c r="T2" s="756"/>
      <c r="U2" s="756"/>
      <c r="V2" s="756"/>
      <c r="W2" s="756"/>
      <c r="X2" s="756"/>
      <c r="Y2" s="756"/>
      <c r="Z2" s="756"/>
      <c r="AA2" s="756"/>
      <c r="AB2" s="756"/>
      <c r="AC2" s="756"/>
      <c r="AD2" s="756"/>
      <c r="AE2" s="756"/>
      <c r="AF2" s="756"/>
      <c r="AG2" s="757"/>
      <c r="AI2" s="721" t="s">
        <v>68</v>
      </c>
      <c r="AJ2" s="722"/>
      <c r="AK2" s="722"/>
      <c r="AL2" s="722"/>
      <c r="AM2" s="722"/>
      <c r="AN2" s="722"/>
      <c r="AO2" s="722"/>
      <c r="AP2" s="722"/>
      <c r="AQ2" s="722"/>
      <c r="AR2" s="722"/>
      <c r="AS2" s="722"/>
      <c r="AT2" s="722"/>
      <c r="AU2" s="722"/>
      <c r="AV2" s="722"/>
      <c r="AW2" s="722"/>
      <c r="AX2" s="722"/>
      <c r="AY2" s="722"/>
      <c r="AZ2" s="722"/>
      <c r="BA2" s="722"/>
      <c r="BB2" s="722"/>
      <c r="BC2" s="723"/>
      <c r="BE2" s="701" t="s">
        <v>179</v>
      </c>
      <c r="BF2" s="702"/>
      <c r="BG2" s="702"/>
      <c r="BH2" s="702"/>
      <c r="BI2" s="702"/>
      <c r="BJ2" s="702"/>
      <c r="BK2" s="702"/>
      <c r="BL2" s="703"/>
      <c r="BM2" s="89"/>
      <c r="BO2" s="128"/>
      <c r="BP2" s="128"/>
      <c r="BQ2" s="128"/>
      <c r="BR2" s="128"/>
      <c r="BS2" s="3"/>
      <c r="BT2" s="3"/>
      <c r="BU2" s="3"/>
      <c r="BV2" s="3"/>
      <c r="BW2" s="3"/>
      <c r="BX2" s="3"/>
      <c r="BY2" s="3"/>
      <c r="BZ2" s="3"/>
    </row>
    <row r="3" spans="2:78" ht="15" customHeight="1" x14ac:dyDescent="0.25">
      <c r="B3" s="759" t="s">
        <v>59</v>
      </c>
      <c r="C3" s="758" t="s">
        <v>32</v>
      </c>
      <c r="D3" s="758" t="s">
        <v>30</v>
      </c>
      <c r="E3" s="740" t="s">
        <v>202</v>
      </c>
      <c r="F3" s="751" t="s">
        <v>203</v>
      </c>
      <c r="G3" s="758" t="s">
        <v>206</v>
      </c>
      <c r="H3" s="758" t="s">
        <v>207</v>
      </c>
      <c r="I3" s="740" t="s">
        <v>204</v>
      </c>
      <c r="J3" s="751" t="s">
        <v>205</v>
      </c>
      <c r="K3" s="740" t="s">
        <v>284</v>
      </c>
      <c r="L3" s="745" t="s">
        <v>285</v>
      </c>
      <c r="M3" s="4"/>
      <c r="N3" s="4"/>
      <c r="O3" s="4"/>
      <c r="Q3" s="698" t="s">
        <v>9</v>
      </c>
      <c r="R3" s="699"/>
      <c r="S3" s="699">
        <v>1</v>
      </c>
      <c r="T3" s="699"/>
      <c r="U3" s="699"/>
      <c r="V3" s="699"/>
      <c r="W3" s="699"/>
      <c r="X3" s="699">
        <v>2</v>
      </c>
      <c r="Y3" s="699"/>
      <c r="Z3" s="699"/>
      <c r="AA3" s="699"/>
      <c r="AB3" s="699"/>
      <c r="AC3" s="699">
        <v>3</v>
      </c>
      <c r="AD3" s="699"/>
      <c r="AE3" s="699"/>
      <c r="AF3" s="699"/>
      <c r="AG3" s="700"/>
      <c r="AI3" s="812" t="s">
        <v>61</v>
      </c>
      <c r="AJ3" s="793" t="s">
        <v>62</v>
      </c>
      <c r="AK3" s="793"/>
      <c r="AL3" s="793" t="s">
        <v>63</v>
      </c>
      <c r="AM3" s="793" t="s">
        <v>64</v>
      </c>
      <c r="AN3" s="793" t="s">
        <v>65</v>
      </c>
      <c r="AO3" s="793" t="s">
        <v>66</v>
      </c>
      <c r="AP3" s="699" t="s">
        <v>69</v>
      </c>
      <c r="AQ3" s="793" t="s">
        <v>314</v>
      </c>
      <c r="AR3" s="787" t="s">
        <v>67</v>
      </c>
      <c r="AS3" s="787" t="s">
        <v>55</v>
      </c>
      <c r="AT3" s="787" t="s">
        <v>389</v>
      </c>
      <c r="AU3" s="790" t="s">
        <v>291</v>
      </c>
      <c r="AV3" s="790" t="s">
        <v>55</v>
      </c>
      <c r="AW3" s="790" t="s">
        <v>390</v>
      </c>
      <c r="AX3" s="785" t="s">
        <v>292</v>
      </c>
      <c r="AY3" s="785" t="s">
        <v>55</v>
      </c>
      <c r="AZ3" s="785" t="s">
        <v>391</v>
      </c>
      <c r="BA3" s="715" t="s">
        <v>429</v>
      </c>
      <c r="BB3" s="717" t="s">
        <v>55</v>
      </c>
      <c r="BC3" s="719" t="s">
        <v>391</v>
      </c>
      <c r="BE3" s="531" t="str">
        <f>'System Capacities'!C31</f>
        <v>Storey</v>
      </c>
      <c r="BF3" s="789" t="str">
        <f>'System Capacities'!D31</f>
        <v>Sway Mechanism at Storey i</v>
      </c>
      <c r="BG3" s="778"/>
      <c r="BH3" s="778"/>
      <c r="BI3" s="531" t="str">
        <f>'System Capacities'!G31</f>
        <v>VR,i [kN]</v>
      </c>
      <c r="BJ3" s="531" t="str">
        <f>'System Capacities'!H31</f>
        <v>hs,i [m]</v>
      </c>
      <c r="BK3" s="531" t="str">
        <f>'System Capacities'!I31</f>
        <v>θsys,i [rad]</v>
      </c>
      <c r="BL3" s="531" t="str">
        <f>'System Capacities'!J31</f>
        <v>ky,i [kN/m]</v>
      </c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</row>
    <row r="4" spans="2:78" ht="15.75" customHeight="1" thickBot="1" x14ac:dyDescent="0.3">
      <c r="B4" s="750"/>
      <c r="C4" s="754"/>
      <c r="D4" s="754"/>
      <c r="E4" s="741"/>
      <c r="F4" s="752"/>
      <c r="G4" s="754"/>
      <c r="H4" s="754"/>
      <c r="I4" s="741"/>
      <c r="J4" s="752"/>
      <c r="K4" s="741"/>
      <c r="L4" s="746"/>
      <c r="M4" s="4"/>
      <c r="N4" s="4"/>
      <c r="O4" s="4"/>
      <c r="Q4" s="724" t="s">
        <v>42</v>
      </c>
      <c r="R4" s="778"/>
      <c r="S4" s="6" t="s">
        <v>43</v>
      </c>
      <c r="T4" s="6" t="s">
        <v>44</v>
      </c>
      <c r="U4" s="6" t="s">
        <v>45</v>
      </c>
      <c r="V4" s="7" t="s">
        <v>46</v>
      </c>
      <c r="W4" s="6" t="s">
        <v>58</v>
      </c>
      <c r="X4" s="6" t="s">
        <v>47</v>
      </c>
      <c r="Y4" s="6" t="s">
        <v>48</v>
      </c>
      <c r="Z4" s="6" t="s">
        <v>49</v>
      </c>
      <c r="AA4" s="7" t="s">
        <v>50</v>
      </c>
      <c r="AB4" s="6" t="s">
        <v>58</v>
      </c>
      <c r="AC4" s="6" t="s">
        <v>51</v>
      </c>
      <c r="AD4" s="6" t="s">
        <v>52</v>
      </c>
      <c r="AE4" s="6" t="s">
        <v>53</v>
      </c>
      <c r="AF4" s="7" t="s">
        <v>54</v>
      </c>
      <c r="AG4" s="8" t="s">
        <v>58</v>
      </c>
      <c r="AI4" s="813"/>
      <c r="AJ4" s="794"/>
      <c r="AK4" s="794"/>
      <c r="AL4" s="794"/>
      <c r="AM4" s="794"/>
      <c r="AN4" s="794"/>
      <c r="AO4" s="794"/>
      <c r="AP4" s="778"/>
      <c r="AQ4" s="794"/>
      <c r="AR4" s="788"/>
      <c r="AS4" s="788"/>
      <c r="AT4" s="788"/>
      <c r="AU4" s="791"/>
      <c r="AV4" s="791"/>
      <c r="AW4" s="791"/>
      <c r="AX4" s="786"/>
      <c r="AY4" s="786"/>
      <c r="AZ4" s="786"/>
      <c r="BA4" s="716"/>
      <c r="BB4" s="718"/>
      <c r="BC4" s="720"/>
      <c r="BE4" s="116">
        <f>'System Capacities'!C32</f>
        <v>3</v>
      </c>
      <c r="BF4" s="792" t="str">
        <f>'System Capacities'!D32</f>
        <v>Column</v>
      </c>
      <c r="BG4" s="792"/>
      <c r="BH4" s="792"/>
      <c r="BI4" s="2">
        <f>'System Capacities'!G32</f>
        <v>10.43447219167199</v>
      </c>
      <c r="BJ4" s="2">
        <f>'Structural Information'!U6</f>
        <v>3</v>
      </c>
      <c r="BK4" s="31">
        <f>'System Capacities'!I32</f>
        <v>1.1243924809894211E-3</v>
      </c>
      <c r="BL4" s="127">
        <f>'System Capacities'!J32</f>
        <v>3093.365934076111</v>
      </c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</row>
    <row r="5" spans="2:78" ht="15" customHeight="1" x14ac:dyDescent="0.25">
      <c r="B5" s="747">
        <v>1</v>
      </c>
      <c r="C5" s="9">
        <v>5111</v>
      </c>
      <c r="D5" s="9" t="s">
        <v>12</v>
      </c>
      <c r="E5" s="10">
        <v>61.6</v>
      </c>
      <c r="F5" s="11">
        <v>120</v>
      </c>
      <c r="G5" s="12">
        <v>66.3</v>
      </c>
      <c r="H5" s="12">
        <v>129.19999999999999</v>
      </c>
      <c r="I5" s="13">
        <v>53.1</v>
      </c>
      <c r="J5" s="14">
        <v>103.4</v>
      </c>
      <c r="K5" s="13">
        <v>6.6</v>
      </c>
      <c r="L5" s="15">
        <v>12.9</v>
      </c>
      <c r="M5" s="4"/>
      <c r="N5" s="4"/>
      <c r="O5" s="4"/>
      <c r="Q5" s="738" t="s">
        <v>57</v>
      </c>
      <c r="R5" s="739"/>
      <c r="S5" s="496">
        <v>30.8</v>
      </c>
      <c r="T5" s="495">
        <v>49.6</v>
      </c>
      <c r="U5" s="495">
        <v>49.6</v>
      </c>
      <c r="V5" s="495">
        <v>41.5</v>
      </c>
      <c r="W5" s="16">
        <f>S5+T5+U5+V5</f>
        <v>171.5</v>
      </c>
      <c r="X5" s="496">
        <v>30.8</v>
      </c>
      <c r="Y5" s="495">
        <v>44.7</v>
      </c>
      <c r="Z5" s="495">
        <v>44.7</v>
      </c>
      <c r="AA5" s="495">
        <v>36.4</v>
      </c>
      <c r="AB5" s="16">
        <f>X5+Y5+Z5+AA5</f>
        <v>156.6</v>
      </c>
      <c r="AC5" s="494">
        <v>30.8</v>
      </c>
      <c r="AD5" s="495">
        <v>36</v>
      </c>
      <c r="AE5" s="495">
        <v>36</v>
      </c>
      <c r="AF5" s="495">
        <v>30.8</v>
      </c>
      <c r="AG5" s="17">
        <f>AC5+AD5+AE5+AF5</f>
        <v>133.6</v>
      </c>
      <c r="AI5" s="724">
        <v>3</v>
      </c>
      <c r="AJ5" s="726" t="s">
        <v>42</v>
      </c>
      <c r="AK5" s="727"/>
      <c r="AL5" s="60">
        <v>1113</v>
      </c>
      <c r="AM5" s="568">
        <v>7113</v>
      </c>
      <c r="AN5" s="123">
        <f>'Structural Information'!U6</f>
        <v>3</v>
      </c>
      <c r="AO5" s="123">
        <f>'Structural Information'!T23/1000</f>
        <v>0.25</v>
      </c>
      <c r="AP5" s="19">
        <f>0.43*AN5</f>
        <v>1.29</v>
      </c>
      <c r="AQ5" s="22">
        <f t="shared" ref="AQ5:AQ20" si="0">(0.08*AP5*1000+0.022*fyk*dr_c1)/1000</f>
        <v>0.23414400000000002</v>
      </c>
      <c r="AR5" s="21">
        <f>AP5*'Structural Information'!$AE$24/AO5</f>
        <v>9.5976000000000013E-3</v>
      </c>
      <c r="AS5" s="123">
        <v>30.8</v>
      </c>
      <c r="AT5" s="22">
        <f t="shared" ref="AT5:AT20" si="1">AS5*AR5</f>
        <v>0.29560608000000005</v>
      </c>
      <c r="AU5" s="21">
        <f>(AQ5*G49)+(0)</f>
        <v>2.1236860800000004E-2</v>
      </c>
      <c r="AV5" s="123">
        <v>33.1</v>
      </c>
      <c r="AW5" s="22">
        <f t="shared" ref="AW5:AW20" si="2">AV5*AU5</f>
        <v>0.70294009248000011</v>
      </c>
      <c r="AX5" s="21">
        <f>AQ5*I49</f>
        <v>6.5653977599999996E-2</v>
      </c>
      <c r="AY5" s="123">
        <v>26.5</v>
      </c>
      <c r="AZ5" s="22">
        <f t="shared" ref="AZ5:AZ20" si="3">AY5*AX5</f>
        <v>1.7398304063999999</v>
      </c>
      <c r="BA5" s="65">
        <f>AQ5*K49</f>
        <v>0.22112559360000003</v>
      </c>
      <c r="BB5" s="65">
        <v>3.3</v>
      </c>
      <c r="BC5" s="24">
        <f>BB5*BA5</f>
        <v>0.72971445888000008</v>
      </c>
      <c r="BE5" s="116">
        <f>'System Capacities'!C33</f>
        <v>2</v>
      </c>
      <c r="BF5" s="792" t="str">
        <f>'System Capacities'!D33</f>
        <v>Column</v>
      </c>
      <c r="BG5" s="792"/>
      <c r="BH5" s="792"/>
      <c r="BI5" s="2">
        <f>'System Capacities'!G33</f>
        <v>32.116963804751286</v>
      </c>
      <c r="BJ5" s="2">
        <f>'Structural Information'!U7</f>
        <v>3</v>
      </c>
      <c r="BK5" s="31">
        <f>'System Capacities'!I33</f>
        <v>2.8223787916516192E-3</v>
      </c>
      <c r="BL5" s="127">
        <f>'System Capacities'!J33</f>
        <v>3793.1317487398474</v>
      </c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</row>
    <row r="6" spans="2:78" ht="15" customHeight="1" thickBot="1" x14ac:dyDescent="0.3">
      <c r="B6" s="747"/>
      <c r="C6" s="9">
        <v>5112</v>
      </c>
      <c r="D6" s="9" t="s">
        <v>12</v>
      </c>
      <c r="E6" s="10">
        <v>61.6</v>
      </c>
      <c r="F6" s="11">
        <v>120</v>
      </c>
      <c r="G6" s="12">
        <v>66.3</v>
      </c>
      <c r="H6" s="12">
        <v>129.19999999999999</v>
      </c>
      <c r="I6" s="13">
        <v>53.1</v>
      </c>
      <c r="J6" s="14">
        <v>103.4</v>
      </c>
      <c r="K6" s="13">
        <v>6.6</v>
      </c>
      <c r="L6" s="15">
        <v>12.9</v>
      </c>
      <c r="M6" s="4"/>
      <c r="N6" s="4"/>
      <c r="O6" s="4"/>
      <c r="Q6" s="753" t="s">
        <v>56</v>
      </c>
      <c r="R6" s="754"/>
      <c r="S6" s="135">
        <v>41.5</v>
      </c>
      <c r="T6" s="136">
        <v>49.6</v>
      </c>
      <c r="U6" s="136">
        <v>49.6</v>
      </c>
      <c r="V6" s="136">
        <v>41.5</v>
      </c>
      <c r="W6" s="25">
        <f>S6+T6+U6+V6</f>
        <v>182.2</v>
      </c>
      <c r="X6" s="497">
        <v>30.8</v>
      </c>
      <c r="Y6" s="136">
        <v>44.7</v>
      </c>
      <c r="Z6" s="136">
        <v>44.7</v>
      </c>
      <c r="AA6" s="136">
        <v>36.4</v>
      </c>
      <c r="AB6" s="25">
        <f>X6+Y6+Z6+AA6</f>
        <v>156.6</v>
      </c>
      <c r="AC6" s="135">
        <v>30.8</v>
      </c>
      <c r="AD6" s="136">
        <v>36</v>
      </c>
      <c r="AE6" s="136">
        <v>36</v>
      </c>
      <c r="AF6" s="136">
        <v>30.8</v>
      </c>
      <c r="AG6" s="26">
        <f>AC6+AD6+AE6+AF6</f>
        <v>133.6</v>
      </c>
      <c r="AI6" s="724"/>
      <c r="AJ6" s="728"/>
      <c r="AK6" s="729"/>
      <c r="AL6" s="64">
        <v>1213</v>
      </c>
      <c r="AM6" s="569">
        <v>7213</v>
      </c>
      <c r="AN6" s="2">
        <f>'Structural Information'!U6</f>
        <v>3</v>
      </c>
      <c r="AO6" s="2">
        <f>'Structural Information'!T23/1000</f>
        <v>0.25</v>
      </c>
      <c r="AP6" s="27">
        <f>0.43*AN6</f>
        <v>1.29</v>
      </c>
      <c r="AQ6" s="30">
        <f t="shared" si="0"/>
        <v>0.23414400000000002</v>
      </c>
      <c r="AR6" s="29">
        <f>AP6*'Structural Information'!$AE$24/AO6</f>
        <v>9.5976000000000013E-3</v>
      </c>
      <c r="AS6" s="2">
        <v>36</v>
      </c>
      <c r="AT6" s="30">
        <f t="shared" si="1"/>
        <v>0.34551360000000003</v>
      </c>
      <c r="AU6" s="29">
        <f>AQ6*G52</f>
        <v>2.1424176E-2</v>
      </c>
      <c r="AV6" s="2">
        <v>38.799999999999997</v>
      </c>
      <c r="AW6" s="30">
        <f t="shared" si="2"/>
        <v>0.83125802879999988</v>
      </c>
      <c r="AX6" s="29">
        <f>AQ6*I52</f>
        <v>6.5490076800000005E-2</v>
      </c>
      <c r="AY6" s="2">
        <v>31</v>
      </c>
      <c r="AZ6" s="30">
        <f t="shared" si="3"/>
        <v>2.0301923808</v>
      </c>
      <c r="BA6" s="70">
        <f>AQ6*K52</f>
        <v>0.21967390080000002</v>
      </c>
      <c r="BB6" s="70">
        <v>3.9</v>
      </c>
      <c r="BC6" s="32">
        <f t="shared" ref="BC6:BC20" si="4">BB6*BA6</f>
        <v>0.85672821312000003</v>
      </c>
      <c r="BE6" s="107">
        <f>'System Capacities'!C34</f>
        <v>1</v>
      </c>
      <c r="BF6" s="714" t="str">
        <f>'System Capacities'!D34</f>
        <v>Column</v>
      </c>
      <c r="BG6" s="714"/>
      <c r="BH6" s="714"/>
      <c r="BI6" s="126">
        <f>'System Capacities'!G34</f>
        <v>13.818181818181818</v>
      </c>
      <c r="BJ6" s="126">
        <f>'Structural Information'!U8</f>
        <v>2.75</v>
      </c>
      <c r="BK6" s="51">
        <f>'System Capacities'!I34</f>
        <v>0.12683115798692521</v>
      </c>
      <c r="BL6" s="110">
        <f>'System Capacities'!J34</f>
        <v>-442.67930564394453</v>
      </c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</row>
    <row r="7" spans="2:78" ht="15" customHeight="1" thickBot="1" x14ac:dyDescent="0.3">
      <c r="B7" s="748"/>
      <c r="C7" s="33">
        <v>5113</v>
      </c>
      <c r="D7" s="33" t="s">
        <v>12</v>
      </c>
      <c r="E7" s="34">
        <v>61.6</v>
      </c>
      <c r="F7" s="35">
        <v>120</v>
      </c>
      <c r="G7" s="36">
        <v>66.3</v>
      </c>
      <c r="H7" s="36">
        <v>129.19999999999999</v>
      </c>
      <c r="I7" s="37">
        <v>53.1</v>
      </c>
      <c r="J7" s="38">
        <v>103.4</v>
      </c>
      <c r="K7" s="37">
        <v>6.6</v>
      </c>
      <c r="L7" s="39">
        <v>12.9</v>
      </c>
      <c r="M7" s="4"/>
      <c r="N7" s="4"/>
      <c r="O7" s="4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I7" s="724"/>
      <c r="AJ7" s="728"/>
      <c r="AK7" s="729"/>
      <c r="AL7" s="64">
        <v>1313</v>
      </c>
      <c r="AM7" s="569">
        <v>7313</v>
      </c>
      <c r="AN7" s="2">
        <f>'Structural Information'!U6</f>
        <v>3</v>
      </c>
      <c r="AO7" s="2">
        <f>'Structural Information'!T23/1000</f>
        <v>0.25</v>
      </c>
      <c r="AP7" s="27">
        <f>0.43*AN7</f>
        <v>1.29</v>
      </c>
      <c r="AQ7" s="30">
        <f t="shared" si="0"/>
        <v>0.23414400000000002</v>
      </c>
      <c r="AR7" s="29">
        <f>AP7*'Structural Information'!$AE$24/AO7</f>
        <v>9.5976000000000013E-3</v>
      </c>
      <c r="AS7" s="2">
        <v>36</v>
      </c>
      <c r="AT7" s="30">
        <f t="shared" si="1"/>
        <v>0.34551360000000003</v>
      </c>
      <c r="AU7" s="29">
        <f>AQ7*G55</f>
        <v>2.1424176E-2</v>
      </c>
      <c r="AV7" s="2">
        <v>38.799999999999997</v>
      </c>
      <c r="AW7" s="30">
        <f t="shared" si="2"/>
        <v>0.83125802879999988</v>
      </c>
      <c r="AX7" s="29">
        <f>AQ7*I55</f>
        <v>6.5490076800000005E-2</v>
      </c>
      <c r="AY7" s="2">
        <v>31</v>
      </c>
      <c r="AZ7" s="30">
        <f t="shared" si="3"/>
        <v>2.0301923808</v>
      </c>
      <c r="BA7" s="70">
        <f>AQ7*K55</f>
        <v>0.21967390080000002</v>
      </c>
      <c r="BB7" s="70">
        <v>3.9</v>
      </c>
      <c r="BC7" s="32">
        <f t="shared" si="4"/>
        <v>0.85672821312000003</v>
      </c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</row>
    <row r="8" spans="2:78" ht="15" customHeight="1" thickBot="1" x14ac:dyDescent="0.3">
      <c r="B8" s="749">
        <v>2</v>
      </c>
      <c r="C8" s="18">
        <v>5211</v>
      </c>
      <c r="D8" s="18" t="s">
        <v>12</v>
      </c>
      <c r="E8" s="41">
        <v>61.6</v>
      </c>
      <c r="F8" s="42">
        <v>120</v>
      </c>
      <c r="G8" s="43">
        <v>66.3</v>
      </c>
      <c r="H8" s="43">
        <v>129.19999999999999</v>
      </c>
      <c r="I8" s="44">
        <v>53.1</v>
      </c>
      <c r="J8" s="45">
        <v>103.4</v>
      </c>
      <c r="K8" s="44">
        <v>6.6</v>
      </c>
      <c r="L8" s="46">
        <v>12.9</v>
      </c>
      <c r="M8" s="4"/>
      <c r="N8" s="4"/>
      <c r="O8" s="4"/>
      <c r="Q8" s="760" t="s">
        <v>209</v>
      </c>
      <c r="R8" s="761"/>
      <c r="S8" s="761"/>
      <c r="T8" s="761"/>
      <c r="U8" s="761"/>
      <c r="V8" s="761"/>
      <c r="W8" s="761"/>
      <c r="X8" s="761"/>
      <c r="Y8" s="761"/>
      <c r="Z8" s="761"/>
      <c r="AA8" s="761"/>
      <c r="AB8" s="761"/>
      <c r="AC8" s="761"/>
      <c r="AD8" s="761"/>
      <c r="AE8" s="761"/>
      <c r="AF8" s="761"/>
      <c r="AG8" s="762"/>
      <c r="AI8" s="724"/>
      <c r="AJ8" s="776"/>
      <c r="AK8" s="777"/>
      <c r="AL8" s="571">
        <v>1413</v>
      </c>
      <c r="AM8" s="570">
        <v>7413</v>
      </c>
      <c r="AN8" s="126">
        <f>'Structural Information'!U6</f>
        <v>3</v>
      </c>
      <c r="AO8" s="126">
        <f>'Structural Information'!T23/1000</f>
        <v>0.25</v>
      </c>
      <c r="AP8" s="47">
        <f>0.43*AN8</f>
        <v>1.29</v>
      </c>
      <c r="AQ8" s="50">
        <f t="shared" si="0"/>
        <v>0.23414400000000002</v>
      </c>
      <c r="AR8" s="49">
        <f>AP8*'Structural Information'!$AE$24/AO8</f>
        <v>9.5976000000000013E-3</v>
      </c>
      <c r="AS8" s="126">
        <v>30.8</v>
      </c>
      <c r="AT8" s="50">
        <f t="shared" si="1"/>
        <v>0.29560608000000005</v>
      </c>
      <c r="AU8" s="49">
        <f>AQ8*G58</f>
        <v>2.1236860800000004E-2</v>
      </c>
      <c r="AV8" s="126">
        <v>33.1</v>
      </c>
      <c r="AW8" s="50">
        <f t="shared" si="2"/>
        <v>0.70294009248000011</v>
      </c>
      <c r="AX8" s="49">
        <f>AQ8*I58</f>
        <v>6.5653977599999996E-2</v>
      </c>
      <c r="AY8" s="126">
        <v>26.5</v>
      </c>
      <c r="AZ8" s="50">
        <f t="shared" si="3"/>
        <v>1.7398304063999999</v>
      </c>
      <c r="BA8" s="575">
        <f>AQ8*K58</f>
        <v>0.22112559360000003</v>
      </c>
      <c r="BB8" s="575">
        <v>3.3</v>
      </c>
      <c r="BC8" s="52">
        <f t="shared" si="4"/>
        <v>0.72971445888000008</v>
      </c>
      <c r="BE8" s="708" t="s">
        <v>298</v>
      </c>
      <c r="BF8" s="709"/>
      <c r="BG8" s="709"/>
      <c r="BH8" s="709"/>
      <c r="BI8" s="709"/>
      <c r="BJ8" s="709"/>
      <c r="BK8" s="710"/>
      <c r="BL8" s="711" t="s">
        <v>299</v>
      </c>
      <c r="BM8" s="712"/>
      <c r="BN8" s="712"/>
      <c r="BO8" s="712"/>
      <c r="BP8" s="712"/>
      <c r="BQ8" s="712"/>
      <c r="BR8" s="713"/>
      <c r="BS8" s="677" t="s">
        <v>297</v>
      </c>
      <c r="BT8" s="678"/>
      <c r="BU8" s="678"/>
      <c r="BV8" s="678"/>
      <c r="BW8" s="678"/>
      <c r="BX8" s="678"/>
      <c r="BY8" s="679"/>
      <c r="BZ8" s="3"/>
    </row>
    <row r="9" spans="2:78" ht="15.75" customHeight="1" x14ac:dyDescent="0.25">
      <c r="B9" s="747"/>
      <c r="C9" s="9">
        <v>5212</v>
      </c>
      <c r="D9" s="9" t="s">
        <v>12</v>
      </c>
      <c r="E9" s="10">
        <v>61.6</v>
      </c>
      <c r="F9" s="11">
        <v>120</v>
      </c>
      <c r="G9" s="12">
        <v>66.3</v>
      </c>
      <c r="H9" s="12">
        <v>129.19999999999999</v>
      </c>
      <c r="I9" s="13">
        <v>53.1</v>
      </c>
      <c r="J9" s="14">
        <v>103.4</v>
      </c>
      <c r="K9" s="13">
        <v>6.6</v>
      </c>
      <c r="L9" s="15">
        <v>12.9</v>
      </c>
      <c r="M9" s="4"/>
      <c r="N9" s="4"/>
      <c r="O9" s="4"/>
      <c r="Q9" s="698" t="s">
        <v>9</v>
      </c>
      <c r="R9" s="699"/>
      <c r="S9" s="699">
        <v>1</v>
      </c>
      <c r="T9" s="699"/>
      <c r="U9" s="699"/>
      <c r="V9" s="699"/>
      <c r="W9" s="699"/>
      <c r="X9" s="699">
        <v>2</v>
      </c>
      <c r="Y9" s="699"/>
      <c r="Z9" s="699"/>
      <c r="AA9" s="699"/>
      <c r="AB9" s="699"/>
      <c r="AC9" s="699">
        <v>3</v>
      </c>
      <c r="AD9" s="699"/>
      <c r="AE9" s="699"/>
      <c r="AF9" s="699"/>
      <c r="AG9" s="700"/>
      <c r="AI9" s="724">
        <v>2</v>
      </c>
      <c r="AJ9" s="726" t="s">
        <v>42</v>
      </c>
      <c r="AK9" s="727"/>
      <c r="AL9" s="60">
        <v>1112</v>
      </c>
      <c r="AM9" s="568">
        <v>7112</v>
      </c>
      <c r="AN9" s="123">
        <f>'Structural Information'!U7</f>
        <v>3</v>
      </c>
      <c r="AO9" s="123">
        <f>'Structural Information'!T23/1000</f>
        <v>0.25</v>
      </c>
      <c r="AP9" s="19">
        <f>0.43*AN9</f>
        <v>1.29</v>
      </c>
      <c r="AQ9" s="22">
        <f t="shared" si="0"/>
        <v>0.23414400000000002</v>
      </c>
      <c r="AR9" s="21">
        <f>AP9*'Structural Information'!$AE$24/AO9</f>
        <v>9.5976000000000013E-3</v>
      </c>
      <c r="AS9" s="123">
        <v>36.4</v>
      </c>
      <c r="AT9" s="22">
        <f t="shared" si="1"/>
        <v>0.34935264000000005</v>
      </c>
      <c r="AU9" s="21">
        <f>AQ9*G48</f>
        <v>2.1986121600000002E-2</v>
      </c>
      <c r="AV9" s="123">
        <v>39.200000000000003</v>
      </c>
      <c r="AW9" s="22">
        <f t="shared" si="2"/>
        <v>0.86185596672000009</v>
      </c>
      <c r="AX9" s="21">
        <f>AQ9*I48</f>
        <v>6.4904716800000012E-2</v>
      </c>
      <c r="AY9" s="123">
        <v>31.3</v>
      </c>
      <c r="AZ9" s="22">
        <f t="shared" si="3"/>
        <v>2.0315176358400002</v>
      </c>
      <c r="BA9" s="65">
        <f>AQ9*K48</f>
        <v>0.21503784960000003</v>
      </c>
      <c r="BB9" s="65">
        <v>3.9</v>
      </c>
      <c r="BC9" s="24">
        <f t="shared" si="4"/>
        <v>0.83864761344000005</v>
      </c>
      <c r="BE9" s="732" t="s">
        <v>197</v>
      </c>
      <c r="BF9" s="734" t="s">
        <v>193</v>
      </c>
      <c r="BG9" s="736" t="s">
        <v>194</v>
      </c>
      <c r="BH9" s="736" t="s">
        <v>195</v>
      </c>
      <c r="BI9" s="736" t="s">
        <v>196</v>
      </c>
      <c r="BJ9" s="736" t="s">
        <v>400</v>
      </c>
      <c r="BK9" s="704" t="s">
        <v>426</v>
      </c>
      <c r="BL9" s="781" t="s">
        <v>227</v>
      </c>
      <c r="BM9" s="783" t="s">
        <v>193</v>
      </c>
      <c r="BN9" s="779" t="s">
        <v>194</v>
      </c>
      <c r="BO9" s="779" t="s">
        <v>195</v>
      </c>
      <c r="BP9" s="779" t="s">
        <v>196</v>
      </c>
      <c r="BQ9" s="774" t="s">
        <v>400</v>
      </c>
      <c r="BR9" s="706" t="s">
        <v>426</v>
      </c>
      <c r="BS9" s="688" t="s">
        <v>300</v>
      </c>
      <c r="BT9" s="688" t="s">
        <v>193</v>
      </c>
      <c r="BU9" s="682" t="s">
        <v>194</v>
      </c>
      <c r="BV9" s="682" t="s">
        <v>195</v>
      </c>
      <c r="BW9" s="682" t="s">
        <v>196</v>
      </c>
      <c r="BX9" s="682" t="s">
        <v>400</v>
      </c>
      <c r="BY9" s="680" t="s">
        <v>426</v>
      </c>
      <c r="BZ9" s="3"/>
    </row>
    <row r="10" spans="2:78" ht="15.75" customHeight="1" x14ac:dyDescent="0.25">
      <c r="B10" s="748"/>
      <c r="C10" s="33">
        <v>5213</v>
      </c>
      <c r="D10" s="33" t="s">
        <v>12</v>
      </c>
      <c r="E10" s="34">
        <v>61.6</v>
      </c>
      <c r="F10" s="35">
        <v>120</v>
      </c>
      <c r="G10" s="36">
        <v>66.3</v>
      </c>
      <c r="H10" s="36">
        <v>129.19999999999999</v>
      </c>
      <c r="I10" s="37">
        <v>53.1</v>
      </c>
      <c r="J10" s="38">
        <v>103.4</v>
      </c>
      <c r="K10" s="37">
        <v>6.6</v>
      </c>
      <c r="L10" s="39">
        <v>12.9</v>
      </c>
      <c r="M10" s="4"/>
      <c r="N10" s="4"/>
      <c r="O10" s="4"/>
      <c r="Q10" s="724" t="s">
        <v>42</v>
      </c>
      <c r="R10" s="778"/>
      <c r="S10" s="6" t="s">
        <v>43</v>
      </c>
      <c r="T10" s="6" t="s">
        <v>44</v>
      </c>
      <c r="U10" s="6" t="s">
        <v>45</v>
      </c>
      <c r="V10" s="7" t="s">
        <v>46</v>
      </c>
      <c r="W10" s="6" t="s">
        <v>58</v>
      </c>
      <c r="X10" s="6" t="s">
        <v>47</v>
      </c>
      <c r="Y10" s="6" t="s">
        <v>48</v>
      </c>
      <c r="Z10" s="6" t="s">
        <v>49</v>
      </c>
      <c r="AA10" s="7" t="s">
        <v>50</v>
      </c>
      <c r="AB10" s="6" t="s">
        <v>58</v>
      </c>
      <c r="AC10" s="6" t="s">
        <v>51</v>
      </c>
      <c r="AD10" s="6" t="s">
        <v>52</v>
      </c>
      <c r="AE10" s="6" t="s">
        <v>53</v>
      </c>
      <c r="AF10" s="7" t="s">
        <v>54</v>
      </c>
      <c r="AG10" s="8" t="s">
        <v>58</v>
      </c>
      <c r="AI10" s="724"/>
      <c r="AJ10" s="728"/>
      <c r="AK10" s="729"/>
      <c r="AL10" s="64">
        <v>1212</v>
      </c>
      <c r="AM10" s="569">
        <v>7212</v>
      </c>
      <c r="AN10" s="2">
        <f>'Structural Information'!U7</f>
        <v>3</v>
      </c>
      <c r="AO10" s="2">
        <f>'Structural Information'!T23/1000</f>
        <v>0.25</v>
      </c>
      <c r="AP10" s="27">
        <f t="shared" ref="AP10:AP16" si="5">0.43*AN10</f>
        <v>1.29</v>
      </c>
      <c r="AQ10" s="30">
        <f t="shared" si="0"/>
        <v>0.23414400000000002</v>
      </c>
      <c r="AR10" s="29">
        <f>AP10*'Structural Information'!$AE$24/AO10</f>
        <v>9.5976000000000013E-3</v>
      </c>
      <c r="AS10" s="2">
        <v>44.7</v>
      </c>
      <c r="AT10" s="30">
        <f t="shared" si="1"/>
        <v>0.42901272000000007</v>
      </c>
      <c r="AU10" s="29">
        <f>AQ10*G51</f>
        <v>2.3156841600000002E-2</v>
      </c>
      <c r="AV10" s="2">
        <v>48.1</v>
      </c>
      <c r="AW10" s="30">
        <f t="shared" si="2"/>
        <v>1.1138440809600001</v>
      </c>
      <c r="AX10" s="29">
        <f>AQ10*I51</f>
        <v>4.6781971200000008E-2</v>
      </c>
      <c r="AY10" s="2">
        <v>38.5</v>
      </c>
      <c r="AZ10" s="30">
        <f t="shared" si="3"/>
        <v>1.8011058912000004</v>
      </c>
      <c r="BA10" s="70">
        <f>AQ10*K51</f>
        <v>0.12950504640000002</v>
      </c>
      <c r="BB10" s="70">
        <v>4.8</v>
      </c>
      <c r="BC10" s="32">
        <f t="shared" si="4"/>
        <v>0.62162422272000006</v>
      </c>
      <c r="BE10" s="733"/>
      <c r="BF10" s="735"/>
      <c r="BG10" s="737"/>
      <c r="BH10" s="737"/>
      <c r="BI10" s="737"/>
      <c r="BJ10" s="737"/>
      <c r="BK10" s="705"/>
      <c r="BL10" s="782"/>
      <c r="BM10" s="784"/>
      <c r="BN10" s="780"/>
      <c r="BO10" s="780"/>
      <c r="BP10" s="780"/>
      <c r="BQ10" s="775"/>
      <c r="BR10" s="707"/>
      <c r="BS10" s="689"/>
      <c r="BT10" s="689"/>
      <c r="BU10" s="683"/>
      <c r="BV10" s="683"/>
      <c r="BW10" s="683"/>
      <c r="BX10" s="683"/>
      <c r="BY10" s="681"/>
      <c r="BZ10" s="3"/>
    </row>
    <row r="11" spans="2:78" ht="15.75" x14ac:dyDescent="0.25">
      <c r="B11" s="749">
        <v>3</v>
      </c>
      <c r="C11" s="18">
        <v>5311</v>
      </c>
      <c r="D11" s="18" t="s">
        <v>12</v>
      </c>
      <c r="E11" s="41">
        <v>61.6</v>
      </c>
      <c r="F11" s="42">
        <v>120</v>
      </c>
      <c r="G11" s="43">
        <v>66.3</v>
      </c>
      <c r="H11" s="43">
        <v>129.19999999999999</v>
      </c>
      <c r="I11" s="44">
        <v>53.1</v>
      </c>
      <c r="J11" s="45">
        <v>103.4</v>
      </c>
      <c r="K11" s="44">
        <v>6.6</v>
      </c>
      <c r="L11" s="46">
        <v>12.9</v>
      </c>
      <c r="M11" s="4"/>
      <c r="N11" s="4"/>
      <c r="O11" s="4"/>
      <c r="Q11" s="738" t="s">
        <v>57</v>
      </c>
      <c r="R11" s="739"/>
      <c r="S11" s="496">
        <v>33.15</v>
      </c>
      <c r="T11" s="499">
        <v>53.4</v>
      </c>
      <c r="U11" s="499">
        <v>53.4</v>
      </c>
      <c r="V11" s="499">
        <v>44.7</v>
      </c>
      <c r="W11" s="16">
        <f>S11+T11+U11+V11</f>
        <v>184.64999999999998</v>
      </c>
      <c r="X11" s="496">
        <v>33.200000000000003</v>
      </c>
      <c r="Y11" s="499">
        <v>48.1</v>
      </c>
      <c r="Z11" s="499">
        <v>48.1</v>
      </c>
      <c r="AA11" s="499">
        <v>39.200000000000003</v>
      </c>
      <c r="AB11" s="16">
        <f>X11+Y11+Z11+AA11</f>
        <v>168.60000000000002</v>
      </c>
      <c r="AC11" s="498">
        <v>33.1</v>
      </c>
      <c r="AD11" s="499">
        <v>38.799999999999997</v>
      </c>
      <c r="AE11" s="499">
        <v>38.799999999999997</v>
      </c>
      <c r="AF11" s="499">
        <v>33.1</v>
      </c>
      <c r="AG11" s="17">
        <f>AC11+AD11+AE11+AF11</f>
        <v>143.80000000000001</v>
      </c>
      <c r="AI11" s="724"/>
      <c r="AJ11" s="728"/>
      <c r="AK11" s="729"/>
      <c r="AL11" s="64">
        <v>1312</v>
      </c>
      <c r="AM11" s="569">
        <v>7312</v>
      </c>
      <c r="AN11" s="2">
        <f>'Structural Information'!U7</f>
        <v>3</v>
      </c>
      <c r="AO11" s="2">
        <f>'Structural Information'!T23/1000</f>
        <v>0.25</v>
      </c>
      <c r="AP11" s="27">
        <f t="shared" si="5"/>
        <v>1.29</v>
      </c>
      <c r="AQ11" s="30">
        <f t="shared" si="0"/>
        <v>0.23414400000000002</v>
      </c>
      <c r="AR11" s="29">
        <f>AP11*'Structural Information'!$AE$24/AO11</f>
        <v>9.5976000000000013E-3</v>
      </c>
      <c r="AS11" s="2">
        <v>44.7</v>
      </c>
      <c r="AT11" s="30">
        <f t="shared" si="1"/>
        <v>0.42901272000000007</v>
      </c>
      <c r="AU11" s="29">
        <f>AQ11*G54</f>
        <v>2.3156841600000002E-2</v>
      </c>
      <c r="AV11" s="2">
        <v>48.1</v>
      </c>
      <c r="AW11" s="30">
        <f t="shared" si="2"/>
        <v>1.1138440809600001</v>
      </c>
      <c r="AX11" s="29">
        <f>AQ11*I54</f>
        <v>4.6781971200000008E-2</v>
      </c>
      <c r="AY11" s="2">
        <v>38.5</v>
      </c>
      <c r="AZ11" s="30">
        <f t="shared" si="3"/>
        <v>1.8011058912000004</v>
      </c>
      <c r="BA11" s="70">
        <f>AQ11*K54</f>
        <v>0.12950504640000002</v>
      </c>
      <c r="BB11" s="70">
        <v>4.8</v>
      </c>
      <c r="BC11" s="32">
        <f t="shared" si="4"/>
        <v>0.62162422272000006</v>
      </c>
      <c r="BE11" s="555" t="s">
        <v>315</v>
      </c>
      <c r="BF11" s="553">
        <f>(AG5+AG6)/$BJ4</f>
        <v>89.066666666666663</v>
      </c>
      <c r="BG11" s="129">
        <f>(AG11+AG12)/$BJ4</f>
        <v>95.866666666666674</v>
      </c>
      <c r="BH11" s="129">
        <f>(AG17+AG18)/$BJ4</f>
        <v>76.666666666666671</v>
      </c>
      <c r="BI11" s="129">
        <f>(AG23+AG24)/$BJ4</f>
        <v>9.6</v>
      </c>
      <c r="BJ11" s="554">
        <f>(AG23+AG24)/$BJ4</f>
        <v>9.6</v>
      </c>
      <c r="BK11" s="563">
        <v>10.43447219167199</v>
      </c>
      <c r="BL11" s="555" t="s">
        <v>386</v>
      </c>
      <c r="BM11" s="129">
        <f>BF11/(BT11*BJ4)</f>
        <v>3093.365934076111</v>
      </c>
      <c r="BN11" s="129">
        <f t="shared" ref="BN11:BQ13" si="6">(BG11-BF11)/((BU11-BT11)*$BJ4)</f>
        <v>182.06890553061578</v>
      </c>
      <c r="BO11" s="129">
        <f t="shared" si="6"/>
        <v>-169.8731033296591</v>
      </c>
      <c r="BP11" s="129">
        <f>(BI11-BH11)/((BW11-BV11)*$BJ4)</f>
        <v>-169.49511542081925</v>
      </c>
      <c r="BQ11" s="129">
        <f>(BJ11-BI11)/((BX11-BW11)*$BJ4)</f>
        <v>0</v>
      </c>
      <c r="BR11" s="578">
        <f>BM11</f>
        <v>3093.365934076111</v>
      </c>
      <c r="BS11" s="576" t="s">
        <v>318</v>
      </c>
      <c r="BT11" s="31">
        <f>(SUM(AT5:AT8)+SUM(AT9:AT12))/(SUM(AS5:AS8)+SUM(AS9:AS12))</f>
        <v>9.5976000000000013E-3</v>
      </c>
      <c r="BU11" s="31">
        <f>(SUM(AW5:AW8)+SUM(AW9:AW12))/(SUM(AV5:AV8)+SUM(AV9:AV12))</f>
        <v>2.2047099051256281E-2</v>
      </c>
      <c r="BV11" s="31">
        <f>(SUM(AZ5:AZ8)+SUM(AZ9:AZ12))/(SUM(AY5:AY8)+SUM(AY9:AY12))</f>
        <v>5.9722280551767482E-2</v>
      </c>
      <c r="BW11" s="31">
        <f>(SUM(BC5:BC8)+SUM(BC9:BC12))/(SUM(BB5:BB8)+SUM(BB9:BB12))</f>
        <v>0.19161726466415097</v>
      </c>
      <c r="BX11" s="118">
        <v>0.2</v>
      </c>
      <c r="BY11" s="32">
        <v>1.1243924809894211E-3</v>
      </c>
      <c r="BZ11" s="3"/>
    </row>
    <row r="12" spans="2:78" ht="15.75" customHeight="1" thickBot="1" x14ac:dyDescent="0.3">
      <c r="B12" s="747"/>
      <c r="C12" s="9">
        <v>5312</v>
      </c>
      <c r="D12" s="9" t="s">
        <v>12</v>
      </c>
      <c r="E12" s="10">
        <v>61.6</v>
      </c>
      <c r="F12" s="11">
        <v>120</v>
      </c>
      <c r="G12" s="12">
        <v>66.3</v>
      </c>
      <c r="H12" s="12">
        <v>129.19999999999999</v>
      </c>
      <c r="I12" s="13">
        <v>53.1</v>
      </c>
      <c r="J12" s="14">
        <v>103.4</v>
      </c>
      <c r="K12" s="13">
        <v>6.6</v>
      </c>
      <c r="L12" s="15">
        <v>12.9</v>
      </c>
      <c r="M12" s="4"/>
      <c r="N12" s="4"/>
      <c r="O12" s="4"/>
      <c r="Q12" s="753" t="s">
        <v>56</v>
      </c>
      <c r="R12" s="754"/>
      <c r="S12" s="488">
        <v>44.7</v>
      </c>
      <c r="T12" s="489">
        <v>53.4</v>
      </c>
      <c r="U12" s="489">
        <v>53.4</v>
      </c>
      <c r="V12" s="489">
        <v>44.7</v>
      </c>
      <c r="W12" s="25">
        <f>S12+T12+U12+V12</f>
        <v>196.2</v>
      </c>
      <c r="X12" s="497">
        <v>33.15</v>
      </c>
      <c r="Y12" s="489">
        <v>48.1</v>
      </c>
      <c r="Z12" s="489">
        <v>48.1</v>
      </c>
      <c r="AA12" s="489">
        <v>39.200000000000003</v>
      </c>
      <c r="AB12" s="25">
        <f>X12+Y12+Z12+AA12</f>
        <v>168.55</v>
      </c>
      <c r="AC12" s="488">
        <v>33.1</v>
      </c>
      <c r="AD12" s="489">
        <v>38.799999999999997</v>
      </c>
      <c r="AE12" s="489">
        <v>38.799999999999997</v>
      </c>
      <c r="AF12" s="489">
        <v>33.1</v>
      </c>
      <c r="AG12" s="26">
        <f>AC12+AD12+AE12+AF12</f>
        <v>143.80000000000001</v>
      </c>
      <c r="AI12" s="724"/>
      <c r="AJ12" s="776"/>
      <c r="AK12" s="777"/>
      <c r="AL12" s="571">
        <v>1412</v>
      </c>
      <c r="AM12" s="570">
        <v>7412</v>
      </c>
      <c r="AN12" s="126">
        <f>'Structural Information'!U7</f>
        <v>3</v>
      </c>
      <c r="AO12" s="126">
        <f>'Structural Information'!T23/1000</f>
        <v>0.25</v>
      </c>
      <c r="AP12" s="47">
        <f t="shared" si="5"/>
        <v>1.29</v>
      </c>
      <c r="AQ12" s="50">
        <f t="shared" si="0"/>
        <v>0.23414400000000002</v>
      </c>
      <c r="AR12" s="49">
        <f>AP12*'Structural Information'!$AE$24/AO12</f>
        <v>9.5976000000000013E-3</v>
      </c>
      <c r="AS12" s="126">
        <v>36.4</v>
      </c>
      <c r="AT12" s="50">
        <f t="shared" si="1"/>
        <v>0.34935264000000005</v>
      </c>
      <c r="AU12" s="49">
        <f>AQ12*G57</f>
        <v>2.1986121600000002E-2</v>
      </c>
      <c r="AV12" s="126">
        <v>39.200000000000003</v>
      </c>
      <c r="AW12" s="50">
        <f t="shared" si="2"/>
        <v>0.86185596672000009</v>
      </c>
      <c r="AX12" s="49">
        <f>AQ12*I57</f>
        <v>6.4904716800000012E-2</v>
      </c>
      <c r="AY12" s="126">
        <v>31.3</v>
      </c>
      <c r="AZ12" s="50">
        <f t="shared" si="3"/>
        <v>2.0315176358400002</v>
      </c>
      <c r="BA12" s="575">
        <f>AQ12*K57</f>
        <v>0.21503784960000003</v>
      </c>
      <c r="BB12" s="575">
        <v>3.9</v>
      </c>
      <c r="BC12" s="52">
        <f t="shared" si="4"/>
        <v>0.83864761344000005</v>
      </c>
      <c r="BE12" s="555" t="s">
        <v>316</v>
      </c>
      <c r="BF12" s="553">
        <f>(AB5+AB6)/$BJ5</f>
        <v>104.39999999999999</v>
      </c>
      <c r="BG12" s="129">
        <f>(AB11+AB12)/$BJ5</f>
        <v>112.38333333333334</v>
      </c>
      <c r="BH12" s="129">
        <f>(AB17+AB18)/$BJ5</f>
        <v>89.899999999999991</v>
      </c>
      <c r="BI12" s="129">
        <f>(AB23+AB24)/$BJ5</f>
        <v>11.199999999999998</v>
      </c>
      <c r="BJ12" s="554">
        <f>(AB23+AB24)/$BJ5</f>
        <v>11.199999999999998</v>
      </c>
      <c r="BK12" s="563">
        <v>32.116963804751286</v>
      </c>
      <c r="BL12" s="555" t="s">
        <v>387</v>
      </c>
      <c r="BM12" s="129">
        <f>BF12/(BT12*BJ5)</f>
        <v>3793.1317487398474</v>
      </c>
      <c r="BN12" s="129">
        <f t="shared" si="6"/>
        <v>191.62746445348807</v>
      </c>
      <c r="BO12" s="129">
        <f t="shared" si="6"/>
        <v>-280.77876987214552</v>
      </c>
      <c r="BP12" s="129">
        <f t="shared" si="6"/>
        <v>-280.60144607127762</v>
      </c>
      <c r="BQ12" s="129">
        <f t="shared" si="6"/>
        <v>0</v>
      </c>
      <c r="BR12" s="578">
        <f>BM12</f>
        <v>3793.1317487398474</v>
      </c>
      <c r="BS12" s="576" t="s">
        <v>319</v>
      </c>
      <c r="BT12" s="31">
        <f>(SUM(AT9:AT12)+SUM(AT13:AT16))/(SUM(AS9:AS12)+SUM(AS13:AS16))</f>
        <v>9.1744770034843208E-3</v>
      </c>
      <c r="BU12" s="31">
        <f>(SUM(AW9:AW12)+SUM(AW13:AW16))/(SUM(AV9:AV12)+SUM(AV13:AV16))</f>
        <v>2.3061375307443368E-2</v>
      </c>
      <c r="BV12" s="31">
        <f>(SUM(AZ9:AZ12)+SUM(AZ13:AZ16))/(SUM(AY9:AY12)+SUM(AY13:AY16))</f>
        <v>4.9753010319082941E-2</v>
      </c>
      <c r="BW12" s="31">
        <f>(SUM(BC9:BC12)+SUM(BC13:BC16))/(SUM(BB9:BB12)+SUM(BB13:BB16))</f>
        <v>0.14324266869621621</v>
      </c>
      <c r="BX12" s="118">
        <v>0.15</v>
      </c>
      <c r="BY12" s="32">
        <v>2.8223787916516192E-3</v>
      </c>
      <c r="BZ12" s="3"/>
    </row>
    <row r="13" spans="2:78" ht="15.75" customHeight="1" thickBot="1" x14ac:dyDescent="0.3">
      <c r="B13" s="750"/>
      <c r="C13" s="53">
        <v>5313</v>
      </c>
      <c r="D13" s="53" t="s">
        <v>12</v>
      </c>
      <c r="E13" s="54">
        <v>61.6</v>
      </c>
      <c r="F13" s="55">
        <v>120</v>
      </c>
      <c r="G13" s="56">
        <v>66.3</v>
      </c>
      <c r="H13" s="56">
        <v>129.19999999999999</v>
      </c>
      <c r="I13" s="57">
        <v>53.1</v>
      </c>
      <c r="J13" s="58">
        <v>103.4</v>
      </c>
      <c r="K13" s="57">
        <v>6.6</v>
      </c>
      <c r="L13" s="59">
        <v>12.9</v>
      </c>
      <c r="M13" s="4"/>
      <c r="N13" s="4"/>
      <c r="O13" s="4"/>
      <c r="AI13" s="724">
        <v>1</v>
      </c>
      <c r="AJ13" s="726" t="s">
        <v>42</v>
      </c>
      <c r="AK13" s="727"/>
      <c r="AL13" s="60">
        <v>1111</v>
      </c>
      <c r="AM13" s="568">
        <v>7111</v>
      </c>
      <c r="AN13" s="123">
        <f>'Structural Information'!U8</f>
        <v>2.75</v>
      </c>
      <c r="AO13" s="123">
        <f>'Structural Information'!T23/1000</f>
        <v>0.25</v>
      </c>
      <c r="AP13" s="19">
        <f>0.43*AN13</f>
        <v>1.1824999999999999</v>
      </c>
      <c r="AQ13" s="22">
        <f>(0.08*AP13*1000+0.022*fyk*dr_c1)/1000</f>
        <v>0.22554399999999999</v>
      </c>
      <c r="AR13" s="21">
        <f>AP13*'Structural Information'!$AE$24/AO13</f>
        <v>8.7977999999999997E-3</v>
      </c>
      <c r="AS13" s="123">
        <v>41.5</v>
      </c>
      <c r="AT13" s="22">
        <f t="shared" si="1"/>
        <v>0.36510870000000001</v>
      </c>
      <c r="AU13" s="21">
        <f>AQ13*G47</f>
        <v>2.4426415199999999E-2</v>
      </c>
      <c r="AV13" s="123">
        <v>44.7</v>
      </c>
      <c r="AW13" s="22">
        <f t="shared" si="2"/>
        <v>1.0918607594400001</v>
      </c>
      <c r="AX13" s="21">
        <f>AQ13*I47</f>
        <v>5.3499036799999997E-2</v>
      </c>
      <c r="AY13" s="123">
        <v>35.799999999999997</v>
      </c>
      <c r="AZ13" s="22">
        <f t="shared" si="3"/>
        <v>1.9152655174399997</v>
      </c>
      <c r="BA13" s="65">
        <f>AQ13*K47</f>
        <v>0.1553095984</v>
      </c>
      <c r="BB13" s="65">
        <v>4.5</v>
      </c>
      <c r="BC13" s="24">
        <f t="shared" si="4"/>
        <v>0.69889319279999995</v>
      </c>
      <c r="BE13" s="556" t="s">
        <v>317</v>
      </c>
      <c r="BF13" s="557">
        <f>(W5+W6)/$BJ6</f>
        <v>128.61818181818182</v>
      </c>
      <c r="BG13" s="558">
        <f>(W11+W12)/$BJ6</f>
        <v>138.49090909090907</v>
      </c>
      <c r="BH13" s="558">
        <f>(W17+W18)/$BJ6</f>
        <v>110.81818181818181</v>
      </c>
      <c r="BI13" s="558">
        <f>(W23+W24)/$BJ6</f>
        <v>13.818181818181818</v>
      </c>
      <c r="BJ13" s="559">
        <f>(W23+W24)/$BJ6</f>
        <v>13.818181818181818</v>
      </c>
      <c r="BK13" s="564">
        <v>0</v>
      </c>
      <c r="BL13" s="556" t="s">
        <v>388</v>
      </c>
      <c r="BM13" s="558">
        <f>BF13/(BT13*BJ6)</f>
        <v>5774.0370415650423</v>
      </c>
      <c r="BN13" s="558">
        <f>((BG13-BF13)/((BU13-BT13)*$BJ6))</f>
        <v>219.63937328574283</v>
      </c>
      <c r="BO13" s="558">
        <f t="shared" si="6"/>
        <v>-443.18584279317622</v>
      </c>
      <c r="BP13" s="558">
        <f t="shared" si="6"/>
        <v>-442.67930564394453</v>
      </c>
      <c r="BQ13" s="558">
        <f t="shared" si="6"/>
        <v>0</v>
      </c>
      <c r="BR13" s="579">
        <f>BM13</f>
        <v>5774.0370415650423</v>
      </c>
      <c r="BS13" s="577" t="s">
        <v>320</v>
      </c>
      <c r="BT13" s="61">
        <f>(SUM(AT13:AT16)+SUM(AT17:AT20))/(SUM(AS13:AS16)+SUM(AS17:AS20))</f>
        <v>8.1000948897978157E-3</v>
      </c>
      <c r="BU13" s="61">
        <f>(SUM(AW13:AW16)+SUM(AW17:AW20))/(SUM(AV13:AV16)+SUM(AV17:AV20))</f>
        <v>2.4445445866362128E-2</v>
      </c>
      <c r="BV13" s="61">
        <f>(SUM(AZ13:AZ16)+SUM(AZ17:AZ20))/(SUM(AY13:AY16)+SUM(AY17:AY20))</f>
        <v>4.7151067178483844E-2</v>
      </c>
      <c r="BW13" s="61">
        <f>(SUM(BC13:BC16)+SUM(BC17:BC20))/(SUM(BB13:BB16)+SUM(BB17:BB20))</f>
        <v>0.12683115798692521</v>
      </c>
      <c r="BX13" s="560">
        <v>0.13</v>
      </c>
      <c r="BY13" s="80">
        <v>0</v>
      </c>
      <c r="BZ13" s="3"/>
    </row>
    <row r="14" spans="2:78" ht="15.75" thickBot="1" x14ac:dyDescent="0.3">
      <c r="B14" s="62"/>
      <c r="C14" s="9"/>
      <c r="D14" s="9"/>
      <c r="E14" s="12"/>
      <c r="F14" s="12"/>
      <c r="G14" s="12"/>
      <c r="H14" s="12"/>
      <c r="I14" s="63"/>
      <c r="J14" s="63"/>
      <c r="K14" s="63"/>
      <c r="L14" s="63"/>
      <c r="M14" s="63"/>
      <c r="N14" s="63"/>
      <c r="O14" s="3"/>
      <c r="Q14" s="695" t="s">
        <v>210</v>
      </c>
      <c r="R14" s="696"/>
      <c r="S14" s="696"/>
      <c r="T14" s="696"/>
      <c r="U14" s="696"/>
      <c r="V14" s="696"/>
      <c r="W14" s="696"/>
      <c r="X14" s="696"/>
      <c r="Y14" s="696"/>
      <c r="Z14" s="696"/>
      <c r="AA14" s="696"/>
      <c r="AB14" s="696"/>
      <c r="AC14" s="696"/>
      <c r="AD14" s="696"/>
      <c r="AE14" s="696"/>
      <c r="AF14" s="696"/>
      <c r="AG14" s="697"/>
      <c r="AI14" s="724"/>
      <c r="AJ14" s="728"/>
      <c r="AK14" s="729"/>
      <c r="AL14" s="64">
        <v>1211</v>
      </c>
      <c r="AM14" s="569">
        <v>7211</v>
      </c>
      <c r="AN14" s="2">
        <f>'Structural Information'!U8</f>
        <v>2.75</v>
      </c>
      <c r="AO14" s="2">
        <f>'Structural Information'!T23/1000</f>
        <v>0.25</v>
      </c>
      <c r="AP14" s="27">
        <f t="shared" si="5"/>
        <v>1.1824999999999999</v>
      </c>
      <c r="AQ14" s="30">
        <f t="shared" si="0"/>
        <v>0.22554399999999999</v>
      </c>
      <c r="AR14" s="29">
        <f>AP14*'Structural Information'!$AE$24/AO14</f>
        <v>8.7977999999999997E-3</v>
      </c>
      <c r="AS14" s="2">
        <v>49.6</v>
      </c>
      <c r="AT14" s="30">
        <f t="shared" si="1"/>
        <v>0.43637088000000002</v>
      </c>
      <c r="AU14" s="29">
        <f>AQ14*G50</f>
        <v>2.26220632E-2</v>
      </c>
      <c r="AV14" s="2">
        <v>53.4</v>
      </c>
      <c r="AW14" s="30">
        <f t="shared" si="2"/>
        <v>1.2080181748800001</v>
      </c>
      <c r="AX14" s="29">
        <f>AQ14*I50</f>
        <v>3.8184599200000002E-2</v>
      </c>
      <c r="AY14" s="2">
        <v>42.7</v>
      </c>
      <c r="AZ14" s="30">
        <f t="shared" si="3"/>
        <v>1.6304823858400002</v>
      </c>
      <c r="BA14" s="70">
        <f>AQ14*K50</f>
        <v>9.2608366400000003E-2</v>
      </c>
      <c r="BB14" s="70">
        <v>5.3</v>
      </c>
      <c r="BC14" s="32">
        <f t="shared" si="4"/>
        <v>0.49082434192000002</v>
      </c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</row>
    <row r="15" spans="2:78" ht="16.149999999999999" customHeight="1" thickBot="1" x14ac:dyDescent="0.3">
      <c r="B15" s="763" t="s">
        <v>282</v>
      </c>
      <c r="C15" s="764"/>
      <c r="D15" s="764"/>
      <c r="E15" s="764"/>
      <c r="F15" s="764"/>
      <c r="G15" s="764"/>
      <c r="H15" s="764"/>
      <c r="I15" s="764"/>
      <c r="J15" s="764"/>
      <c r="K15" s="764"/>
      <c r="L15" s="764"/>
      <c r="M15" s="764"/>
      <c r="N15" s="764"/>
      <c r="O15" s="765"/>
      <c r="Q15" s="698" t="s">
        <v>9</v>
      </c>
      <c r="R15" s="699"/>
      <c r="S15" s="699">
        <v>1</v>
      </c>
      <c r="T15" s="699"/>
      <c r="U15" s="699"/>
      <c r="V15" s="699"/>
      <c r="W15" s="699"/>
      <c r="X15" s="699">
        <v>2</v>
      </c>
      <c r="Y15" s="699"/>
      <c r="Z15" s="699"/>
      <c r="AA15" s="699"/>
      <c r="AB15" s="699"/>
      <c r="AC15" s="699">
        <v>3</v>
      </c>
      <c r="AD15" s="699"/>
      <c r="AE15" s="699"/>
      <c r="AF15" s="699"/>
      <c r="AG15" s="700"/>
      <c r="AI15" s="724"/>
      <c r="AJ15" s="728"/>
      <c r="AK15" s="729"/>
      <c r="AL15" s="64">
        <v>1311</v>
      </c>
      <c r="AM15" s="569">
        <v>7311</v>
      </c>
      <c r="AN15" s="2">
        <f>'Structural Information'!U8</f>
        <v>2.75</v>
      </c>
      <c r="AO15" s="2">
        <f>'Structural Information'!T23/1000</f>
        <v>0.25</v>
      </c>
      <c r="AP15" s="27">
        <f t="shared" si="5"/>
        <v>1.1824999999999999</v>
      </c>
      <c r="AQ15" s="30">
        <f t="shared" si="0"/>
        <v>0.22554399999999999</v>
      </c>
      <c r="AR15" s="29">
        <f>AP15*'Structural Information'!$AE$24/AO15</f>
        <v>8.7977999999999997E-3</v>
      </c>
      <c r="AS15" s="2">
        <v>49.6</v>
      </c>
      <c r="AT15" s="30">
        <f t="shared" si="1"/>
        <v>0.43637088000000002</v>
      </c>
      <c r="AU15" s="29">
        <f>AQ15*G53</f>
        <v>2.26220632E-2</v>
      </c>
      <c r="AV15" s="2">
        <v>53.4</v>
      </c>
      <c r="AW15" s="30">
        <f t="shared" si="2"/>
        <v>1.2080181748800001</v>
      </c>
      <c r="AX15" s="29">
        <f>AQ15*I53</f>
        <v>3.8184599200000002E-2</v>
      </c>
      <c r="AY15" s="2">
        <v>42.7</v>
      </c>
      <c r="AZ15" s="30">
        <f t="shared" si="3"/>
        <v>1.6304823858400002</v>
      </c>
      <c r="BA15" s="70">
        <f>AQ15*K53</f>
        <v>9.2608366400000003E-2</v>
      </c>
      <c r="BB15" s="70">
        <v>5.3</v>
      </c>
      <c r="BC15" s="32">
        <f t="shared" si="4"/>
        <v>0.49082434192000002</v>
      </c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685" t="s">
        <v>304</v>
      </c>
      <c r="BT15" s="686"/>
      <c r="BU15" s="686"/>
      <c r="BV15" s="686"/>
      <c r="BW15" s="686"/>
      <c r="BX15" s="687"/>
      <c r="BY15" s="3"/>
      <c r="BZ15" s="3"/>
    </row>
    <row r="16" spans="2:78" x14ac:dyDescent="0.25">
      <c r="B16" s="766" t="s">
        <v>59</v>
      </c>
      <c r="C16" s="768" t="s">
        <v>32</v>
      </c>
      <c r="D16" s="770" t="s">
        <v>30</v>
      </c>
      <c r="E16" s="795" t="s">
        <v>367</v>
      </c>
      <c r="F16" s="795" t="s">
        <v>366</v>
      </c>
      <c r="G16" s="795" t="s">
        <v>365</v>
      </c>
      <c r="H16" s="795" t="s">
        <v>364</v>
      </c>
      <c r="I16" s="795" t="s">
        <v>363</v>
      </c>
      <c r="J16" s="795" t="s">
        <v>362</v>
      </c>
      <c r="K16" s="795" t="s">
        <v>361</v>
      </c>
      <c r="L16" s="795" t="s">
        <v>360</v>
      </c>
      <c r="M16" s="799" t="s">
        <v>302</v>
      </c>
      <c r="N16" s="801" t="s">
        <v>359</v>
      </c>
      <c r="O16" s="772" t="s">
        <v>358</v>
      </c>
      <c r="Q16" s="724" t="s">
        <v>42</v>
      </c>
      <c r="R16" s="778"/>
      <c r="S16" s="6" t="s">
        <v>43</v>
      </c>
      <c r="T16" s="6" t="s">
        <v>44</v>
      </c>
      <c r="U16" s="6" t="s">
        <v>45</v>
      </c>
      <c r="V16" s="7" t="s">
        <v>46</v>
      </c>
      <c r="W16" s="6" t="s">
        <v>58</v>
      </c>
      <c r="X16" s="6" t="s">
        <v>47</v>
      </c>
      <c r="Y16" s="6" t="s">
        <v>48</v>
      </c>
      <c r="Z16" s="6" t="s">
        <v>49</v>
      </c>
      <c r="AA16" s="7" t="s">
        <v>50</v>
      </c>
      <c r="AB16" s="6" t="s">
        <v>58</v>
      </c>
      <c r="AC16" s="6" t="s">
        <v>51</v>
      </c>
      <c r="AD16" s="6" t="s">
        <v>52</v>
      </c>
      <c r="AE16" s="6" t="s">
        <v>53</v>
      </c>
      <c r="AF16" s="7" t="s">
        <v>54</v>
      </c>
      <c r="AG16" s="8" t="s">
        <v>58</v>
      </c>
      <c r="AI16" s="724"/>
      <c r="AJ16" s="776"/>
      <c r="AK16" s="777"/>
      <c r="AL16" s="571">
        <v>1411</v>
      </c>
      <c r="AM16" s="570">
        <v>7411</v>
      </c>
      <c r="AN16" s="126">
        <f>'Structural Information'!U8</f>
        <v>2.75</v>
      </c>
      <c r="AO16" s="47">
        <f>'Structural Information'!T23/1000</f>
        <v>0.25</v>
      </c>
      <c r="AP16" s="47">
        <f t="shared" si="5"/>
        <v>1.1824999999999999</v>
      </c>
      <c r="AQ16" s="50">
        <f t="shared" si="0"/>
        <v>0.22554399999999999</v>
      </c>
      <c r="AR16" s="49">
        <f>AP16*'Structural Information'!$AE$24/AO16</f>
        <v>8.7977999999999997E-3</v>
      </c>
      <c r="AS16" s="126">
        <v>41.5</v>
      </c>
      <c r="AT16" s="50">
        <f t="shared" si="1"/>
        <v>0.36510870000000001</v>
      </c>
      <c r="AU16" s="49">
        <f>AQ16*G56</f>
        <v>2.4426415199999999E-2</v>
      </c>
      <c r="AV16" s="126">
        <v>44.7</v>
      </c>
      <c r="AW16" s="50">
        <f t="shared" si="2"/>
        <v>1.0918607594400001</v>
      </c>
      <c r="AX16" s="49">
        <f>AQ16*I56</f>
        <v>5.3499036799999997E-2</v>
      </c>
      <c r="AY16" s="126">
        <v>35.799999999999997</v>
      </c>
      <c r="AZ16" s="50">
        <f t="shared" si="3"/>
        <v>1.9152655174399997</v>
      </c>
      <c r="BA16" s="575">
        <f>AQ16*K56</f>
        <v>0.1553095984</v>
      </c>
      <c r="BB16" s="575">
        <v>4.5</v>
      </c>
      <c r="BC16" s="52">
        <f t="shared" si="4"/>
        <v>0.69889319279999995</v>
      </c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690" t="s">
        <v>303</v>
      </c>
      <c r="BT16" s="691" t="s">
        <v>193</v>
      </c>
      <c r="BU16" s="684" t="s">
        <v>194</v>
      </c>
      <c r="BV16" s="684" t="s">
        <v>195</v>
      </c>
      <c r="BW16" s="684" t="s">
        <v>196</v>
      </c>
      <c r="BX16" s="684" t="s">
        <v>196</v>
      </c>
      <c r="BY16" s="3"/>
      <c r="BZ16" s="3"/>
    </row>
    <row r="17" spans="2:78" ht="15.75" thickBot="1" x14ac:dyDescent="0.3">
      <c r="B17" s="767"/>
      <c r="C17" s="769"/>
      <c r="D17" s="771"/>
      <c r="E17" s="796"/>
      <c r="F17" s="796"/>
      <c r="G17" s="796"/>
      <c r="H17" s="796"/>
      <c r="I17" s="796"/>
      <c r="J17" s="796"/>
      <c r="K17" s="796"/>
      <c r="L17" s="796"/>
      <c r="M17" s="800"/>
      <c r="N17" s="802"/>
      <c r="O17" s="773"/>
      <c r="Q17" s="738" t="s">
        <v>57</v>
      </c>
      <c r="R17" s="739"/>
      <c r="S17" s="496">
        <v>26.55</v>
      </c>
      <c r="T17" s="501">
        <v>42.7</v>
      </c>
      <c r="U17" s="501">
        <v>42.7</v>
      </c>
      <c r="V17" s="501">
        <v>35.799999999999997</v>
      </c>
      <c r="W17" s="16">
        <f>S17+T17+U17+V17</f>
        <v>147.75</v>
      </c>
      <c r="X17" s="496">
        <v>26.55</v>
      </c>
      <c r="Y17" s="501">
        <v>38.5</v>
      </c>
      <c r="Z17" s="501">
        <v>38.5</v>
      </c>
      <c r="AA17" s="501">
        <v>31.3</v>
      </c>
      <c r="AB17" s="16">
        <f>X17+Y17+Z17+AA17</f>
        <v>134.85</v>
      </c>
      <c r="AC17" s="500">
        <v>26.5</v>
      </c>
      <c r="AD17" s="501">
        <v>31</v>
      </c>
      <c r="AE17" s="501">
        <v>31</v>
      </c>
      <c r="AF17" s="501">
        <v>26.5</v>
      </c>
      <c r="AG17" s="17">
        <f>AC17+AD17+AE17+AF17</f>
        <v>115</v>
      </c>
      <c r="AI17" s="724">
        <v>0</v>
      </c>
      <c r="AJ17" s="726" t="s">
        <v>42</v>
      </c>
      <c r="AK17" s="727"/>
      <c r="AL17" s="60">
        <v>1110</v>
      </c>
      <c r="AM17" s="568">
        <v>7111</v>
      </c>
      <c r="AN17" s="123">
        <f>'Structural Information'!U8</f>
        <v>2.75</v>
      </c>
      <c r="AO17" s="123">
        <f>'Structural Information'!T23/1000</f>
        <v>0.25</v>
      </c>
      <c r="AP17" s="65">
        <f>'Structural Information'!$T$8/((S5/S6)+1)</f>
        <v>1.5784923928077454</v>
      </c>
      <c r="AQ17" s="22">
        <f t="shared" si="0"/>
        <v>0.25722339142461964</v>
      </c>
      <c r="AR17" s="21">
        <f>0.7*'Structural Information'!$AE$24*AP17/AO17</f>
        <v>8.2207883817427378E-3</v>
      </c>
      <c r="AS17" s="123">
        <v>41.5</v>
      </c>
      <c r="AT17" s="22">
        <f>AS17*AR17</f>
        <v>0.3411627178423236</v>
      </c>
      <c r="AU17" s="21">
        <f>AQ17*G47</f>
        <v>2.7857293291286306E-2</v>
      </c>
      <c r="AV17" s="123">
        <v>44.7</v>
      </c>
      <c r="AW17" s="22">
        <f t="shared" si="2"/>
        <v>1.2452210101204979</v>
      </c>
      <c r="AX17" s="21">
        <f>AQ17*I47</f>
        <v>6.1013388445919775E-2</v>
      </c>
      <c r="AY17" s="123">
        <v>35.799999999999997</v>
      </c>
      <c r="AZ17" s="22">
        <f t="shared" si="3"/>
        <v>2.1842793063639276</v>
      </c>
      <c r="BA17" s="65">
        <f>AQ17*K47</f>
        <v>0.17712402733499308</v>
      </c>
      <c r="BB17" s="65">
        <v>4.5</v>
      </c>
      <c r="BC17" s="24">
        <f t="shared" si="4"/>
        <v>0.79705812300746881</v>
      </c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690"/>
      <c r="BT17" s="691"/>
      <c r="BU17" s="684"/>
      <c r="BV17" s="684"/>
      <c r="BW17" s="684"/>
      <c r="BX17" s="684"/>
      <c r="BY17" s="3"/>
      <c r="BZ17" s="3"/>
    </row>
    <row r="18" spans="2:78" ht="15.75" thickBot="1" x14ac:dyDescent="0.3">
      <c r="B18" s="747">
        <v>1</v>
      </c>
      <c r="C18" s="9">
        <v>5111</v>
      </c>
      <c r="D18" s="9" t="s">
        <v>12</v>
      </c>
      <c r="E18" s="66">
        <v>7.7999999999999996E-3</v>
      </c>
      <c r="F18" s="67">
        <v>7.7999999999999996E-3</v>
      </c>
      <c r="G18" s="66">
        <v>4.53E-2</v>
      </c>
      <c r="H18" s="67">
        <v>4.53E-2</v>
      </c>
      <c r="I18" s="68">
        <v>0.14019999999999999</v>
      </c>
      <c r="J18" s="69">
        <v>0.14019999999999999</v>
      </c>
      <c r="K18" s="68">
        <v>0.47220000000000001</v>
      </c>
      <c r="L18" s="69">
        <v>0.47220000000000001</v>
      </c>
      <c r="M18" s="28">
        <v>0</v>
      </c>
      <c r="N18" s="28">
        <f t="shared" ref="N18:N26" si="7">G18/E18</f>
        <v>5.8076923076923084</v>
      </c>
      <c r="O18" s="32">
        <f t="shared" ref="O18:O26" si="8">I18/E18</f>
        <v>17.974358974358974</v>
      </c>
      <c r="Q18" s="753" t="s">
        <v>56</v>
      </c>
      <c r="R18" s="754"/>
      <c r="S18" s="490">
        <v>35.799999999999997</v>
      </c>
      <c r="T18" s="491">
        <v>42.7</v>
      </c>
      <c r="U18" s="491">
        <v>42.7</v>
      </c>
      <c r="V18" s="491">
        <v>35.799999999999997</v>
      </c>
      <c r="W18" s="25">
        <f>S18+T18+U18+V18</f>
        <v>157</v>
      </c>
      <c r="X18" s="497">
        <v>26.55</v>
      </c>
      <c r="Y18" s="491">
        <v>38.5</v>
      </c>
      <c r="Z18" s="491">
        <v>38.5</v>
      </c>
      <c r="AA18" s="491">
        <v>31.3</v>
      </c>
      <c r="AB18" s="25">
        <f>X18+Y18+Z18+AA18</f>
        <v>134.85</v>
      </c>
      <c r="AC18" s="490">
        <v>26.5</v>
      </c>
      <c r="AD18" s="491">
        <v>31</v>
      </c>
      <c r="AE18" s="491">
        <v>31</v>
      </c>
      <c r="AF18" s="491">
        <v>26.5</v>
      </c>
      <c r="AG18" s="26">
        <f>AC18+AD18+AE18+AF18</f>
        <v>115</v>
      </c>
      <c r="AI18" s="724"/>
      <c r="AJ18" s="728"/>
      <c r="AK18" s="729"/>
      <c r="AL18" s="64">
        <v>1210</v>
      </c>
      <c r="AM18" s="569">
        <v>7211</v>
      </c>
      <c r="AN18" s="2">
        <f>'Structural Information'!U8</f>
        <v>2.75</v>
      </c>
      <c r="AO18" s="2">
        <f>'Structural Information'!T23/1000</f>
        <v>0.25</v>
      </c>
      <c r="AP18" s="70">
        <f>'Structural Information'!$T$8/((T5/T6)+1)</f>
        <v>1.375</v>
      </c>
      <c r="AQ18" s="30">
        <f t="shared" si="0"/>
        <v>0.24094399999999999</v>
      </c>
      <c r="AR18" s="29">
        <f>0.7*'Structural Information'!$AE$24*AP18/AO18</f>
        <v>7.1609999999999998E-3</v>
      </c>
      <c r="AS18" s="2">
        <v>49.6</v>
      </c>
      <c r="AT18" s="30">
        <f t="shared" si="1"/>
        <v>0.35518559999999999</v>
      </c>
      <c r="AU18" s="29">
        <f>AQ18*G50</f>
        <v>2.4166683200000001E-2</v>
      </c>
      <c r="AV18" s="2">
        <v>53.4</v>
      </c>
      <c r="AW18" s="30">
        <f t="shared" si="2"/>
        <v>1.29050088288</v>
      </c>
      <c r="AX18" s="29">
        <f>AQ18*I50</f>
        <v>4.0791819200000003E-2</v>
      </c>
      <c r="AY18" s="2">
        <v>42.7</v>
      </c>
      <c r="AZ18" s="30">
        <f t="shared" si="3"/>
        <v>1.7418106798400002</v>
      </c>
      <c r="BA18" s="70">
        <f>AQ18*K50</f>
        <v>9.8931606399999997E-2</v>
      </c>
      <c r="BB18" s="70">
        <v>5.3</v>
      </c>
      <c r="BC18" s="32">
        <f t="shared" si="4"/>
        <v>0.52433751391999994</v>
      </c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116" t="s">
        <v>392</v>
      </c>
      <c r="BT18" s="12">
        <f t="shared" ref="BT18:BW20" si="9">BT11/$BT11</f>
        <v>1</v>
      </c>
      <c r="BU18" s="12">
        <f t="shared" si="9"/>
        <v>2.2971471046153495</v>
      </c>
      <c r="BV18" s="12">
        <f t="shared" si="9"/>
        <v>6.222626547445973</v>
      </c>
      <c r="BW18" s="12">
        <f t="shared" si="9"/>
        <v>19.965123016603208</v>
      </c>
      <c r="BX18" s="11">
        <f>BX11/$BT11</f>
        <v>20.838542969075601</v>
      </c>
      <c r="BY18" s="3"/>
      <c r="BZ18" s="3"/>
    </row>
    <row r="19" spans="2:78" ht="15.75" thickBot="1" x14ac:dyDescent="0.3">
      <c r="B19" s="747"/>
      <c r="C19" s="9">
        <v>5112</v>
      </c>
      <c r="D19" s="9" t="s">
        <v>12</v>
      </c>
      <c r="E19" s="66">
        <v>7.7999999999999996E-3</v>
      </c>
      <c r="F19" s="67">
        <v>7.7999999999999996E-3</v>
      </c>
      <c r="G19" s="66">
        <v>4.53E-2</v>
      </c>
      <c r="H19" s="67">
        <v>4.53E-2</v>
      </c>
      <c r="I19" s="68">
        <v>0.14019999999999999</v>
      </c>
      <c r="J19" s="69">
        <v>0.14019999999999999</v>
      </c>
      <c r="K19" s="68">
        <v>0.47220000000000001</v>
      </c>
      <c r="L19" s="69">
        <v>0.47220000000000001</v>
      </c>
      <c r="M19" s="28">
        <v>0</v>
      </c>
      <c r="N19" s="28">
        <f t="shared" si="7"/>
        <v>5.8076923076923084</v>
      </c>
      <c r="O19" s="32">
        <f t="shared" si="8"/>
        <v>17.974358974358974</v>
      </c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I19" s="724"/>
      <c r="AJ19" s="728"/>
      <c r="AK19" s="729"/>
      <c r="AL19" s="64">
        <v>1310</v>
      </c>
      <c r="AM19" s="569">
        <v>7311</v>
      </c>
      <c r="AN19" s="2">
        <f>'Structural Information'!U8</f>
        <v>2.75</v>
      </c>
      <c r="AO19" s="2">
        <f>'Structural Information'!T23/1000</f>
        <v>0.25</v>
      </c>
      <c r="AP19" s="70">
        <f>'Structural Information'!$T$8/((U5/U6)+1)</f>
        <v>1.375</v>
      </c>
      <c r="AQ19" s="30">
        <f t="shared" si="0"/>
        <v>0.24094399999999999</v>
      </c>
      <c r="AR19" s="29">
        <f>0.7*'Structural Information'!$AE$24*AP19/AO19</f>
        <v>7.1609999999999998E-3</v>
      </c>
      <c r="AS19" s="2">
        <v>49.6</v>
      </c>
      <c r="AT19" s="30">
        <f t="shared" si="1"/>
        <v>0.35518559999999999</v>
      </c>
      <c r="AU19" s="29">
        <f>AQ19*G53</f>
        <v>2.4166683200000001E-2</v>
      </c>
      <c r="AV19" s="2">
        <v>53.4</v>
      </c>
      <c r="AW19" s="30">
        <f t="shared" si="2"/>
        <v>1.29050088288</v>
      </c>
      <c r="AX19" s="29">
        <f>AQ19*I53</f>
        <v>4.0791819200000003E-2</v>
      </c>
      <c r="AY19" s="2">
        <v>42.7</v>
      </c>
      <c r="AZ19" s="30">
        <f t="shared" si="3"/>
        <v>1.7418106798400002</v>
      </c>
      <c r="BA19" s="70">
        <f>AQ19*K53</f>
        <v>9.8931606399999997E-2</v>
      </c>
      <c r="BB19" s="70">
        <v>5.3</v>
      </c>
      <c r="BC19" s="32">
        <f t="shared" si="4"/>
        <v>0.52433751391999994</v>
      </c>
      <c r="BE19" s="3"/>
      <c r="BF19" s="569"/>
      <c r="BG19" s="569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116" t="s">
        <v>393</v>
      </c>
      <c r="BT19" s="12">
        <f t="shared" si="9"/>
        <v>1</v>
      </c>
      <c r="BU19" s="12">
        <f t="shared" si="9"/>
        <v>2.5136446795479483</v>
      </c>
      <c r="BV19" s="12">
        <f t="shared" si="9"/>
        <v>5.4229805470314592</v>
      </c>
      <c r="BW19" s="12">
        <f t="shared" si="9"/>
        <v>15.613169954190841</v>
      </c>
      <c r="BX19" s="11">
        <f>BX12/$BT12</f>
        <v>16.349705813533827</v>
      </c>
      <c r="BY19" s="3"/>
      <c r="BZ19" s="3"/>
    </row>
    <row r="20" spans="2:78" ht="15.75" thickBot="1" x14ac:dyDescent="0.3">
      <c r="B20" s="748"/>
      <c r="C20" s="33">
        <v>5113</v>
      </c>
      <c r="D20" s="33" t="s">
        <v>12</v>
      </c>
      <c r="E20" s="72">
        <v>7.7999999999999996E-3</v>
      </c>
      <c r="F20" s="73">
        <v>7.7999999999999996E-3</v>
      </c>
      <c r="G20" s="72">
        <v>4.53E-2</v>
      </c>
      <c r="H20" s="73">
        <v>4.53E-2</v>
      </c>
      <c r="I20" s="74">
        <v>0.14019999999999999</v>
      </c>
      <c r="J20" s="75">
        <v>0.14019999999999999</v>
      </c>
      <c r="K20" s="74">
        <v>0.47220000000000001</v>
      </c>
      <c r="L20" s="75">
        <v>0.47220000000000001</v>
      </c>
      <c r="M20" s="48">
        <v>0</v>
      </c>
      <c r="N20" s="48">
        <f t="shared" si="7"/>
        <v>5.8076923076923084</v>
      </c>
      <c r="O20" s="52">
        <f t="shared" si="8"/>
        <v>17.974358974358974</v>
      </c>
      <c r="Q20" s="692" t="s">
        <v>290</v>
      </c>
      <c r="R20" s="693"/>
      <c r="S20" s="693"/>
      <c r="T20" s="693"/>
      <c r="U20" s="693"/>
      <c r="V20" s="693"/>
      <c r="W20" s="693"/>
      <c r="X20" s="693"/>
      <c r="Y20" s="693"/>
      <c r="Z20" s="693"/>
      <c r="AA20" s="693"/>
      <c r="AB20" s="693"/>
      <c r="AC20" s="693"/>
      <c r="AD20" s="693"/>
      <c r="AE20" s="693"/>
      <c r="AF20" s="693"/>
      <c r="AG20" s="694"/>
      <c r="AI20" s="725"/>
      <c r="AJ20" s="730"/>
      <c r="AK20" s="731"/>
      <c r="AL20" s="125">
        <v>1410</v>
      </c>
      <c r="AM20" s="53">
        <v>7411</v>
      </c>
      <c r="AN20" s="124">
        <f>'Structural Information'!U8</f>
        <v>2.75</v>
      </c>
      <c r="AO20" s="124">
        <f>'Structural Information'!T23/1000</f>
        <v>0.25</v>
      </c>
      <c r="AP20" s="76">
        <f>'Structural Information'!$T$8/((V5/V6)+1)</f>
        <v>1.375</v>
      </c>
      <c r="AQ20" s="79">
        <f t="shared" si="0"/>
        <v>0.24094399999999999</v>
      </c>
      <c r="AR20" s="78">
        <f>0.7*'Structural Information'!$AE$24*AP20/AO20</f>
        <v>7.1609999999999998E-3</v>
      </c>
      <c r="AS20" s="124">
        <v>41.5</v>
      </c>
      <c r="AT20" s="79">
        <f t="shared" si="1"/>
        <v>0.29718149999999999</v>
      </c>
      <c r="AU20" s="78">
        <f>AQ20*G56</f>
        <v>2.6094235199999996E-2</v>
      </c>
      <c r="AV20" s="124">
        <v>44.7</v>
      </c>
      <c r="AW20" s="79">
        <f t="shared" si="2"/>
        <v>1.16641231344</v>
      </c>
      <c r="AX20" s="78">
        <f>AQ20*I56</f>
        <v>5.7151916799999994E-2</v>
      </c>
      <c r="AY20" s="124">
        <v>35.799999999999997</v>
      </c>
      <c r="AZ20" s="79">
        <f t="shared" si="3"/>
        <v>2.0460386214399997</v>
      </c>
      <c r="BA20" s="76">
        <f>AQ20*K56</f>
        <v>0.16591403839999999</v>
      </c>
      <c r="BB20" s="76">
        <v>4.5</v>
      </c>
      <c r="BC20" s="80">
        <f t="shared" si="4"/>
        <v>0.74661317279999995</v>
      </c>
      <c r="BE20" s="3"/>
      <c r="BF20" s="569"/>
      <c r="BG20" s="569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107" t="s">
        <v>394</v>
      </c>
      <c r="BT20" s="36">
        <f t="shared" si="9"/>
        <v>1</v>
      </c>
      <c r="BU20" s="36">
        <f t="shared" si="9"/>
        <v>3.0179209254883559</v>
      </c>
      <c r="BV20" s="36">
        <f t="shared" si="9"/>
        <v>5.8210512123594107</v>
      </c>
      <c r="BW20" s="36">
        <f t="shared" si="9"/>
        <v>15.657984222712113</v>
      </c>
      <c r="BX20" s="35">
        <f>BX13/$BT13</f>
        <v>16.049194703106114</v>
      </c>
      <c r="BY20" s="3"/>
      <c r="BZ20" s="3"/>
    </row>
    <row r="21" spans="2:78" ht="15.75" thickBot="1" x14ac:dyDescent="0.3">
      <c r="B21" s="749">
        <v>2</v>
      </c>
      <c r="C21" s="18">
        <v>5211</v>
      </c>
      <c r="D21" s="18" t="s">
        <v>12</v>
      </c>
      <c r="E21" s="81">
        <v>7.7999999999999996E-3</v>
      </c>
      <c r="F21" s="82">
        <v>7.7999999999999996E-3</v>
      </c>
      <c r="G21" s="81">
        <v>4.53E-2</v>
      </c>
      <c r="H21" s="82">
        <v>4.53E-2</v>
      </c>
      <c r="I21" s="83">
        <v>0.14019999999999999</v>
      </c>
      <c r="J21" s="84">
        <v>0.14019999999999999</v>
      </c>
      <c r="K21" s="83">
        <v>0.47220000000000001</v>
      </c>
      <c r="L21" s="84">
        <v>0.47220000000000001</v>
      </c>
      <c r="M21" s="20">
        <v>0</v>
      </c>
      <c r="N21" s="20">
        <f t="shared" si="7"/>
        <v>5.8076923076923084</v>
      </c>
      <c r="O21" s="24">
        <f t="shared" si="8"/>
        <v>17.974358974358974</v>
      </c>
      <c r="Q21" s="698" t="s">
        <v>9</v>
      </c>
      <c r="R21" s="699"/>
      <c r="S21" s="699">
        <v>1</v>
      </c>
      <c r="T21" s="699"/>
      <c r="U21" s="699"/>
      <c r="V21" s="699"/>
      <c r="W21" s="699"/>
      <c r="X21" s="699">
        <v>2</v>
      </c>
      <c r="Y21" s="699"/>
      <c r="Z21" s="699"/>
      <c r="AA21" s="699"/>
      <c r="AB21" s="699"/>
      <c r="AC21" s="699">
        <v>3</v>
      </c>
      <c r="AD21" s="699"/>
      <c r="AE21" s="699"/>
      <c r="AF21" s="699"/>
      <c r="AG21" s="700"/>
      <c r="BE21" s="3"/>
      <c r="BF21" s="129"/>
      <c r="BG21" s="31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</row>
    <row r="22" spans="2:78" ht="15.75" thickBot="1" x14ac:dyDescent="0.3">
      <c r="B22" s="747"/>
      <c r="C22" s="9">
        <v>5212</v>
      </c>
      <c r="D22" s="9" t="s">
        <v>12</v>
      </c>
      <c r="E22" s="66">
        <v>7.7999999999999996E-3</v>
      </c>
      <c r="F22" s="67">
        <v>7.7999999999999996E-3</v>
      </c>
      <c r="G22" s="66">
        <v>4.53E-2</v>
      </c>
      <c r="H22" s="67">
        <v>4.53E-2</v>
      </c>
      <c r="I22" s="68">
        <v>0.14019999999999999</v>
      </c>
      <c r="J22" s="69">
        <v>0.14019999999999999</v>
      </c>
      <c r="K22" s="68">
        <v>0.47220000000000001</v>
      </c>
      <c r="L22" s="69">
        <v>0.47220000000000001</v>
      </c>
      <c r="M22" s="28">
        <v>0</v>
      </c>
      <c r="N22" s="28">
        <f t="shared" si="7"/>
        <v>5.8076923076923084</v>
      </c>
      <c r="O22" s="32">
        <f t="shared" si="8"/>
        <v>17.974358974358974</v>
      </c>
      <c r="Q22" s="724" t="s">
        <v>42</v>
      </c>
      <c r="R22" s="778"/>
      <c r="S22" s="6" t="s">
        <v>43</v>
      </c>
      <c r="T22" s="6" t="s">
        <v>44</v>
      </c>
      <c r="U22" s="6" t="s">
        <v>45</v>
      </c>
      <c r="V22" s="7" t="s">
        <v>46</v>
      </c>
      <c r="W22" s="6" t="s">
        <v>58</v>
      </c>
      <c r="X22" s="6" t="s">
        <v>47</v>
      </c>
      <c r="Y22" s="6" t="s">
        <v>48</v>
      </c>
      <c r="Z22" s="6" t="s">
        <v>49</v>
      </c>
      <c r="AA22" s="7" t="s">
        <v>50</v>
      </c>
      <c r="AB22" s="6" t="s">
        <v>58</v>
      </c>
      <c r="AC22" s="6" t="s">
        <v>51</v>
      </c>
      <c r="AD22" s="6" t="s">
        <v>52</v>
      </c>
      <c r="AE22" s="6" t="s">
        <v>53</v>
      </c>
      <c r="AF22" s="7" t="s">
        <v>54</v>
      </c>
      <c r="AG22" s="8" t="s">
        <v>58</v>
      </c>
      <c r="AL22" s="666" t="s">
        <v>433</v>
      </c>
      <c r="AM22" s="667"/>
      <c r="AN22" s="667"/>
      <c r="AO22" s="668"/>
      <c r="BE22" s="3"/>
      <c r="BF22" s="129"/>
      <c r="BG22" s="31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</row>
    <row r="23" spans="2:78" x14ac:dyDescent="0.25">
      <c r="B23" s="748"/>
      <c r="C23" s="33">
        <v>5213</v>
      </c>
      <c r="D23" s="33" t="s">
        <v>12</v>
      </c>
      <c r="E23" s="72">
        <v>7.7999999999999996E-3</v>
      </c>
      <c r="F23" s="73">
        <v>7.7999999999999996E-3</v>
      </c>
      <c r="G23" s="72">
        <v>4.53E-2</v>
      </c>
      <c r="H23" s="73">
        <v>4.53E-2</v>
      </c>
      <c r="I23" s="74">
        <v>0.14019999999999999</v>
      </c>
      <c r="J23" s="75">
        <v>0.14019999999999999</v>
      </c>
      <c r="K23" s="74">
        <v>0.47220000000000001</v>
      </c>
      <c r="L23" s="75">
        <v>0.47220000000000001</v>
      </c>
      <c r="M23" s="48">
        <v>0</v>
      </c>
      <c r="N23" s="48">
        <f t="shared" si="7"/>
        <v>5.8076923076923084</v>
      </c>
      <c r="O23" s="52">
        <f t="shared" si="8"/>
        <v>17.974358974358974</v>
      </c>
      <c r="Q23" s="738" t="s">
        <v>57</v>
      </c>
      <c r="R23" s="739"/>
      <c r="S23" s="496">
        <v>3.3</v>
      </c>
      <c r="T23" s="503">
        <v>5.3</v>
      </c>
      <c r="U23" s="503">
        <v>5.3</v>
      </c>
      <c r="V23" s="503">
        <v>4.5</v>
      </c>
      <c r="W23" s="16">
        <f>S23+T23+U23+V23</f>
        <v>18.399999999999999</v>
      </c>
      <c r="X23" s="496">
        <v>3.3</v>
      </c>
      <c r="Y23" s="503">
        <v>4.8</v>
      </c>
      <c r="Z23" s="503">
        <v>4.8</v>
      </c>
      <c r="AA23" s="503">
        <v>3.9</v>
      </c>
      <c r="AB23" s="16">
        <f>X23+Y23+Z23+AA23</f>
        <v>16.799999999999997</v>
      </c>
      <c r="AC23" s="502">
        <v>3.3</v>
      </c>
      <c r="AD23" s="503">
        <v>3.9</v>
      </c>
      <c r="AE23" s="503">
        <v>3.9</v>
      </c>
      <c r="AF23" s="503">
        <v>3.3</v>
      </c>
      <c r="AG23" s="17">
        <f>AC23+AD23+AE23+AF23</f>
        <v>14.399999999999999</v>
      </c>
      <c r="AL23" s="669" t="s">
        <v>61</v>
      </c>
      <c r="AM23" s="675" t="s">
        <v>64</v>
      </c>
      <c r="AN23" s="662" t="s">
        <v>431</v>
      </c>
      <c r="AO23" s="664" t="s">
        <v>432</v>
      </c>
      <c r="BE23" s="3"/>
      <c r="BF23" s="129"/>
      <c r="BG23" s="31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</row>
    <row r="24" spans="2:78" ht="15.75" thickBot="1" x14ac:dyDescent="0.3">
      <c r="B24" s="749">
        <v>3</v>
      </c>
      <c r="C24" s="18">
        <v>5311</v>
      </c>
      <c r="D24" s="18" t="s">
        <v>12</v>
      </c>
      <c r="E24" s="81">
        <v>7.7999999999999996E-3</v>
      </c>
      <c r="F24" s="82">
        <v>7.7999999999999996E-3</v>
      </c>
      <c r="G24" s="81">
        <v>4.53E-2</v>
      </c>
      <c r="H24" s="82">
        <v>4.53E-2</v>
      </c>
      <c r="I24" s="83">
        <v>0.14019999999999999</v>
      </c>
      <c r="J24" s="84">
        <v>0.14019999999999999</v>
      </c>
      <c r="K24" s="83">
        <v>0.47220000000000001</v>
      </c>
      <c r="L24" s="84">
        <v>0.47220000000000001</v>
      </c>
      <c r="M24" s="20">
        <v>0</v>
      </c>
      <c r="N24" s="20">
        <f t="shared" si="7"/>
        <v>5.8076923076923084</v>
      </c>
      <c r="O24" s="24">
        <f t="shared" si="8"/>
        <v>17.974358974358974</v>
      </c>
      <c r="Q24" s="753" t="s">
        <v>56</v>
      </c>
      <c r="R24" s="754"/>
      <c r="S24" s="492">
        <v>4.5</v>
      </c>
      <c r="T24" s="493">
        <v>5.3</v>
      </c>
      <c r="U24" s="493">
        <v>5.3</v>
      </c>
      <c r="V24" s="493">
        <v>4.5</v>
      </c>
      <c r="W24" s="25">
        <f>S24+T24+U24+V24</f>
        <v>19.600000000000001</v>
      </c>
      <c r="X24" s="497">
        <v>3.3</v>
      </c>
      <c r="Y24" s="493">
        <v>4.8</v>
      </c>
      <c r="Z24" s="493">
        <v>4.8</v>
      </c>
      <c r="AA24" s="493">
        <v>3.9</v>
      </c>
      <c r="AB24" s="25">
        <f>X24+Y24+Z24+AA24</f>
        <v>16.799999999999997</v>
      </c>
      <c r="AC24" s="492">
        <v>3.3</v>
      </c>
      <c r="AD24" s="493">
        <v>3.9</v>
      </c>
      <c r="AE24" s="493">
        <v>3.9</v>
      </c>
      <c r="AF24" s="493">
        <v>3.3</v>
      </c>
      <c r="AG24" s="26">
        <f>AC24+AD24+AE24+AF24</f>
        <v>14.399999999999999</v>
      </c>
      <c r="AL24" s="670"/>
      <c r="AM24" s="676"/>
      <c r="AN24" s="663"/>
      <c r="AO24" s="665"/>
      <c r="BF24" s="129"/>
      <c r="BG24" s="31"/>
    </row>
    <row r="25" spans="2:78" x14ac:dyDescent="0.25">
      <c r="B25" s="747"/>
      <c r="C25" s="9">
        <v>5312</v>
      </c>
      <c r="D25" s="9" t="s">
        <v>12</v>
      </c>
      <c r="E25" s="66">
        <v>7.7999999999999996E-3</v>
      </c>
      <c r="F25" s="67">
        <v>7.7999999999999996E-3</v>
      </c>
      <c r="G25" s="66">
        <v>4.53E-2</v>
      </c>
      <c r="H25" s="67">
        <v>4.53E-2</v>
      </c>
      <c r="I25" s="68">
        <v>0.14019999999999999</v>
      </c>
      <c r="J25" s="69">
        <v>0.14019999999999999</v>
      </c>
      <c r="K25" s="68">
        <v>0.47220000000000001</v>
      </c>
      <c r="L25" s="69">
        <v>0.47220000000000001</v>
      </c>
      <c r="M25" s="28">
        <v>0</v>
      </c>
      <c r="N25" s="28">
        <f t="shared" si="7"/>
        <v>5.8076923076923084</v>
      </c>
      <c r="O25" s="32">
        <f t="shared" si="8"/>
        <v>17.974358974358974</v>
      </c>
      <c r="AL25" s="671">
        <v>3</v>
      </c>
      <c r="AM25" s="19">
        <v>7113</v>
      </c>
      <c r="AN25" s="605">
        <f>AQ5*E49</f>
        <v>3.6760607999999999E-3</v>
      </c>
      <c r="AO25" s="24">
        <f t="shared" ref="AO25:AO40" si="10">AR5-AN25</f>
        <v>5.9215392000000009E-3</v>
      </c>
      <c r="BF25" s="129"/>
      <c r="BG25" s="31"/>
    </row>
    <row r="26" spans="2:78" ht="15.75" thickBot="1" x14ac:dyDescent="0.3">
      <c r="B26" s="750"/>
      <c r="C26" s="53">
        <v>5313</v>
      </c>
      <c r="D26" s="53" t="s">
        <v>12</v>
      </c>
      <c r="E26" s="85">
        <v>7.7999999999999996E-3</v>
      </c>
      <c r="F26" s="86">
        <v>7.7999999999999996E-3</v>
      </c>
      <c r="G26" s="85">
        <v>4.53E-2</v>
      </c>
      <c r="H26" s="86">
        <v>4.53E-2</v>
      </c>
      <c r="I26" s="87">
        <v>0.14019999999999999</v>
      </c>
      <c r="J26" s="88">
        <v>0.14019999999999999</v>
      </c>
      <c r="K26" s="87">
        <v>0.47220000000000001</v>
      </c>
      <c r="L26" s="88">
        <v>0.47220000000000001</v>
      </c>
      <c r="M26" s="77">
        <v>0</v>
      </c>
      <c r="N26" s="77">
        <f t="shared" si="7"/>
        <v>5.8076923076923084</v>
      </c>
      <c r="O26" s="80">
        <f t="shared" si="8"/>
        <v>17.974358974358974</v>
      </c>
      <c r="AL26" s="671"/>
      <c r="AM26" s="27">
        <v>7213</v>
      </c>
      <c r="AN26" s="606">
        <f>AQ6*E52</f>
        <v>3.6760607999999999E-3</v>
      </c>
      <c r="AO26" s="32">
        <f t="shared" si="10"/>
        <v>5.9215392000000009E-3</v>
      </c>
    </row>
    <row r="27" spans="2:78" ht="15.75" thickBot="1" x14ac:dyDescent="0.3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AL27" s="671"/>
      <c r="AM27" s="27">
        <v>7313</v>
      </c>
      <c r="AN27" s="606">
        <f>AQ7*E55</f>
        <v>3.6760607999999999E-3</v>
      </c>
      <c r="AO27" s="32">
        <f t="shared" si="10"/>
        <v>5.9215392000000009E-3</v>
      </c>
    </row>
    <row r="28" spans="2:78" ht="16.5" thickBot="1" x14ac:dyDescent="0.3">
      <c r="B28" s="803" t="s">
        <v>280</v>
      </c>
      <c r="C28" s="804"/>
      <c r="D28" s="804"/>
      <c r="E28" s="804"/>
      <c r="F28" s="804"/>
      <c r="G28" s="804"/>
      <c r="H28" s="804"/>
      <c r="I28" s="804"/>
      <c r="J28" s="804"/>
      <c r="K28" s="804"/>
      <c r="L28" s="805"/>
      <c r="M28" s="89"/>
      <c r="N28" s="89"/>
      <c r="O28" s="89"/>
      <c r="AL28" s="671"/>
      <c r="AM28" s="47">
        <v>7413</v>
      </c>
      <c r="AN28" s="607">
        <f>AQ8*E58</f>
        <v>3.6760607999999999E-3</v>
      </c>
      <c r="AO28" s="52">
        <f t="shared" si="10"/>
        <v>5.9215392000000009E-3</v>
      </c>
    </row>
    <row r="29" spans="2:78" ht="15.75" customHeight="1" x14ac:dyDescent="0.25">
      <c r="B29" s="806" t="s">
        <v>60</v>
      </c>
      <c r="C29" s="739" t="s">
        <v>32</v>
      </c>
      <c r="D29" s="739" t="s">
        <v>30</v>
      </c>
      <c r="E29" s="740" t="s">
        <v>202</v>
      </c>
      <c r="F29" s="751" t="s">
        <v>203</v>
      </c>
      <c r="G29" s="758" t="s">
        <v>206</v>
      </c>
      <c r="H29" s="758" t="s">
        <v>207</v>
      </c>
      <c r="I29" s="740" t="s">
        <v>204</v>
      </c>
      <c r="J29" s="751" t="s">
        <v>205</v>
      </c>
      <c r="K29" s="740" t="s">
        <v>284</v>
      </c>
      <c r="L29" s="745" t="s">
        <v>285</v>
      </c>
      <c r="M29" s="89"/>
      <c r="N29" s="89"/>
      <c r="O29" s="89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L29" s="672">
        <v>2</v>
      </c>
      <c r="AM29" s="27">
        <v>7112</v>
      </c>
      <c r="AN29" s="606">
        <f>AQ9*E48</f>
        <v>3.6760607999999999E-3</v>
      </c>
      <c r="AO29" s="32">
        <f t="shared" si="10"/>
        <v>5.9215392000000009E-3</v>
      </c>
    </row>
    <row r="30" spans="2:78" ht="15.75" customHeight="1" thickBot="1" x14ac:dyDescent="0.3">
      <c r="B30" s="807"/>
      <c r="C30" s="754"/>
      <c r="D30" s="754"/>
      <c r="E30" s="741"/>
      <c r="F30" s="752"/>
      <c r="G30" s="754"/>
      <c r="H30" s="754"/>
      <c r="I30" s="741"/>
      <c r="J30" s="752"/>
      <c r="K30" s="741"/>
      <c r="L30" s="746"/>
      <c r="M30" s="89"/>
      <c r="N30" s="89"/>
      <c r="O30" s="89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L30" s="671"/>
      <c r="AM30" s="27">
        <v>7212</v>
      </c>
      <c r="AN30" s="606">
        <f>AQ10*E51</f>
        <v>3.6760607999999999E-3</v>
      </c>
      <c r="AO30" s="32">
        <f t="shared" si="10"/>
        <v>5.9215392000000009E-3</v>
      </c>
    </row>
    <row r="31" spans="2:78" ht="15" customHeight="1" x14ac:dyDescent="0.25">
      <c r="B31" s="759">
        <v>1</v>
      </c>
      <c r="C31" s="9">
        <v>7111</v>
      </c>
      <c r="D31" s="9" t="s">
        <v>27</v>
      </c>
      <c r="E31" s="10">
        <v>41.5</v>
      </c>
      <c r="F31" s="11">
        <v>41.5</v>
      </c>
      <c r="G31" s="12">
        <v>44.7</v>
      </c>
      <c r="H31" s="12">
        <v>44.7</v>
      </c>
      <c r="I31" s="10">
        <v>35.799999999999997</v>
      </c>
      <c r="J31" s="11">
        <v>35.799999999999997</v>
      </c>
      <c r="K31" s="10">
        <v>4.5</v>
      </c>
      <c r="L31" s="90">
        <v>4.5</v>
      </c>
      <c r="M31" s="89"/>
      <c r="N31" s="89"/>
      <c r="O31" s="89"/>
      <c r="Q31" s="71"/>
      <c r="R31" s="7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L31" s="671"/>
      <c r="AM31" s="27">
        <v>7312</v>
      </c>
      <c r="AN31" s="606">
        <f>AQ11*E54</f>
        <v>3.6760607999999999E-3</v>
      </c>
      <c r="AO31" s="32">
        <f t="shared" si="10"/>
        <v>5.9215392000000009E-3</v>
      </c>
    </row>
    <row r="32" spans="2:78" ht="15.75" customHeight="1" x14ac:dyDescent="0.25">
      <c r="B32" s="747"/>
      <c r="C32" s="9">
        <v>7112</v>
      </c>
      <c r="D32" s="9" t="s">
        <v>27</v>
      </c>
      <c r="E32" s="10">
        <v>36.4</v>
      </c>
      <c r="F32" s="11">
        <v>36.4</v>
      </c>
      <c r="G32" s="12">
        <v>39.200000000000003</v>
      </c>
      <c r="H32" s="12">
        <v>39.200000000000003</v>
      </c>
      <c r="I32" s="10">
        <v>31.3</v>
      </c>
      <c r="J32" s="11">
        <v>31.3</v>
      </c>
      <c r="K32" s="10">
        <v>3.9</v>
      </c>
      <c r="L32" s="90">
        <v>3.9</v>
      </c>
      <c r="M32" s="89"/>
      <c r="N32" s="89"/>
      <c r="O32" s="89"/>
      <c r="Q32" s="71"/>
      <c r="R32" s="71"/>
      <c r="S32" s="92"/>
      <c r="T32" s="92"/>
      <c r="U32" s="92"/>
      <c r="V32" s="92"/>
      <c r="W32" s="93"/>
      <c r="X32" s="92"/>
      <c r="Y32" s="92"/>
      <c r="Z32" s="92"/>
      <c r="AA32" s="92"/>
      <c r="AB32" s="93"/>
      <c r="AC32" s="92"/>
      <c r="AD32" s="92"/>
      <c r="AE32" s="92"/>
      <c r="AF32" s="92"/>
      <c r="AG32" s="93"/>
      <c r="AL32" s="673"/>
      <c r="AM32" s="27">
        <v>7412</v>
      </c>
      <c r="AN32" s="606">
        <f>AQ12*E57</f>
        <v>3.6760607999999999E-3</v>
      </c>
      <c r="AO32" s="32">
        <f t="shared" si="10"/>
        <v>5.9215392000000009E-3</v>
      </c>
    </row>
    <row r="33" spans="2:41" ht="15.75" customHeight="1" x14ac:dyDescent="0.25">
      <c r="B33" s="748"/>
      <c r="C33" s="9">
        <v>7113</v>
      </c>
      <c r="D33" s="9" t="s">
        <v>27</v>
      </c>
      <c r="E33" s="10">
        <v>30.8</v>
      </c>
      <c r="F33" s="11">
        <v>30.8</v>
      </c>
      <c r="G33" s="12">
        <v>33.1</v>
      </c>
      <c r="H33" s="12">
        <v>33.1</v>
      </c>
      <c r="I33" s="10">
        <v>26.5</v>
      </c>
      <c r="J33" s="11">
        <v>26.5</v>
      </c>
      <c r="K33" s="10">
        <v>3.3</v>
      </c>
      <c r="L33" s="90">
        <v>3.3</v>
      </c>
      <c r="M33" s="89"/>
      <c r="N33" s="89"/>
      <c r="O33" s="89"/>
      <c r="Q33" s="71"/>
      <c r="R33" s="71"/>
      <c r="S33" s="92"/>
      <c r="T33" s="92"/>
      <c r="U33" s="92"/>
      <c r="V33" s="92"/>
      <c r="W33" s="93"/>
      <c r="X33" s="92"/>
      <c r="Y33" s="92"/>
      <c r="Z33" s="92"/>
      <c r="AA33" s="92"/>
      <c r="AB33" s="93"/>
      <c r="AC33" s="92"/>
      <c r="AD33" s="92"/>
      <c r="AE33" s="92"/>
      <c r="AF33" s="92"/>
      <c r="AG33" s="93"/>
      <c r="AL33" s="671">
        <v>1</v>
      </c>
      <c r="AM33" s="19">
        <v>7111</v>
      </c>
      <c r="AN33" s="605">
        <f>AQ13*E47</f>
        <v>3.5410407999999995E-3</v>
      </c>
      <c r="AO33" s="24">
        <f t="shared" si="10"/>
        <v>5.2567592000000007E-3</v>
      </c>
    </row>
    <row r="34" spans="2:41" ht="15.75" customHeight="1" x14ac:dyDescent="0.25">
      <c r="B34" s="749">
        <v>2</v>
      </c>
      <c r="C34" s="18">
        <v>7211</v>
      </c>
      <c r="D34" s="18" t="s">
        <v>27</v>
      </c>
      <c r="E34" s="41">
        <v>49.6</v>
      </c>
      <c r="F34" s="42">
        <v>49.6</v>
      </c>
      <c r="G34" s="43">
        <v>53.4</v>
      </c>
      <c r="H34" s="43">
        <v>53.4</v>
      </c>
      <c r="I34" s="41">
        <v>42.7</v>
      </c>
      <c r="J34" s="42">
        <v>42.7</v>
      </c>
      <c r="K34" s="41">
        <v>5.3</v>
      </c>
      <c r="L34" s="94">
        <v>5.3</v>
      </c>
      <c r="M34" s="89"/>
      <c r="N34" s="89"/>
      <c r="O34" s="89"/>
      <c r="AL34" s="671"/>
      <c r="AM34" s="27">
        <v>7211</v>
      </c>
      <c r="AN34" s="606">
        <f>AQ14*E50</f>
        <v>3.5410407999999995E-3</v>
      </c>
      <c r="AO34" s="32">
        <f t="shared" si="10"/>
        <v>5.2567592000000007E-3</v>
      </c>
    </row>
    <row r="35" spans="2:41" ht="15" customHeight="1" x14ac:dyDescent="0.25">
      <c r="B35" s="747"/>
      <c r="C35" s="9">
        <v>7212</v>
      </c>
      <c r="D35" s="9" t="s">
        <v>27</v>
      </c>
      <c r="E35" s="10">
        <v>44.7</v>
      </c>
      <c r="F35" s="11">
        <v>44.7</v>
      </c>
      <c r="G35" s="12">
        <v>48.1</v>
      </c>
      <c r="H35" s="12">
        <v>48.1</v>
      </c>
      <c r="I35" s="10">
        <v>38.5</v>
      </c>
      <c r="J35" s="11">
        <v>38.5</v>
      </c>
      <c r="K35" s="10">
        <v>4.8</v>
      </c>
      <c r="L35" s="90">
        <v>4.8</v>
      </c>
      <c r="M35" s="89"/>
      <c r="N35" s="89"/>
      <c r="O35" s="89"/>
      <c r="AL35" s="671"/>
      <c r="AM35" s="27">
        <v>7311</v>
      </c>
      <c r="AN35" s="606">
        <f>AQ15*E53</f>
        <v>3.5410407999999995E-3</v>
      </c>
      <c r="AO35" s="32">
        <f t="shared" si="10"/>
        <v>5.2567592000000007E-3</v>
      </c>
    </row>
    <row r="36" spans="2:41" ht="15" customHeight="1" x14ac:dyDescent="0.25">
      <c r="B36" s="748"/>
      <c r="C36" s="9">
        <v>7213</v>
      </c>
      <c r="D36" s="9" t="s">
        <v>27</v>
      </c>
      <c r="E36" s="10">
        <v>36</v>
      </c>
      <c r="F36" s="11">
        <v>36</v>
      </c>
      <c r="G36" s="12">
        <v>38.799999999999997</v>
      </c>
      <c r="H36" s="12">
        <v>38.799999999999997</v>
      </c>
      <c r="I36" s="10">
        <v>31</v>
      </c>
      <c r="J36" s="11">
        <v>31</v>
      </c>
      <c r="K36" s="10">
        <v>3.9</v>
      </c>
      <c r="L36" s="90">
        <v>3.9</v>
      </c>
      <c r="M36" s="89"/>
      <c r="N36" s="89"/>
      <c r="O36" s="89"/>
      <c r="AL36" s="671"/>
      <c r="AM36" s="47">
        <v>7411</v>
      </c>
      <c r="AN36" s="607">
        <f>AQ16*E56</f>
        <v>3.5410407999999995E-3</v>
      </c>
      <c r="AO36" s="52">
        <f t="shared" si="10"/>
        <v>5.2567592000000007E-3</v>
      </c>
    </row>
    <row r="37" spans="2:41" ht="15" customHeight="1" x14ac:dyDescent="0.25">
      <c r="B37" s="749">
        <v>3</v>
      </c>
      <c r="C37" s="18">
        <v>7311</v>
      </c>
      <c r="D37" s="18" t="s">
        <v>27</v>
      </c>
      <c r="E37" s="41">
        <v>49.6</v>
      </c>
      <c r="F37" s="42">
        <v>49.6</v>
      </c>
      <c r="G37" s="43">
        <v>53.4</v>
      </c>
      <c r="H37" s="43">
        <v>53.4</v>
      </c>
      <c r="I37" s="41">
        <v>42.7</v>
      </c>
      <c r="J37" s="42">
        <v>42.7</v>
      </c>
      <c r="K37" s="41">
        <v>5.3</v>
      </c>
      <c r="L37" s="94">
        <v>5.3</v>
      </c>
      <c r="M37" s="89"/>
      <c r="N37" s="89"/>
      <c r="O37" s="89"/>
      <c r="AL37" s="672">
        <v>0</v>
      </c>
      <c r="AM37" s="27">
        <v>7111</v>
      </c>
      <c r="AN37" s="606">
        <f>AQ17*E47</f>
        <v>4.0384072453665282E-3</v>
      </c>
      <c r="AO37" s="32">
        <f t="shared" si="10"/>
        <v>4.1823811363762096E-3</v>
      </c>
    </row>
    <row r="38" spans="2:41" ht="15" customHeight="1" x14ac:dyDescent="0.25">
      <c r="B38" s="747"/>
      <c r="C38" s="9">
        <v>7312</v>
      </c>
      <c r="D38" s="9" t="s">
        <v>27</v>
      </c>
      <c r="E38" s="10">
        <v>44.7</v>
      </c>
      <c r="F38" s="11">
        <v>44.7</v>
      </c>
      <c r="G38" s="12">
        <v>48.1</v>
      </c>
      <c r="H38" s="12">
        <v>48.1</v>
      </c>
      <c r="I38" s="10">
        <v>38.5</v>
      </c>
      <c r="J38" s="11">
        <v>38.5</v>
      </c>
      <c r="K38" s="10">
        <v>4.8</v>
      </c>
      <c r="L38" s="90">
        <v>4.8</v>
      </c>
      <c r="M38" s="89"/>
      <c r="N38" s="89"/>
      <c r="O38" s="89"/>
      <c r="AL38" s="671"/>
      <c r="AM38" s="27">
        <v>7211</v>
      </c>
      <c r="AN38" s="606">
        <f>AQ18*E50</f>
        <v>3.7828207999999995E-3</v>
      </c>
      <c r="AO38" s="32">
        <f t="shared" si="10"/>
        <v>3.3781792000000003E-3</v>
      </c>
    </row>
    <row r="39" spans="2:41" ht="15" customHeight="1" x14ac:dyDescent="0.25">
      <c r="B39" s="748"/>
      <c r="C39" s="9">
        <v>7313</v>
      </c>
      <c r="D39" s="9" t="s">
        <v>27</v>
      </c>
      <c r="E39" s="10">
        <v>36</v>
      </c>
      <c r="F39" s="11">
        <v>36</v>
      </c>
      <c r="G39" s="12">
        <v>38.799999999999997</v>
      </c>
      <c r="H39" s="12">
        <v>38.799999999999997</v>
      </c>
      <c r="I39" s="10">
        <v>31</v>
      </c>
      <c r="J39" s="11">
        <v>31</v>
      </c>
      <c r="K39" s="10">
        <v>3.9</v>
      </c>
      <c r="L39" s="90">
        <v>3.9</v>
      </c>
      <c r="M39" s="89"/>
      <c r="N39" s="89"/>
      <c r="O39" s="89"/>
      <c r="AL39" s="671"/>
      <c r="AM39" s="27">
        <v>7311</v>
      </c>
      <c r="AN39" s="606">
        <f>AQ19*E53</f>
        <v>3.7828207999999995E-3</v>
      </c>
      <c r="AO39" s="32">
        <f t="shared" si="10"/>
        <v>3.3781792000000003E-3</v>
      </c>
    </row>
    <row r="40" spans="2:41" ht="15" customHeight="1" thickBot="1" x14ac:dyDescent="0.3">
      <c r="B40" s="749">
        <v>4</v>
      </c>
      <c r="C40" s="18">
        <v>7411</v>
      </c>
      <c r="D40" s="18" t="s">
        <v>27</v>
      </c>
      <c r="E40" s="41">
        <v>41.5</v>
      </c>
      <c r="F40" s="42">
        <v>41.5</v>
      </c>
      <c r="G40" s="43">
        <v>44.7</v>
      </c>
      <c r="H40" s="43">
        <v>44.7</v>
      </c>
      <c r="I40" s="41">
        <v>35.799999999999997</v>
      </c>
      <c r="J40" s="42">
        <v>35.799999999999997</v>
      </c>
      <c r="K40" s="41">
        <v>4.5</v>
      </c>
      <c r="L40" s="94">
        <v>4.5</v>
      </c>
      <c r="M40" s="89"/>
      <c r="N40" s="89"/>
      <c r="O40" s="89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L40" s="674"/>
      <c r="AM40" s="609">
        <v>7411</v>
      </c>
      <c r="AN40" s="608">
        <f>AQ20*E56</f>
        <v>3.7828207999999995E-3</v>
      </c>
      <c r="AO40" s="80">
        <f t="shared" si="10"/>
        <v>3.3781792000000003E-3</v>
      </c>
    </row>
    <row r="41" spans="2:41" ht="15" customHeight="1" x14ac:dyDescent="0.25">
      <c r="B41" s="747"/>
      <c r="C41" s="9">
        <v>7412</v>
      </c>
      <c r="D41" s="9" t="s">
        <v>27</v>
      </c>
      <c r="E41" s="10">
        <v>36.4</v>
      </c>
      <c r="F41" s="11">
        <v>36.4</v>
      </c>
      <c r="G41" s="12">
        <v>39.200000000000003</v>
      </c>
      <c r="H41" s="12">
        <v>39.200000000000003</v>
      </c>
      <c r="I41" s="10">
        <v>31.3</v>
      </c>
      <c r="J41" s="11">
        <v>31.3</v>
      </c>
      <c r="K41" s="10">
        <v>3.9</v>
      </c>
      <c r="L41" s="90">
        <v>3.9</v>
      </c>
      <c r="M41" s="89"/>
      <c r="N41" s="89"/>
      <c r="O41" s="89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</row>
    <row r="42" spans="2:41" ht="15.75" customHeight="1" thickBot="1" x14ac:dyDescent="0.3">
      <c r="B42" s="750"/>
      <c r="C42" s="53">
        <v>7413</v>
      </c>
      <c r="D42" s="53" t="s">
        <v>27</v>
      </c>
      <c r="E42" s="54">
        <v>30.8</v>
      </c>
      <c r="F42" s="55">
        <v>30.8</v>
      </c>
      <c r="G42" s="56">
        <v>33.1</v>
      </c>
      <c r="H42" s="56">
        <v>33.1</v>
      </c>
      <c r="I42" s="54">
        <v>26.5</v>
      </c>
      <c r="J42" s="55">
        <v>26.5</v>
      </c>
      <c r="K42" s="54">
        <v>3.3</v>
      </c>
      <c r="L42" s="96">
        <v>3.3</v>
      </c>
      <c r="M42" s="89"/>
      <c r="N42" s="89"/>
      <c r="O42" s="89"/>
      <c r="Q42" s="71"/>
      <c r="R42" s="7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</row>
    <row r="43" spans="2:41" ht="15.75" customHeight="1" thickBot="1" x14ac:dyDescent="0.3">
      <c r="B43" s="62"/>
      <c r="C43" s="9"/>
      <c r="D43" s="9"/>
      <c r="E43" s="97"/>
      <c r="F43" s="97"/>
      <c r="G43" s="97"/>
      <c r="H43" s="97"/>
      <c r="I43" s="98"/>
      <c r="J43" s="98"/>
      <c r="K43" s="98"/>
      <c r="L43" s="98"/>
      <c r="M43" s="28"/>
      <c r="N43" s="28"/>
      <c r="O43" s="28"/>
      <c r="Q43" s="71"/>
      <c r="R43" s="71"/>
      <c r="S43" s="92"/>
      <c r="T43" s="92"/>
      <c r="U43" s="92"/>
      <c r="V43" s="92"/>
      <c r="W43" s="93"/>
      <c r="X43" s="92"/>
      <c r="Y43" s="92"/>
      <c r="Z43" s="92"/>
      <c r="AA43" s="92"/>
      <c r="AB43" s="93"/>
      <c r="AC43" s="92"/>
      <c r="AD43" s="92"/>
      <c r="AE43" s="92"/>
      <c r="AF43" s="92"/>
      <c r="AG43" s="93"/>
    </row>
    <row r="44" spans="2:41" ht="16.5" thickBot="1" x14ac:dyDescent="0.3">
      <c r="B44" s="803" t="s">
        <v>283</v>
      </c>
      <c r="C44" s="804"/>
      <c r="D44" s="804"/>
      <c r="E44" s="804"/>
      <c r="F44" s="804"/>
      <c r="G44" s="804"/>
      <c r="H44" s="804"/>
      <c r="I44" s="804"/>
      <c r="J44" s="804"/>
      <c r="K44" s="804"/>
      <c r="L44" s="804"/>
      <c r="M44" s="804"/>
      <c r="N44" s="804"/>
      <c r="O44" s="805"/>
      <c r="Q44" s="71"/>
      <c r="R44" s="71"/>
      <c r="S44" s="92"/>
      <c r="T44" s="92"/>
      <c r="U44" s="92"/>
      <c r="V44" s="92"/>
      <c r="W44" s="93"/>
      <c r="X44" s="92"/>
      <c r="Y44" s="92"/>
      <c r="Z44" s="92"/>
      <c r="AA44" s="92"/>
      <c r="AB44" s="93"/>
      <c r="AC44" s="92"/>
      <c r="AD44" s="92"/>
      <c r="AE44" s="92"/>
      <c r="AF44" s="92"/>
      <c r="AG44" s="93"/>
    </row>
    <row r="45" spans="2:41" x14ac:dyDescent="0.25">
      <c r="B45" s="806" t="s">
        <v>60</v>
      </c>
      <c r="C45" s="739" t="s">
        <v>32</v>
      </c>
      <c r="D45" s="739" t="s">
        <v>30</v>
      </c>
      <c r="E45" s="740" t="s">
        <v>367</v>
      </c>
      <c r="F45" s="751" t="s">
        <v>366</v>
      </c>
      <c r="G45" s="740" t="s">
        <v>365</v>
      </c>
      <c r="H45" s="751" t="s">
        <v>364</v>
      </c>
      <c r="I45" s="740" t="s">
        <v>363</v>
      </c>
      <c r="J45" s="751" t="s">
        <v>362</v>
      </c>
      <c r="K45" s="740" t="s">
        <v>361</v>
      </c>
      <c r="L45" s="751" t="s">
        <v>360</v>
      </c>
      <c r="M45" s="808" t="s">
        <v>302</v>
      </c>
      <c r="N45" s="797" t="s">
        <v>359</v>
      </c>
      <c r="O45" s="810" t="s">
        <v>358</v>
      </c>
    </row>
    <row r="46" spans="2:41" ht="15.75" thickBot="1" x14ac:dyDescent="0.3">
      <c r="B46" s="807"/>
      <c r="C46" s="754"/>
      <c r="D46" s="754"/>
      <c r="E46" s="741"/>
      <c r="F46" s="752"/>
      <c r="G46" s="741"/>
      <c r="H46" s="752"/>
      <c r="I46" s="741"/>
      <c r="J46" s="752"/>
      <c r="K46" s="741"/>
      <c r="L46" s="752"/>
      <c r="M46" s="809"/>
      <c r="N46" s="798"/>
      <c r="O46" s="811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</row>
    <row r="47" spans="2:41" ht="15" customHeight="1" x14ac:dyDescent="0.25">
      <c r="B47" s="759">
        <v>1</v>
      </c>
      <c r="C47" s="100">
        <v>7111</v>
      </c>
      <c r="D47" s="100" t="s">
        <v>27</v>
      </c>
      <c r="E47" s="101">
        <v>1.5699999999999999E-2</v>
      </c>
      <c r="F47" s="102">
        <v>1.5699999999999999E-2</v>
      </c>
      <c r="G47" s="103">
        <v>0.10829999999999999</v>
      </c>
      <c r="H47" s="103">
        <v>0.10829999999999999</v>
      </c>
      <c r="I47" s="101">
        <v>0.23719999999999999</v>
      </c>
      <c r="J47" s="102">
        <v>0.23719999999999999</v>
      </c>
      <c r="K47" s="101">
        <v>0.68859999999999999</v>
      </c>
      <c r="L47" s="102">
        <v>0.68859999999999999</v>
      </c>
      <c r="M47" s="104">
        <v>0.158</v>
      </c>
      <c r="N47" s="28">
        <f t="shared" ref="N47:N58" si="11">G47/E47</f>
        <v>6.8980891719745223</v>
      </c>
      <c r="O47" s="32">
        <f t="shared" ref="O47:O58" si="12">I47/E47</f>
        <v>15.108280254777071</v>
      </c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</row>
    <row r="48" spans="2:41" x14ac:dyDescent="0.25">
      <c r="B48" s="747"/>
      <c r="C48" s="122">
        <v>7112</v>
      </c>
      <c r="D48" s="122" t="s">
        <v>27</v>
      </c>
      <c r="E48" s="66">
        <v>1.5699999999999999E-2</v>
      </c>
      <c r="F48" s="67">
        <v>1.5699999999999999E-2</v>
      </c>
      <c r="G48" s="97">
        <v>9.3899999999999997E-2</v>
      </c>
      <c r="H48" s="97">
        <v>9.3899999999999997E-2</v>
      </c>
      <c r="I48" s="66">
        <v>0.2772</v>
      </c>
      <c r="J48" s="67">
        <v>0.2772</v>
      </c>
      <c r="K48" s="66">
        <v>0.91839999999999999</v>
      </c>
      <c r="L48" s="67">
        <v>0.91839999999999999</v>
      </c>
      <c r="M48" s="31">
        <v>0.104</v>
      </c>
      <c r="N48" s="28">
        <f t="shared" si="11"/>
        <v>5.9808917197452232</v>
      </c>
      <c r="O48" s="32">
        <f t="shared" si="12"/>
        <v>17.656050955414013</v>
      </c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</row>
    <row r="49" spans="1:31" x14ac:dyDescent="0.25">
      <c r="B49" s="748"/>
      <c r="C49" s="122">
        <v>7113</v>
      </c>
      <c r="D49" s="122" t="s">
        <v>27</v>
      </c>
      <c r="E49" s="66">
        <v>1.5699999999999999E-2</v>
      </c>
      <c r="F49" s="67">
        <v>1.5699999999999999E-2</v>
      </c>
      <c r="G49" s="97">
        <v>9.0700000000000003E-2</v>
      </c>
      <c r="H49" s="97">
        <v>9.0700000000000003E-2</v>
      </c>
      <c r="I49" s="66">
        <v>0.28039999999999998</v>
      </c>
      <c r="J49" s="67">
        <v>0.28039999999999998</v>
      </c>
      <c r="K49" s="66">
        <v>0.94440000000000002</v>
      </c>
      <c r="L49" s="67">
        <v>0.94440000000000002</v>
      </c>
      <c r="M49" s="31">
        <v>5.0999999999999997E-2</v>
      </c>
      <c r="N49" s="28">
        <f t="shared" si="11"/>
        <v>5.7770700636942678</v>
      </c>
      <c r="O49" s="32">
        <f t="shared" si="12"/>
        <v>17.859872611464969</v>
      </c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</row>
    <row r="50" spans="1:31" x14ac:dyDescent="0.25">
      <c r="B50" s="749">
        <v>2</v>
      </c>
      <c r="C50" s="121">
        <v>7211</v>
      </c>
      <c r="D50" s="121" t="s">
        <v>27</v>
      </c>
      <c r="E50" s="81">
        <v>1.5699999999999999E-2</v>
      </c>
      <c r="F50" s="82">
        <v>1.5699999999999999E-2</v>
      </c>
      <c r="G50" s="105">
        <v>0.1003</v>
      </c>
      <c r="H50" s="105">
        <v>0.1003</v>
      </c>
      <c r="I50" s="81">
        <v>0.16930000000000001</v>
      </c>
      <c r="J50" s="82">
        <v>0.16930000000000001</v>
      </c>
      <c r="K50" s="81">
        <v>0.41060000000000002</v>
      </c>
      <c r="L50" s="82">
        <v>0.41060000000000002</v>
      </c>
      <c r="M50" s="21">
        <v>0.317</v>
      </c>
      <c r="N50" s="20">
        <f t="shared" si="11"/>
        <v>6.3885350318471339</v>
      </c>
      <c r="O50" s="24">
        <f t="shared" si="12"/>
        <v>10.783439490445861</v>
      </c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</row>
    <row r="51" spans="1:31" x14ac:dyDescent="0.25">
      <c r="A51" s="3"/>
      <c r="B51" s="747"/>
      <c r="C51" s="122">
        <v>7212</v>
      </c>
      <c r="D51" s="122" t="s">
        <v>27</v>
      </c>
      <c r="E51" s="66">
        <v>1.5699999999999999E-2</v>
      </c>
      <c r="F51" s="67">
        <v>1.5699999999999999E-2</v>
      </c>
      <c r="G51" s="97">
        <v>9.8900000000000002E-2</v>
      </c>
      <c r="H51" s="97">
        <v>9.8900000000000002E-2</v>
      </c>
      <c r="I51" s="66">
        <v>0.19980000000000001</v>
      </c>
      <c r="J51" s="67">
        <v>0.19980000000000001</v>
      </c>
      <c r="K51" s="66">
        <v>0.55310000000000004</v>
      </c>
      <c r="L51" s="67">
        <v>0.55310000000000004</v>
      </c>
      <c r="M51" s="29">
        <v>0.20899999999999999</v>
      </c>
      <c r="N51" s="28">
        <f t="shared" si="11"/>
        <v>6.2993630573248414</v>
      </c>
      <c r="O51" s="32">
        <f t="shared" si="12"/>
        <v>12.726114649681531</v>
      </c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</row>
    <row r="52" spans="1:31" x14ac:dyDescent="0.25">
      <c r="A52" s="3"/>
      <c r="B52" s="748"/>
      <c r="C52" s="122">
        <v>7213</v>
      </c>
      <c r="D52" s="122" t="s">
        <v>27</v>
      </c>
      <c r="E52" s="66">
        <v>1.5699999999999999E-2</v>
      </c>
      <c r="F52" s="67">
        <v>1.5699999999999999E-2</v>
      </c>
      <c r="G52" s="97">
        <v>9.1499999999999998E-2</v>
      </c>
      <c r="H52" s="97">
        <v>9.1499999999999998E-2</v>
      </c>
      <c r="I52" s="66">
        <v>0.2797</v>
      </c>
      <c r="J52" s="67">
        <v>0.2797</v>
      </c>
      <c r="K52" s="66">
        <v>0.93820000000000003</v>
      </c>
      <c r="L52" s="67">
        <v>0.93820000000000003</v>
      </c>
      <c r="M52" s="49">
        <v>0.10100000000000001</v>
      </c>
      <c r="N52" s="48">
        <f t="shared" si="11"/>
        <v>5.8280254777070066</v>
      </c>
      <c r="O52" s="52">
        <f t="shared" si="12"/>
        <v>17.815286624203825</v>
      </c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</row>
    <row r="53" spans="1:31" x14ac:dyDescent="0.25">
      <c r="A53" s="3"/>
      <c r="B53" s="749">
        <v>3</v>
      </c>
      <c r="C53" s="121">
        <v>7311</v>
      </c>
      <c r="D53" s="121" t="s">
        <v>27</v>
      </c>
      <c r="E53" s="81">
        <v>1.5699999999999999E-2</v>
      </c>
      <c r="F53" s="82">
        <v>1.5699999999999999E-2</v>
      </c>
      <c r="G53" s="105">
        <v>0.1003</v>
      </c>
      <c r="H53" s="105">
        <v>0.1003</v>
      </c>
      <c r="I53" s="81">
        <v>0.16930000000000001</v>
      </c>
      <c r="J53" s="82">
        <v>0.16930000000000001</v>
      </c>
      <c r="K53" s="81">
        <v>0.41060000000000002</v>
      </c>
      <c r="L53" s="82">
        <v>0.41060000000000002</v>
      </c>
      <c r="M53" s="31">
        <v>0.317</v>
      </c>
      <c r="N53" s="28">
        <f t="shared" si="11"/>
        <v>6.3885350318471339</v>
      </c>
      <c r="O53" s="32">
        <f t="shared" si="12"/>
        <v>10.783439490445861</v>
      </c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</row>
    <row r="54" spans="1:31" x14ac:dyDescent="0.25">
      <c r="A54" s="3"/>
      <c r="B54" s="747"/>
      <c r="C54" s="122">
        <v>7312</v>
      </c>
      <c r="D54" s="122" t="s">
        <v>27</v>
      </c>
      <c r="E54" s="66">
        <v>1.5699999999999999E-2</v>
      </c>
      <c r="F54" s="67">
        <v>1.5699999999999999E-2</v>
      </c>
      <c r="G54" s="97">
        <v>9.8900000000000002E-2</v>
      </c>
      <c r="H54" s="97">
        <v>9.8900000000000002E-2</v>
      </c>
      <c r="I54" s="66">
        <v>0.19980000000000001</v>
      </c>
      <c r="J54" s="67">
        <v>0.19980000000000001</v>
      </c>
      <c r="K54" s="66">
        <v>0.55310000000000004</v>
      </c>
      <c r="L54" s="67">
        <v>0.55310000000000004</v>
      </c>
      <c r="M54" s="31">
        <v>0.20899999999999999</v>
      </c>
      <c r="N54" s="28">
        <f t="shared" si="11"/>
        <v>6.2993630573248414</v>
      </c>
      <c r="O54" s="32">
        <f t="shared" si="12"/>
        <v>12.726114649681531</v>
      </c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</row>
    <row r="55" spans="1:31" x14ac:dyDescent="0.25">
      <c r="A55" s="3"/>
      <c r="B55" s="748"/>
      <c r="C55" s="122">
        <v>7313</v>
      </c>
      <c r="D55" s="122" t="s">
        <v>27</v>
      </c>
      <c r="E55" s="66">
        <v>1.5699999999999999E-2</v>
      </c>
      <c r="F55" s="67">
        <v>1.5699999999999999E-2</v>
      </c>
      <c r="G55" s="97">
        <v>9.1499999999999998E-2</v>
      </c>
      <c r="H55" s="97">
        <v>9.1499999999999998E-2</v>
      </c>
      <c r="I55" s="66">
        <v>0.2797</v>
      </c>
      <c r="J55" s="67">
        <v>0.2797</v>
      </c>
      <c r="K55" s="66">
        <v>0.93820000000000003</v>
      </c>
      <c r="L55" s="67">
        <v>0.93820000000000003</v>
      </c>
      <c r="M55" s="31">
        <v>0.10100000000000001</v>
      </c>
      <c r="N55" s="28">
        <f t="shared" si="11"/>
        <v>5.8280254777070066</v>
      </c>
      <c r="O55" s="32">
        <f t="shared" si="12"/>
        <v>17.815286624203825</v>
      </c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9"/>
      <c r="AD55" s="99"/>
      <c r="AE55" s="99"/>
    </row>
    <row r="56" spans="1:31" x14ac:dyDescent="0.25">
      <c r="A56" s="3"/>
      <c r="B56" s="749">
        <v>4</v>
      </c>
      <c r="C56" s="121">
        <v>7411</v>
      </c>
      <c r="D56" s="121" t="s">
        <v>27</v>
      </c>
      <c r="E56" s="81">
        <v>1.5699999999999999E-2</v>
      </c>
      <c r="F56" s="82">
        <v>1.5699999999999999E-2</v>
      </c>
      <c r="G56" s="105">
        <v>0.10829999999999999</v>
      </c>
      <c r="H56" s="105">
        <v>0.10829999999999999</v>
      </c>
      <c r="I56" s="81">
        <v>0.23719999999999999</v>
      </c>
      <c r="J56" s="82">
        <v>0.23719999999999999</v>
      </c>
      <c r="K56" s="81">
        <v>0.68859999999999999</v>
      </c>
      <c r="L56" s="82">
        <v>0.68859999999999999</v>
      </c>
      <c r="M56" s="23">
        <v>0.158</v>
      </c>
      <c r="N56" s="20">
        <f t="shared" si="11"/>
        <v>6.8980891719745223</v>
      </c>
      <c r="O56" s="24">
        <f t="shared" si="12"/>
        <v>15.108280254777071</v>
      </c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9"/>
      <c r="AD56" s="99"/>
      <c r="AE56" s="99"/>
    </row>
    <row r="57" spans="1:31" x14ac:dyDescent="0.25">
      <c r="A57" s="3"/>
      <c r="B57" s="747"/>
      <c r="C57" s="122">
        <v>7412</v>
      </c>
      <c r="D57" s="122" t="s">
        <v>27</v>
      </c>
      <c r="E57" s="66">
        <v>1.5699999999999999E-2</v>
      </c>
      <c r="F57" s="67">
        <v>1.5699999999999999E-2</v>
      </c>
      <c r="G57" s="97">
        <v>9.3899999999999997E-2</v>
      </c>
      <c r="H57" s="97">
        <v>9.3899999999999997E-2</v>
      </c>
      <c r="I57" s="66">
        <v>0.2772</v>
      </c>
      <c r="J57" s="67">
        <v>0.2772</v>
      </c>
      <c r="K57" s="66">
        <v>0.91839999999999999</v>
      </c>
      <c r="L57" s="67">
        <v>0.91839999999999999</v>
      </c>
      <c r="M57" s="31">
        <v>0.104</v>
      </c>
      <c r="N57" s="28">
        <f t="shared" si="11"/>
        <v>5.9808917197452232</v>
      </c>
      <c r="O57" s="32">
        <f t="shared" si="12"/>
        <v>17.656050955414013</v>
      </c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9"/>
      <c r="AD57" s="99"/>
      <c r="AE57" s="99"/>
    </row>
    <row r="58" spans="1:31" ht="15.75" thickBot="1" x14ac:dyDescent="0.3">
      <c r="A58" s="3"/>
      <c r="B58" s="750"/>
      <c r="C58" s="53">
        <v>7413</v>
      </c>
      <c r="D58" s="53" t="s">
        <v>27</v>
      </c>
      <c r="E58" s="85">
        <v>1.5699999999999999E-2</v>
      </c>
      <c r="F58" s="86">
        <v>1.5699999999999999E-2</v>
      </c>
      <c r="G58" s="106">
        <v>9.0700000000000003E-2</v>
      </c>
      <c r="H58" s="106">
        <v>9.0700000000000003E-2</v>
      </c>
      <c r="I58" s="85">
        <v>0.28039999999999998</v>
      </c>
      <c r="J58" s="86">
        <v>0.28039999999999998</v>
      </c>
      <c r="K58" s="85">
        <v>0.94440000000000002</v>
      </c>
      <c r="L58" s="86">
        <v>0.94440000000000002</v>
      </c>
      <c r="M58" s="61">
        <v>5.0999999999999997E-2</v>
      </c>
      <c r="N58" s="77">
        <f t="shared" si="11"/>
        <v>5.7770700636942678</v>
      </c>
      <c r="O58" s="80">
        <f t="shared" si="12"/>
        <v>17.859872611464969</v>
      </c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9"/>
      <c r="AD58" s="99"/>
      <c r="AE58" s="99"/>
    </row>
    <row r="59" spans="1:31" x14ac:dyDescent="0.25">
      <c r="A59" s="3"/>
      <c r="B59" s="62"/>
      <c r="C59" s="9"/>
      <c r="D59" s="9"/>
      <c r="E59" s="12"/>
      <c r="F59" s="12"/>
      <c r="G59" s="12"/>
      <c r="H59" s="12"/>
      <c r="I59" s="12"/>
      <c r="J59" s="12"/>
      <c r="K59" s="12"/>
      <c r="L59" s="12"/>
      <c r="M59" s="97"/>
      <c r="N59" s="97"/>
      <c r="O59" s="98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</row>
    <row r="60" spans="1:31" x14ac:dyDescent="0.25">
      <c r="A60" s="3"/>
      <c r="B60" s="62"/>
      <c r="C60" s="9"/>
      <c r="D60" s="9"/>
      <c r="E60" s="12"/>
      <c r="F60" s="12"/>
      <c r="G60" s="12"/>
      <c r="H60" s="12"/>
      <c r="I60" s="12"/>
      <c r="J60" s="12"/>
      <c r="K60" s="12"/>
      <c r="L60" s="12"/>
      <c r="M60" s="97"/>
      <c r="N60" s="97"/>
      <c r="O60" s="98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E60" s="99"/>
    </row>
    <row r="61" spans="1:3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</row>
    <row r="62" spans="1:3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9"/>
      <c r="AD62" s="99"/>
      <c r="AE62" s="99"/>
    </row>
    <row r="63" spans="1:3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</row>
    <row r="64" spans="1:31" x14ac:dyDescent="0.25">
      <c r="A64" s="3"/>
      <c r="B64" s="62"/>
      <c r="C64" s="9"/>
      <c r="D64" s="9"/>
      <c r="E64" s="12"/>
      <c r="F64" s="12"/>
      <c r="G64" s="12"/>
      <c r="H64" s="12"/>
      <c r="I64" s="12"/>
      <c r="J64" s="12"/>
      <c r="K64" s="12"/>
      <c r="L64" s="12"/>
      <c r="M64" s="97"/>
      <c r="N64" s="97"/>
      <c r="O64" s="98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</row>
    <row r="65" spans="1:31" x14ac:dyDescent="0.25">
      <c r="A65" s="3"/>
      <c r="B65" s="62"/>
      <c r="C65" s="9"/>
      <c r="D65" s="9"/>
      <c r="E65" s="12"/>
      <c r="F65" s="12"/>
      <c r="G65" s="12"/>
      <c r="H65" s="12"/>
      <c r="I65" s="12"/>
      <c r="J65" s="12"/>
      <c r="K65" s="12"/>
      <c r="L65" s="12"/>
      <c r="M65" s="97"/>
      <c r="N65" s="97"/>
      <c r="O65" s="98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</row>
    <row r="66" spans="1:31" x14ac:dyDescent="0.25">
      <c r="A66" s="3"/>
      <c r="B66" s="62"/>
      <c r="C66" s="9"/>
      <c r="D66" s="9"/>
      <c r="E66" s="12"/>
      <c r="F66" s="12"/>
      <c r="G66" s="12"/>
      <c r="H66" s="12"/>
      <c r="I66" s="12"/>
      <c r="J66" s="12"/>
      <c r="K66" s="12"/>
      <c r="L66" s="12"/>
      <c r="M66" s="97"/>
      <c r="N66" s="97"/>
      <c r="O66" s="98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</row>
    <row r="67" spans="1:3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</row>
    <row r="68" spans="1:3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</row>
    <row r="69" spans="1:3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</row>
    <row r="70" spans="1:31" x14ac:dyDescent="0.25">
      <c r="A70" s="3"/>
      <c r="B70" s="62"/>
      <c r="C70" s="9"/>
      <c r="D70" s="9"/>
      <c r="E70" s="12"/>
      <c r="F70" s="12"/>
      <c r="G70" s="12"/>
      <c r="H70" s="12"/>
      <c r="I70" s="12"/>
      <c r="J70" s="12"/>
      <c r="K70" s="12"/>
      <c r="L70" s="12"/>
      <c r="M70" s="97"/>
      <c r="N70" s="97"/>
      <c r="O70" s="98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</row>
    <row r="71" spans="1:31" x14ac:dyDescent="0.25">
      <c r="A71" s="3"/>
      <c r="B71" s="62"/>
      <c r="C71" s="9"/>
      <c r="D71" s="9"/>
      <c r="E71" s="12"/>
      <c r="F71" s="12"/>
      <c r="G71" s="12"/>
      <c r="H71" s="12"/>
      <c r="I71" s="12"/>
      <c r="J71" s="12"/>
      <c r="K71" s="12"/>
      <c r="L71" s="12"/>
      <c r="M71" s="97"/>
      <c r="N71" s="97"/>
      <c r="O71" s="98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</row>
    <row r="72" spans="1:31" x14ac:dyDescent="0.25">
      <c r="A72" s="3"/>
      <c r="B72" s="62"/>
      <c r="C72" s="9"/>
      <c r="D72" s="9"/>
      <c r="E72" s="12"/>
      <c r="F72" s="12"/>
      <c r="G72" s="12"/>
      <c r="H72" s="12"/>
      <c r="I72" s="12"/>
      <c r="J72" s="12"/>
      <c r="K72" s="12"/>
      <c r="L72" s="12"/>
      <c r="M72" s="97"/>
      <c r="N72" s="97"/>
      <c r="O72" s="98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</row>
    <row r="73" spans="1:31" x14ac:dyDescent="0.25"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</row>
    <row r="74" spans="1:31" x14ac:dyDescent="0.25"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</row>
    <row r="75" spans="1:31" ht="15" customHeight="1" x14ac:dyDescent="0.25"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</row>
    <row r="76" spans="1:31" ht="15.75" customHeight="1" x14ac:dyDescent="0.25"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</row>
    <row r="77" spans="1:31" x14ac:dyDescent="0.25"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</row>
    <row r="78" spans="1:31" x14ac:dyDescent="0.25"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</row>
    <row r="79" spans="1:3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</row>
    <row r="80" spans="1:31" x14ac:dyDescent="0.25">
      <c r="A80" s="3"/>
      <c r="B80" s="62"/>
      <c r="C80" s="9"/>
      <c r="D80" s="9"/>
      <c r="E80" s="97"/>
      <c r="F80" s="97"/>
      <c r="G80" s="97"/>
      <c r="H80" s="97"/>
      <c r="I80" s="97"/>
      <c r="J80" s="97"/>
      <c r="K80" s="97"/>
      <c r="L80" s="97"/>
      <c r="M80" s="31"/>
      <c r="N80" s="28"/>
      <c r="O80" s="28"/>
      <c r="P80" s="3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</row>
    <row r="81" spans="1:31" x14ac:dyDescent="0.25">
      <c r="A81" s="3"/>
      <c r="B81" s="62"/>
      <c r="C81" s="9"/>
      <c r="D81" s="9"/>
      <c r="E81" s="97"/>
      <c r="F81" s="97"/>
      <c r="G81" s="97"/>
      <c r="H81" s="97"/>
      <c r="I81" s="97"/>
      <c r="J81" s="97"/>
      <c r="K81" s="97"/>
      <c r="L81" s="97"/>
      <c r="M81" s="31"/>
      <c r="N81" s="28"/>
      <c r="O81" s="28"/>
      <c r="P81" s="3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</row>
    <row r="82" spans="1:31" x14ac:dyDescent="0.25">
      <c r="A82" s="3"/>
      <c r="B82" s="62"/>
      <c r="C82" s="9"/>
      <c r="D82" s="9"/>
      <c r="E82" s="97"/>
      <c r="F82" s="97"/>
      <c r="G82" s="97"/>
      <c r="H82" s="97"/>
      <c r="I82" s="97"/>
      <c r="J82" s="97"/>
      <c r="K82" s="97"/>
      <c r="L82" s="97"/>
      <c r="M82" s="31"/>
      <c r="N82" s="28"/>
      <c r="O82" s="28"/>
      <c r="P82" s="3"/>
    </row>
    <row r="83" spans="1:3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</row>
    <row r="84" spans="1:3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</row>
    <row r="85" spans="1:3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</row>
    <row r="86" spans="1:31" x14ac:dyDescent="0.25">
      <c r="A86" s="3"/>
      <c r="B86" s="62"/>
      <c r="C86" s="9"/>
      <c r="D86" s="9"/>
      <c r="E86" s="97"/>
      <c r="F86" s="97"/>
      <c r="G86" s="97"/>
      <c r="H86" s="97"/>
      <c r="I86" s="97"/>
      <c r="J86" s="97"/>
      <c r="K86" s="97"/>
      <c r="L86" s="97"/>
      <c r="M86" s="31"/>
      <c r="N86" s="28"/>
      <c r="O86" s="28"/>
      <c r="P86" s="3"/>
    </row>
    <row r="87" spans="1:31" x14ac:dyDescent="0.25">
      <c r="A87" s="3"/>
      <c r="B87" s="62"/>
      <c r="C87" s="9"/>
      <c r="D87" s="9"/>
      <c r="E87" s="97"/>
      <c r="F87" s="97"/>
      <c r="G87" s="97"/>
      <c r="H87" s="97"/>
      <c r="I87" s="97"/>
      <c r="J87" s="97"/>
      <c r="K87" s="97"/>
      <c r="L87" s="97"/>
      <c r="M87" s="31"/>
      <c r="N87" s="28"/>
      <c r="O87" s="28"/>
      <c r="P87" s="3"/>
    </row>
    <row r="88" spans="1:31" x14ac:dyDescent="0.25">
      <c r="A88" s="3"/>
      <c r="B88" s="62"/>
      <c r="C88" s="9"/>
      <c r="D88" s="9"/>
      <c r="E88" s="97"/>
      <c r="F88" s="97"/>
      <c r="G88" s="97"/>
      <c r="H88" s="97"/>
      <c r="I88" s="97"/>
      <c r="J88" s="97"/>
      <c r="K88" s="97"/>
      <c r="L88" s="97"/>
      <c r="M88" s="31"/>
      <c r="N88" s="28"/>
      <c r="O88" s="28"/>
      <c r="P88" s="3"/>
    </row>
    <row r="89" spans="1:3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</row>
    <row r="90" spans="1:3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</row>
    <row r="91" spans="1:3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</row>
    <row r="92" spans="1:31" x14ac:dyDescent="0.25">
      <c r="A92" s="3"/>
      <c r="B92" s="62"/>
      <c r="C92" s="9"/>
      <c r="D92" s="9"/>
      <c r="E92" s="97"/>
      <c r="F92" s="97"/>
      <c r="G92" s="97"/>
      <c r="H92" s="97"/>
      <c r="I92" s="97"/>
      <c r="J92" s="97"/>
      <c r="K92" s="97"/>
      <c r="L92" s="97"/>
      <c r="M92" s="31"/>
      <c r="N92" s="28"/>
      <c r="O92" s="28"/>
      <c r="P92" s="3"/>
    </row>
    <row r="93" spans="1:31" x14ac:dyDescent="0.25">
      <c r="A93" s="3"/>
      <c r="B93" s="62"/>
      <c r="C93" s="9"/>
      <c r="D93" s="9"/>
      <c r="E93" s="97"/>
      <c r="F93" s="97"/>
      <c r="G93" s="97"/>
      <c r="H93" s="97"/>
      <c r="I93" s="97"/>
      <c r="J93" s="97"/>
      <c r="K93" s="97"/>
      <c r="L93" s="97"/>
      <c r="M93" s="31"/>
      <c r="N93" s="28"/>
      <c r="O93" s="28"/>
      <c r="P93" s="3"/>
    </row>
    <row r="94" spans="1:31" x14ac:dyDescent="0.25">
      <c r="A94" s="3"/>
      <c r="B94" s="62"/>
      <c r="C94" s="9"/>
      <c r="D94" s="9"/>
      <c r="E94" s="97"/>
      <c r="F94" s="97"/>
      <c r="G94" s="97"/>
      <c r="H94" s="97"/>
      <c r="I94" s="97"/>
      <c r="J94" s="97"/>
      <c r="K94" s="97"/>
      <c r="L94" s="97"/>
      <c r="M94" s="31"/>
      <c r="N94" s="28"/>
      <c r="O94" s="28"/>
      <c r="P94" s="3"/>
      <c r="Q94" s="3"/>
      <c r="R94" s="3"/>
    </row>
    <row r="95" spans="1:3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3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</row>
    <row r="97" spans="1:18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</row>
    <row r="98" spans="1:18" x14ac:dyDescent="0.25">
      <c r="A98" s="3"/>
      <c r="B98" s="62"/>
      <c r="C98" s="9"/>
      <c r="D98" s="9"/>
      <c r="E98" s="97"/>
      <c r="F98" s="97"/>
      <c r="G98" s="97"/>
      <c r="H98" s="97"/>
      <c r="I98" s="97"/>
      <c r="J98" s="97"/>
      <c r="K98" s="97"/>
      <c r="L98" s="97"/>
      <c r="M98" s="31"/>
      <c r="N98" s="28"/>
      <c r="O98" s="28"/>
      <c r="P98" s="3"/>
      <c r="Q98" s="3"/>
      <c r="R98" s="3"/>
    </row>
    <row r="99" spans="1:18" x14ac:dyDescent="0.25">
      <c r="A99" s="3"/>
      <c r="B99" s="62"/>
      <c r="C99" s="9"/>
      <c r="D99" s="9"/>
      <c r="E99" s="97"/>
      <c r="F99" s="97"/>
      <c r="G99" s="97"/>
      <c r="H99" s="97"/>
      <c r="I99" s="97"/>
      <c r="J99" s="97"/>
      <c r="K99" s="97"/>
      <c r="L99" s="97"/>
      <c r="M99" s="31"/>
      <c r="N99" s="28"/>
      <c r="O99" s="28"/>
      <c r="P99" s="3"/>
      <c r="Q99" s="3"/>
      <c r="R99" s="3"/>
    </row>
    <row r="100" spans="1:18" x14ac:dyDescent="0.25">
      <c r="B100" s="62"/>
      <c r="C100" s="9"/>
      <c r="D100" s="9"/>
      <c r="E100" s="97"/>
      <c r="F100" s="97"/>
      <c r="G100" s="97"/>
      <c r="H100" s="97"/>
      <c r="I100" s="97"/>
      <c r="J100" s="97"/>
      <c r="K100" s="97"/>
      <c r="L100" s="97"/>
      <c r="M100" s="31"/>
      <c r="N100" s="28"/>
      <c r="O100" s="28"/>
      <c r="P100" s="3"/>
      <c r="Q100" s="3"/>
      <c r="R100" s="3"/>
    </row>
    <row r="101" spans="1:18" x14ac:dyDescent="0.25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</row>
    <row r="102" spans="1:18" x14ac:dyDescent="0.25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</row>
  </sheetData>
  <mergeCells count="174">
    <mergeCell ref="B56:B58"/>
    <mergeCell ref="J45:J46"/>
    <mergeCell ref="O45:O46"/>
    <mergeCell ref="AU3:AU4"/>
    <mergeCell ref="Q16:R16"/>
    <mergeCell ref="Q17:R17"/>
    <mergeCell ref="Q4:R4"/>
    <mergeCell ref="Q3:R3"/>
    <mergeCell ref="AS3:AS4"/>
    <mergeCell ref="AI3:AI4"/>
    <mergeCell ref="Q21:R21"/>
    <mergeCell ref="S21:W21"/>
    <mergeCell ref="X21:AB21"/>
    <mergeCell ref="AC21:AG21"/>
    <mergeCell ref="Q22:R22"/>
    <mergeCell ref="Q23:R23"/>
    <mergeCell ref="Q24:R24"/>
    <mergeCell ref="X9:AB9"/>
    <mergeCell ref="K29:K30"/>
    <mergeCell ref="I16:I17"/>
    <mergeCell ref="J16:J17"/>
    <mergeCell ref="G29:G30"/>
    <mergeCell ref="B50:B52"/>
    <mergeCell ref="B53:B55"/>
    <mergeCell ref="H16:H17"/>
    <mergeCell ref="B18:B20"/>
    <mergeCell ref="I45:I46"/>
    <mergeCell ref="M45:M46"/>
    <mergeCell ref="B29:B30"/>
    <mergeCell ref="E29:E30"/>
    <mergeCell ref="B40:B42"/>
    <mergeCell ref="B28:L28"/>
    <mergeCell ref="F29:F30"/>
    <mergeCell ref="L29:L30"/>
    <mergeCell ref="H29:H30"/>
    <mergeCell ref="I29:I30"/>
    <mergeCell ref="J29:J30"/>
    <mergeCell ref="D29:D30"/>
    <mergeCell ref="C29:C30"/>
    <mergeCell ref="B47:B49"/>
    <mergeCell ref="K16:K17"/>
    <mergeCell ref="B31:B33"/>
    <mergeCell ref="B34:B36"/>
    <mergeCell ref="B37:B39"/>
    <mergeCell ref="N45:N46"/>
    <mergeCell ref="M16:M17"/>
    <mergeCell ref="N16:N17"/>
    <mergeCell ref="B21:B23"/>
    <mergeCell ref="B24:B26"/>
    <mergeCell ref="L16:L17"/>
    <mergeCell ref="K45:K46"/>
    <mergeCell ref="L45:L46"/>
    <mergeCell ref="E16:E17"/>
    <mergeCell ref="F16:F17"/>
    <mergeCell ref="G16:G17"/>
    <mergeCell ref="B44:O44"/>
    <mergeCell ref="B45:B46"/>
    <mergeCell ref="C45:C46"/>
    <mergeCell ref="D45:D46"/>
    <mergeCell ref="E45:E46"/>
    <mergeCell ref="F45:F46"/>
    <mergeCell ref="G45:G46"/>
    <mergeCell ref="H45:H46"/>
    <mergeCell ref="AZ3:AZ4"/>
    <mergeCell ref="AI9:AI12"/>
    <mergeCell ref="AT3:AT4"/>
    <mergeCell ref="BF3:BH3"/>
    <mergeCell ref="AV3:AV4"/>
    <mergeCell ref="AW3:AW4"/>
    <mergeCell ref="AX3:AX4"/>
    <mergeCell ref="BF4:BH4"/>
    <mergeCell ref="BF5:BH5"/>
    <mergeCell ref="AR3:AR4"/>
    <mergeCell ref="AQ3:AQ4"/>
    <mergeCell ref="AM3:AM4"/>
    <mergeCell ref="AN3:AN4"/>
    <mergeCell ref="AP3:AP4"/>
    <mergeCell ref="AO3:AO4"/>
    <mergeCell ref="AL3:AL4"/>
    <mergeCell ref="AJ3:AK4"/>
    <mergeCell ref="AY3:AY4"/>
    <mergeCell ref="Q18:R18"/>
    <mergeCell ref="Q8:AG8"/>
    <mergeCell ref="B15:O15"/>
    <mergeCell ref="B16:B17"/>
    <mergeCell ref="C16:C17"/>
    <mergeCell ref="D16:D17"/>
    <mergeCell ref="O16:O17"/>
    <mergeCell ref="BJ9:BJ10"/>
    <mergeCell ref="BQ9:BQ10"/>
    <mergeCell ref="Q9:R9"/>
    <mergeCell ref="S9:W9"/>
    <mergeCell ref="AJ13:AK16"/>
    <mergeCell ref="AC9:AG9"/>
    <mergeCell ref="Q10:R10"/>
    <mergeCell ref="Q11:R11"/>
    <mergeCell ref="Q12:R12"/>
    <mergeCell ref="BN9:BN10"/>
    <mergeCell ref="BL9:BL10"/>
    <mergeCell ref="BM9:BM10"/>
    <mergeCell ref="BO9:BO10"/>
    <mergeCell ref="BP9:BP10"/>
    <mergeCell ref="AI5:AI8"/>
    <mergeCell ref="AJ5:AK8"/>
    <mergeCell ref="AJ9:AK12"/>
    <mergeCell ref="Q5:R5"/>
    <mergeCell ref="S3:W3"/>
    <mergeCell ref="K3:K4"/>
    <mergeCell ref="B2:L2"/>
    <mergeCell ref="L3:L4"/>
    <mergeCell ref="B5:B7"/>
    <mergeCell ref="B8:B10"/>
    <mergeCell ref="B11:B13"/>
    <mergeCell ref="E3:E4"/>
    <mergeCell ref="F3:F4"/>
    <mergeCell ref="Q6:R6"/>
    <mergeCell ref="Q2:AG2"/>
    <mergeCell ref="AC3:AG3"/>
    <mergeCell ref="X3:AB3"/>
    <mergeCell ref="J3:J4"/>
    <mergeCell ref="C3:C4"/>
    <mergeCell ref="D3:D4"/>
    <mergeCell ref="G3:G4"/>
    <mergeCell ref="H3:H4"/>
    <mergeCell ref="I3:I4"/>
    <mergeCell ref="B3:B4"/>
    <mergeCell ref="Q20:AG20"/>
    <mergeCell ref="Q14:AG14"/>
    <mergeCell ref="Q15:R15"/>
    <mergeCell ref="S15:W15"/>
    <mergeCell ref="X15:AB15"/>
    <mergeCell ref="AC15:AG15"/>
    <mergeCell ref="BE2:BL2"/>
    <mergeCell ref="BK9:BK10"/>
    <mergeCell ref="BR9:BR10"/>
    <mergeCell ref="BE8:BK8"/>
    <mergeCell ref="BL8:BR8"/>
    <mergeCell ref="BF6:BH6"/>
    <mergeCell ref="BA3:BA4"/>
    <mergeCell ref="BB3:BB4"/>
    <mergeCell ref="BC3:BC4"/>
    <mergeCell ref="AI2:BC2"/>
    <mergeCell ref="AI13:AI16"/>
    <mergeCell ref="AI17:AI20"/>
    <mergeCell ref="AJ17:AK20"/>
    <mergeCell ref="BE9:BE10"/>
    <mergeCell ref="BF9:BF10"/>
    <mergeCell ref="BG9:BG10"/>
    <mergeCell ref="BH9:BH10"/>
    <mergeCell ref="BI9:BI10"/>
    <mergeCell ref="BS8:BY8"/>
    <mergeCell ref="BY9:BY10"/>
    <mergeCell ref="BX9:BX10"/>
    <mergeCell ref="BX16:BX17"/>
    <mergeCell ref="BS15:BX15"/>
    <mergeCell ref="BW16:BW17"/>
    <mergeCell ref="BS9:BS10"/>
    <mergeCell ref="BT9:BT10"/>
    <mergeCell ref="BU9:BU10"/>
    <mergeCell ref="BV9:BV10"/>
    <mergeCell ref="BW9:BW10"/>
    <mergeCell ref="BS16:BS17"/>
    <mergeCell ref="BT16:BT17"/>
    <mergeCell ref="BU16:BU17"/>
    <mergeCell ref="BV16:BV17"/>
    <mergeCell ref="AN23:AN24"/>
    <mergeCell ref="AO23:AO24"/>
    <mergeCell ref="AL22:AO22"/>
    <mergeCell ref="AL23:AL24"/>
    <mergeCell ref="AL25:AL28"/>
    <mergeCell ref="AL29:AL32"/>
    <mergeCell ref="AL33:AL36"/>
    <mergeCell ref="AL37:AL40"/>
    <mergeCell ref="AM23:AM2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A1:DC85"/>
  <sheetViews>
    <sheetView topLeftCell="BY1" zoomScale="80" zoomScaleNormal="80" zoomScaleSheetLayoutView="50" workbookViewId="0">
      <selection activeCell="CS13" sqref="CS13:CV13"/>
    </sheetView>
  </sheetViews>
  <sheetFormatPr defaultColWidth="9.140625" defaultRowHeight="15.75" x14ac:dyDescent="0.25"/>
  <cols>
    <col min="1" max="1" width="9.140625" style="138"/>
    <col min="2" max="2" width="8.42578125" style="138" customWidth="1"/>
    <col min="3" max="3" width="9.28515625" style="138" customWidth="1"/>
    <col min="4" max="4" width="10.140625" style="138" customWidth="1"/>
    <col min="5" max="6" width="10.28515625" style="138" bestFit="1" customWidth="1"/>
    <col min="7" max="7" width="14" style="138" bestFit="1" customWidth="1"/>
    <col min="8" max="8" width="15.28515625" style="138" bestFit="1" customWidth="1"/>
    <col min="9" max="9" width="6.85546875" style="138" bestFit="1" customWidth="1"/>
    <col min="10" max="12" width="8.85546875" style="138" customWidth="1"/>
    <col min="13" max="13" width="10.28515625" style="138" bestFit="1" customWidth="1"/>
    <col min="14" max="14" width="10.85546875" style="138" bestFit="1" customWidth="1"/>
    <col min="15" max="15" width="12.140625" style="138" bestFit="1" customWidth="1"/>
    <col min="16" max="16" width="13.42578125" style="138" bestFit="1" customWidth="1"/>
    <col min="17" max="17" width="9.85546875" style="138" customWidth="1"/>
    <col min="18" max="18" width="13.42578125" style="138" customWidth="1"/>
    <col min="19" max="19" width="9.28515625" style="138" bestFit="1" customWidth="1"/>
    <col min="20" max="20" width="9.140625" style="138"/>
    <col min="21" max="22" width="9.28515625" style="138" bestFit="1" customWidth="1"/>
    <col min="23" max="23" width="8.5703125" style="138" customWidth="1"/>
    <col min="24" max="24" width="11.5703125" style="138" bestFit="1" customWidth="1"/>
    <col min="25" max="25" width="12.28515625" style="138" bestFit="1" customWidth="1"/>
    <col min="26" max="26" width="13.5703125" style="138" bestFit="1" customWidth="1"/>
    <col min="27" max="27" width="7.5703125" style="138" customWidth="1"/>
    <col min="28" max="28" width="8.140625" style="138" customWidth="1"/>
    <col min="29" max="29" width="7.5703125" style="138" bestFit="1" customWidth="1"/>
    <col min="30" max="30" width="11.42578125" style="138" bestFit="1" customWidth="1"/>
    <col min="31" max="33" width="10.7109375" style="138" bestFit="1" customWidth="1"/>
    <col min="34" max="34" width="11.85546875" style="138" bestFit="1" customWidth="1"/>
    <col min="35" max="35" width="10.7109375" style="138" bestFit="1" customWidth="1"/>
    <col min="36" max="36" width="11.85546875" style="138" bestFit="1" customWidth="1"/>
    <col min="37" max="37" width="10.140625" style="138" bestFit="1" customWidth="1"/>
    <col min="38" max="38" width="10.7109375" style="138" bestFit="1" customWidth="1"/>
    <col min="39" max="39" width="7.140625" style="138" bestFit="1" customWidth="1"/>
    <col min="40" max="40" width="4.7109375" style="138" bestFit="1" customWidth="1"/>
    <col min="41" max="41" width="4.5703125" style="138" bestFit="1" customWidth="1"/>
    <col min="42" max="42" width="8.140625" style="138" bestFit="1" customWidth="1"/>
    <col min="43" max="43" width="9.5703125" style="138" bestFit="1" customWidth="1"/>
    <col min="44" max="44" width="7.28515625" style="138" bestFit="1" customWidth="1"/>
    <col min="45" max="45" width="13" style="138" bestFit="1" customWidth="1"/>
    <col min="46" max="46" width="15.28515625" style="138" bestFit="1" customWidth="1"/>
    <col min="47" max="47" width="11.42578125" style="138" bestFit="1" customWidth="1"/>
    <col min="48" max="48" width="9.5703125" style="138" bestFit="1" customWidth="1"/>
    <col min="49" max="49" width="13.7109375" style="138" bestFit="1" customWidth="1"/>
    <col min="50" max="50" width="15.28515625" style="138" bestFit="1" customWidth="1"/>
    <col min="51" max="51" width="17.7109375" style="138" bestFit="1" customWidth="1"/>
    <col min="52" max="52" width="10.140625" style="138" bestFit="1" customWidth="1"/>
    <col min="53" max="53" width="8.140625" style="138" bestFit="1" customWidth="1"/>
    <col min="54" max="54" width="13.85546875" style="138" customWidth="1"/>
    <col min="55" max="55" width="15.85546875" style="138" bestFit="1" customWidth="1"/>
    <col min="56" max="56" width="12.7109375" style="138" bestFit="1" customWidth="1"/>
    <col min="57" max="74" width="12.7109375" style="138" customWidth="1"/>
    <col min="75" max="75" width="11.28515625" style="138" bestFit="1" customWidth="1"/>
    <col min="76" max="76" width="11.5703125" style="138" bestFit="1" customWidth="1"/>
    <col min="77" max="77" width="9.5703125" style="138" bestFit="1" customWidth="1"/>
    <col min="78" max="78" width="13.140625" style="138" bestFit="1" customWidth="1"/>
    <col min="79" max="79" width="9.7109375" style="138" bestFit="1" customWidth="1"/>
    <col min="80" max="80" width="11" style="138" bestFit="1" customWidth="1"/>
    <col min="81" max="81" width="11.140625" style="138" bestFit="1" customWidth="1"/>
    <col min="82" max="82" width="10.42578125" style="138" bestFit="1" customWidth="1"/>
    <col min="83" max="83" width="12.7109375" style="138" customWidth="1"/>
    <col min="84" max="84" width="13.140625" style="138" bestFit="1" customWidth="1"/>
    <col min="85" max="88" width="12.7109375" style="138" customWidth="1"/>
    <col min="89" max="89" width="8.5703125" style="138" bestFit="1" customWidth="1"/>
    <col min="90" max="90" width="14.28515625" style="138" bestFit="1" customWidth="1"/>
    <col min="91" max="91" width="11.5703125" style="138" bestFit="1" customWidth="1"/>
    <col min="92" max="92" width="11.7109375" style="138" bestFit="1" customWidth="1"/>
    <col min="93" max="94" width="10.7109375" style="138" customWidth="1"/>
    <col min="95" max="95" width="8.42578125" style="138" bestFit="1" customWidth="1"/>
    <col min="96" max="96" width="12.85546875" style="138" bestFit="1" customWidth="1"/>
    <col min="97" max="99" width="12.7109375" style="138" customWidth="1"/>
    <col min="100" max="100" width="12.5703125" style="138" customWidth="1"/>
    <col min="101" max="101" width="8.42578125" style="138" bestFit="1" customWidth="1"/>
    <col min="102" max="102" width="11.42578125" style="138" bestFit="1" customWidth="1"/>
    <col min="103" max="104" width="10.7109375" style="138" customWidth="1"/>
    <col min="105" max="105" width="8.140625" style="138" bestFit="1" customWidth="1"/>
    <col min="106" max="106" width="10.7109375" style="138" customWidth="1"/>
    <col min="107" max="107" width="8.7109375" style="138" customWidth="1"/>
    <col min="108" max="16384" width="9.140625" style="138"/>
  </cols>
  <sheetData>
    <row r="1" spans="2:107" ht="16.5" thickBot="1" x14ac:dyDescent="0.3"/>
    <row r="2" spans="2:107" ht="16.5" customHeight="1" thickBot="1" x14ac:dyDescent="0.3">
      <c r="B2" s="903" t="s">
        <v>140</v>
      </c>
      <c r="C2" s="904"/>
      <c r="D2" s="904"/>
      <c r="E2" s="904"/>
      <c r="F2" s="904"/>
      <c r="G2" s="904"/>
      <c r="H2" s="904"/>
      <c r="I2" s="904"/>
      <c r="J2" s="904"/>
      <c r="K2" s="904"/>
      <c r="L2" s="904"/>
      <c r="M2" s="904"/>
      <c r="N2" s="905"/>
      <c r="P2" s="914" t="s">
        <v>154</v>
      </c>
      <c r="Q2" s="914"/>
      <c r="R2" s="914"/>
      <c r="S2" s="914"/>
      <c r="U2" s="872" t="s">
        <v>180</v>
      </c>
      <c r="V2" s="873"/>
      <c r="W2" s="873"/>
      <c r="X2" s="873"/>
      <c r="Y2" s="873"/>
      <c r="Z2" s="873"/>
      <c r="AA2" s="873"/>
      <c r="AB2" s="873"/>
      <c r="AC2" s="873"/>
      <c r="AD2" s="873"/>
      <c r="AE2" s="873"/>
      <c r="AF2" s="873"/>
      <c r="AG2" s="873"/>
      <c r="AH2" s="873"/>
      <c r="AI2" s="873"/>
      <c r="AJ2" s="873"/>
      <c r="AK2" s="874"/>
      <c r="AM2" s="907" t="s">
        <v>201</v>
      </c>
      <c r="AN2" s="908"/>
      <c r="AO2" s="908"/>
      <c r="AP2" s="908"/>
      <c r="AQ2" s="908"/>
      <c r="AR2" s="908"/>
      <c r="AS2" s="908"/>
      <c r="AT2" s="908"/>
      <c r="AU2" s="908"/>
      <c r="AV2" s="908"/>
      <c r="AW2" s="908"/>
      <c r="AX2" s="908"/>
      <c r="AY2" s="908"/>
      <c r="AZ2" s="908"/>
      <c r="BA2" s="908"/>
      <c r="BB2" s="908"/>
      <c r="BC2" s="909"/>
      <c r="BE2" s="875" t="s">
        <v>368</v>
      </c>
      <c r="BF2" s="876"/>
      <c r="BG2" s="876"/>
      <c r="BH2" s="876"/>
      <c r="BI2" s="876"/>
      <c r="BJ2" s="876"/>
      <c r="BK2" s="877"/>
      <c r="BM2" s="878" t="s">
        <v>371</v>
      </c>
      <c r="BN2" s="879"/>
      <c r="BO2" s="879"/>
      <c r="BP2" s="879"/>
      <c r="BQ2" s="879"/>
      <c r="BR2" s="880"/>
      <c r="BS2" s="4"/>
      <c r="BT2" s="896" t="s">
        <v>260</v>
      </c>
      <c r="BU2" s="897"/>
      <c r="BV2" s="897"/>
      <c r="BW2" s="897"/>
      <c r="BX2" s="898"/>
      <c r="BZ2" s="891" t="s">
        <v>289</v>
      </c>
      <c r="CA2" s="892"/>
      <c r="CB2" s="892"/>
      <c r="CC2" s="892"/>
      <c r="CD2" s="893"/>
      <c r="CF2" s="887" t="s">
        <v>383</v>
      </c>
      <c r="CG2" s="888"/>
      <c r="CH2" s="888"/>
      <c r="CI2" s="888"/>
      <c r="CJ2" s="888"/>
      <c r="CK2" s="888"/>
      <c r="CL2" s="888"/>
      <c r="CM2" s="889"/>
      <c r="CN2" s="89"/>
      <c r="CO2" s="5"/>
      <c r="CP2" s="5"/>
      <c r="CQ2" s="5"/>
      <c r="CR2" s="5"/>
    </row>
    <row r="3" spans="2:107" ht="16.5" customHeight="1" thickBot="1" x14ac:dyDescent="0.3">
      <c r="B3" s="277" t="s">
        <v>9</v>
      </c>
      <c r="C3" s="278" t="s">
        <v>59</v>
      </c>
      <c r="D3" s="163" t="s">
        <v>32</v>
      </c>
      <c r="E3" s="163" t="s">
        <v>138</v>
      </c>
      <c r="F3" s="163" t="s">
        <v>139</v>
      </c>
      <c r="G3" s="163" t="s">
        <v>142</v>
      </c>
      <c r="H3" s="163" t="s">
        <v>141</v>
      </c>
      <c r="I3" s="163" t="s">
        <v>143</v>
      </c>
      <c r="J3" s="163" t="s">
        <v>165</v>
      </c>
      <c r="K3" s="163" t="s">
        <v>144</v>
      </c>
      <c r="L3" s="163" t="s">
        <v>145</v>
      </c>
      <c r="M3" s="163" t="s">
        <v>146</v>
      </c>
      <c r="N3" s="279" t="s">
        <v>147</v>
      </c>
      <c r="P3" s="280" t="s">
        <v>153</v>
      </c>
      <c r="Q3" s="160" t="s">
        <v>150</v>
      </c>
      <c r="R3" s="246" t="s">
        <v>151</v>
      </c>
      <c r="S3" s="160" t="s">
        <v>152</v>
      </c>
      <c r="U3" s="281" t="s">
        <v>9</v>
      </c>
      <c r="V3" s="278" t="s">
        <v>59</v>
      </c>
      <c r="W3" s="163" t="s">
        <v>32</v>
      </c>
      <c r="X3" s="163" t="s">
        <v>155</v>
      </c>
      <c r="Y3" s="163" t="s">
        <v>156</v>
      </c>
      <c r="Z3" s="163" t="s">
        <v>153</v>
      </c>
      <c r="AA3" s="163" t="s">
        <v>148</v>
      </c>
      <c r="AB3" s="163" t="s">
        <v>149</v>
      </c>
      <c r="AC3" s="163" t="s">
        <v>157</v>
      </c>
      <c r="AD3" s="163" t="s">
        <v>174</v>
      </c>
      <c r="AE3" s="163" t="s">
        <v>175</v>
      </c>
      <c r="AF3" s="163" t="s">
        <v>176</v>
      </c>
      <c r="AG3" s="163" t="s">
        <v>177</v>
      </c>
      <c r="AH3" s="163" t="s">
        <v>178</v>
      </c>
      <c r="AI3" s="163" t="s">
        <v>162</v>
      </c>
      <c r="AJ3" s="163" t="s">
        <v>163</v>
      </c>
      <c r="AK3" s="279" t="s">
        <v>164</v>
      </c>
      <c r="AM3" s="582" t="s">
        <v>9</v>
      </c>
      <c r="AN3" s="108" t="s">
        <v>59</v>
      </c>
      <c r="AO3" s="583" t="s">
        <v>32</v>
      </c>
      <c r="AP3" s="583" t="s">
        <v>73</v>
      </c>
      <c r="AQ3" s="282" t="s">
        <v>163</v>
      </c>
      <c r="AR3" s="283" t="s">
        <v>244</v>
      </c>
      <c r="AS3" s="283" t="s">
        <v>225</v>
      </c>
      <c r="AT3" s="282" t="s">
        <v>235</v>
      </c>
      <c r="AU3" s="284" t="s">
        <v>162</v>
      </c>
      <c r="AV3" s="285" t="s">
        <v>245</v>
      </c>
      <c r="AW3" s="284" t="s">
        <v>233</v>
      </c>
      <c r="AX3" s="285" t="s">
        <v>370</v>
      </c>
      <c r="AY3" s="285" t="s">
        <v>369</v>
      </c>
      <c r="AZ3" s="584" t="s">
        <v>164</v>
      </c>
      <c r="BA3" s="286" t="s">
        <v>246</v>
      </c>
      <c r="BB3" s="584" t="s">
        <v>237</v>
      </c>
      <c r="BC3" s="287" t="s">
        <v>236</v>
      </c>
      <c r="BE3" s="245" t="s">
        <v>9</v>
      </c>
      <c r="BF3" s="248" t="s">
        <v>59</v>
      </c>
      <c r="BG3" s="248" t="s">
        <v>32</v>
      </c>
      <c r="BH3" s="248" t="s">
        <v>30</v>
      </c>
      <c r="BI3" s="288" t="s">
        <v>73</v>
      </c>
      <c r="BJ3" s="289" t="s">
        <v>401</v>
      </c>
      <c r="BK3" s="290" t="s">
        <v>271</v>
      </c>
      <c r="BM3" s="885" t="s">
        <v>372</v>
      </c>
      <c r="BN3" s="917"/>
      <c r="BO3" s="248" t="s">
        <v>373</v>
      </c>
      <c r="BP3" s="258">
        <v>3</v>
      </c>
      <c r="BQ3" s="258">
        <v>2</v>
      </c>
      <c r="BR3" s="291">
        <v>1</v>
      </c>
      <c r="BT3" s="245" t="s">
        <v>24</v>
      </c>
      <c r="BU3" s="108" t="s">
        <v>9</v>
      </c>
      <c r="BV3" s="248">
        <v>3</v>
      </c>
      <c r="BW3" s="248">
        <v>2</v>
      </c>
      <c r="BX3" s="109">
        <v>1</v>
      </c>
      <c r="BZ3" s="245" t="s">
        <v>9</v>
      </c>
      <c r="CA3" s="248" t="s">
        <v>59</v>
      </c>
      <c r="CB3" s="163" t="s">
        <v>243</v>
      </c>
      <c r="CC3" s="163" t="s">
        <v>194</v>
      </c>
      <c r="CD3" s="279" t="s">
        <v>195</v>
      </c>
      <c r="CF3" s="292" t="str">
        <f>'System Capacities'!C18</f>
        <v>Storey</v>
      </c>
      <c r="CG3" s="818" t="str">
        <f>'System Capacities'!D18</f>
        <v>Mode of Failure</v>
      </c>
      <c r="CH3" s="819"/>
      <c r="CI3" s="819"/>
      <c r="CJ3" s="293" t="str">
        <f>'System Capacities'!G18</f>
        <v>VR,i [kN]</v>
      </c>
      <c r="CK3" s="532" t="str">
        <f>'System Capacities'!H18</f>
        <v>hs,i [m]</v>
      </c>
      <c r="CL3" s="293" t="str">
        <f>'System Capacities'!I18</f>
        <v>θsys,i [rad]</v>
      </c>
      <c r="CM3" s="294" t="str">
        <f>'System Capacities'!J18</f>
        <v>ky,i [kN/m]</v>
      </c>
      <c r="CT3" s="230"/>
    </row>
    <row r="4" spans="2:107" x14ac:dyDescent="0.25">
      <c r="B4" s="882">
        <v>3</v>
      </c>
      <c r="C4" s="295">
        <v>1</v>
      </c>
      <c r="D4" s="296">
        <v>113</v>
      </c>
      <c r="E4" s="297">
        <f>'Structural Information'!$U$6</f>
        <v>3</v>
      </c>
      <c r="F4" s="298">
        <f>'Structural Information'!$AC$8</f>
        <v>4.5</v>
      </c>
      <c r="G4" s="298">
        <v>0.5</v>
      </c>
      <c r="H4" s="298">
        <v>0.25</v>
      </c>
      <c r="I4" s="299">
        <v>0.25</v>
      </c>
      <c r="J4" s="300">
        <f>I4*(H4^3)/12</f>
        <v>3.2552083333333332E-4</v>
      </c>
      <c r="K4" s="298">
        <f>F4-H4</f>
        <v>4.25</v>
      </c>
      <c r="L4" s="298">
        <f>E4-G4</f>
        <v>2.5</v>
      </c>
      <c r="M4" s="298">
        <f t="shared" ref="M4:M12" si="0">SQRT(K4^2+L4^2)</f>
        <v>4.9307707308290052</v>
      </c>
      <c r="N4" s="301">
        <f>ATAN(E4/F4)</f>
        <v>0.5880026035475675</v>
      </c>
      <c r="P4" s="246" t="s">
        <v>148</v>
      </c>
      <c r="Q4" s="302">
        <v>1.3</v>
      </c>
      <c r="R4" s="302">
        <v>0.70699999999999996</v>
      </c>
      <c r="S4" s="302">
        <v>0.47</v>
      </c>
      <c r="U4" s="882">
        <v>3</v>
      </c>
      <c r="V4" s="295">
        <v>1</v>
      </c>
      <c r="W4" s="296">
        <v>113</v>
      </c>
      <c r="X4" s="297">
        <f>1/((((COS(N4))^4)/'Structural Information'!$AH$17)+(((SIN(N4))^4)/'Structural Information'!$AH$18)+(((SIN(N4))^2)*((COS(N4))^2)*((1/'Structural Information'!$AH$19)-(2*'Structural Information'!$AL$19/'Structural Information'!$AH$18))))</f>
        <v>1461.3345194381332</v>
      </c>
      <c r="Y4" s="298">
        <f>((X4*('Structural Information'!$AL$17/1000)*SIN(2*N4))/(4*'Structural Information'!$AH$20*J4*L4))^(1/4)</f>
        <v>1.1234874111185109</v>
      </c>
      <c r="Z4" s="298">
        <f t="shared" ref="Z4:Z11" si="1">Y4*E4</f>
        <v>3.370462233355533</v>
      </c>
      <c r="AA4" s="303">
        <f t="shared" ref="AA4:AA12" si="2">IF(Z4&lt;3.14,$Q$4,0)+IF(Z4&gt;3.14,1,0)*IF(Z4&lt;7.85,$R$4,0)+IF(Z4&gt;7.85,$S$4,0)</f>
        <v>0.70699999999999996</v>
      </c>
      <c r="AB4" s="303">
        <f t="shared" ref="AB4:AB12" si="3">IF(Z4&lt;3.14,$Q$5,0)+IF(Z4&gt;3.14,1,0)*IF(Z4&lt;7.85,$R$5,0)+IF(Z4&gt;7.85,$S$5,0)</f>
        <v>0.01</v>
      </c>
      <c r="AC4" s="299">
        <f t="shared" ref="AC4:AC12" si="4">((AA4/Z4)+AB4)*M4</f>
        <v>1.0836034997953321</v>
      </c>
      <c r="AD4" s="297">
        <f>((0.6*'Structural Information'!$AJ$17)+(0.3*'Structural Information'!$AL$18))/(AC4/M4)</f>
        <v>1.501614143439832</v>
      </c>
      <c r="AE4" s="298">
        <f>(((1.2*SIN(N4)+0.45*COS(N4))*'Structural Information'!$AJ$18)+(0.3*'Structural Information'!$AL$18))/(AC4/M4)</f>
        <v>2.0823641500516352</v>
      </c>
      <c r="AF4" s="298">
        <f>(1.12*'Structural Information'!$AJ$19*COS(N4)*SIN(N4))/((AA4*(Z4^(-0.12)))+(AB4*(Z4^(0.88))))</f>
        <v>1.6310037935140254</v>
      </c>
      <c r="AG4" s="298">
        <f>(1.16*'Structural Information'!$AJ$19*TAN(N4))/((AA4)+(AB4*Z4))</f>
        <v>2.108982833685991</v>
      </c>
      <c r="AH4" s="299">
        <f t="shared" ref="AH4:AH12" si="5">MIN(AD4:AG4)</f>
        <v>1.501614143439832</v>
      </c>
      <c r="AI4" s="297">
        <f>AH4*AC4*'Structural Information'!$AL$17</f>
        <v>130.17234729388574</v>
      </c>
      <c r="AJ4" s="298">
        <f t="shared" ref="AJ4:AJ11" si="6">0.8*AI4</f>
        <v>104.1378778351086</v>
      </c>
      <c r="AK4" s="301">
        <f>0.1*AI4</f>
        <v>13.017234729388575</v>
      </c>
      <c r="AM4" s="910">
        <v>3</v>
      </c>
      <c r="AN4" s="295">
        <v>1</v>
      </c>
      <c r="AO4" s="295">
        <v>113</v>
      </c>
      <c r="AP4" s="299">
        <v>3</v>
      </c>
      <c r="AQ4" s="297">
        <f t="shared" ref="AQ4:AQ12" si="7">AJ4</f>
        <v>104.1378778351086</v>
      </c>
      <c r="AR4" s="341">
        <f t="shared" ref="AR4:AR12" si="8">0.08/100</f>
        <v>8.0000000000000004E-4</v>
      </c>
      <c r="AS4" s="573">
        <f>AQ4/(AR4*(SQRT(($F$4^2)+($E$4^2))))</f>
        <v>24068.875529005698</v>
      </c>
      <c r="AT4" s="342">
        <f>AS4*((COS($N$4))^2)</f>
        <v>16663.067673927024</v>
      </c>
      <c r="AU4" s="297">
        <f t="shared" ref="AU4:AU12" si="9">AI4</f>
        <v>130.17234729388574</v>
      </c>
      <c r="AV4" s="341">
        <f t="shared" ref="AV4:AV12" si="10">0.22/100</f>
        <v>2.2000000000000001E-3</v>
      </c>
      <c r="AW4" s="573">
        <f>AU4/(AV4*(SQRT(($F$4^2)+($E$4^2))))</f>
        <v>10940.397967729861</v>
      </c>
      <c r="AX4" s="343">
        <f>(AU4-AQ4)/((AV4-AR4)*(SQRT(($F$4^2)+($E$4^2))))</f>
        <v>3438.410789857955</v>
      </c>
      <c r="AY4" s="342">
        <f>AX4*((COS($N$4))^2)</f>
        <v>2380.4382391324307</v>
      </c>
      <c r="AZ4" s="297">
        <f>AK4</f>
        <v>13.017234729388575</v>
      </c>
      <c r="BA4" s="341">
        <f>0.89/100</f>
        <v>8.8999999999999999E-3</v>
      </c>
      <c r="BB4" s="573">
        <f>((AZ4*COS(N4))-(AU4*COS(N4)))/((BA4-AV4)*AP4)</f>
        <v>-4849.6988006205511</v>
      </c>
      <c r="BC4" s="301">
        <f>BB4*((COS(N4))^2)</f>
        <v>-3357.4837850449971</v>
      </c>
      <c r="BE4" s="910">
        <v>3</v>
      </c>
      <c r="BF4" s="295">
        <v>1</v>
      </c>
      <c r="BG4" s="295">
        <v>7113</v>
      </c>
      <c r="BH4" s="295" t="s">
        <v>27</v>
      </c>
      <c r="BI4" s="298">
        <f>'Structural Information'!$U$6</f>
        <v>3</v>
      </c>
      <c r="BJ4" s="598">
        <f>('Structural Information'!$X$24)*(200)/$BI4</f>
        <v>53616.514621265807</v>
      </c>
      <c r="BK4" s="587">
        <f>'Structural Information'!$T$23*'Structural Information'!$T$24*(4700*SQRT('Structural Information'!$AC$23))/(BI4*1000)</f>
        <v>433495.56258141535</v>
      </c>
      <c r="BM4" s="243" t="s">
        <v>374</v>
      </c>
      <c r="BN4" s="246" t="s">
        <v>375</v>
      </c>
      <c r="BO4" s="246" t="s">
        <v>376</v>
      </c>
      <c r="BP4" s="311">
        <f>'Structural Information'!U6</f>
        <v>3</v>
      </c>
      <c r="BQ4" s="311">
        <f>'Structural Information'!U7</f>
        <v>3</v>
      </c>
      <c r="BR4" s="312">
        <f>'Structural Information'!U8</f>
        <v>2.75</v>
      </c>
      <c r="BT4" s="885">
        <v>1</v>
      </c>
      <c r="BU4" s="313" t="s">
        <v>27</v>
      </c>
      <c r="BV4" s="314">
        <f>(BP5*BP5)/$BK$4</f>
        <v>1.0252571947861007E-6</v>
      </c>
      <c r="BW4" s="314">
        <f>((BQ5*BQ5)/$BK$8)</f>
        <v>1.0252571947861007E-6</v>
      </c>
      <c r="BX4" s="315">
        <f>(BR5*BR5)/$BK$12</f>
        <v>7.8970910084508108E-7</v>
      </c>
      <c r="BZ4" s="885">
        <v>3</v>
      </c>
      <c r="CA4" s="316">
        <v>1</v>
      </c>
      <c r="CB4" s="867">
        <f>1/(BV5+BV4+BW4+BX4+BW8+BX8)+1/(BV10+BV9+BW9+BX9+BW13+BX13)+1/(BV15+BV14+BW14+BX14+BW18+BX18)</f>
        <v>38234.410187710455</v>
      </c>
      <c r="CC4" s="867">
        <f>1/(BV6+BV4+BW4+BX4+BW8+BX8)+1/(BV11+BV9+BW9+BX9+BW13+BX13)+1/(BV16+BV14+BW14+BX14+BW18+BX18)</f>
        <v>5903.2157871274012</v>
      </c>
      <c r="CD4" s="870">
        <f>(1/(BV7+BV4+BW4+BX4+BW8+BX8)+1/(BV12+BV9+BW9+BX9+BW13+BX13)+1/(BV17+BV14+BW14+BX14+BW18+BX18))</f>
        <v>-7900.5662604712015</v>
      </c>
      <c r="CF4" s="317">
        <f>'System Capacities'!C19</f>
        <v>3</v>
      </c>
      <c r="CG4" s="814" t="str">
        <f>'System Capacities'!D19</f>
        <v>Diagonal failure / Column</v>
      </c>
      <c r="CH4" s="815"/>
      <c r="CI4" s="815"/>
      <c r="CJ4" s="318">
        <f>'System Capacities'!G19</f>
        <v>128.97144999038088</v>
      </c>
      <c r="CK4" s="139">
        <f>'Structural Information'!U6</f>
        <v>3</v>
      </c>
      <c r="CL4" s="319">
        <f>'System Capacities'!I19</f>
        <v>1.1243924809894211E-3</v>
      </c>
      <c r="CM4" s="269">
        <f>'System Capacities'!J19</f>
        <v>38234.410187710455</v>
      </c>
      <c r="CT4" s="230"/>
    </row>
    <row r="5" spans="2:107" x14ac:dyDescent="0.25">
      <c r="B5" s="883"/>
      <c r="C5" s="304">
        <v>2</v>
      </c>
      <c r="D5" s="320">
        <v>213</v>
      </c>
      <c r="E5" s="306">
        <f>'Structural Information'!$U$6</f>
        <v>3</v>
      </c>
      <c r="F5" s="257">
        <f>'Structural Information'!$AC$7</f>
        <v>2</v>
      </c>
      <c r="G5" s="257">
        <v>0.5</v>
      </c>
      <c r="H5" s="257">
        <v>0.25</v>
      </c>
      <c r="I5" s="305">
        <v>0.25</v>
      </c>
      <c r="J5" s="321">
        <f t="shared" ref="J5:J11" si="11">I5*(H5^3)/12</f>
        <v>3.2552083333333332E-4</v>
      </c>
      <c r="K5" s="257">
        <f t="shared" ref="K5:K12" si="12">F5-H5</f>
        <v>1.75</v>
      </c>
      <c r="L5" s="257">
        <f t="shared" ref="L5:L12" si="13">E5-G5</f>
        <v>2.5</v>
      </c>
      <c r="M5" s="257">
        <f t="shared" si="0"/>
        <v>3.0516389039334255</v>
      </c>
      <c r="N5" s="310">
        <f t="shared" ref="N5:N12" si="14">ATAN(L5/K5)</f>
        <v>0.96007036240568799</v>
      </c>
      <c r="P5" s="246" t="s">
        <v>149</v>
      </c>
      <c r="Q5" s="302">
        <v>-0.17799999999999999</v>
      </c>
      <c r="R5" s="302">
        <v>0.01</v>
      </c>
      <c r="S5" s="302">
        <v>0.04</v>
      </c>
      <c r="U5" s="883"/>
      <c r="V5" s="304">
        <v>2</v>
      </c>
      <c r="W5" s="320">
        <v>213</v>
      </c>
      <c r="X5" s="306">
        <f>1/((((COS(N5))^4)/'Structural Information'!$AH$17)+(((SIN(N5))^4)/'Structural Information'!$AH$18)+(((SIN(N5))^2)*((COS(N5))^2)*((1/'Structural Information'!$AH$19)-(2*'Structural Information'!$AL$19/'Structural Information'!$AH$18))))</f>
        <v>1979.5941814167948</v>
      </c>
      <c r="Y5" s="257">
        <f>((X5*('Structural Information'!$AL$17/1000)*SIN(2*N5))/(4*'Structural Information'!$AH$20*J5*L5))^(1/4)</f>
        <v>1.2174490921283836</v>
      </c>
      <c r="Z5" s="257">
        <f t="shared" si="1"/>
        <v>3.652347276385151</v>
      </c>
      <c r="AA5" s="322">
        <f t="shared" si="2"/>
        <v>0.70699999999999996</v>
      </c>
      <c r="AB5" s="322">
        <f t="shared" si="3"/>
        <v>0.01</v>
      </c>
      <c r="AC5" s="305">
        <f t="shared" si="4"/>
        <v>0.62123477965641971</v>
      </c>
      <c r="AD5" s="306">
        <f>((0.6*'Structural Information'!$AJ$17)+(0.3*'Structural Information'!$AL$18))/(AC5/M5)</f>
        <v>1.6210310035361908</v>
      </c>
      <c r="AE5" s="257">
        <f>(((1.2*SIN(N5)+0.45*COS(N5))*'Structural Information'!$AJ$18)+(0.3*'Structural Information'!$AL$18))/(AC5/M5)</f>
        <v>2.6825606913406794</v>
      </c>
      <c r="AF5" s="257">
        <f>(1.12*'Structural Information'!$AJ$19*COS(N5)*SIN(N5))/((AA5*(Z5^(-0.12)))+(AB5*(Z5^(0.88))))</f>
        <v>1.6699179305072875</v>
      </c>
      <c r="AG5" s="257">
        <f>(1.16*'Structural Information'!$AJ$19*TAN(N5))/((AA5)+(AB5*Z5))</f>
        <v>4.5021155270127426</v>
      </c>
      <c r="AH5" s="305">
        <f t="shared" si="5"/>
        <v>1.6210310035361908</v>
      </c>
      <c r="AI5" s="306">
        <f>AH5*AC5*'Structural Information'!$AL$17</f>
        <v>80.563267063842432</v>
      </c>
      <c r="AJ5" s="257">
        <f t="shared" si="6"/>
        <v>64.450613651073951</v>
      </c>
      <c r="AK5" s="310">
        <f t="shared" ref="AK5:AK9" si="15">0.1*AI5</f>
        <v>8.0563267063842439</v>
      </c>
      <c r="AM5" s="911"/>
      <c r="AN5" s="304">
        <v>2</v>
      </c>
      <c r="AO5" s="304">
        <v>213</v>
      </c>
      <c r="AP5" s="586">
        <v>3</v>
      </c>
      <c r="AQ5" s="585">
        <f t="shared" si="7"/>
        <v>64.450613651073951</v>
      </c>
      <c r="AR5" s="307">
        <f t="shared" si="8"/>
        <v>8.0000000000000004E-4</v>
      </c>
      <c r="AS5" s="257">
        <f>AQ5/(AR5*(SQRT(($F$5^2)+($E$5^2))))</f>
        <v>22344.230024429471</v>
      </c>
      <c r="AT5" s="308">
        <f>AS5*((COS($N$5))^2)</f>
        <v>7348.1024912553303</v>
      </c>
      <c r="AU5" s="585">
        <f t="shared" si="9"/>
        <v>80.563267063842432</v>
      </c>
      <c r="AV5" s="307">
        <f t="shared" si="10"/>
        <v>2.2000000000000001E-3</v>
      </c>
      <c r="AW5" s="257">
        <f>AU5/(AV5*(SQRT(($F$5^2)+($E$5^2))))</f>
        <v>10156.468192922484</v>
      </c>
      <c r="AX5" s="309">
        <f>(AU5-AQ5)/((AV5-AR5)*(SQRT(($F$5^2)+($E$5^2))))</f>
        <v>3192.0328606327794</v>
      </c>
      <c r="AY5" s="308">
        <f>AX5*((COS($N$5))^2)</f>
        <v>1049.7289273221893</v>
      </c>
      <c r="AZ5" s="585">
        <f t="shared" ref="AZ5:AZ12" si="16">AK5</f>
        <v>8.0563267063842439</v>
      </c>
      <c r="BA5" s="307">
        <f t="shared" ref="BA5:BA12" si="17">0.89/100</f>
        <v>8.8999999999999999E-3</v>
      </c>
      <c r="BB5" s="257">
        <f t="shared" ref="BB5:BB11" si="18">((AZ5*COS(N5))-(AU5*COS(N5)))/((BA5-AV5)*AP5)</f>
        <v>-2068.6567164179105</v>
      </c>
      <c r="BC5" s="310">
        <f t="shared" ref="BC5:BC11" si="19">BB5*((COS(N5))^2)</f>
        <v>-680.29650405689677</v>
      </c>
      <c r="BE5" s="911"/>
      <c r="BF5" s="304">
        <v>2</v>
      </c>
      <c r="BG5" s="304">
        <v>7213</v>
      </c>
      <c r="BH5" s="304" t="s">
        <v>27</v>
      </c>
      <c r="BI5" s="257">
        <f>'Structural Information'!$U$6</f>
        <v>3</v>
      </c>
      <c r="BJ5" s="598">
        <f>('Structural Information'!$X$24)*(200)/$BI5</f>
        <v>53616.514621265807</v>
      </c>
      <c r="BK5" s="587">
        <f>'Structural Information'!$T$23*'Structural Information'!$T$24*(4700*SQRT('Structural Information'!$AC$23))/(BI5*1000)</f>
        <v>433495.56258141535</v>
      </c>
      <c r="BM5" s="881">
        <v>1</v>
      </c>
      <c r="BN5" s="323">
        <v>1</v>
      </c>
      <c r="BO5" s="324">
        <f>'Structural Information'!$AC$8</f>
        <v>4.5</v>
      </c>
      <c r="BP5" s="298">
        <f>(BP$4/$BO5)</f>
        <v>0.66666666666666663</v>
      </c>
      <c r="BQ5" s="298">
        <f>(BQ$4/$BO5)</f>
        <v>0.66666666666666663</v>
      </c>
      <c r="BR5" s="301">
        <f>(BR$4/$BO5)</f>
        <v>0.61111111111111116</v>
      </c>
      <c r="BT5" s="881"/>
      <c r="BU5" s="252" t="s">
        <v>253</v>
      </c>
      <c r="BV5" s="314">
        <f>1/($AT$4)</f>
        <v>6.0012959172260729E-5</v>
      </c>
      <c r="BW5" s="314">
        <f>1/($AT$7)</f>
        <v>5.5923707762066768E-5</v>
      </c>
      <c r="BX5" s="315">
        <f>1/($AT$10)</f>
        <v>5.3183767341075516E-5</v>
      </c>
      <c r="BZ5" s="881"/>
      <c r="CA5" s="316">
        <v>2</v>
      </c>
      <c r="CB5" s="867"/>
      <c r="CC5" s="867"/>
      <c r="CD5" s="870"/>
      <c r="CF5" s="317">
        <f>'System Capacities'!C20</f>
        <v>2</v>
      </c>
      <c r="CG5" s="814" t="str">
        <f>'System Capacities'!D20</f>
        <v>Diagonal failure / Mixed</v>
      </c>
      <c r="CH5" s="815"/>
      <c r="CI5" s="815"/>
      <c r="CJ5" s="318">
        <f>'System Capacities'!G20</f>
        <v>235.85315329906305</v>
      </c>
      <c r="CK5" s="139">
        <f>'Structural Information'!U7</f>
        <v>3</v>
      </c>
      <c r="CL5" s="319">
        <f>'System Capacities'!I20</f>
        <v>2.8223787916516192E-3</v>
      </c>
      <c r="CM5" s="269">
        <f>'System Capacities'!J20</f>
        <v>40870.467681435926</v>
      </c>
      <c r="CT5" s="230"/>
    </row>
    <row r="6" spans="2:107" ht="16.5" thickBot="1" x14ac:dyDescent="0.3">
      <c r="B6" s="884"/>
      <c r="C6" s="325">
        <v>3</v>
      </c>
      <c r="D6" s="326">
        <v>313</v>
      </c>
      <c r="E6" s="327">
        <f>'Structural Information'!$U$6</f>
        <v>3</v>
      </c>
      <c r="F6" s="328">
        <f>'Structural Information'!$AC$6</f>
        <v>4.5</v>
      </c>
      <c r="G6" s="328">
        <v>0.5</v>
      </c>
      <c r="H6" s="328">
        <v>0.25</v>
      </c>
      <c r="I6" s="329">
        <v>0.25</v>
      </c>
      <c r="J6" s="330">
        <f t="shared" si="11"/>
        <v>3.2552083333333332E-4</v>
      </c>
      <c r="K6" s="328">
        <f t="shared" si="12"/>
        <v>4.25</v>
      </c>
      <c r="L6" s="328">
        <f t="shared" si="13"/>
        <v>2.5</v>
      </c>
      <c r="M6" s="328">
        <f t="shared" si="0"/>
        <v>4.9307707308290052</v>
      </c>
      <c r="N6" s="331">
        <f t="shared" si="14"/>
        <v>0.53172406725880561</v>
      </c>
      <c r="U6" s="884"/>
      <c r="V6" s="325">
        <v>3</v>
      </c>
      <c r="W6" s="326">
        <v>313</v>
      </c>
      <c r="X6" s="327">
        <f>1/((((COS(N6))^4)/'Structural Information'!$AH$17)+(((SIN(N6))^4)/'Structural Information'!$AH$18)+(((SIN(N6))^2)*((COS(N6))^2)*((1/'Structural Information'!$AH$19)-(2*'Structural Information'!$AL$19/'Structural Information'!$AH$18))))</f>
        <v>1375.8363758228218</v>
      </c>
      <c r="Y6" s="328">
        <f>((X6*('Structural Information'!$AL$17/1000)*SIN(2*N6))/(4*'Structural Information'!$AH$20*J6*L6))^(1/4)</f>
        <v>1.0916799951703688</v>
      </c>
      <c r="Z6" s="328">
        <f t="shared" si="1"/>
        <v>3.2750399855111065</v>
      </c>
      <c r="AA6" s="332">
        <f t="shared" si="2"/>
        <v>0.70699999999999996</v>
      </c>
      <c r="AB6" s="332">
        <f t="shared" si="3"/>
        <v>0.01</v>
      </c>
      <c r="AC6" s="329">
        <f t="shared" si="4"/>
        <v>1.113738957649824</v>
      </c>
      <c r="AD6" s="327">
        <f>((0.6*'Structural Information'!$AJ$17)+(0.3*'Structural Information'!$AL$18))/(AC6/M6)</f>
        <v>1.4609835904520574</v>
      </c>
      <c r="AE6" s="328">
        <f>(((1.2*SIN(N6)+0.45*COS(N6))*'Structural Information'!$AJ$18)+(0.3*'Structural Information'!$AL$18))/(AC6/M6)</f>
        <v>1.9407599825376745</v>
      </c>
      <c r="AF6" s="328">
        <f>(1.12*'Structural Information'!$AJ$19*COS(N6)*SIN(N6))/((AA6*(Z6^(-0.12)))+(AB6*(Z6^(0.88))))</f>
        <v>1.5410243331800975</v>
      </c>
      <c r="AG6" s="328">
        <f>(1.16*'Structural Information'!$AJ$19*TAN(N6))/((AA6)+(AB6*Z6))</f>
        <v>1.8632675851833773</v>
      </c>
      <c r="AH6" s="329">
        <f t="shared" si="5"/>
        <v>1.4609835904520574</v>
      </c>
      <c r="AI6" s="327">
        <f>AH6*AC6*'Structural Information'!$AL$17</f>
        <v>130.17234729388574</v>
      </c>
      <c r="AJ6" s="328">
        <f t="shared" si="6"/>
        <v>104.1378778351086</v>
      </c>
      <c r="AK6" s="331">
        <f t="shared" si="15"/>
        <v>13.017234729388575</v>
      </c>
      <c r="AM6" s="913"/>
      <c r="AN6" s="325">
        <v>3</v>
      </c>
      <c r="AO6" s="325">
        <v>313</v>
      </c>
      <c r="AP6" s="329">
        <v>3</v>
      </c>
      <c r="AQ6" s="327">
        <f t="shared" si="7"/>
        <v>104.1378778351086</v>
      </c>
      <c r="AR6" s="356">
        <f t="shared" si="8"/>
        <v>8.0000000000000004E-4</v>
      </c>
      <c r="AS6" s="574">
        <f>AQ6/(AR6*(SQRT(($F$6^2)+($E$6^2))))</f>
        <v>24068.875529005698</v>
      </c>
      <c r="AT6" s="357">
        <f>AS6*((COS($N$6))^2)</f>
        <v>17881.503927718884</v>
      </c>
      <c r="AU6" s="327">
        <f t="shared" si="9"/>
        <v>130.17234729388574</v>
      </c>
      <c r="AV6" s="356">
        <f t="shared" si="10"/>
        <v>2.2000000000000001E-3</v>
      </c>
      <c r="AW6" s="574">
        <f>AU6/(AV6*(SQRT(($F$6^2)+($E$6^2))))</f>
        <v>10940.397967729861</v>
      </c>
      <c r="AX6" s="358">
        <f>(AU6-AQ6)/((AV6-AR6)*(SQRT(($F$6^2)+($E$6^2))))</f>
        <v>3438.410789857955</v>
      </c>
      <c r="AY6" s="357">
        <f>AX6*((COS($N$6))^2)</f>
        <v>2554.5005611026963</v>
      </c>
      <c r="AZ6" s="327">
        <f t="shared" si="16"/>
        <v>13.017234729388575</v>
      </c>
      <c r="BA6" s="356">
        <f t="shared" si="17"/>
        <v>8.8999999999999999E-3</v>
      </c>
      <c r="BB6" s="574">
        <f t="shared" si="18"/>
        <v>-5023.880597014926</v>
      </c>
      <c r="BC6" s="331">
        <f t="shared" si="19"/>
        <v>-3732.3945823581321</v>
      </c>
      <c r="BE6" s="911"/>
      <c r="BF6" s="304">
        <v>3</v>
      </c>
      <c r="BG6" s="304">
        <v>7313</v>
      </c>
      <c r="BH6" s="304" t="s">
        <v>27</v>
      </c>
      <c r="BI6" s="257">
        <f>'Structural Information'!$U$6</f>
        <v>3</v>
      </c>
      <c r="BJ6" s="598">
        <f>('Structural Information'!$X$24)*(200)/$BI6</f>
        <v>53616.514621265807</v>
      </c>
      <c r="BK6" s="587">
        <f>'Structural Information'!$T$23*'Structural Information'!$T$24*(4700*SQRT('Structural Information'!$AC$23))/(BI6*1000)</f>
        <v>433495.56258141535</v>
      </c>
      <c r="BM6" s="881"/>
      <c r="BN6" s="333" t="s">
        <v>377</v>
      </c>
      <c r="BO6" s="334">
        <f>'Structural Information'!$AC$8</f>
        <v>4.5</v>
      </c>
      <c r="BP6" s="335">
        <f>BQ6+BP5</f>
        <v>1.9444444444444442</v>
      </c>
      <c r="BQ6" s="335">
        <f>BR6+BQ5</f>
        <v>1.2777777777777777</v>
      </c>
      <c r="BR6" s="336">
        <f>BR5</f>
        <v>0.61111111111111116</v>
      </c>
      <c r="BT6" s="881"/>
      <c r="BU6" s="337" t="s">
        <v>253</v>
      </c>
      <c r="BV6" s="314">
        <f>1/($AY$4)</f>
        <v>4.2009071420582531E-4</v>
      </c>
      <c r="BW6" s="314">
        <f>1/($AY$7)</f>
        <v>3.9146595433446759E-4</v>
      </c>
      <c r="BX6" s="315">
        <f>1/($AY$10)</f>
        <v>3.7228637138752869E-4</v>
      </c>
      <c r="BZ6" s="886"/>
      <c r="CA6" s="316">
        <v>3</v>
      </c>
      <c r="CB6" s="867"/>
      <c r="CC6" s="867"/>
      <c r="CD6" s="870"/>
      <c r="CF6" s="338">
        <f>'System Capacities'!C21</f>
        <v>1</v>
      </c>
      <c r="CG6" s="816" t="str">
        <f>'System Capacities'!D21</f>
        <v>Diagonal failure / Mixed</v>
      </c>
      <c r="CH6" s="817"/>
      <c r="CI6" s="817"/>
      <c r="CJ6" s="339">
        <f>'System Capacities'!G21</f>
        <v>27.059999999999995</v>
      </c>
      <c r="CK6" s="274">
        <f>'Structural Information'!U8</f>
        <v>2.75</v>
      </c>
      <c r="CL6" s="340">
        <f>'System Capacities'!I21</f>
        <v>0.08</v>
      </c>
      <c r="CM6" s="276">
        <f>'System Capacities'!J21</f>
        <v>0</v>
      </c>
      <c r="CT6" s="230"/>
    </row>
    <row r="7" spans="2:107" ht="16.5" thickBot="1" x14ac:dyDescent="0.3">
      <c r="B7" s="882">
        <v>2</v>
      </c>
      <c r="C7" s="295">
        <v>1</v>
      </c>
      <c r="D7" s="296">
        <v>112</v>
      </c>
      <c r="E7" s="297">
        <f>'Structural Information'!$U$7</f>
        <v>3</v>
      </c>
      <c r="F7" s="298">
        <f>'Structural Information'!$AC$8</f>
        <v>4.5</v>
      </c>
      <c r="G7" s="298">
        <v>0.5</v>
      </c>
      <c r="H7" s="298">
        <v>0.25</v>
      </c>
      <c r="I7" s="299">
        <v>0.25</v>
      </c>
      <c r="J7" s="300">
        <f t="shared" si="11"/>
        <v>3.2552083333333332E-4</v>
      </c>
      <c r="K7" s="298">
        <f t="shared" si="12"/>
        <v>4.25</v>
      </c>
      <c r="L7" s="298">
        <f t="shared" si="13"/>
        <v>2.5</v>
      </c>
      <c r="M7" s="298">
        <f t="shared" si="0"/>
        <v>4.9307707308290052</v>
      </c>
      <c r="N7" s="301">
        <f t="shared" si="14"/>
        <v>0.53172406725880561</v>
      </c>
      <c r="P7" s="915" t="s">
        <v>173</v>
      </c>
      <c r="Q7" s="915"/>
      <c r="R7" s="915"/>
      <c r="S7" s="915"/>
      <c r="U7" s="882">
        <v>2</v>
      </c>
      <c r="V7" s="295">
        <v>1</v>
      </c>
      <c r="W7" s="296">
        <v>112</v>
      </c>
      <c r="X7" s="297">
        <f>1/((((COS(N7))^4)/'Structural Information'!$AH$17)+(((SIN(N7))^4)/'Structural Information'!$AH$18)+(((SIN(N7))^2)*((COS(N7))^2)*((1/'Structural Information'!$AH$19)-(2*'Structural Information'!$AL$19/'Structural Information'!$AH$18))))</f>
        <v>1375.8363758228218</v>
      </c>
      <c r="Y7" s="298">
        <f>((X7*('Structural Information'!$AL$17/1000)*SIN(2*N7))/(4*'Structural Information'!$AH$20*J7*L7))^(1/4)</f>
        <v>1.0916799951703688</v>
      </c>
      <c r="Z7" s="298">
        <f t="shared" si="1"/>
        <v>3.2750399855111065</v>
      </c>
      <c r="AA7" s="303">
        <f t="shared" si="2"/>
        <v>0.70699999999999996</v>
      </c>
      <c r="AB7" s="303">
        <f t="shared" si="3"/>
        <v>0.01</v>
      </c>
      <c r="AC7" s="299">
        <f t="shared" si="4"/>
        <v>1.113738957649824</v>
      </c>
      <c r="AD7" s="297">
        <f>((0.6*'Structural Information'!$AJ$17)+(0.3*'Structural Information'!$AL$18))/(AC7/M7)</f>
        <v>1.4609835904520574</v>
      </c>
      <c r="AE7" s="298">
        <f>(((1.2*SIN(N7)+0.45*COS(N7))*'Structural Information'!$AJ$18)+(0.3*'Structural Information'!$AL$18))/(AC7/M7)</f>
        <v>1.9407599825376745</v>
      </c>
      <c r="AF7" s="298">
        <f>(1.12*'Structural Information'!$AJ$19*COS(N7)*SIN(N7))/((AA7*(Z7^(-0.12)))+(AB7*(Z7^(0.88))))</f>
        <v>1.5410243331800975</v>
      </c>
      <c r="AG7" s="298">
        <f>(1.16*'Structural Information'!$AJ$19*TAN(N7))/((AA7)+(AB7*Z7))</f>
        <v>1.8632675851833773</v>
      </c>
      <c r="AH7" s="299">
        <f t="shared" si="5"/>
        <v>1.4609835904520574</v>
      </c>
      <c r="AI7" s="297">
        <f>AH7*AC7*'Structural Information'!$AL$17</f>
        <v>130.17234729388574</v>
      </c>
      <c r="AJ7" s="298">
        <f t="shared" si="6"/>
        <v>104.1378778351086</v>
      </c>
      <c r="AK7" s="301">
        <f t="shared" si="15"/>
        <v>13.017234729388575</v>
      </c>
      <c r="AM7" s="911">
        <v>2</v>
      </c>
      <c r="AN7" s="304">
        <v>1</v>
      </c>
      <c r="AO7" s="304">
        <v>112</v>
      </c>
      <c r="AP7" s="586">
        <v>3</v>
      </c>
      <c r="AQ7" s="585">
        <f t="shared" si="7"/>
        <v>104.1378778351086</v>
      </c>
      <c r="AR7" s="307">
        <f t="shared" si="8"/>
        <v>8.0000000000000004E-4</v>
      </c>
      <c r="AS7" s="257">
        <f>AQ7/(AR7*(SQRT(($F$7^2)+($E$7^2))))</f>
        <v>24068.875529005698</v>
      </c>
      <c r="AT7" s="308">
        <f>AS7*((COS($N$7))^2)</f>
        <v>17881.503927718884</v>
      </c>
      <c r="AU7" s="585">
        <f t="shared" si="9"/>
        <v>130.17234729388574</v>
      </c>
      <c r="AV7" s="307">
        <f t="shared" si="10"/>
        <v>2.2000000000000001E-3</v>
      </c>
      <c r="AW7" s="257">
        <f>AU7/(AV7*(SQRT(($F$7^2)+($E$7^2))))</f>
        <v>10940.397967729861</v>
      </c>
      <c r="AX7" s="309">
        <f>(AU7-AQ7)/((AV7-AR7)*(SQRT(($F$7^2)+($E$7^2))))</f>
        <v>3438.410789857955</v>
      </c>
      <c r="AY7" s="308">
        <f>AX7*((COS($N$7))^2)</f>
        <v>2554.5005611026963</v>
      </c>
      <c r="AZ7" s="585">
        <f t="shared" si="16"/>
        <v>13.017234729388575</v>
      </c>
      <c r="BA7" s="307">
        <f t="shared" si="17"/>
        <v>8.8999999999999999E-3</v>
      </c>
      <c r="BB7" s="257">
        <f t="shared" si="18"/>
        <v>-5023.880597014926</v>
      </c>
      <c r="BC7" s="310">
        <f t="shared" si="19"/>
        <v>-3732.3945823581321</v>
      </c>
      <c r="BE7" s="913"/>
      <c r="BF7" s="325">
        <v>4</v>
      </c>
      <c r="BG7" s="325">
        <v>7413</v>
      </c>
      <c r="BH7" s="325" t="s">
        <v>27</v>
      </c>
      <c r="BI7" s="328">
        <f>'Structural Information'!$U$6</f>
        <v>3</v>
      </c>
      <c r="BJ7" s="599">
        <f>('Structural Information'!$X$24)*(200)/$BI7</f>
        <v>53616.514621265807</v>
      </c>
      <c r="BK7" s="600">
        <f>'Structural Information'!$T$23*'Structural Information'!$T$24*(4700*SQRT('Structural Information'!$AC$23))/(BI7*1000)</f>
        <v>433495.56258141535</v>
      </c>
      <c r="BM7" s="881"/>
      <c r="BN7" s="344" t="s">
        <v>378</v>
      </c>
      <c r="BO7" s="345">
        <f>'Structural Information'!$AC$8</f>
        <v>4.5</v>
      </c>
      <c r="BP7" s="257">
        <f>(BP$4/$BO7)</f>
        <v>0.66666666666666663</v>
      </c>
      <c r="BQ7" s="257">
        <f>(BQ$4/$BO7)</f>
        <v>0.66666666666666663</v>
      </c>
      <c r="BR7" s="310">
        <f>(BR$4/$BO7)</f>
        <v>0.61111111111111116</v>
      </c>
      <c r="BT7" s="881"/>
      <c r="BU7" s="346" t="s">
        <v>253</v>
      </c>
      <c r="BV7" s="314">
        <f>1/($BC$4)</f>
        <v>-2.9784209366973845E-4</v>
      </c>
      <c r="BW7" s="314">
        <f>1/($BC$7)</f>
        <v>-2.679245127850868E-4</v>
      </c>
      <c r="BX7" s="315">
        <f>1/($BC$10)</f>
        <v>-2.3360170673421233E-4</v>
      </c>
      <c r="BZ7" s="881">
        <v>2</v>
      </c>
      <c r="CA7" s="347">
        <v>1</v>
      </c>
      <c r="CB7" s="866">
        <f>(1/(BW5+BW4+BX8+BX4)+1/(BW10+BW9+BX13+BX9)+1/(BW15+BW14+BX18+BX14))</f>
        <v>40870.467681435926</v>
      </c>
      <c r="CC7" s="866">
        <f>(1/(BW6+BW4+BX8+BX4)+1/(BW11+BW9+BX13+BX9)+1/(BW16+BW14+BX18+BX14))</f>
        <v>6110.6293905825751</v>
      </c>
      <c r="CD7" s="869">
        <f>((1/(BW7+BW4+BX8+BX4)+1/(BW12+BW9+BX13+BX9)+1/(BW17+BW14+BX18+BX14)))</f>
        <v>-8224.5262056187294</v>
      </c>
      <c r="CF7" s="180"/>
      <c r="CG7" s="180"/>
      <c r="CH7" s="180"/>
      <c r="CI7" s="180"/>
      <c r="CJ7" s="180"/>
      <c r="CK7" s="180"/>
      <c r="CL7" s="180"/>
      <c r="CM7" s="180"/>
      <c r="CN7" s="180"/>
      <c r="CO7" s="180"/>
      <c r="CP7" s="180"/>
      <c r="CQ7" s="180"/>
      <c r="CR7" s="180"/>
      <c r="CS7" s="180"/>
      <c r="CT7" s="257"/>
      <c r="CU7" s="180"/>
      <c r="CV7" s="180"/>
      <c r="CW7" s="180"/>
      <c r="CX7" s="180"/>
    </row>
    <row r="8" spans="2:107" ht="16.5" customHeight="1" thickBot="1" x14ac:dyDescent="0.3">
      <c r="B8" s="883"/>
      <c r="C8" s="304">
        <v>2</v>
      </c>
      <c r="D8" s="320">
        <v>212</v>
      </c>
      <c r="E8" s="306">
        <f>'Structural Information'!$U$7</f>
        <v>3</v>
      </c>
      <c r="F8" s="257">
        <f>'Structural Information'!$AC$7</f>
        <v>2</v>
      </c>
      <c r="G8" s="257">
        <v>0.5</v>
      </c>
      <c r="H8" s="257">
        <v>0.25</v>
      </c>
      <c r="I8" s="305">
        <v>0.25</v>
      </c>
      <c r="J8" s="321">
        <f t="shared" si="11"/>
        <v>3.2552083333333332E-4</v>
      </c>
      <c r="K8" s="257">
        <f t="shared" si="12"/>
        <v>1.75</v>
      </c>
      <c r="L8" s="257">
        <f t="shared" si="13"/>
        <v>2.5</v>
      </c>
      <c r="M8" s="257">
        <f t="shared" si="0"/>
        <v>3.0516389039334255</v>
      </c>
      <c r="N8" s="310">
        <f t="shared" si="14"/>
        <v>0.96007036240568799</v>
      </c>
      <c r="P8" s="916" t="s">
        <v>171</v>
      </c>
      <c r="Q8" s="916"/>
      <c r="R8" s="916"/>
      <c r="S8" s="160" t="s">
        <v>172</v>
      </c>
      <c r="U8" s="883"/>
      <c r="V8" s="304">
        <v>2</v>
      </c>
      <c r="W8" s="320">
        <v>212</v>
      </c>
      <c r="X8" s="306">
        <f>1/((((COS(N8))^4)/'Structural Information'!$AH$17)+(((SIN(N8))^4)/'Structural Information'!$AH$18)+(((SIN(N8))^2)*((COS(N8))^2)*((1/'Structural Information'!$AH$19)-(2*'Structural Information'!$AL$19/'Structural Information'!$AH$18))))</f>
        <v>1979.5941814167948</v>
      </c>
      <c r="Y8" s="257">
        <f>((X8*('Structural Information'!$AL$17/1000)*SIN(2*N8))/(4*'Structural Information'!$AH$20*J8*L8))^(1/4)</f>
        <v>1.2174490921283836</v>
      </c>
      <c r="Z8" s="257">
        <f t="shared" si="1"/>
        <v>3.652347276385151</v>
      </c>
      <c r="AA8" s="322">
        <f t="shared" si="2"/>
        <v>0.70699999999999996</v>
      </c>
      <c r="AB8" s="322">
        <f t="shared" si="3"/>
        <v>0.01</v>
      </c>
      <c r="AC8" s="305">
        <f t="shared" si="4"/>
        <v>0.62123477965641971</v>
      </c>
      <c r="AD8" s="306">
        <f>((0.6*'Structural Information'!$AJ$17)+(0.3*'Structural Information'!$AL$18))/(AC8/M8)</f>
        <v>1.6210310035361908</v>
      </c>
      <c r="AE8" s="257">
        <f>(((1.2*SIN(N8)+0.45*COS(N8))*'Structural Information'!$AJ$18)+(0.3*'Structural Information'!$AL$18))/(AC8/M8)</f>
        <v>2.6825606913406794</v>
      </c>
      <c r="AF8" s="257">
        <f>(1.12*'Structural Information'!$AJ$19*COS(N8)*SIN(N8))/((AA8*(Z8^(-0.12)))+(AB8*(Z8^(0.88))))</f>
        <v>1.6699179305072875</v>
      </c>
      <c r="AG8" s="257">
        <f>(1.16*'Structural Information'!$AJ$19*TAN(N8))/((AA8)+(AB8*Z8))</f>
        <v>4.5021155270127426</v>
      </c>
      <c r="AH8" s="305">
        <f t="shared" si="5"/>
        <v>1.6210310035361908</v>
      </c>
      <c r="AI8" s="306">
        <f>AH8*AC8*'Structural Information'!$AL$17</f>
        <v>80.563267063842432</v>
      </c>
      <c r="AJ8" s="257">
        <f t="shared" si="6"/>
        <v>64.450613651073951</v>
      </c>
      <c r="AK8" s="310">
        <f t="shared" si="15"/>
        <v>8.0563267063842439</v>
      </c>
      <c r="AM8" s="911"/>
      <c r="AN8" s="304">
        <v>2</v>
      </c>
      <c r="AO8" s="304">
        <v>212</v>
      </c>
      <c r="AP8" s="586">
        <v>3</v>
      </c>
      <c r="AQ8" s="585">
        <f t="shared" si="7"/>
        <v>64.450613651073951</v>
      </c>
      <c r="AR8" s="307">
        <f t="shared" si="8"/>
        <v>8.0000000000000004E-4</v>
      </c>
      <c r="AS8" s="257">
        <f>AQ8/(AR8*(SQRT(($F$8^2)+($E$8^2))))</f>
        <v>22344.230024429471</v>
      </c>
      <c r="AT8" s="308">
        <f>AS8*((COS($N$8))^2)</f>
        <v>7348.1024912553303</v>
      </c>
      <c r="AU8" s="585">
        <f t="shared" si="9"/>
        <v>80.563267063842432</v>
      </c>
      <c r="AV8" s="307">
        <f t="shared" si="10"/>
        <v>2.2000000000000001E-3</v>
      </c>
      <c r="AW8" s="257">
        <f>AU8/(AV8*(SQRT(($F$8^2)+($E$8^2))))</f>
        <v>10156.468192922484</v>
      </c>
      <c r="AX8" s="309">
        <f>(AU8-AQ8)/((AV8-AR8)*(SQRT(($F$8^2)+($E$8^2))))</f>
        <v>3192.0328606327794</v>
      </c>
      <c r="AY8" s="308">
        <f>AX8*((COS($N$8))^2)</f>
        <v>1049.7289273221893</v>
      </c>
      <c r="AZ8" s="585">
        <f t="shared" si="16"/>
        <v>8.0563267063842439</v>
      </c>
      <c r="BA8" s="307">
        <f t="shared" si="17"/>
        <v>8.8999999999999999E-3</v>
      </c>
      <c r="BB8" s="257">
        <f t="shared" si="18"/>
        <v>-2068.6567164179105</v>
      </c>
      <c r="BC8" s="310">
        <f t="shared" si="19"/>
        <v>-680.29650405689677</v>
      </c>
      <c r="BE8" s="910">
        <v>2</v>
      </c>
      <c r="BF8" s="295">
        <v>1</v>
      </c>
      <c r="BG8" s="295">
        <v>7112</v>
      </c>
      <c r="BH8" s="295" t="s">
        <v>27</v>
      </c>
      <c r="BI8" s="298">
        <f>'Structural Information'!$U$7</f>
        <v>3</v>
      </c>
      <c r="BJ8" s="601">
        <f>('Structural Information'!$X$24)*(200)/$BI8</f>
        <v>53616.514621265807</v>
      </c>
      <c r="BK8" s="602">
        <f>'Structural Information'!$T$23*'Structural Information'!$T$24*(4700*SQRT('Structural Information'!$AC$23))/(BI8*1000)</f>
        <v>433495.56258141535</v>
      </c>
      <c r="BM8" s="881"/>
      <c r="BN8" s="348" t="s">
        <v>377</v>
      </c>
      <c r="BO8" s="349">
        <f>'Structural Information'!$AC$8</f>
        <v>4.5</v>
      </c>
      <c r="BP8" s="350">
        <f>BQ8+BP7</f>
        <v>1.9444444444444442</v>
      </c>
      <c r="BQ8" s="350">
        <f>BR8+BQ7</f>
        <v>1.2777777777777777</v>
      </c>
      <c r="BR8" s="351">
        <f>BR7</f>
        <v>0.61111111111111116</v>
      </c>
      <c r="BT8" s="881"/>
      <c r="BU8" s="352" t="s">
        <v>256</v>
      </c>
      <c r="BV8" s="353">
        <f>(BP7*BP7)/$BK$5</f>
        <v>1.0252571947861007E-6</v>
      </c>
      <c r="BW8" s="353">
        <f>(BQ7*BQ7)/$BK$9</f>
        <v>1.0252571947861007E-6</v>
      </c>
      <c r="BX8" s="354">
        <f>(BR7*BR7)/$BK$13</f>
        <v>7.8970910084508108E-7</v>
      </c>
      <c r="BZ8" s="881"/>
      <c r="CA8" s="316">
        <v>2</v>
      </c>
      <c r="CB8" s="867"/>
      <c r="CC8" s="867"/>
      <c r="CD8" s="870"/>
      <c r="CF8" s="824" t="s">
        <v>294</v>
      </c>
      <c r="CG8" s="825"/>
      <c r="CH8" s="825"/>
      <c r="CI8" s="825"/>
      <c r="CJ8" s="825"/>
      <c r="CK8" s="826"/>
      <c r="CL8" s="827" t="s">
        <v>295</v>
      </c>
      <c r="CM8" s="828"/>
      <c r="CN8" s="828"/>
      <c r="CO8" s="828"/>
      <c r="CP8" s="828"/>
      <c r="CQ8" s="829"/>
      <c r="CR8" s="830" t="s">
        <v>296</v>
      </c>
      <c r="CS8" s="831"/>
      <c r="CT8" s="831"/>
      <c r="CU8" s="831"/>
      <c r="CV8" s="831"/>
      <c r="CW8" s="832"/>
      <c r="CX8" s="180"/>
    </row>
    <row r="9" spans="2:107" x14ac:dyDescent="0.25">
      <c r="B9" s="884"/>
      <c r="C9" s="325">
        <v>3</v>
      </c>
      <c r="D9" s="326">
        <v>312</v>
      </c>
      <c r="E9" s="327">
        <f>'Structural Information'!$U$7</f>
        <v>3</v>
      </c>
      <c r="F9" s="328">
        <f>'Structural Information'!$AC$6</f>
        <v>4.5</v>
      </c>
      <c r="G9" s="328">
        <v>0.5</v>
      </c>
      <c r="H9" s="328">
        <v>0.25</v>
      </c>
      <c r="I9" s="329">
        <v>0.25</v>
      </c>
      <c r="J9" s="330">
        <f t="shared" si="11"/>
        <v>3.2552083333333332E-4</v>
      </c>
      <c r="K9" s="328">
        <f t="shared" si="12"/>
        <v>4.25</v>
      </c>
      <c r="L9" s="328">
        <f t="shared" si="13"/>
        <v>2.5</v>
      </c>
      <c r="M9" s="328">
        <f t="shared" si="0"/>
        <v>4.9307707308290052</v>
      </c>
      <c r="N9" s="331">
        <f t="shared" si="14"/>
        <v>0.53172406725880561</v>
      </c>
      <c r="P9" s="815" t="s">
        <v>167</v>
      </c>
      <c r="Q9" s="815"/>
      <c r="R9" s="815"/>
      <c r="S9" s="355" t="s">
        <v>158</v>
      </c>
      <c r="U9" s="884"/>
      <c r="V9" s="325">
        <v>3</v>
      </c>
      <c r="W9" s="326">
        <v>312</v>
      </c>
      <c r="X9" s="327">
        <f>1/((((COS(N9))^4)/'Structural Information'!$AH$17)+(((SIN(N9))^4)/'Structural Information'!$AH$18)+(((SIN(N9))^2)*((COS(N9))^2)*((1/'Structural Information'!$AH$19)-(2*'Structural Information'!$AL$19/'Structural Information'!$AH$18))))</f>
        <v>1375.8363758228218</v>
      </c>
      <c r="Y9" s="328">
        <f>((X9*('Structural Information'!$AL$17/1000)*SIN(2*N9))/(4*'Structural Information'!$AH$20*J9*L9))^(1/4)</f>
        <v>1.0916799951703688</v>
      </c>
      <c r="Z9" s="328">
        <f t="shared" si="1"/>
        <v>3.2750399855111065</v>
      </c>
      <c r="AA9" s="332">
        <f t="shared" si="2"/>
        <v>0.70699999999999996</v>
      </c>
      <c r="AB9" s="332">
        <f t="shared" si="3"/>
        <v>0.01</v>
      </c>
      <c r="AC9" s="329">
        <f t="shared" si="4"/>
        <v>1.113738957649824</v>
      </c>
      <c r="AD9" s="327">
        <f>((0.6*'Structural Information'!$AJ$17)+(0.3*'Structural Information'!$AL$18))/(AC9/M9)</f>
        <v>1.4609835904520574</v>
      </c>
      <c r="AE9" s="328">
        <f>(((1.2*SIN(N9)+0.45*COS(N9))*'Structural Information'!$AJ$18)+(0.3*'Structural Information'!$AL$18))/(AC9/M9)</f>
        <v>1.9407599825376745</v>
      </c>
      <c r="AF9" s="328">
        <f>(1.12*'Structural Information'!$AJ$19*COS(N9)*SIN(N9))/((AA9*(Z9^(-0.12)))+(AB9*(Z9^(0.88))))</f>
        <v>1.5410243331800975</v>
      </c>
      <c r="AG9" s="328">
        <f>(1.16*'Structural Information'!$AJ$19*TAN(N9))/((AA9)+(AB9*Z9))</f>
        <v>1.8632675851833773</v>
      </c>
      <c r="AH9" s="329">
        <f t="shared" si="5"/>
        <v>1.4609835904520574</v>
      </c>
      <c r="AI9" s="327">
        <f>AH9*AC9*'Structural Information'!$AL$17</f>
        <v>130.17234729388574</v>
      </c>
      <c r="AJ9" s="328">
        <f t="shared" si="6"/>
        <v>104.1378778351086</v>
      </c>
      <c r="AK9" s="331">
        <f t="shared" si="15"/>
        <v>13.017234729388575</v>
      </c>
      <c r="AM9" s="911"/>
      <c r="AN9" s="304">
        <v>3</v>
      </c>
      <c r="AO9" s="304">
        <v>312</v>
      </c>
      <c r="AP9" s="586">
        <v>3</v>
      </c>
      <c r="AQ9" s="585">
        <f t="shared" si="7"/>
        <v>104.1378778351086</v>
      </c>
      <c r="AR9" s="307">
        <f t="shared" si="8"/>
        <v>8.0000000000000004E-4</v>
      </c>
      <c r="AS9" s="257">
        <f>AQ9/(AR9*(SQRT(($F$9^2)+($E$9^2))))</f>
        <v>24068.875529005698</v>
      </c>
      <c r="AT9" s="308">
        <f>AS9*((COS($N$9))^2)</f>
        <v>17881.503927718884</v>
      </c>
      <c r="AU9" s="585">
        <f t="shared" si="9"/>
        <v>130.17234729388574</v>
      </c>
      <c r="AV9" s="307">
        <f t="shared" si="10"/>
        <v>2.2000000000000001E-3</v>
      </c>
      <c r="AW9" s="257">
        <f>AU9/(AV9*(SQRT(($F$9^2)+($E$9^2))))</f>
        <v>10940.397967729861</v>
      </c>
      <c r="AX9" s="309">
        <f>(AU9-AQ9)/((AV9-AR9)*(SQRT(($F$9^2)+($E$9^2))))</f>
        <v>3438.410789857955</v>
      </c>
      <c r="AY9" s="308">
        <f>AX9*((COS($N$9))^2)</f>
        <v>2554.5005611026963</v>
      </c>
      <c r="AZ9" s="585">
        <f t="shared" si="16"/>
        <v>13.017234729388575</v>
      </c>
      <c r="BA9" s="307">
        <f t="shared" si="17"/>
        <v>8.8999999999999999E-3</v>
      </c>
      <c r="BB9" s="257">
        <f t="shared" si="18"/>
        <v>-5023.880597014926</v>
      </c>
      <c r="BC9" s="310">
        <f t="shared" si="19"/>
        <v>-3732.3945823581321</v>
      </c>
      <c r="BE9" s="911"/>
      <c r="BF9" s="304">
        <v>2</v>
      </c>
      <c r="BG9" s="304">
        <v>7212</v>
      </c>
      <c r="BH9" s="304" t="s">
        <v>27</v>
      </c>
      <c r="BI9" s="257">
        <f>'Structural Information'!$U$7</f>
        <v>3</v>
      </c>
      <c r="BJ9" s="598">
        <f>('Structural Information'!$X$24)*(200)/$BI9</f>
        <v>53616.514621265807</v>
      </c>
      <c r="BK9" s="587">
        <f>'Structural Information'!$T$23*'Structural Information'!$T$24*(4700*SQRT('Structural Information'!$AC$23))/(BI9*1000)</f>
        <v>433495.56258141535</v>
      </c>
      <c r="BM9" s="918">
        <v>2</v>
      </c>
      <c r="BN9" s="323" t="s">
        <v>379</v>
      </c>
      <c r="BO9" s="324">
        <f>'Structural Information'!$AC$7</f>
        <v>2</v>
      </c>
      <c r="BP9" s="298">
        <f>(BP$4/$BO9)</f>
        <v>1.5</v>
      </c>
      <c r="BQ9" s="298">
        <f>(BQ$4/$BO9)</f>
        <v>1.5</v>
      </c>
      <c r="BR9" s="301">
        <f>(BR$4/$BO9)</f>
        <v>1.375</v>
      </c>
      <c r="BT9" s="881">
        <v>2</v>
      </c>
      <c r="BU9" s="247" t="s">
        <v>257</v>
      </c>
      <c r="BV9" s="359">
        <f>(BP9*BP9)/$BK$5</f>
        <v>5.190364548604635E-6</v>
      </c>
      <c r="BW9" s="359">
        <f>(BQ9*BQ9)/$BK$9</f>
        <v>5.190364548604635E-6</v>
      </c>
      <c r="BX9" s="360">
        <f>(BR9*BR9)/$BK$13</f>
        <v>3.9979023230282226E-6</v>
      </c>
      <c r="BZ9" s="881"/>
      <c r="CA9" s="361">
        <v>3</v>
      </c>
      <c r="CB9" s="868"/>
      <c r="CC9" s="868"/>
      <c r="CD9" s="871"/>
      <c r="CF9" s="899" t="s">
        <v>197</v>
      </c>
      <c r="CG9" s="901" t="s">
        <v>193</v>
      </c>
      <c r="CH9" s="820" t="s">
        <v>194</v>
      </c>
      <c r="CI9" s="820" t="s">
        <v>195</v>
      </c>
      <c r="CJ9" s="843" t="s">
        <v>196</v>
      </c>
      <c r="CK9" s="851" t="s">
        <v>426</v>
      </c>
      <c r="CL9" s="845" t="s">
        <v>227</v>
      </c>
      <c r="CM9" s="849" t="s">
        <v>193</v>
      </c>
      <c r="CN9" s="833" t="s">
        <v>194</v>
      </c>
      <c r="CO9" s="833" t="s">
        <v>195</v>
      </c>
      <c r="CP9" s="847" t="s">
        <v>196</v>
      </c>
      <c r="CQ9" s="853" t="s">
        <v>426</v>
      </c>
      <c r="CR9" s="839" t="s">
        <v>300</v>
      </c>
      <c r="CS9" s="841" t="s">
        <v>193</v>
      </c>
      <c r="CT9" s="837" t="s">
        <v>194</v>
      </c>
      <c r="CU9" s="837" t="s">
        <v>195</v>
      </c>
      <c r="CV9" s="835" t="s">
        <v>196</v>
      </c>
      <c r="CW9" s="822" t="s">
        <v>426</v>
      </c>
      <c r="CX9" s="180"/>
    </row>
    <row r="10" spans="2:107" x14ac:dyDescent="0.25">
      <c r="B10" s="882">
        <v>1</v>
      </c>
      <c r="C10" s="295">
        <v>1</v>
      </c>
      <c r="D10" s="296">
        <v>111</v>
      </c>
      <c r="E10" s="297">
        <f>'Structural Information'!$U$8</f>
        <v>2.75</v>
      </c>
      <c r="F10" s="298">
        <f>'Structural Information'!$AC$8</f>
        <v>4.5</v>
      </c>
      <c r="G10" s="298">
        <v>0.5</v>
      </c>
      <c r="H10" s="298">
        <v>0.25</v>
      </c>
      <c r="I10" s="299">
        <v>0.25</v>
      </c>
      <c r="J10" s="300">
        <f t="shared" si="11"/>
        <v>3.2552083333333332E-4</v>
      </c>
      <c r="K10" s="298">
        <f t="shared" si="12"/>
        <v>4.25</v>
      </c>
      <c r="L10" s="298">
        <f t="shared" si="13"/>
        <v>2.25</v>
      </c>
      <c r="M10" s="298">
        <f t="shared" si="0"/>
        <v>4.8088460154178359</v>
      </c>
      <c r="N10" s="301">
        <f>ATAN(L10/K10)</f>
        <v>0.48689923181126904</v>
      </c>
      <c r="P10" s="815" t="s">
        <v>169</v>
      </c>
      <c r="Q10" s="815"/>
      <c r="R10" s="815"/>
      <c r="S10" s="355" t="s">
        <v>159</v>
      </c>
      <c r="U10" s="882">
        <v>1</v>
      </c>
      <c r="V10" s="295">
        <v>1</v>
      </c>
      <c r="W10" s="296">
        <v>111</v>
      </c>
      <c r="X10" s="297">
        <f>1/((((COS(N10))^4)/'Structural Information'!$AH$17)+(((SIN(N10))^4)/'Structural Information'!$AH$18)+(((SIN(N10))^2)*((COS(N10))^2)*((1/'Structural Information'!$AH$19)-(2*'Structural Information'!$AL$19/'Structural Information'!$AH$18))))</f>
        <v>1312.8234025636375</v>
      </c>
      <c r="Y10" s="298">
        <f>((X10*('Structural Information'!$AL$17/1000)*SIN(2*N10))/(4*'Structural Information'!$AH$20*J10*L10))^(1/4)</f>
        <v>1.0925522151650997</v>
      </c>
      <c r="Z10" s="298">
        <f t="shared" si="1"/>
        <v>3.004518591704024</v>
      </c>
      <c r="AA10" s="303">
        <f t="shared" si="2"/>
        <v>1.3</v>
      </c>
      <c r="AB10" s="303">
        <f t="shared" si="3"/>
        <v>-0.17799999999999999</v>
      </c>
      <c r="AC10" s="299">
        <f t="shared" si="4"/>
        <v>1.2247247390266636</v>
      </c>
      <c r="AD10" s="297">
        <f>((0.6*'Structural Information'!$AJ$17)+(0.3*'Structural Information'!$AL$18))/(AC10/M10)</f>
        <v>1.2957353881404177</v>
      </c>
      <c r="AE10" s="298">
        <f>(((1.2*SIN(N10)+0.45*COS(N10))*'Structural Information'!$AJ$18)+(0.3*'Structural Information'!$AL$18))/(AC10/M10)</f>
        <v>1.6571070505303276</v>
      </c>
      <c r="AF10" s="298">
        <f>(1.12*'Structural Information'!$AJ$19*COS(N10)*SIN(N10))/((AA10*(Z10^(-0.12)))+(AB10*(Z10^(0.88))))</f>
        <v>1.3951457189732182</v>
      </c>
      <c r="AG10" s="298">
        <f>(1.16*'Structural Information'!$AJ$19*TAN(N10))/((AA10)+(AB10*Z10))</f>
        <v>1.6211769906359499</v>
      </c>
      <c r="AH10" s="299">
        <f t="shared" si="5"/>
        <v>1.2957353881404177</v>
      </c>
      <c r="AI10" s="297">
        <f>AH10*AC10*'Structural Information'!$AL$17</f>
        <v>126.95353480703085</v>
      </c>
      <c r="AJ10" s="298">
        <f t="shared" si="6"/>
        <v>101.56282784562468</v>
      </c>
      <c r="AK10" s="301">
        <f>0.1*AI10</f>
        <v>12.695353480703085</v>
      </c>
      <c r="AM10" s="910">
        <v>1</v>
      </c>
      <c r="AN10" s="295">
        <v>1</v>
      </c>
      <c r="AO10" s="295">
        <v>111</v>
      </c>
      <c r="AP10" s="299">
        <v>2.75</v>
      </c>
      <c r="AQ10" s="297">
        <f t="shared" si="7"/>
        <v>101.56282784562468</v>
      </c>
      <c r="AR10" s="341">
        <f t="shared" si="8"/>
        <v>8.0000000000000004E-4</v>
      </c>
      <c r="AS10" s="573">
        <f>AQ10/(AR10*(SQRT(($F$10^2)+($E$10^2))))</f>
        <v>24072.698881942459</v>
      </c>
      <c r="AT10" s="342">
        <f>AS10*((COS($N$10))^2)</f>
        <v>18802.729667246949</v>
      </c>
      <c r="AU10" s="297">
        <f t="shared" si="9"/>
        <v>126.95353480703085</v>
      </c>
      <c r="AV10" s="341">
        <f t="shared" si="10"/>
        <v>2.2000000000000001E-3</v>
      </c>
      <c r="AW10" s="573">
        <f>AU10/(AV10*(SQRT(($F$10^2)+($E$10^2))))</f>
        <v>10942.135855428392</v>
      </c>
      <c r="AX10" s="343">
        <f>(AU10-AQ10)/((AV10-AR10)*(SQRT(($F$10^2)+($E$10^2))))</f>
        <v>3438.9569831346362</v>
      </c>
      <c r="AY10" s="342">
        <f>AX10*((COS($N$10))^2)</f>
        <v>2686.1042381781349</v>
      </c>
      <c r="AZ10" s="297">
        <f t="shared" si="16"/>
        <v>12.695353480703085</v>
      </c>
      <c r="BA10" s="341">
        <f t="shared" si="17"/>
        <v>8.8999999999999999E-3</v>
      </c>
      <c r="BB10" s="573">
        <f t="shared" si="18"/>
        <v>-5480.5970149253726</v>
      </c>
      <c r="BC10" s="301">
        <f>BB10*((COS(N10))^2)</f>
        <v>-4280.7906413876563</v>
      </c>
      <c r="BE10" s="911"/>
      <c r="BF10" s="304">
        <v>3</v>
      </c>
      <c r="BG10" s="304">
        <v>7312</v>
      </c>
      <c r="BH10" s="304" t="s">
        <v>27</v>
      </c>
      <c r="BI10" s="257">
        <f>'Structural Information'!$U$7</f>
        <v>3</v>
      </c>
      <c r="BJ10" s="598">
        <f>('Structural Information'!$X$24)*(200)/$BI10</f>
        <v>53616.514621265807</v>
      </c>
      <c r="BK10" s="587">
        <f>'Structural Information'!$T$23*'Structural Information'!$T$24*(4700*SQRT('Structural Information'!$AC$23))/(BI10*1000)</f>
        <v>433495.56258141535</v>
      </c>
      <c r="BM10" s="918"/>
      <c r="BN10" s="333" t="s">
        <v>377</v>
      </c>
      <c r="BO10" s="334">
        <f>'Structural Information'!$AC$8</f>
        <v>4.5</v>
      </c>
      <c r="BP10" s="335">
        <f>BQ10+BP9</f>
        <v>4.375</v>
      </c>
      <c r="BQ10" s="335">
        <f>BR10+BQ9</f>
        <v>2.875</v>
      </c>
      <c r="BR10" s="336">
        <f>BR9</f>
        <v>1.375</v>
      </c>
      <c r="BT10" s="881"/>
      <c r="BU10" s="252" t="s">
        <v>254</v>
      </c>
      <c r="BV10" s="314">
        <f>1/($AT$5)</f>
        <v>1.3608955525457874E-4</v>
      </c>
      <c r="BW10" s="314">
        <f>1/($AT$8)</f>
        <v>1.3608955525457874E-4</v>
      </c>
      <c r="BX10" s="315">
        <f>1/($AT$11)</f>
        <v>1.198829809776656E-4</v>
      </c>
      <c r="BZ10" s="885">
        <v>1</v>
      </c>
      <c r="CA10" s="316">
        <v>1</v>
      </c>
      <c r="CB10" s="867">
        <f>1/(BX5+BX4)+1/(BX10+BX9)+1/(BX15+BX14)</f>
        <v>45127.508219346615</v>
      </c>
      <c r="CC10" s="867">
        <f>1/(BX6+BX4)+1/(BX11+BX9)+1/(BX16+BX14)</f>
        <v>6546.8249657607212</v>
      </c>
      <c r="CD10" s="870">
        <f>(1/(BX7+BX4)+1/(BX12+BX9)+1/(BX17+BX14))</f>
        <v>-9444.1335516830823</v>
      </c>
      <c r="CF10" s="900"/>
      <c r="CG10" s="902"/>
      <c r="CH10" s="821"/>
      <c r="CI10" s="821"/>
      <c r="CJ10" s="844"/>
      <c r="CK10" s="852"/>
      <c r="CL10" s="846"/>
      <c r="CM10" s="850"/>
      <c r="CN10" s="834"/>
      <c r="CO10" s="834"/>
      <c r="CP10" s="848"/>
      <c r="CQ10" s="854"/>
      <c r="CR10" s="840"/>
      <c r="CS10" s="842"/>
      <c r="CT10" s="838"/>
      <c r="CU10" s="838"/>
      <c r="CV10" s="836"/>
      <c r="CW10" s="823"/>
      <c r="CX10" s="180"/>
    </row>
    <row r="11" spans="2:107" ht="15" customHeight="1" x14ac:dyDescent="0.25">
      <c r="B11" s="883"/>
      <c r="C11" s="304">
        <v>2</v>
      </c>
      <c r="D11" s="320">
        <v>211</v>
      </c>
      <c r="E11" s="306">
        <f>'Structural Information'!$U$8</f>
        <v>2.75</v>
      </c>
      <c r="F11" s="257">
        <f>'Structural Information'!$AC$7</f>
        <v>2</v>
      </c>
      <c r="G11" s="257">
        <v>0.5</v>
      </c>
      <c r="H11" s="257">
        <v>0.25</v>
      </c>
      <c r="I11" s="305">
        <v>0.25</v>
      </c>
      <c r="J11" s="321">
        <f t="shared" si="11"/>
        <v>3.2552083333333332E-4</v>
      </c>
      <c r="K11" s="257">
        <f t="shared" si="12"/>
        <v>1.75</v>
      </c>
      <c r="L11" s="257">
        <f t="shared" si="13"/>
        <v>2.25</v>
      </c>
      <c r="M11" s="257">
        <f t="shared" si="0"/>
        <v>2.8504385627478448</v>
      </c>
      <c r="N11" s="310">
        <f t="shared" si="14"/>
        <v>0.90975315794420974</v>
      </c>
      <c r="P11" s="815" t="s">
        <v>168</v>
      </c>
      <c r="Q11" s="815"/>
      <c r="R11" s="815"/>
      <c r="S11" s="355" t="s">
        <v>160</v>
      </c>
      <c r="U11" s="883"/>
      <c r="V11" s="304">
        <v>2</v>
      </c>
      <c r="W11" s="320">
        <v>211</v>
      </c>
      <c r="X11" s="306">
        <f>1/((((COS(N11))^4)/'Structural Information'!$AH$17)+(((SIN(N11))^4)/'Structural Information'!$AH$18)+(((SIN(N11))^2)*((COS(N11))^2)*((1/'Structural Information'!$AH$19)-(2*'Structural Information'!$AL$19/'Structural Information'!$AH$18))))</f>
        <v>1937.4633424901383</v>
      </c>
      <c r="Y11" s="257">
        <f>((X11*('Structural Information'!$AL$17/1000)*SIN(2*N11))/(4*'Structural Information'!$AH$20*J11*L11))^(1/4)</f>
        <v>1.2529272954343871</v>
      </c>
      <c r="Z11" s="257">
        <f t="shared" si="1"/>
        <v>3.4455500624445645</v>
      </c>
      <c r="AA11" s="322">
        <f t="shared" si="2"/>
        <v>0.70699999999999996</v>
      </c>
      <c r="AB11" s="322">
        <f t="shared" si="3"/>
        <v>0.01</v>
      </c>
      <c r="AC11" s="305">
        <f t="shared" si="4"/>
        <v>0.6133921473316083</v>
      </c>
      <c r="AD11" s="306">
        <f>((0.6*'Structural Information'!$AJ$17)+(0.3*'Structural Information'!$AL$18))/(AC11/M11)</f>
        <v>1.533512826662033</v>
      </c>
      <c r="AE11" s="257">
        <f>(((1.2*SIN(N11)+0.45*COS(N11))*'Structural Information'!$AJ$18)+(0.3*'Structural Information'!$AL$18))/(AC11/M11)</f>
        <v>2.5016622835414752</v>
      </c>
      <c r="AF11" s="257">
        <f>(1.12*'Structural Information'!$AJ$19*COS(N11)*SIN(N11))/((AA11*(Z11^(-0.12)))+(AB11*(Z11^(0.88))))</f>
        <v>1.7153491259576139</v>
      </c>
      <c r="AG11" s="257">
        <f>(1.16*'Structural Information'!$AJ$19*TAN(N11))/((AA11)+(AB11*Z11))</f>
        <v>4.063205022753845</v>
      </c>
      <c r="AH11" s="305">
        <f t="shared" si="5"/>
        <v>1.533512826662033</v>
      </c>
      <c r="AI11" s="306">
        <f>AH11*AC11*'Structural Information'!$AL$17</f>
        <v>75.25157805654311</v>
      </c>
      <c r="AJ11" s="257">
        <f t="shared" si="6"/>
        <v>60.201262445234491</v>
      </c>
      <c r="AK11" s="310">
        <f>0.1*AI11</f>
        <v>7.5251578056543114</v>
      </c>
      <c r="AM11" s="911"/>
      <c r="AN11" s="304">
        <v>2</v>
      </c>
      <c r="AO11" s="304">
        <v>211</v>
      </c>
      <c r="AP11" s="586">
        <v>2.75</v>
      </c>
      <c r="AQ11" s="585">
        <f t="shared" si="7"/>
        <v>60.201262445234491</v>
      </c>
      <c r="AR11" s="307">
        <f t="shared" si="8"/>
        <v>8.0000000000000004E-4</v>
      </c>
      <c r="AS11" s="257">
        <f>AQ11/(AR11*(SQRT(($F$11^2)+($E$11^2))))</f>
        <v>22130.424209121607</v>
      </c>
      <c r="AT11" s="308">
        <f>AS11*((COS($N$11))^2)</f>
        <v>8341.4675865150675</v>
      </c>
      <c r="AU11" s="585">
        <f t="shared" si="9"/>
        <v>75.25157805654311</v>
      </c>
      <c r="AV11" s="307">
        <f t="shared" si="10"/>
        <v>2.2000000000000001E-3</v>
      </c>
      <c r="AW11" s="257">
        <f>AU11/(AV11*(SQRT(($F$11^2)+($E$11^2))))</f>
        <v>10059.283731418911</v>
      </c>
      <c r="AX11" s="309">
        <f>(AU11-AQ11)/((AV11-AR11)*(SQRT(($F$11^2)+($E$11^2))))</f>
        <v>3161.4891727316572</v>
      </c>
      <c r="AY11" s="308">
        <f>AX11*((COS($N$11))^2)</f>
        <v>1191.6382266450091</v>
      </c>
      <c r="AZ11" s="585">
        <f t="shared" si="16"/>
        <v>7.5251578056543114</v>
      </c>
      <c r="BA11" s="307">
        <f t="shared" si="17"/>
        <v>8.8999999999999999E-3</v>
      </c>
      <c r="BB11" s="257">
        <f t="shared" si="18"/>
        <v>-2256.7164179104484</v>
      </c>
      <c r="BC11" s="310">
        <f t="shared" si="19"/>
        <v>-850.60849598163054</v>
      </c>
      <c r="BE11" s="913"/>
      <c r="BF11" s="325">
        <v>4</v>
      </c>
      <c r="BG11" s="325">
        <v>7412</v>
      </c>
      <c r="BH11" s="325" t="s">
        <v>27</v>
      </c>
      <c r="BI11" s="328">
        <f>'Structural Information'!$U$7</f>
        <v>3</v>
      </c>
      <c r="BJ11" s="599">
        <f>('Structural Information'!$X$24)*(200)/$BI11</f>
        <v>53616.514621265807</v>
      </c>
      <c r="BK11" s="600">
        <f>'Structural Information'!$T$23*'Structural Information'!$T$24*(4700*SQRT('Structural Information'!$AC$23))/(BI11*1000)</f>
        <v>433495.56258141535</v>
      </c>
      <c r="BM11" s="918"/>
      <c r="BN11" s="344" t="s">
        <v>380</v>
      </c>
      <c r="BO11" s="345">
        <f>'Structural Information'!$AC$7</f>
        <v>2</v>
      </c>
      <c r="BP11" s="257">
        <f>(BP$4/$BO11)</f>
        <v>1.5</v>
      </c>
      <c r="BQ11" s="257">
        <f>(BQ$4/$BO11)</f>
        <v>1.5</v>
      </c>
      <c r="BR11" s="310">
        <f>(BR$4/$BO11)</f>
        <v>1.375</v>
      </c>
      <c r="BT11" s="881"/>
      <c r="BU11" s="337" t="s">
        <v>254</v>
      </c>
      <c r="BV11" s="314">
        <f>1/($AY$5)</f>
        <v>9.5262688678205191E-4</v>
      </c>
      <c r="BW11" s="314">
        <f>1/($AY$8)</f>
        <v>9.5262688678205191E-4</v>
      </c>
      <c r="BX11" s="315">
        <f>1/($AY$11)</f>
        <v>8.391808668436596E-4</v>
      </c>
      <c r="BZ11" s="881"/>
      <c r="CA11" s="316">
        <v>2</v>
      </c>
      <c r="CB11" s="867"/>
      <c r="CC11" s="867"/>
      <c r="CD11" s="870"/>
      <c r="CF11" s="549" t="s">
        <v>184</v>
      </c>
      <c r="CG11" s="487">
        <f>AQ4*COS($N4)+AQ5*COS($N5)+AQ6*COS($N6)</f>
        <v>213.36795190442052</v>
      </c>
      <c r="CH11" s="487">
        <f>AU4*COS($N4)+AU5*COS($N5)+AU6*COS($N6)</f>
        <v>266.70993988052567</v>
      </c>
      <c r="CI11" s="487">
        <f>AZ4*COS($N4)+AZ5*COS($N5)+AZ6*COS($N6)</f>
        <v>26.670993988052565</v>
      </c>
      <c r="CJ11" s="548">
        <f>AZ4*COS($N4)+AZ5*COS($N5)+AZ6*COS($N6)</f>
        <v>26.670993988052565</v>
      </c>
      <c r="CK11" s="565">
        <v>128.97144999038088</v>
      </c>
      <c r="CL11" s="549" t="s">
        <v>228</v>
      </c>
      <c r="CM11" s="487">
        <f>CB4</f>
        <v>38234.410187710455</v>
      </c>
      <c r="CN11" s="487">
        <f>CC4</f>
        <v>5903.2157871274012</v>
      </c>
      <c r="CO11" s="487">
        <f>CD4</f>
        <v>-7900.5662604712015</v>
      </c>
      <c r="CP11" s="487">
        <v>0</v>
      </c>
      <c r="CQ11" s="551">
        <f>CM11</f>
        <v>38234.410187710455</v>
      </c>
      <c r="CR11" s="549" t="s">
        <v>308</v>
      </c>
      <c r="CS11" s="307">
        <f>CG11/(CM11*'Structural Information'!$U$6)</f>
        <v>1.8601738665676483E-3</v>
      </c>
      <c r="CT11" s="307">
        <f>CS11+(((1/CN11)*(CH11-CG11))/'Structural Information'!$U$6)</f>
        <v>4.8722038007391836E-3</v>
      </c>
      <c r="CU11" s="307">
        <f>CT11+(((1/CO11)*(CI11-CH11))/'Structural Information'!$U$6)</f>
        <v>1.4999703441427674E-2</v>
      </c>
      <c r="CV11" s="307">
        <f>0.08</f>
        <v>0.08</v>
      </c>
      <c r="CW11" s="580">
        <v>1.1243924809894211E-3</v>
      </c>
      <c r="CX11" s="180"/>
    </row>
    <row r="12" spans="2:107" ht="16.5" thickBot="1" x14ac:dyDescent="0.3">
      <c r="B12" s="906"/>
      <c r="C12" s="363">
        <v>3</v>
      </c>
      <c r="D12" s="364">
        <v>311</v>
      </c>
      <c r="E12" s="365">
        <f>'Structural Information'!$U$8</f>
        <v>2.75</v>
      </c>
      <c r="F12" s="261">
        <f>'Structural Information'!$AC$6</f>
        <v>4.5</v>
      </c>
      <c r="G12" s="261">
        <v>0.5</v>
      </c>
      <c r="H12" s="261">
        <v>0.25</v>
      </c>
      <c r="I12" s="366">
        <v>0.25</v>
      </c>
      <c r="J12" s="367">
        <f>(I12*(H12^3)/12)</f>
        <v>3.2552083333333332E-4</v>
      </c>
      <c r="K12" s="261">
        <f t="shared" si="12"/>
        <v>4.25</v>
      </c>
      <c r="L12" s="261">
        <f t="shared" si="13"/>
        <v>2.25</v>
      </c>
      <c r="M12" s="261">
        <f t="shared" si="0"/>
        <v>4.8088460154178359</v>
      </c>
      <c r="N12" s="368">
        <f t="shared" si="14"/>
        <v>0.48689923181126904</v>
      </c>
      <c r="P12" s="815" t="s">
        <v>170</v>
      </c>
      <c r="Q12" s="815"/>
      <c r="R12" s="815"/>
      <c r="S12" s="355" t="s">
        <v>161</v>
      </c>
      <c r="U12" s="906"/>
      <c r="V12" s="363">
        <v>3</v>
      </c>
      <c r="W12" s="364">
        <v>311</v>
      </c>
      <c r="X12" s="365">
        <f>1/((((COS(N12))^4)/'Structural Information'!$AH$17)+(((SIN(N12))^4)/'Structural Information'!$AH$18)+(((SIN(N12))^2)*((COS(N12))^2)*((1/'Structural Information'!$AH$19)-(2*'Structural Information'!$AL$19/'Structural Information'!$AH$18))))</f>
        <v>1312.8234025636375</v>
      </c>
      <c r="Y12" s="261">
        <f>(((X12)*('Structural Information'!$AL$17/1000)*SIN(2*N12))/(4*'Structural Information'!$AH$20*J12*L12))^(0.25)</f>
        <v>1.0925522151650997</v>
      </c>
      <c r="Z12" s="261">
        <f>Y12*E12</f>
        <v>3.004518591704024</v>
      </c>
      <c r="AA12" s="369">
        <f t="shared" si="2"/>
        <v>1.3</v>
      </c>
      <c r="AB12" s="369">
        <f t="shared" si="3"/>
        <v>-0.17799999999999999</v>
      </c>
      <c r="AC12" s="366">
        <f t="shared" si="4"/>
        <v>1.2247247390266636</v>
      </c>
      <c r="AD12" s="365">
        <f>((0.6*'Structural Information'!$AJ$17)+(0.3*'Structural Information'!$AL$18))/(AC12/M12)</f>
        <v>1.2957353881404177</v>
      </c>
      <c r="AE12" s="261">
        <f>(((1.2*SIN(N12)+0.45*COS(N12))*'Structural Information'!$AJ$18)+(0.3*'Structural Information'!$AL$18))/(AC12/M12)</f>
        <v>1.6571070505303276</v>
      </c>
      <c r="AF12" s="261">
        <f>(1.12*'Structural Information'!$AJ$19*COS(N12)*SIN(N12))/((AA12*(Z12^(-0.12)))+(AB12*(Z12^(0.88))))</f>
        <v>1.3951457189732182</v>
      </c>
      <c r="AG12" s="261">
        <f>(1.16*'Structural Information'!$AJ$19*TAN(N12))/((AA12)+(AB12*Z12))</f>
        <v>1.6211769906359499</v>
      </c>
      <c r="AH12" s="366">
        <f t="shared" si="5"/>
        <v>1.2957353881404177</v>
      </c>
      <c r="AI12" s="365">
        <f>AH12*AC12*'Structural Information'!$AL$17</f>
        <v>126.95353480703085</v>
      </c>
      <c r="AJ12" s="261">
        <f>0.8*AI12</f>
        <v>101.56282784562468</v>
      </c>
      <c r="AK12" s="368">
        <f>0.1*AI12</f>
        <v>12.695353480703085</v>
      </c>
      <c r="AM12" s="912"/>
      <c r="AN12" s="363">
        <v>3</v>
      </c>
      <c r="AO12" s="363">
        <v>311</v>
      </c>
      <c r="AP12" s="366">
        <v>2.75</v>
      </c>
      <c r="AQ12" s="365">
        <f t="shared" si="7"/>
        <v>101.56282784562468</v>
      </c>
      <c r="AR12" s="370">
        <f t="shared" si="8"/>
        <v>8.0000000000000004E-4</v>
      </c>
      <c r="AS12" s="572">
        <f>AQ12/(AR12*(SQRT(($F$12^2)+($E$12^2))))</f>
        <v>24072.698881942459</v>
      </c>
      <c r="AT12" s="371">
        <f>AS12*((COS($N$12))^2)</f>
        <v>18802.729667246949</v>
      </c>
      <c r="AU12" s="365">
        <f t="shared" si="9"/>
        <v>126.95353480703085</v>
      </c>
      <c r="AV12" s="370">
        <f t="shared" si="10"/>
        <v>2.2000000000000001E-3</v>
      </c>
      <c r="AW12" s="572">
        <f>AU12/(AV12*(SQRT(($F$12^2)+($E$12^2))))</f>
        <v>10942.135855428392</v>
      </c>
      <c r="AX12" s="372">
        <f>(AU12-AQ12)/((AV12-AR12)*(SQRT(($F$12^2)+($E$12^2))))</f>
        <v>3438.9569831346362</v>
      </c>
      <c r="AY12" s="371">
        <f>AX12*((COS($N$12))^2)</f>
        <v>2686.1042381781349</v>
      </c>
      <c r="AZ12" s="365">
        <f t="shared" si="16"/>
        <v>12.695353480703085</v>
      </c>
      <c r="BA12" s="370">
        <f t="shared" si="17"/>
        <v>8.8999999999999999E-3</v>
      </c>
      <c r="BB12" s="572">
        <f>((AZ12*COS(N12))-(AU12*COS(N12)))/((BA12-AV12)*AP12)</f>
        <v>-5480.5970149253726</v>
      </c>
      <c r="BC12" s="368">
        <f>BB12*((COS(N12))^2)</f>
        <v>-4280.7906413876563</v>
      </c>
      <c r="BE12" s="910">
        <v>1</v>
      </c>
      <c r="BF12" s="295">
        <v>1</v>
      </c>
      <c r="BG12" s="295">
        <v>7111</v>
      </c>
      <c r="BH12" s="295" t="s">
        <v>27</v>
      </c>
      <c r="BI12" s="298">
        <f>'Structural Information'!$U$8</f>
        <v>2.75</v>
      </c>
      <c r="BJ12" s="601">
        <f>('Structural Information'!$X$24)*(200)/$BI12</f>
        <v>58490.743223199061</v>
      </c>
      <c r="BK12" s="602">
        <f>'Structural Information'!$T$23*'Structural Information'!$T$24*(4700*SQRT('Structural Information'!$AC$23))/(BI12*1000)</f>
        <v>472904.25008881674</v>
      </c>
      <c r="BM12" s="918"/>
      <c r="BN12" s="348" t="s">
        <v>377</v>
      </c>
      <c r="BO12" s="349">
        <f>'Structural Information'!$AC$8</f>
        <v>4.5</v>
      </c>
      <c r="BP12" s="350">
        <f>BQ12+BP11</f>
        <v>4.375</v>
      </c>
      <c r="BQ12" s="350">
        <f>BR12+BQ11</f>
        <v>2.875</v>
      </c>
      <c r="BR12" s="351">
        <f>BR11</f>
        <v>1.375</v>
      </c>
      <c r="BT12" s="881"/>
      <c r="BU12" s="346" t="s">
        <v>254</v>
      </c>
      <c r="BV12" s="314">
        <f>1/($BC$5)</f>
        <v>-1.4699472862738168E-3</v>
      </c>
      <c r="BW12" s="314">
        <f>1/($BC$8)</f>
        <v>-1.4699472862738168E-3</v>
      </c>
      <c r="BX12" s="315">
        <f>1/($BC$11)</f>
        <v>-1.1756289817514303E-3</v>
      </c>
      <c r="BZ12" s="890"/>
      <c r="CA12" s="373">
        <v>3</v>
      </c>
      <c r="CB12" s="894"/>
      <c r="CC12" s="894"/>
      <c r="CD12" s="895"/>
      <c r="CF12" s="549" t="s">
        <v>185</v>
      </c>
      <c r="CG12" s="487">
        <f>AQ7*COS($N7)+AQ8*COS($N8)+AQ9*COS($N9)</f>
        <v>216.48000000000002</v>
      </c>
      <c r="CH12" s="487">
        <f>AU7*COS($N7)+AU8*COS($N8)+AU9*COS($N9)</f>
        <v>270.60000000000002</v>
      </c>
      <c r="CI12" s="487">
        <f>AZ7*COS($N7)+AZ8*COS($N8)+AZ9*COS($N9)</f>
        <v>27.060000000000002</v>
      </c>
      <c r="CJ12" s="548">
        <f>AZ7*COS($N7)+AZ8*COS($N8)+AZ9*COS($N9)</f>
        <v>27.060000000000002</v>
      </c>
      <c r="CK12" s="565">
        <v>235.85315329906305</v>
      </c>
      <c r="CL12" s="549" t="s">
        <v>229</v>
      </c>
      <c r="CM12" s="487">
        <f>CB7</f>
        <v>40870.467681435926</v>
      </c>
      <c r="CN12" s="487">
        <f>CC7</f>
        <v>6110.6293905825751</v>
      </c>
      <c r="CO12" s="487">
        <f>CD7</f>
        <v>-8224.5262056187294</v>
      </c>
      <c r="CP12" s="487">
        <v>0</v>
      </c>
      <c r="CQ12" s="551">
        <f>CM12</f>
        <v>40870.467681435926</v>
      </c>
      <c r="CR12" s="549" t="s">
        <v>307</v>
      </c>
      <c r="CS12" s="307">
        <f>CG12/(CM12*'Structural Information'!$U$7)</f>
        <v>1.7655780345468453E-3</v>
      </c>
      <c r="CT12" s="307">
        <f>CS12+(((1/CN12)*(CH12-CG12))/'Structural Information'!$U$7)</f>
        <v>4.7178107501820677E-3</v>
      </c>
      <c r="CU12" s="307">
        <f>CT12+(((1/CO12)*(CI12-CH12))/'Structural Information'!$U$7)</f>
        <v>1.4588288145529225E-2</v>
      </c>
      <c r="CV12" s="307">
        <f>0.08</f>
        <v>0.08</v>
      </c>
      <c r="CW12" s="580">
        <v>2.8223787916516192E-3</v>
      </c>
      <c r="CX12" s="180"/>
      <c r="DC12" s="239"/>
    </row>
    <row r="13" spans="2:107" ht="16.5" thickBot="1" x14ac:dyDescent="0.3">
      <c r="BE13" s="911"/>
      <c r="BF13" s="304">
        <v>2</v>
      </c>
      <c r="BG13" s="304">
        <v>7211</v>
      </c>
      <c r="BH13" s="304" t="s">
        <v>27</v>
      </c>
      <c r="BI13" s="257">
        <f>'Structural Information'!$U$8</f>
        <v>2.75</v>
      </c>
      <c r="BJ13" s="598">
        <f>('Structural Information'!$X$24)*(200)/$BI13</f>
        <v>58490.743223199061</v>
      </c>
      <c r="BK13" s="587">
        <f>'Structural Information'!$T$23*'Structural Information'!$T$24*(4700*SQRT('Structural Information'!$AC$23))/(BI13*1000)</f>
        <v>472904.25008881674</v>
      </c>
      <c r="BM13" s="881">
        <v>3</v>
      </c>
      <c r="BN13" s="323" t="s">
        <v>381</v>
      </c>
      <c r="BO13" s="324">
        <f>'Structural Information'!$AC$6</f>
        <v>4.5</v>
      </c>
      <c r="BP13" s="298">
        <f>(BP$4/$BO13)</f>
        <v>0.66666666666666663</v>
      </c>
      <c r="BQ13" s="298">
        <f>(BQ$4/$BO13)</f>
        <v>0.66666666666666663</v>
      </c>
      <c r="BR13" s="301">
        <f>(BR$4/$BO13)</f>
        <v>0.61111111111111116</v>
      </c>
      <c r="BT13" s="881"/>
      <c r="BU13" s="247" t="s">
        <v>258</v>
      </c>
      <c r="BV13" s="353">
        <f>(BP11*BP11)/$BK$6</f>
        <v>5.190364548604635E-6</v>
      </c>
      <c r="BW13" s="353">
        <f>(BQ11*BQ11)/$BK$10</f>
        <v>5.190364548604635E-6</v>
      </c>
      <c r="BX13" s="354">
        <f>(BR11*BR11)/$BK$14</f>
        <v>3.9979023230282226E-6</v>
      </c>
      <c r="CF13" s="550" t="s">
        <v>186</v>
      </c>
      <c r="CG13" s="485">
        <f>AQ10*COS($N10)+AQ11*COS($N11)+AQ12*COS($N12)</f>
        <v>216.47999999999996</v>
      </c>
      <c r="CH13" s="485">
        <f>AU10*COS($N10)+AU11*COS($N11)+AU12*COS($N12)</f>
        <v>270.59999999999997</v>
      </c>
      <c r="CI13" s="485">
        <f>AZ10*COS($N10)+AZ11*COS($N11)+AZ12*COS($N12)</f>
        <v>27.059999999999995</v>
      </c>
      <c r="CJ13" s="486">
        <f>AZ10*COS($N10)+AZ11*COS($N11)+AZ12*COS($N12)</f>
        <v>27.059999999999995</v>
      </c>
      <c r="CK13" s="566">
        <v>0</v>
      </c>
      <c r="CL13" s="550" t="s">
        <v>230</v>
      </c>
      <c r="CM13" s="485">
        <f>CB10</f>
        <v>45127.508219346615</v>
      </c>
      <c r="CN13" s="485">
        <f>CC10</f>
        <v>6546.8249657607212</v>
      </c>
      <c r="CO13" s="485">
        <f>CD10</f>
        <v>-9444.1335516830823</v>
      </c>
      <c r="CP13" s="485">
        <v>0</v>
      </c>
      <c r="CQ13" s="552">
        <f>CM13</f>
        <v>45127.508219346615</v>
      </c>
      <c r="CR13" s="550" t="s">
        <v>306</v>
      </c>
      <c r="CS13" s="370">
        <f>CG13/(CM13*'Structural Information'!$U$8)</f>
        <v>1.7443905747548439E-3</v>
      </c>
      <c r="CT13" s="370">
        <f>CS13+(((1/CN13)*(CH13-CG13))/'Structural Information'!$U$8)</f>
        <v>4.7504278680878037E-3</v>
      </c>
      <c r="CU13" s="370">
        <f>CT13+(((1/CO13)*(CI13-CH13))/'Structural Information'!$U$8)</f>
        <v>1.4127677725404499E-2</v>
      </c>
      <c r="CV13" s="370">
        <f>0.08</f>
        <v>0.08</v>
      </c>
      <c r="CW13" s="581">
        <v>0</v>
      </c>
      <c r="CX13" s="180"/>
      <c r="DC13" s="233"/>
    </row>
    <row r="14" spans="2:107" ht="16.5" thickBot="1" x14ac:dyDescent="0.3">
      <c r="BE14" s="911"/>
      <c r="BF14" s="304">
        <v>3</v>
      </c>
      <c r="BG14" s="304">
        <v>7311</v>
      </c>
      <c r="BH14" s="304" t="s">
        <v>27</v>
      </c>
      <c r="BI14" s="257">
        <f>'Structural Information'!$U$8</f>
        <v>2.75</v>
      </c>
      <c r="BJ14" s="598">
        <f>('Structural Information'!$X$24)*(200)/$BI14</f>
        <v>58490.743223199061</v>
      </c>
      <c r="BK14" s="587">
        <f>'Structural Information'!$T$23*'Structural Information'!$T$24*(4700*SQRT('Structural Information'!$AC$23))/(BI14*1000)</f>
        <v>472904.25008881674</v>
      </c>
      <c r="BM14" s="881"/>
      <c r="BN14" s="333" t="s">
        <v>377</v>
      </c>
      <c r="BO14" s="334">
        <f>'Structural Information'!$AC$8</f>
        <v>4.5</v>
      </c>
      <c r="BP14" s="335">
        <f>BQ14+BP13</f>
        <v>1.9444444444444442</v>
      </c>
      <c r="BQ14" s="335">
        <f>BR14+BQ13</f>
        <v>1.2777777777777777</v>
      </c>
      <c r="BR14" s="336">
        <f>BR13</f>
        <v>0.61111111111111116</v>
      </c>
      <c r="BT14" s="881">
        <v>3</v>
      </c>
      <c r="BU14" s="375" t="s">
        <v>259</v>
      </c>
      <c r="BV14" s="359">
        <f>(BP13*BP13)/$BK$6</f>
        <v>1.0252571947861007E-6</v>
      </c>
      <c r="BW14" s="359">
        <f>(BQ13*BQ13)/$BK$10</f>
        <v>1.0252571947861007E-6</v>
      </c>
      <c r="BX14" s="360">
        <f>(BR13*BR13)/$BK$14</f>
        <v>7.8970910084508108E-7</v>
      </c>
      <c r="DC14" s="233"/>
    </row>
    <row r="15" spans="2:107" ht="16.5" thickBot="1" x14ac:dyDescent="0.3">
      <c r="BE15" s="912"/>
      <c r="BF15" s="363">
        <v>4</v>
      </c>
      <c r="BG15" s="363">
        <v>7411</v>
      </c>
      <c r="BH15" s="363" t="s">
        <v>27</v>
      </c>
      <c r="BI15" s="261">
        <f>'Structural Information'!$U$8</f>
        <v>2.75</v>
      </c>
      <c r="BJ15" s="603">
        <f>('Structural Information'!$X$24)*(200)/$BI15</f>
        <v>58490.743223199061</v>
      </c>
      <c r="BK15" s="604">
        <f>'Structural Information'!$T$23*'Structural Information'!$T$24*(4700*SQRT('Structural Information'!$AC$23))/(BI15*1000)</f>
        <v>472904.25008881674</v>
      </c>
      <c r="BM15" s="881"/>
      <c r="BN15" s="344">
        <v>4</v>
      </c>
      <c r="BO15" s="345">
        <f>'Structural Information'!$AC$6</f>
        <v>4.5</v>
      </c>
      <c r="BP15" s="257">
        <f>(BP$4/$BO15)</f>
        <v>0.66666666666666663</v>
      </c>
      <c r="BQ15" s="257">
        <f>(BQ$4/$BO15)</f>
        <v>0.66666666666666663</v>
      </c>
      <c r="BR15" s="310">
        <f>(BR$4/$BO15)</f>
        <v>0.61111111111111116</v>
      </c>
      <c r="BT15" s="881"/>
      <c r="BU15" s="252" t="s">
        <v>255</v>
      </c>
      <c r="BV15" s="314">
        <f>1/($AT$6)</f>
        <v>5.5923707762066768E-5</v>
      </c>
      <c r="BW15" s="314">
        <f>1/($AT$9)</f>
        <v>5.5923707762066768E-5</v>
      </c>
      <c r="BX15" s="315">
        <f>1/($AT$12)</f>
        <v>5.3183767341075516E-5</v>
      </c>
      <c r="CR15" s="855" t="s">
        <v>305</v>
      </c>
      <c r="CS15" s="856"/>
      <c r="CT15" s="856"/>
      <c r="CU15" s="856"/>
      <c r="CV15" s="857"/>
      <c r="DC15" s="233"/>
    </row>
    <row r="16" spans="2:107" ht="16.5" thickBot="1" x14ac:dyDescent="0.3">
      <c r="BM16" s="890"/>
      <c r="BN16" s="376" t="s">
        <v>377</v>
      </c>
      <c r="BO16" s="377">
        <f>'Structural Information'!$AC$8</f>
        <v>4.5</v>
      </c>
      <c r="BP16" s="378">
        <f>BQ16+BP15</f>
        <v>1.9444444444444442</v>
      </c>
      <c r="BQ16" s="378">
        <f>BR16+BQ15</f>
        <v>1.2777777777777777</v>
      </c>
      <c r="BR16" s="379">
        <f>BR15</f>
        <v>0.61111111111111116</v>
      </c>
      <c r="BT16" s="881"/>
      <c r="BU16" s="337" t="s">
        <v>255</v>
      </c>
      <c r="BV16" s="314">
        <f>1/($AY$6)</f>
        <v>3.9146595433446759E-4</v>
      </c>
      <c r="BW16" s="314">
        <f>1/($AY$9)</f>
        <v>3.9146595433446759E-4</v>
      </c>
      <c r="BX16" s="315">
        <f>1/($AY$12)</f>
        <v>3.7228637138752869E-4</v>
      </c>
      <c r="CR16" s="858" t="s">
        <v>303</v>
      </c>
      <c r="CS16" s="860" t="s">
        <v>193</v>
      </c>
      <c r="CT16" s="862" t="s">
        <v>194</v>
      </c>
      <c r="CU16" s="862" t="s">
        <v>195</v>
      </c>
      <c r="CV16" s="864" t="s">
        <v>196</v>
      </c>
      <c r="DC16" s="233"/>
    </row>
    <row r="17" spans="1:107" ht="16.5" thickBot="1" x14ac:dyDescent="0.3">
      <c r="U17" s="875" t="s">
        <v>232</v>
      </c>
      <c r="V17" s="876"/>
      <c r="W17" s="876"/>
      <c r="X17" s="876"/>
      <c r="Y17" s="876"/>
      <c r="Z17" s="877"/>
      <c r="AA17" s="89"/>
      <c r="AR17" s="235"/>
      <c r="AS17" s="459"/>
      <c r="AT17" s="459"/>
      <c r="AU17" s="459"/>
      <c r="AV17" s="235"/>
      <c r="AW17" s="459"/>
      <c r="AX17" s="459"/>
      <c r="AY17" s="459"/>
      <c r="AZ17" s="459"/>
      <c r="BA17" s="235"/>
      <c r="BC17" s="388"/>
      <c r="BT17" s="881"/>
      <c r="BU17" s="346" t="s">
        <v>255</v>
      </c>
      <c r="BV17" s="314">
        <f>1/($BC$6)</f>
        <v>-2.679245127850868E-4</v>
      </c>
      <c r="BW17" s="314">
        <f>1/($BC$9)</f>
        <v>-2.679245127850868E-4</v>
      </c>
      <c r="BX17" s="315">
        <f>1/($BC$12)</f>
        <v>-2.3360170673421233E-4</v>
      </c>
      <c r="CR17" s="859"/>
      <c r="CS17" s="861"/>
      <c r="CT17" s="863"/>
      <c r="CU17" s="863"/>
      <c r="CV17" s="865"/>
      <c r="DC17" s="233"/>
    </row>
    <row r="18" spans="1:107" ht="16.5" thickBot="1" x14ac:dyDescent="0.3">
      <c r="U18" s="380" t="s">
        <v>9</v>
      </c>
      <c r="V18" s="590" t="s">
        <v>59</v>
      </c>
      <c r="W18" s="591" t="s">
        <v>32</v>
      </c>
      <c r="X18" s="591" t="s">
        <v>30</v>
      </c>
      <c r="Y18" s="592" t="s">
        <v>231</v>
      </c>
      <c r="Z18" s="593" t="s">
        <v>226</v>
      </c>
      <c r="AA18" s="382"/>
      <c r="AR18" s="235"/>
      <c r="AS18" s="459"/>
      <c r="AT18" s="459"/>
      <c r="AU18" s="459"/>
      <c r="AV18" s="235"/>
      <c r="AW18" s="459"/>
      <c r="AX18" s="459"/>
      <c r="AY18" s="459"/>
      <c r="AZ18" s="459"/>
      <c r="BA18" s="235"/>
      <c r="BT18" s="890"/>
      <c r="BU18" s="383" t="s">
        <v>252</v>
      </c>
      <c r="BV18" s="384">
        <f>(BP15*BP15)/$BK$7</f>
        <v>1.0252571947861007E-6</v>
      </c>
      <c r="BW18" s="384">
        <f>(BQ15*BQ15)/$BK$11</f>
        <v>1.0252571947861007E-6</v>
      </c>
      <c r="BX18" s="385">
        <f>(BR15*BR15)/$BK$15</f>
        <v>7.8970910084508108E-7</v>
      </c>
      <c r="CR18" s="386" t="s">
        <v>395</v>
      </c>
      <c r="CS18" s="230">
        <f t="shared" ref="CS18:CV20" si="20">CS11/$CS11</f>
        <v>1</v>
      </c>
      <c r="CT18" s="230">
        <f t="shared" si="20"/>
        <v>2.6192195731301537</v>
      </c>
      <c r="CU18" s="230">
        <f t="shared" si="20"/>
        <v>8.063602930356609</v>
      </c>
      <c r="CV18" s="310">
        <f t="shared" si="20"/>
        <v>43.006732562915872</v>
      </c>
      <c r="DC18" s="233"/>
    </row>
    <row r="19" spans="1:107" x14ac:dyDescent="0.25">
      <c r="U19" s="882">
        <v>3</v>
      </c>
      <c r="V19" s="594">
        <v>1</v>
      </c>
      <c r="W19" s="295">
        <v>7113</v>
      </c>
      <c r="X19" s="296" t="s">
        <v>12</v>
      </c>
      <c r="Y19" s="573">
        <f>'Structural Information'!$AC$8</f>
        <v>4.5</v>
      </c>
      <c r="Z19" s="589">
        <f>'Structural Information'!$T$18*'Structural Information'!$T$19*(4700*SQRT('Structural Information'!$AC$23))/(Y19*1000)</f>
        <v>809191.71681864199</v>
      </c>
      <c r="AA19" s="387"/>
      <c r="AL19" s="388"/>
      <c r="AR19" s="235"/>
      <c r="AS19" s="459"/>
      <c r="AT19" s="459"/>
      <c r="AU19" s="459"/>
      <c r="AV19" s="235"/>
      <c r="AW19" s="459"/>
      <c r="AX19" s="459"/>
      <c r="AY19" s="459"/>
      <c r="AZ19" s="459"/>
      <c r="BA19" s="235"/>
      <c r="BC19" s="388"/>
      <c r="CR19" s="386" t="s">
        <v>396</v>
      </c>
      <c r="CS19" s="230">
        <f t="shared" si="20"/>
        <v>1</v>
      </c>
      <c r="CT19" s="230">
        <f t="shared" si="20"/>
        <v>2.6721054849285917</v>
      </c>
      <c r="CU19" s="230">
        <f t="shared" si="20"/>
        <v>8.2626130706669496</v>
      </c>
      <c r="CV19" s="310">
        <f t="shared" si="20"/>
        <v>45.310939779862444</v>
      </c>
    </row>
    <row r="20" spans="1:107" ht="16.5" thickBot="1" x14ac:dyDescent="0.3">
      <c r="U20" s="883"/>
      <c r="V20" s="595">
        <v>2</v>
      </c>
      <c r="W20" s="304">
        <v>7213</v>
      </c>
      <c r="X20" s="320" t="s">
        <v>12</v>
      </c>
      <c r="Y20" s="257">
        <f>'Structural Information'!$AC$7</f>
        <v>2</v>
      </c>
      <c r="Z20" s="551">
        <f>'Structural Information'!$T$18*'Structural Information'!$T$19*(4700*SQRT('Structural Information'!$AC$23))/(Y20*1000)</f>
        <v>1820681.3628419444</v>
      </c>
      <c r="AA20" s="387"/>
      <c r="AL20" s="388"/>
      <c r="AR20" s="235"/>
      <c r="AS20" s="459"/>
      <c r="AT20" s="459"/>
      <c r="AU20" s="459"/>
      <c r="AV20" s="235"/>
      <c r="AW20" s="459"/>
      <c r="AX20" s="459"/>
      <c r="AY20" s="459"/>
      <c r="AZ20" s="459"/>
      <c r="BA20" s="235"/>
      <c r="BX20" s="389"/>
      <c r="BY20" s="390"/>
      <c r="BZ20" s="390"/>
      <c r="CA20" s="390"/>
      <c r="CB20" s="390"/>
      <c r="CC20" s="390"/>
      <c r="CD20" s="390"/>
      <c r="CJ20" s="391"/>
      <c r="CK20" s="391"/>
      <c r="CR20" s="392" t="s">
        <v>397</v>
      </c>
      <c r="CS20" s="261">
        <f t="shared" si="20"/>
        <v>1</v>
      </c>
      <c r="CT20" s="261">
        <f t="shared" si="20"/>
        <v>2.723259307196972</v>
      </c>
      <c r="CU20" s="261">
        <f t="shared" si="20"/>
        <v>8.098918860181298</v>
      </c>
      <c r="CV20" s="368">
        <f t="shared" si="20"/>
        <v>45.861288840799418</v>
      </c>
    </row>
    <row r="21" spans="1:107" x14ac:dyDescent="0.25">
      <c r="U21" s="884"/>
      <c r="V21" s="596">
        <v>3</v>
      </c>
      <c r="W21" s="325">
        <v>7313</v>
      </c>
      <c r="X21" s="326" t="s">
        <v>12</v>
      </c>
      <c r="Y21" s="574">
        <f>'Structural Information'!$AC$6</f>
        <v>4.5</v>
      </c>
      <c r="Z21" s="588">
        <f>'Structural Information'!$T$18*'Structural Information'!$T$19*(4700*SQRT('Structural Information'!$AC$23))/(Y21*1000)</f>
        <v>809191.71681864199</v>
      </c>
      <c r="AA21" s="387"/>
      <c r="AL21" s="388"/>
      <c r="AR21" s="235"/>
      <c r="AS21" s="459"/>
      <c r="AT21" s="459"/>
      <c r="AU21" s="459"/>
      <c r="AV21" s="235"/>
      <c r="AW21" s="459"/>
      <c r="AX21" s="459"/>
      <c r="AY21" s="459"/>
      <c r="AZ21" s="459"/>
      <c r="BA21" s="235"/>
      <c r="BC21" s="459"/>
      <c r="BX21" s="390"/>
      <c r="BY21" s="390"/>
      <c r="BZ21" s="390"/>
      <c r="CA21" s="390"/>
      <c r="CB21" s="390"/>
      <c r="CC21" s="390"/>
      <c r="CD21" s="237"/>
    </row>
    <row r="22" spans="1:107" x14ac:dyDescent="0.25">
      <c r="B22" s="304"/>
      <c r="C22" s="304"/>
      <c r="D22" s="304"/>
      <c r="E22" s="257"/>
      <c r="F22" s="257"/>
      <c r="G22" s="257"/>
      <c r="H22" s="257"/>
      <c r="I22" s="257"/>
      <c r="J22" s="393"/>
      <c r="K22" s="257"/>
      <c r="L22" s="257"/>
      <c r="M22" s="257"/>
      <c r="N22" s="257"/>
      <c r="U22" s="882">
        <v>2</v>
      </c>
      <c r="V22" s="594">
        <v>1</v>
      </c>
      <c r="W22" s="295">
        <v>7112</v>
      </c>
      <c r="X22" s="296" t="s">
        <v>12</v>
      </c>
      <c r="Y22" s="573">
        <f>'Structural Information'!$AC$8</f>
        <v>4.5</v>
      </c>
      <c r="Z22" s="551">
        <f>'Structural Information'!$T$18*'Structural Information'!$T$19*(4700*SQRT('Structural Information'!$AC$23))/(Y22*1000)</f>
        <v>809191.71681864199</v>
      </c>
      <c r="AA22" s="387"/>
      <c r="AB22" s="322"/>
      <c r="AC22" s="257"/>
      <c r="AD22" s="257"/>
      <c r="AE22" s="257"/>
      <c r="AF22" s="257"/>
      <c r="AG22" s="257"/>
      <c r="AH22" s="257"/>
      <c r="AI22" s="257"/>
      <c r="AJ22" s="257"/>
      <c r="AK22" s="257"/>
      <c r="AL22" s="388"/>
      <c r="AM22" s="304"/>
      <c r="AN22" s="304"/>
      <c r="AO22" s="304"/>
      <c r="AP22" s="257"/>
      <c r="AQ22" s="257"/>
      <c r="AR22" s="235"/>
      <c r="AS22" s="610"/>
      <c r="AT22" s="307"/>
      <c r="AU22" s="307"/>
      <c r="AV22" s="235"/>
      <c r="AW22" s="307"/>
      <c r="AX22" s="610"/>
      <c r="AY22" s="307"/>
      <c r="AZ22" s="307"/>
      <c r="BA22" s="235"/>
      <c r="BB22" s="307"/>
      <c r="BC22" s="257"/>
      <c r="BX22" s="390"/>
      <c r="BY22" s="390"/>
      <c r="BZ22" s="390"/>
      <c r="CA22" s="390"/>
      <c r="CB22" s="390"/>
      <c r="CC22" s="390"/>
      <c r="CD22" s="237"/>
      <c r="CF22" s="258"/>
      <c r="CG22" s="304"/>
      <c r="CH22" s="257"/>
      <c r="CI22" s="257"/>
      <c r="CJ22" s="257"/>
      <c r="CK22" s="257"/>
    </row>
    <row r="23" spans="1:107" x14ac:dyDescent="0.25">
      <c r="B23" s="304"/>
      <c r="C23" s="304"/>
      <c r="D23" s="304"/>
      <c r="E23" s="257"/>
      <c r="F23" s="257"/>
      <c r="G23" s="257"/>
      <c r="H23" s="257"/>
      <c r="I23" s="257"/>
      <c r="J23" s="393"/>
      <c r="K23" s="257"/>
      <c r="L23" s="257"/>
      <c r="M23" s="257"/>
      <c r="N23" s="257"/>
      <c r="U23" s="883"/>
      <c r="V23" s="595">
        <v>2</v>
      </c>
      <c r="W23" s="304">
        <v>7212</v>
      </c>
      <c r="X23" s="320" t="s">
        <v>12</v>
      </c>
      <c r="Y23" s="257">
        <f>'Structural Information'!$AC$7</f>
        <v>2</v>
      </c>
      <c r="Z23" s="551">
        <f>'Structural Information'!$T$18*'Structural Information'!$T$19*(4700*SQRT('Structural Information'!$AC$23))/(Y23*1000)</f>
        <v>1820681.3628419444</v>
      </c>
      <c r="AA23" s="387"/>
      <c r="AB23" s="322"/>
      <c r="AC23" s="257"/>
      <c r="AD23" s="257"/>
      <c r="AE23" s="257"/>
      <c r="AF23" s="257"/>
      <c r="AG23" s="257"/>
      <c r="AH23" s="257"/>
      <c r="AI23" s="257"/>
      <c r="AJ23" s="257"/>
      <c r="AK23" s="257"/>
      <c r="AL23" s="388"/>
      <c r="AM23" s="304"/>
      <c r="AN23" s="304"/>
      <c r="AO23" s="304"/>
      <c r="AP23" s="257"/>
      <c r="AQ23" s="257"/>
      <c r="AR23" s="235"/>
      <c r="AS23" s="610"/>
      <c r="AT23" s="307"/>
      <c r="AU23" s="307"/>
      <c r="AV23" s="235"/>
      <c r="AW23" s="307"/>
      <c r="AX23" s="610"/>
      <c r="AY23" s="307"/>
      <c r="AZ23" s="307"/>
      <c r="BA23" s="235"/>
      <c r="BB23" s="307"/>
      <c r="BC23" s="257"/>
      <c r="CB23" s="390"/>
      <c r="CC23" s="390"/>
      <c r="CD23" s="237"/>
      <c r="CF23" s="258"/>
      <c r="CG23" s="304"/>
      <c r="CH23" s="257"/>
      <c r="CI23" s="257"/>
      <c r="CJ23" s="257"/>
      <c r="CK23" s="257"/>
    </row>
    <row r="24" spans="1:107" x14ac:dyDescent="0.25">
      <c r="B24" s="304"/>
      <c r="C24" s="304"/>
      <c r="D24" s="304"/>
      <c r="E24" s="257"/>
      <c r="F24" s="257"/>
      <c r="G24" s="257"/>
      <c r="H24" s="257"/>
      <c r="I24" s="257"/>
      <c r="J24" s="393"/>
      <c r="K24" s="257"/>
      <c r="L24" s="257"/>
      <c r="M24" s="257"/>
      <c r="N24" s="257"/>
      <c r="U24" s="884"/>
      <c r="V24" s="596">
        <v>3</v>
      </c>
      <c r="W24" s="325">
        <v>7312</v>
      </c>
      <c r="X24" s="326" t="s">
        <v>12</v>
      </c>
      <c r="Y24" s="574">
        <f>'Structural Information'!$AC$6</f>
        <v>4.5</v>
      </c>
      <c r="Z24" s="588">
        <f>'Structural Information'!$T$18*'Structural Information'!$T$19*(4700*SQRT('Structural Information'!$AC$23))/(Y24*1000)</f>
        <v>809191.71681864199</v>
      </c>
      <c r="AA24" s="387"/>
      <c r="AB24" s="322"/>
      <c r="AC24" s="257"/>
      <c r="AD24" s="257"/>
      <c r="AE24" s="257"/>
      <c r="AF24" s="257"/>
      <c r="AG24" s="257"/>
      <c r="AH24" s="257"/>
      <c r="AI24" s="257"/>
      <c r="AJ24" s="257"/>
      <c r="AK24" s="257"/>
      <c r="AL24" s="388"/>
      <c r="AM24" s="304"/>
      <c r="AN24" s="304"/>
      <c r="AO24" s="304"/>
      <c r="AP24" s="257"/>
      <c r="AQ24" s="257"/>
      <c r="AR24" s="235"/>
      <c r="AS24" s="610"/>
      <c r="AT24" s="307"/>
      <c r="AU24" s="307"/>
      <c r="AV24" s="235"/>
      <c r="AW24" s="307"/>
      <c r="AX24" s="610"/>
      <c r="AY24" s="307"/>
      <c r="AZ24" s="307"/>
      <c r="BA24" s="235"/>
      <c r="BB24" s="307"/>
      <c r="BC24" s="257"/>
      <c r="CB24" s="390"/>
      <c r="CC24" s="390"/>
      <c r="CD24" s="237"/>
      <c r="CF24" s="258"/>
      <c r="CG24" s="304"/>
      <c r="CH24" s="257"/>
      <c r="CI24" s="257"/>
      <c r="CJ24" s="257"/>
      <c r="CK24" s="257"/>
    </row>
    <row r="25" spans="1:107" x14ac:dyDescent="0.25">
      <c r="A25" s="180"/>
      <c r="B25" s="304"/>
      <c r="C25" s="304"/>
      <c r="D25" s="304"/>
      <c r="E25" s="257"/>
      <c r="F25" s="257"/>
      <c r="G25" s="257"/>
      <c r="H25" s="257"/>
      <c r="I25" s="257"/>
      <c r="J25" s="393"/>
      <c r="K25" s="257"/>
      <c r="L25" s="257"/>
      <c r="M25" s="257"/>
      <c r="N25" s="257"/>
      <c r="O25" s="180"/>
      <c r="P25" s="180"/>
      <c r="Q25" s="180"/>
      <c r="R25" s="180"/>
      <c r="U25" s="882">
        <v>1</v>
      </c>
      <c r="V25" s="594">
        <v>1</v>
      </c>
      <c r="W25" s="295">
        <v>7111</v>
      </c>
      <c r="X25" s="296" t="s">
        <v>12</v>
      </c>
      <c r="Y25" s="573">
        <f>'Structural Information'!$AC$8</f>
        <v>4.5</v>
      </c>
      <c r="Z25" s="551">
        <f>'Structural Information'!$T$18*'Structural Information'!$T$19*(4700*SQRT('Structural Information'!$AC$23))/(Y25*1000)</f>
        <v>809191.71681864199</v>
      </c>
      <c r="AA25" s="387"/>
      <c r="AB25" s="322"/>
      <c r="AC25" s="257"/>
      <c r="AD25" s="257"/>
      <c r="AE25" s="257"/>
      <c r="AF25" s="257"/>
      <c r="AG25" s="257"/>
      <c r="AH25" s="257"/>
      <c r="AI25" s="257"/>
      <c r="AJ25" s="257"/>
      <c r="AK25" s="257"/>
      <c r="AL25" s="388"/>
      <c r="AM25" s="304"/>
      <c r="AN25" s="304"/>
      <c r="AO25" s="304"/>
      <c r="AP25" s="257"/>
      <c r="AQ25" s="257"/>
      <c r="AR25" s="235"/>
      <c r="AS25" s="610"/>
      <c r="AT25" s="307"/>
      <c r="AU25" s="307"/>
      <c r="AV25" s="235"/>
      <c r="AW25" s="307"/>
      <c r="AX25" s="610"/>
      <c r="AY25" s="307"/>
      <c r="AZ25" s="307"/>
      <c r="BA25" s="235"/>
      <c r="BB25" s="307"/>
      <c r="BC25" s="257"/>
      <c r="CB25" s="390"/>
      <c r="CC25" s="390"/>
      <c r="CD25" s="237"/>
      <c r="CF25" s="258"/>
      <c r="CG25" s="304"/>
      <c r="CH25" s="257"/>
      <c r="CI25" s="257"/>
      <c r="CJ25" s="257"/>
      <c r="CK25" s="257"/>
    </row>
    <row r="26" spans="1:107" x14ac:dyDescent="0.25">
      <c r="A26" s="180"/>
      <c r="B26" s="304"/>
      <c r="C26" s="304"/>
      <c r="D26" s="304"/>
      <c r="E26" s="257"/>
      <c r="F26" s="257"/>
      <c r="G26" s="257"/>
      <c r="H26" s="257"/>
      <c r="I26" s="257"/>
      <c r="J26" s="393"/>
      <c r="K26" s="257"/>
      <c r="L26" s="257"/>
      <c r="M26" s="257"/>
      <c r="N26" s="257"/>
      <c r="O26" s="180"/>
      <c r="P26" s="180"/>
      <c r="Q26" s="180"/>
      <c r="R26" s="180"/>
      <c r="U26" s="883"/>
      <c r="V26" s="595">
        <v>2</v>
      </c>
      <c r="W26" s="304">
        <v>7211</v>
      </c>
      <c r="X26" s="320" t="s">
        <v>12</v>
      </c>
      <c r="Y26" s="257">
        <f>'Structural Information'!$AC$7</f>
        <v>2</v>
      </c>
      <c r="Z26" s="551">
        <f>'Structural Information'!$T$18*'Structural Information'!$T$19*(4700*SQRT('Structural Information'!$AC$23))/(Y26*1000)</f>
        <v>1820681.3628419444</v>
      </c>
      <c r="AA26" s="387"/>
      <c r="AB26" s="322"/>
      <c r="AC26" s="257"/>
      <c r="AD26" s="257"/>
      <c r="AE26" s="257"/>
      <c r="AF26" s="257"/>
      <c r="AG26" s="257"/>
      <c r="AH26" s="257"/>
      <c r="AI26" s="257"/>
      <c r="AJ26" s="257"/>
      <c r="AK26" s="257"/>
      <c r="AL26" s="388"/>
      <c r="AM26" s="304"/>
      <c r="AN26" s="304"/>
      <c r="AO26" s="304"/>
      <c r="AP26" s="257"/>
      <c r="AQ26" s="257"/>
      <c r="AS26" s="394"/>
      <c r="AT26" s="257"/>
      <c r="AU26" s="257"/>
      <c r="AV26" s="307"/>
      <c r="AW26" s="307"/>
      <c r="AX26" s="394"/>
      <c r="AY26" s="257"/>
      <c r="AZ26" s="257"/>
      <c r="BA26" s="307"/>
      <c r="BB26" s="307"/>
      <c r="BC26" s="257"/>
      <c r="CB26" s="390"/>
      <c r="CC26" s="390"/>
      <c r="CD26" s="237"/>
      <c r="CF26" s="258"/>
      <c r="CG26" s="304"/>
      <c r="CH26" s="257"/>
      <c r="CI26" s="257"/>
      <c r="CJ26" s="257"/>
      <c r="CK26" s="257"/>
    </row>
    <row r="27" spans="1:107" ht="16.5" thickBot="1" x14ac:dyDescent="0.3">
      <c r="A27" s="180"/>
      <c r="B27" s="304"/>
      <c r="C27" s="304"/>
      <c r="D27" s="304"/>
      <c r="E27" s="257"/>
      <c r="F27" s="257"/>
      <c r="G27" s="257"/>
      <c r="H27" s="257"/>
      <c r="I27" s="257"/>
      <c r="J27" s="393"/>
      <c r="K27" s="257"/>
      <c r="L27" s="257"/>
      <c r="M27" s="257"/>
      <c r="N27" s="257"/>
      <c r="O27" s="180"/>
      <c r="P27" s="180"/>
      <c r="Q27" s="180"/>
      <c r="R27" s="180"/>
      <c r="U27" s="906"/>
      <c r="V27" s="597">
        <v>3</v>
      </c>
      <c r="W27" s="363">
        <v>7311</v>
      </c>
      <c r="X27" s="364" t="s">
        <v>12</v>
      </c>
      <c r="Y27" s="572">
        <f>'Structural Information'!$AC$6</f>
        <v>4.5</v>
      </c>
      <c r="Z27" s="552">
        <f>'Structural Information'!$T$18*'Structural Information'!$T$19*(4700*SQRT('Structural Information'!$AC$23))/(Y27*1000)</f>
        <v>809191.71681864199</v>
      </c>
      <c r="AA27" s="387"/>
      <c r="AB27" s="322"/>
      <c r="AC27" s="257"/>
      <c r="AD27" s="257"/>
      <c r="AE27" s="257"/>
      <c r="AF27" s="257"/>
      <c r="AG27" s="257"/>
      <c r="AH27" s="257"/>
      <c r="AI27" s="257"/>
      <c r="AJ27" s="257"/>
      <c r="AK27" s="257"/>
      <c r="AL27" s="388"/>
      <c r="AM27" s="304"/>
      <c r="AN27" s="304"/>
      <c r="AO27" s="304"/>
      <c r="AP27" s="257"/>
      <c r="AQ27" s="257"/>
      <c r="AS27" s="394"/>
      <c r="AT27" s="257"/>
      <c r="AU27" s="257"/>
      <c r="AV27" s="307"/>
      <c r="AW27" s="307"/>
      <c r="AX27" s="394"/>
      <c r="AY27" s="257"/>
      <c r="AZ27" s="257"/>
      <c r="BA27" s="307"/>
      <c r="BB27" s="307"/>
      <c r="BC27" s="257"/>
      <c r="CB27" s="390"/>
      <c r="CC27" s="390"/>
      <c r="CD27" s="237"/>
      <c r="CF27" s="258"/>
      <c r="CG27" s="304"/>
      <c r="CH27" s="257"/>
      <c r="CI27" s="257"/>
      <c r="CJ27" s="257"/>
      <c r="CK27" s="257"/>
    </row>
    <row r="28" spans="1:107" x14ac:dyDescent="0.25">
      <c r="A28" s="180"/>
      <c r="B28" s="304"/>
      <c r="C28" s="304"/>
      <c r="D28" s="304"/>
      <c r="E28" s="257"/>
      <c r="F28" s="257"/>
      <c r="G28" s="257"/>
      <c r="H28" s="257"/>
      <c r="I28" s="257"/>
      <c r="J28" s="393"/>
      <c r="K28" s="257"/>
      <c r="L28" s="257"/>
      <c r="M28" s="257"/>
      <c r="N28" s="257"/>
      <c r="O28" s="180"/>
      <c r="P28" s="180"/>
      <c r="Q28" s="180"/>
      <c r="R28" s="180"/>
      <c r="AA28" s="395"/>
      <c r="AB28" s="322"/>
      <c r="AC28" s="257"/>
      <c r="AD28" s="257"/>
      <c r="AE28" s="257"/>
      <c r="AF28" s="257"/>
      <c r="AG28" s="257"/>
      <c r="AH28" s="257"/>
      <c r="AI28" s="257"/>
      <c r="AJ28" s="257"/>
      <c r="AK28" s="257"/>
      <c r="AL28" s="388"/>
      <c r="AM28" s="304"/>
      <c r="AN28" s="304"/>
      <c r="AO28" s="304"/>
      <c r="AP28" s="257"/>
      <c r="AQ28" s="257"/>
      <c r="AS28" s="394"/>
      <c r="AT28" s="257"/>
      <c r="AU28" s="257"/>
      <c r="AV28" s="307"/>
      <c r="AW28" s="307"/>
      <c r="AX28" s="394"/>
      <c r="AY28" s="257"/>
      <c r="AZ28" s="257"/>
      <c r="BA28" s="307"/>
      <c r="BB28" s="307"/>
      <c r="BC28" s="257"/>
      <c r="CB28" s="390"/>
      <c r="CC28" s="390"/>
      <c r="CD28" s="237"/>
      <c r="CF28" s="258"/>
      <c r="CG28" s="304"/>
      <c r="CH28" s="257"/>
      <c r="CI28" s="257"/>
      <c r="CJ28" s="257"/>
      <c r="CK28" s="257"/>
    </row>
    <row r="29" spans="1:107" x14ac:dyDescent="0.25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CB29" s="390"/>
      <c r="CC29" s="390"/>
      <c r="CD29" s="237"/>
      <c r="CH29" s="388"/>
    </row>
    <row r="30" spans="1:107" ht="16.5" customHeight="1" x14ac:dyDescent="0.25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AB30" s="111"/>
      <c r="AJ30" s="111"/>
      <c r="AK30" s="111"/>
      <c r="AM30" s="89"/>
      <c r="AN30" s="89"/>
      <c r="AO30" s="89"/>
      <c r="AP30" s="89"/>
      <c r="AQ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CB30" s="112"/>
      <c r="CC30" s="112"/>
      <c r="CD30" s="112"/>
      <c r="CE30" s="112"/>
      <c r="CF30" s="112"/>
      <c r="CG30" s="112"/>
      <c r="CH30" s="112"/>
      <c r="CI30" s="112"/>
      <c r="CJ30" s="112"/>
      <c r="CK30" s="112"/>
    </row>
    <row r="31" spans="1:107" ht="16.5" customHeight="1" x14ac:dyDescent="0.25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180"/>
      <c r="AB31" s="111"/>
      <c r="AJ31" s="111"/>
      <c r="AK31" s="111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CB31" s="112"/>
      <c r="CC31" s="112"/>
      <c r="CD31" s="112"/>
      <c r="CE31" s="112"/>
      <c r="CF31" s="112"/>
      <c r="CG31" s="112"/>
      <c r="CH31" s="112"/>
      <c r="CI31" s="112"/>
      <c r="CJ31" s="112"/>
      <c r="CK31" s="112"/>
    </row>
    <row r="32" spans="1:107" ht="15" customHeight="1" x14ac:dyDescent="0.25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AB32" s="111"/>
      <c r="AJ32" s="111"/>
      <c r="AK32" s="111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CB32" s="112"/>
      <c r="CC32" s="112"/>
      <c r="CD32" s="112"/>
      <c r="CE32" s="112"/>
      <c r="CF32" s="112"/>
      <c r="CG32" s="112"/>
      <c r="CH32" s="112"/>
      <c r="CI32" s="112"/>
      <c r="CJ32" s="112"/>
      <c r="CK32" s="112"/>
    </row>
    <row r="33" spans="1:106" ht="15" customHeight="1" x14ac:dyDescent="0.25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  <c r="N33" s="180"/>
      <c r="O33" s="180"/>
      <c r="P33" s="180"/>
      <c r="Q33" s="180"/>
      <c r="R33" s="180"/>
      <c r="AB33" s="111"/>
      <c r="AJ33" s="111"/>
      <c r="AK33" s="111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CB33" s="112"/>
      <c r="CC33" s="112"/>
      <c r="CD33" s="112"/>
      <c r="CE33" s="112"/>
      <c r="CF33" s="112"/>
      <c r="CG33" s="112"/>
      <c r="CH33" s="112"/>
      <c r="CI33" s="112"/>
      <c r="CJ33" s="112"/>
      <c r="CK33" s="112"/>
    </row>
    <row r="34" spans="1:106" ht="15" customHeight="1" x14ac:dyDescent="0.25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AB34" s="111"/>
      <c r="AJ34" s="111"/>
      <c r="AK34" s="111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CB34" s="112"/>
      <c r="CC34" s="112"/>
      <c r="CD34" s="112"/>
      <c r="CE34" s="112"/>
      <c r="CF34" s="112"/>
      <c r="CG34" s="112"/>
      <c r="CH34" s="112"/>
      <c r="CI34" s="112"/>
      <c r="CJ34" s="112"/>
      <c r="CK34" s="112"/>
    </row>
    <row r="35" spans="1:106" ht="15" customHeight="1" x14ac:dyDescent="0.25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  <c r="N35" s="180"/>
      <c r="O35" s="180"/>
      <c r="P35" s="180"/>
      <c r="Q35" s="180"/>
      <c r="R35" s="180"/>
      <c r="AB35" s="111"/>
      <c r="AJ35" s="111"/>
      <c r="AK35" s="111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CB35" s="112"/>
      <c r="CC35" s="112"/>
      <c r="CD35" s="112"/>
      <c r="CE35" s="112"/>
      <c r="CF35" s="112"/>
      <c r="CG35" s="112"/>
      <c r="CH35" s="112"/>
      <c r="CI35" s="112"/>
      <c r="CJ35" s="112"/>
      <c r="CK35" s="112"/>
    </row>
    <row r="36" spans="1:106" ht="15" customHeight="1" x14ac:dyDescent="0.25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  <c r="N36" s="180"/>
      <c r="O36" s="180"/>
      <c r="P36" s="180"/>
      <c r="Q36" s="180"/>
      <c r="R36" s="180"/>
      <c r="AB36" s="111"/>
      <c r="AJ36" s="111"/>
      <c r="AK36" s="111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CB36" s="112"/>
      <c r="CC36" s="112"/>
      <c r="CD36" s="112"/>
      <c r="CE36" s="112"/>
      <c r="CF36" s="112"/>
      <c r="CG36" s="112"/>
      <c r="CH36" s="112"/>
      <c r="CI36" s="112"/>
      <c r="CJ36" s="112"/>
      <c r="CK36" s="112"/>
    </row>
    <row r="37" spans="1:106" ht="15" customHeight="1" x14ac:dyDescent="0.25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180"/>
      <c r="AA37" s="111"/>
      <c r="AB37" s="111"/>
      <c r="AJ37" s="111"/>
      <c r="AK37" s="111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CB37" s="112"/>
      <c r="CC37" s="112"/>
      <c r="CD37" s="112"/>
      <c r="CE37" s="112"/>
      <c r="CF37" s="112"/>
      <c r="CG37" s="112"/>
      <c r="CH37" s="112"/>
      <c r="CI37" s="112"/>
      <c r="CJ37" s="112"/>
      <c r="CK37" s="112"/>
    </row>
    <row r="38" spans="1:106" ht="15.75" customHeight="1" x14ac:dyDescent="0.25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0"/>
      <c r="P38" s="180"/>
      <c r="Q38" s="180"/>
      <c r="R38" s="180"/>
      <c r="AA38" s="111"/>
      <c r="AB38" s="111"/>
      <c r="AJ38" s="111"/>
      <c r="AK38" s="111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CB38" s="112"/>
      <c r="CC38" s="112"/>
      <c r="CD38" s="112"/>
      <c r="CE38" s="112"/>
      <c r="CF38" s="112"/>
      <c r="CG38" s="112"/>
      <c r="CH38" s="112"/>
      <c r="CI38" s="112"/>
      <c r="CJ38" s="112"/>
      <c r="CK38" s="112"/>
    </row>
    <row r="39" spans="1:106" ht="15.75" customHeight="1" x14ac:dyDescent="0.25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180"/>
      <c r="AA39" s="111"/>
      <c r="AB39" s="111"/>
      <c r="AJ39" s="111"/>
      <c r="AK39" s="111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CB39" s="112"/>
      <c r="CC39" s="112"/>
      <c r="CD39" s="112"/>
      <c r="CE39" s="112"/>
      <c r="CF39" s="112"/>
      <c r="CG39" s="112"/>
      <c r="CH39" s="112"/>
      <c r="CI39" s="112"/>
      <c r="CJ39" s="112"/>
      <c r="CK39" s="112"/>
    </row>
    <row r="40" spans="1:106" ht="15" customHeight="1" x14ac:dyDescent="0.25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180"/>
      <c r="AA40" s="111"/>
      <c r="AB40" s="111"/>
      <c r="AJ40" s="111"/>
      <c r="AK40" s="111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W40" s="112"/>
      <c r="BX40" s="112"/>
      <c r="BY40" s="112"/>
      <c r="BZ40" s="112"/>
      <c r="CA40" s="112"/>
      <c r="CB40" s="112"/>
      <c r="CC40" s="112"/>
      <c r="CD40" s="112"/>
      <c r="CE40" s="112"/>
      <c r="CF40" s="112"/>
      <c r="CG40" s="112"/>
      <c r="CH40" s="112"/>
      <c r="CI40" s="112"/>
      <c r="CJ40" s="112"/>
      <c r="CK40" s="112"/>
    </row>
    <row r="41" spans="1:106" ht="15" customHeight="1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  <c r="O41" s="180"/>
      <c r="P41" s="180"/>
      <c r="Q41" s="180"/>
      <c r="R41" s="180"/>
      <c r="AA41" s="111"/>
      <c r="AB41" s="111"/>
      <c r="AJ41" s="111"/>
      <c r="AK41" s="111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</row>
    <row r="42" spans="1:106" ht="15" customHeight="1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  <c r="P42" s="180"/>
      <c r="Q42" s="180"/>
      <c r="R42" s="180"/>
      <c r="AA42" s="111"/>
      <c r="AB42" s="111"/>
      <c r="AJ42" s="111"/>
      <c r="AK42" s="111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W42" s="112"/>
      <c r="BX42" s="112"/>
      <c r="BY42" s="112"/>
      <c r="BZ42" s="112"/>
      <c r="CA42" s="112"/>
      <c r="CB42" s="112"/>
      <c r="CC42" s="112"/>
      <c r="CD42" s="112"/>
      <c r="CE42" s="112"/>
      <c r="CF42" s="112"/>
      <c r="CG42" s="112"/>
      <c r="CH42" s="112"/>
      <c r="CI42" s="112"/>
      <c r="CJ42" s="112"/>
      <c r="CK42" s="112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</row>
    <row r="43" spans="1:106" ht="15" customHeight="1" x14ac:dyDescent="0.25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AA43" s="111"/>
      <c r="AB43" s="111"/>
      <c r="AJ43" s="111"/>
      <c r="AK43" s="111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89"/>
      <c r="BH43" s="89"/>
      <c r="BI43" s="89"/>
      <c r="BJ43" s="89"/>
      <c r="BK43" s="89"/>
      <c r="BW43" s="112"/>
      <c r="BX43" s="112"/>
      <c r="BY43" s="112"/>
      <c r="BZ43" s="112"/>
      <c r="CA43" s="112"/>
      <c r="CB43" s="112"/>
      <c r="CC43" s="112"/>
      <c r="CD43" s="112"/>
      <c r="CE43" s="112"/>
      <c r="CF43" s="112"/>
      <c r="CG43" s="112"/>
      <c r="CH43" s="112"/>
      <c r="CI43" s="112"/>
      <c r="CJ43" s="112"/>
      <c r="CK43" s="112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</row>
    <row r="44" spans="1:106" ht="15" customHeight="1" x14ac:dyDescent="0.25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0"/>
      <c r="O44" s="180"/>
      <c r="P44" s="180"/>
      <c r="Q44" s="180"/>
      <c r="R44" s="180"/>
      <c r="AA44" s="111"/>
      <c r="AB44" s="111"/>
      <c r="AJ44" s="111"/>
      <c r="AK44" s="111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W44" s="112"/>
      <c r="BX44" s="112"/>
      <c r="BY44" s="112"/>
      <c r="BZ44" s="112"/>
      <c r="CA44" s="112"/>
      <c r="CB44" s="112"/>
      <c r="CC44" s="112"/>
      <c r="CD44" s="112"/>
      <c r="CE44" s="112"/>
      <c r="CF44" s="112"/>
      <c r="CG44" s="112"/>
      <c r="CH44" s="112"/>
      <c r="CI44" s="112"/>
      <c r="CJ44" s="112"/>
      <c r="CK44" s="112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</row>
    <row r="45" spans="1:106" ht="15" customHeight="1" x14ac:dyDescent="0.25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0"/>
      <c r="O45" s="180"/>
      <c r="P45" s="180"/>
      <c r="Q45" s="180"/>
      <c r="R45" s="180"/>
      <c r="AA45" s="111"/>
      <c r="AB45" s="111"/>
      <c r="AJ45" s="111"/>
      <c r="AK45" s="111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W45" s="112"/>
      <c r="BX45" s="112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K45" s="112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</row>
    <row r="46" spans="1:106" ht="15.75" customHeight="1" x14ac:dyDescent="0.25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P46" s="180"/>
      <c r="Q46" s="180"/>
      <c r="R46" s="180"/>
      <c r="AA46" s="111"/>
      <c r="AB46" s="111"/>
      <c r="AJ46" s="111"/>
      <c r="AK46" s="111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W46" s="112"/>
      <c r="BX46" s="112"/>
      <c r="BY46" s="112"/>
      <c r="BZ46" s="112"/>
      <c r="CA46" s="112"/>
      <c r="CB46" s="112"/>
      <c r="CC46" s="112"/>
      <c r="CD46" s="112"/>
      <c r="CE46" s="112"/>
      <c r="CF46" s="112"/>
      <c r="CG46" s="112"/>
      <c r="CH46" s="112"/>
      <c r="CI46" s="112"/>
      <c r="CJ46" s="112"/>
      <c r="CK46" s="112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</row>
    <row r="47" spans="1:106" ht="15.75" customHeight="1" x14ac:dyDescent="0.25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AA47" s="111"/>
      <c r="AB47" s="111"/>
      <c r="AJ47" s="111"/>
      <c r="AK47" s="111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W47" s="112"/>
      <c r="BX47" s="112"/>
      <c r="BY47" s="112"/>
      <c r="BZ47" s="112"/>
      <c r="CA47" s="112"/>
      <c r="CB47" s="112"/>
      <c r="CC47" s="112"/>
      <c r="CD47" s="112"/>
      <c r="CE47" s="112"/>
      <c r="CF47" s="112"/>
      <c r="CG47" s="112"/>
      <c r="CH47" s="112"/>
      <c r="CI47" s="112"/>
      <c r="CJ47" s="112"/>
      <c r="CK47" s="112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</row>
    <row r="48" spans="1:106" ht="15.75" customHeight="1" x14ac:dyDescent="0.25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AA48" s="111"/>
      <c r="AB48" s="111"/>
      <c r="AJ48" s="111"/>
      <c r="AK48" s="111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I48" s="89"/>
      <c r="BJ48" s="89"/>
      <c r="BK48" s="89"/>
      <c r="BW48" s="112"/>
      <c r="BX48" s="112"/>
      <c r="BY48" s="112"/>
      <c r="BZ48" s="112"/>
      <c r="CA48" s="112"/>
      <c r="CB48" s="112"/>
      <c r="CC48" s="112"/>
      <c r="CD48" s="112"/>
      <c r="CE48" s="112"/>
      <c r="CF48" s="112"/>
      <c r="CG48" s="112"/>
      <c r="CH48" s="112"/>
      <c r="CI48" s="112"/>
      <c r="CJ48" s="112"/>
      <c r="CK48" s="112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</row>
    <row r="49" spans="1:106" x14ac:dyDescent="0.25">
      <c r="A49" s="180"/>
      <c r="B49" s="180"/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0"/>
      <c r="O49" s="180"/>
      <c r="P49" s="180"/>
      <c r="Q49" s="180"/>
      <c r="R49" s="180"/>
      <c r="AA49" s="111"/>
      <c r="AB49" s="111"/>
      <c r="AJ49" s="111"/>
      <c r="AK49" s="111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89"/>
      <c r="BH49" s="89"/>
      <c r="BI49" s="89"/>
      <c r="BJ49" s="89"/>
      <c r="BK49" s="89"/>
      <c r="BW49" s="112"/>
      <c r="BX49" s="112"/>
      <c r="BY49" s="112"/>
      <c r="BZ49" s="112"/>
      <c r="CA49" s="112"/>
      <c r="CB49" s="112"/>
      <c r="CC49" s="112"/>
      <c r="CD49" s="112"/>
      <c r="CE49" s="112"/>
      <c r="CF49" s="112"/>
      <c r="CG49" s="112"/>
      <c r="CH49" s="112"/>
      <c r="CI49" s="112"/>
      <c r="CJ49" s="112"/>
      <c r="CK49" s="112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</row>
    <row r="50" spans="1:106" ht="15" customHeight="1" x14ac:dyDescent="0.25">
      <c r="A50" s="180"/>
      <c r="B50" s="180"/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89"/>
      <c r="BH50" s="89"/>
      <c r="BI50" s="89"/>
      <c r="BJ50" s="89"/>
      <c r="BK50" s="89"/>
      <c r="BW50" s="112"/>
      <c r="BX50" s="112"/>
      <c r="BY50" s="112"/>
      <c r="BZ50" s="112"/>
      <c r="CA50" s="112"/>
      <c r="CB50" s="112"/>
      <c r="CC50" s="112"/>
      <c r="CD50" s="112"/>
      <c r="CE50" s="112"/>
      <c r="CF50" s="112"/>
      <c r="CG50" s="112"/>
      <c r="CH50" s="112"/>
      <c r="CI50" s="112"/>
      <c r="CJ50" s="112"/>
      <c r="CK50" s="112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</row>
    <row r="51" spans="1:106" ht="15" customHeight="1" x14ac:dyDescent="0.25">
      <c r="A51" s="180"/>
      <c r="B51" s="180"/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  <c r="N51" s="180"/>
      <c r="O51" s="180"/>
      <c r="P51" s="180"/>
      <c r="Q51" s="180"/>
      <c r="R51" s="180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W51" s="112"/>
      <c r="BX51" s="112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2"/>
      <c r="CJ51" s="112"/>
      <c r="CK51" s="112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</row>
    <row r="52" spans="1:106" ht="15" customHeight="1" x14ac:dyDescent="0.25">
      <c r="A52" s="180"/>
      <c r="B52" s="180"/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1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W52" s="112"/>
      <c r="BX52" s="112"/>
      <c r="BY52" s="112"/>
      <c r="BZ52" s="112"/>
      <c r="CA52" s="112"/>
      <c r="CB52" s="112"/>
      <c r="CC52" s="112"/>
      <c r="CD52" s="112"/>
      <c r="CE52" s="112"/>
      <c r="CF52" s="112"/>
      <c r="CG52" s="112"/>
      <c r="CH52" s="112"/>
      <c r="CI52" s="112"/>
      <c r="CJ52" s="112"/>
      <c r="CK52" s="112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</row>
    <row r="53" spans="1:106" ht="15" customHeight="1" x14ac:dyDescent="0.25">
      <c r="A53" s="180"/>
      <c r="B53" s="180"/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  <c r="N53" s="180"/>
      <c r="O53" s="180"/>
      <c r="P53" s="180"/>
      <c r="Q53" s="180"/>
      <c r="R53" s="180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1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W53" s="112"/>
      <c r="BX53" s="112"/>
      <c r="BY53" s="112"/>
      <c r="BZ53" s="112"/>
      <c r="CA53" s="112"/>
      <c r="CB53" s="112"/>
      <c r="CC53" s="112"/>
      <c r="CD53" s="112"/>
      <c r="CE53" s="112"/>
      <c r="CF53" s="112"/>
      <c r="CG53" s="112"/>
      <c r="CH53" s="112"/>
      <c r="CI53" s="112"/>
      <c r="CJ53" s="112"/>
      <c r="CK53" s="112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</row>
    <row r="54" spans="1:106" ht="15" customHeight="1" x14ac:dyDescent="0.25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1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W54" s="112"/>
      <c r="BX54" s="112"/>
      <c r="BY54" s="112"/>
      <c r="BZ54" s="112"/>
      <c r="CA54" s="112"/>
      <c r="CB54" s="112"/>
      <c r="CC54" s="112"/>
      <c r="CD54" s="112"/>
      <c r="CE54" s="112"/>
      <c r="CF54" s="112"/>
      <c r="CG54" s="112"/>
      <c r="CH54" s="112"/>
      <c r="CI54" s="112"/>
      <c r="CJ54" s="112"/>
      <c r="CK54" s="112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</row>
    <row r="55" spans="1:106" ht="15.75" customHeight="1" x14ac:dyDescent="0.25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89"/>
      <c r="BH55" s="89"/>
      <c r="BI55" s="89"/>
      <c r="BJ55" s="89"/>
      <c r="BK55" s="89"/>
      <c r="BW55" s="112"/>
      <c r="BX55" s="112"/>
      <c r="BY55" s="112"/>
      <c r="BZ55" s="112"/>
      <c r="CA55" s="112"/>
      <c r="CB55" s="112"/>
      <c r="CC55" s="112"/>
      <c r="CD55" s="112"/>
      <c r="CE55" s="112"/>
      <c r="CF55" s="112"/>
      <c r="CG55" s="112"/>
      <c r="CH55" s="112"/>
      <c r="CI55" s="112"/>
      <c r="CJ55" s="112"/>
      <c r="CK55" s="112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</row>
    <row r="56" spans="1:106" ht="15" customHeight="1" x14ac:dyDescent="0.25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1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89"/>
      <c r="BH56" s="89"/>
      <c r="BI56" s="89"/>
      <c r="BJ56" s="89"/>
      <c r="BK56" s="89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112"/>
      <c r="CJ56" s="112"/>
      <c r="CK56" s="112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</row>
    <row r="57" spans="1:106" ht="15.75" customHeight="1" x14ac:dyDescent="0.25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  <c r="N57" s="128"/>
      <c r="O57" s="180"/>
      <c r="P57" s="180"/>
      <c r="Q57" s="180"/>
      <c r="R57" s="180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W57" s="112"/>
      <c r="BX57" s="112"/>
      <c r="BY57" s="112"/>
      <c r="BZ57" s="112"/>
      <c r="CA57" s="112"/>
      <c r="CB57" s="112"/>
      <c r="CC57" s="112"/>
      <c r="CD57" s="112"/>
      <c r="CE57" s="112"/>
      <c r="CF57" s="112"/>
      <c r="CG57" s="112"/>
      <c r="CH57" s="112"/>
      <c r="CI57" s="112"/>
      <c r="CJ57" s="112"/>
      <c r="CK57" s="112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</row>
    <row r="58" spans="1:106" ht="16.5" customHeight="1" x14ac:dyDescent="0.25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  <c r="N58" s="258"/>
      <c r="O58" s="180"/>
      <c r="P58" s="180"/>
      <c r="Q58" s="180"/>
      <c r="R58" s="180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  <c r="AH58" s="111"/>
      <c r="AI58" s="111"/>
      <c r="AJ58" s="111"/>
      <c r="AK58" s="111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89"/>
      <c r="BH58" s="89"/>
      <c r="BI58" s="89"/>
      <c r="BJ58" s="89"/>
      <c r="BK58" s="89"/>
      <c r="BW58" s="112"/>
      <c r="BX58" s="112"/>
      <c r="BY58" s="112"/>
      <c r="BZ58" s="112"/>
      <c r="CA58" s="112"/>
      <c r="CB58" s="112"/>
      <c r="CC58" s="112"/>
      <c r="CD58" s="112"/>
      <c r="CE58" s="112"/>
      <c r="CF58" s="112"/>
      <c r="CG58" s="112"/>
      <c r="CH58" s="112"/>
      <c r="CI58" s="112"/>
      <c r="CJ58" s="112"/>
      <c r="CK58" s="112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</row>
    <row r="59" spans="1:106" ht="16.5" customHeight="1" x14ac:dyDescent="0.25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  <c r="N59" s="180"/>
      <c r="O59" s="180"/>
      <c r="P59" s="180"/>
      <c r="Q59" s="180"/>
      <c r="R59" s="180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1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89"/>
      <c r="BH59" s="89"/>
      <c r="BI59" s="89"/>
      <c r="BJ59" s="89"/>
      <c r="BK59" s="89"/>
      <c r="BW59" s="112"/>
      <c r="BX59" s="112"/>
      <c r="BY59" s="112"/>
      <c r="BZ59" s="112"/>
      <c r="CA59" s="112"/>
      <c r="CB59" s="112"/>
      <c r="CC59" s="112"/>
      <c r="CD59" s="112"/>
      <c r="CE59" s="112"/>
      <c r="CF59" s="112"/>
      <c r="CG59" s="112"/>
      <c r="CH59" s="112"/>
      <c r="CI59" s="112"/>
      <c r="CJ59" s="112"/>
      <c r="CK59" s="112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</row>
    <row r="60" spans="1:106" ht="15" customHeight="1" x14ac:dyDescent="0.25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  <c r="N60" s="180"/>
      <c r="O60" s="180"/>
      <c r="P60" s="180"/>
      <c r="Q60" s="180"/>
      <c r="R60" s="180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1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89"/>
      <c r="BH60" s="89"/>
      <c r="BI60" s="89"/>
      <c r="BJ60" s="89"/>
      <c r="BK60" s="89"/>
      <c r="BW60" s="112"/>
      <c r="BX60" s="112"/>
      <c r="BY60" s="112"/>
      <c r="BZ60" s="112"/>
      <c r="CA60" s="112"/>
      <c r="CB60" s="112"/>
      <c r="CC60" s="112"/>
      <c r="CD60" s="112"/>
      <c r="CE60" s="112"/>
      <c r="CF60" s="112"/>
      <c r="CG60" s="112"/>
      <c r="CH60" s="112"/>
      <c r="CI60" s="112"/>
      <c r="CJ60" s="112"/>
      <c r="CK60" s="112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</row>
    <row r="61" spans="1:106" ht="15" customHeight="1" x14ac:dyDescent="0.25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0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W61" s="112"/>
      <c r="BX61" s="112"/>
      <c r="BY61" s="112"/>
      <c r="BZ61" s="112"/>
      <c r="CA61" s="112"/>
      <c r="CB61" s="112"/>
      <c r="CC61" s="112"/>
      <c r="CD61" s="112"/>
      <c r="CE61" s="112"/>
      <c r="CF61" s="112"/>
      <c r="CG61" s="112"/>
      <c r="CH61" s="112"/>
      <c r="CI61" s="112"/>
      <c r="CJ61" s="112"/>
      <c r="CK61" s="112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</row>
    <row r="62" spans="1:106" ht="15.75" customHeight="1" x14ac:dyDescent="0.25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  <c r="N62" s="180"/>
      <c r="O62" s="180"/>
      <c r="P62" s="180"/>
      <c r="Q62" s="180"/>
      <c r="R62" s="180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1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W62" s="112"/>
      <c r="BX62" s="112"/>
      <c r="BY62" s="112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112"/>
      <c r="CK62" s="112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</row>
    <row r="63" spans="1:106" ht="15.75" customHeight="1" x14ac:dyDescent="0.25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  <c r="N63" s="180"/>
      <c r="O63" s="180"/>
      <c r="P63" s="180"/>
      <c r="Q63" s="180"/>
      <c r="R63" s="180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89"/>
      <c r="BH63" s="89"/>
      <c r="BI63" s="89"/>
      <c r="BJ63" s="89"/>
      <c r="BK63" s="89"/>
      <c r="BW63" s="112"/>
      <c r="BX63" s="112"/>
      <c r="BY63" s="112"/>
      <c r="BZ63" s="112"/>
      <c r="CA63" s="112"/>
      <c r="CB63" s="112"/>
      <c r="CC63" s="112"/>
      <c r="CD63" s="112"/>
      <c r="CE63" s="112"/>
      <c r="CF63" s="112"/>
      <c r="CG63" s="112"/>
      <c r="CH63" s="112"/>
      <c r="CI63" s="112"/>
      <c r="CJ63" s="112"/>
      <c r="CK63" s="112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</row>
    <row r="64" spans="1:106" ht="15" customHeight="1" x14ac:dyDescent="0.25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180"/>
      <c r="P64" s="180"/>
      <c r="Q64" s="180"/>
      <c r="R64" s="180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89"/>
      <c r="BH64" s="89"/>
      <c r="BI64" s="89"/>
      <c r="BJ64" s="89"/>
      <c r="BK64" s="89"/>
      <c r="BW64" s="112"/>
      <c r="BX64" s="112"/>
      <c r="BY64" s="112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112"/>
      <c r="CK64" s="112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</row>
    <row r="65" spans="1:106" ht="15.75" customHeight="1" x14ac:dyDescent="0.25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  <c r="N65" s="180"/>
      <c r="O65" s="180"/>
      <c r="P65" s="180"/>
      <c r="Q65" s="180"/>
      <c r="R65" s="180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I65" s="89"/>
      <c r="BJ65" s="89"/>
      <c r="BK65" s="89"/>
      <c r="BW65" s="112"/>
      <c r="BX65" s="112"/>
      <c r="BY65" s="112"/>
      <c r="BZ65" s="112"/>
      <c r="CA65" s="112"/>
      <c r="CB65" s="112"/>
      <c r="CC65" s="112"/>
      <c r="CD65" s="112"/>
      <c r="CE65" s="112"/>
      <c r="CF65" s="112"/>
      <c r="CG65" s="112"/>
      <c r="CH65" s="112"/>
      <c r="CI65" s="112"/>
      <c r="CJ65" s="112"/>
      <c r="CK65" s="112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</row>
    <row r="66" spans="1:106" ht="15.75" customHeight="1" x14ac:dyDescent="0.25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  <c r="N66" s="180"/>
      <c r="O66" s="180"/>
      <c r="P66" s="180"/>
      <c r="Q66" s="180"/>
      <c r="R66" s="180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89"/>
      <c r="BH66" s="89"/>
      <c r="BI66" s="89"/>
      <c r="BJ66" s="89"/>
      <c r="BK66" s="89"/>
      <c r="BW66" s="112"/>
      <c r="BX66" s="112"/>
      <c r="BY66" s="112"/>
      <c r="BZ66" s="112"/>
      <c r="CA66" s="112"/>
      <c r="CB66" s="112"/>
      <c r="CC66" s="112"/>
      <c r="CD66" s="112"/>
      <c r="CE66" s="112"/>
      <c r="CF66" s="112"/>
      <c r="CG66" s="112"/>
      <c r="CH66" s="112"/>
      <c r="CI66" s="112"/>
      <c r="CJ66" s="112"/>
      <c r="CK66" s="112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</row>
    <row r="67" spans="1:106" ht="15.75" customHeight="1" x14ac:dyDescent="0.25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0"/>
      <c r="P67" s="180"/>
      <c r="Q67" s="180"/>
      <c r="R67" s="180"/>
      <c r="U67" s="111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89"/>
      <c r="BH67" s="89"/>
      <c r="BI67" s="89"/>
      <c r="BJ67" s="89"/>
      <c r="BK67" s="89"/>
      <c r="BW67" s="112"/>
      <c r="BX67" s="112"/>
      <c r="BY67" s="112"/>
      <c r="BZ67" s="112"/>
      <c r="CA67" s="112"/>
      <c r="CB67" s="112"/>
      <c r="CC67" s="112"/>
      <c r="CD67" s="112"/>
      <c r="CE67" s="112"/>
      <c r="CF67" s="112"/>
      <c r="CG67" s="112"/>
      <c r="CH67" s="112"/>
      <c r="CI67" s="112"/>
      <c r="CJ67" s="112"/>
      <c r="CK67" s="112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</row>
    <row r="68" spans="1:106" ht="15.75" customHeight="1" x14ac:dyDescent="0.25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  <c r="N68" s="180"/>
      <c r="O68" s="180"/>
      <c r="P68" s="180"/>
      <c r="Q68" s="180"/>
      <c r="R68" s="180"/>
      <c r="U68" s="111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89"/>
      <c r="BH68" s="89"/>
      <c r="BI68" s="89"/>
      <c r="BJ68" s="89"/>
      <c r="BK68" s="89"/>
      <c r="BW68" s="112"/>
      <c r="BX68" s="112"/>
      <c r="BY68" s="112"/>
      <c r="BZ68" s="112"/>
      <c r="CA68" s="112"/>
      <c r="CB68" s="112"/>
      <c r="CC68" s="112"/>
      <c r="CD68" s="112"/>
      <c r="CE68" s="112"/>
      <c r="CF68" s="112"/>
      <c r="CG68" s="112"/>
      <c r="CH68" s="112"/>
      <c r="CI68" s="112"/>
      <c r="CJ68" s="112"/>
      <c r="CK68" s="112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</row>
    <row r="69" spans="1:106" ht="15" customHeight="1" x14ac:dyDescent="0.25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U69" s="111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W69" s="112"/>
      <c r="BX69" s="112"/>
      <c r="BY69" s="112"/>
      <c r="BZ69" s="112"/>
      <c r="CA69" s="112"/>
      <c r="CB69" s="112"/>
      <c r="CC69" s="112"/>
      <c r="CD69" s="112"/>
      <c r="CE69" s="112"/>
      <c r="CF69" s="112"/>
      <c r="CG69" s="112"/>
      <c r="CH69" s="112"/>
      <c r="CI69" s="112"/>
      <c r="CJ69" s="112"/>
      <c r="CK69" s="112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</row>
    <row r="70" spans="1:106" ht="15" customHeight="1" x14ac:dyDescent="0.25"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111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89"/>
      <c r="BH70" s="89"/>
      <c r="BI70" s="89"/>
      <c r="BJ70" s="89"/>
      <c r="BK70" s="89"/>
      <c r="BW70" s="112"/>
      <c r="BX70" s="112"/>
      <c r="BY70" s="112"/>
      <c r="BZ70" s="112"/>
      <c r="CA70" s="112"/>
      <c r="CB70" s="112"/>
      <c r="CC70" s="112"/>
      <c r="CD70" s="112"/>
      <c r="CE70" s="112"/>
      <c r="CF70" s="112"/>
      <c r="CG70" s="112"/>
      <c r="CH70" s="112"/>
      <c r="CI70" s="112"/>
      <c r="CJ70" s="112"/>
      <c r="CK70" s="112"/>
      <c r="CM70" s="113"/>
      <c r="CN70" s="113"/>
      <c r="CO70" s="113"/>
      <c r="CP70" s="113"/>
      <c r="CQ70" s="113"/>
      <c r="CR70" s="113"/>
      <c r="CS70" s="113"/>
      <c r="CT70" s="113"/>
      <c r="CU70" s="113"/>
      <c r="CV70" s="113"/>
      <c r="CW70" s="113"/>
      <c r="CX70" s="113"/>
      <c r="CY70" s="113"/>
      <c r="CZ70" s="113"/>
      <c r="DA70" s="113"/>
      <c r="DB70" s="113"/>
    </row>
    <row r="71" spans="1:106" ht="15.75" customHeight="1" x14ac:dyDescent="0.25">
      <c r="U71" s="111"/>
      <c r="V71" s="111"/>
      <c r="W71" s="111"/>
      <c r="X71" s="111"/>
      <c r="Y71" s="111"/>
      <c r="Z71" s="111"/>
      <c r="AA71" s="111"/>
      <c r="AB71" s="111"/>
      <c r="AC71" s="111"/>
      <c r="AD71" s="111"/>
      <c r="AE71" s="111"/>
      <c r="AF71" s="111"/>
      <c r="AG71" s="111"/>
      <c r="AH71" s="111"/>
      <c r="AI71" s="111"/>
      <c r="AJ71" s="111"/>
      <c r="AK71" s="111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89"/>
      <c r="BH71" s="89"/>
      <c r="BI71" s="89"/>
      <c r="BJ71" s="89"/>
      <c r="BK71" s="89"/>
      <c r="BW71" s="112"/>
      <c r="BX71" s="112"/>
      <c r="BY71" s="112"/>
      <c r="BZ71" s="112"/>
      <c r="CA71" s="112"/>
      <c r="CB71" s="112"/>
      <c r="CC71" s="112"/>
      <c r="CD71" s="112"/>
      <c r="CE71" s="112"/>
      <c r="CF71" s="112"/>
      <c r="CG71" s="112"/>
      <c r="CH71" s="112"/>
      <c r="CI71" s="112"/>
      <c r="CJ71" s="112"/>
      <c r="CK71" s="112"/>
      <c r="CM71" s="113"/>
      <c r="CN71" s="113"/>
      <c r="CO71" s="113"/>
      <c r="CP71" s="113"/>
      <c r="CQ71" s="113"/>
      <c r="CR71" s="113"/>
      <c r="CS71" s="113"/>
      <c r="CT71" s="113"/>
      <c r="CU71" s="113"/>
      <c r="CV71" s="113"/>
      <c r="CW71" s="113"/>
      <c r="CX71" s="113"/>
      <c r="CY71" s="113"/>
      <c r="CZ71" s="113"/>
      <c r="DA71" s="113"/>
      <c r="DB71" s="113"/>
    </row>
    <row r="72" spans="1:106" ht="15" customHeight="1" x14ac:dyDescent="0.25"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  <c r="AF72" s="111"/>
      <c r="AG72" s="111"/>
      <c r="AH72" s="111"/>
      <c r="AI72" s="111"/>
      <c r="AJ72" s="111"/>
      <c r="AK72" s="111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89"/>
      <c r="BH72" s="89"/>
      <c r="BI72" s="89"/>
      <c r="BJ72" s="89"/>
      <c r="BK72" s="89"/>
      <c r="BW72" s="112"/>
      <c r="BX72" s="112"/>
      <c r="BY72" s="112"/>
      <c r="BZ72" s="112"/>
      <c r="CA72" s="112"/>
      <c r="CB72" s="112"/>
      <c r="CC72" s="112"/>
      <c r="CD72" s="112"/>
      <c r="CE72" s="112"/>
      <c r="CF72" s="112"/>
      <c r="CG72" s="112"/>
      <c r="CH72" s="112"/>
      <c r="CI72" s="112"/>
      <c r="CJ72" s="112"/>
      <c r="CK72" s="112"/>
      <c r="CM72" s="113"/>
      <c r="CN72" s="113"/>
      <c r="CO72" s="113"/>
      <c r="CP72" s="113"/>
      <c r="CQ72" s="113"/>
      <c r="CR72" s="113"/>
      <c r="CS72" s="113"/>
      <c r="CT72" s="113"/>
      <c r="CU72" s="113"/>
      <c r="CV72" s="113"/>
      <c r="CW72" s="113"/>
      <c r="CX72" s="113"/>
      <c r="CY72" s="113"/>
      <c r="CZ72" s="113"/>
      <c r="DA72" s="113"/>
      <c r="DB72" s="113"/>
    </row>
    <row r="73" spans="1:106" ht="15" customHeight="1" x14ac:dyDescent="0.25"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89"/>
      <c r="BH73" s="89"/>
      <c r="BI73" s="89"/>
      <c r="BJ73" s="89"/>
      <c r="BK73" s="89"/>
      <c r="BW73" s="112"/>
      <c r="BX73" s="112"/>
      <c r="BY73" s="112"/>
      <c r="BZ73" s="112"/>
      <c r="CA73" s="112"/>
      <c r="CB73" s="112"/>
      <c r="CC73" s="112"/>
      <c r="CD73" s="112"/>
      <c r="CE73" s="112"/>
      <c r="CF73" s="112"/>
      <c r="CG73" s="112"/>
      <c r="CH73" s="112"/>
      <c r="CI73" s="112"/>
      <c r="CJ73" s="112"/>
      <c r="CK73" s="112"/>
      <c r="CM73" s="113"/>
      <c r="CN73" s="113"/>
      <c r="CO73" s="113"/>
      <c r="CP73" s="113"/>
      <c r="CQ73" s="113"/>
      <c r="CR73" s="113"/>
      <c r="CS73" s="113"/>
      <c r="CT73" s="113"/>
      <c r="CU73" s="113"/>
      <c r="CV73" s="113"/>
      <c r="CW73" s="113"/>
      <c r="CX73" s="113"/>
      <c r="CY73" s="113"/>
      <c r="CZ73" s="113"/>
      <c r="DA73" s="113"/>
      <c r="DB73" s="113"/>
    </row>
    <row r="74" spans="1:106" ht="15.75" customHeight="1" x14ac:dyDescent="0.25"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  <c r="BC74" s="89"/>
      <c r="BD74" s="89"/>
      <c r="BE74" s="89"/>
      <c r="BF74" s="89"/>
      <c r="BG74" s="89"/>
      <c r="BH74" s="89"/>
      <c r="BI74" s="89"/>
      <c r="BJ74" s="89"/>
      <c r="BK74" s="89"/>
      <c r="BW74" s="112"/>
      <c r="BX74" s="112"/>
      <c r="BY74" s="112"/>
      <c r="BZ74" s="112"/>
      <c r="CA74" s="112"/>
      <c r="CB74" s="112"/>
      <c r="CC74" s="112"/>
      <c r="CD74" s="112"/>
      <c r="CE74" s="112"/>
      <c r="CF74" s="112"/>
      <c r="CG74" s="112"/>
      <c r="CH74" s="112"/>
      <c r="CI74" s="112"/>
      <c r="CJ74" s="112"/>
      <c r="CK74" s="112"/>
      <c r="CM74" s="113"/>
      <c r="CN74" s="113"/>
      <c r="CO74" s="113"/>
      <c r="CP74" s="113"/>
      <c r="CQ74" s="113"/>
      <c r="CR74" s="113"/>
      <c r="CS74" s="113"/>
      <c r="CT74" s="113"/>
      <c r="CU74" s="113"/>
      <c r="CV74" s="113"/>
      <c r="CW74" s="113"/>
      <c r="CX74" s="113"/>
      <c r="CY74" s="113"/>
      <c r="CZ74" s="113"/>
      <c r="DA74" s="113"/>
      <c r="DB74" s="113"/>
    </row>
    <row r="75" spans="1:106" ht="15.75" customHeight="1" x14ac:dyDescent="0.25"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  <c r="BC75" s="89"/>
      <c r="BD75" s="89"/>
      <c r="BE75" s="89"/>
      <c r="BF75" s="89"/>
      <c r="BG75" s="89"/>
      <c r="BH75" s="89"/>
      <c r="BI75" s="89"/>
      <c r="BJ75" s="89"/>
      <c r="BK75" s="89"/>
      <c r="BW75" s="112"/>
      <c r="BX75" s="112"/>
      <c r="BY75" s="112"/>
      <c r="BZ75" s="112"/>
      <c r="CA75" s="112"/>
      <c r="CB75" s="112"/>
      <c r="CC75" s="112"/>
      <c r="CD75" s="112"/>
      <c r="CE75" s="112"/>
      <c r="CF75" s="112"/>
      <c r="CG75" s="112"/>
      <c r="CH75" s="112"/>
      <c r="CI75" s="112"/>
      <c r="CJ75" s="112"/>
      <c r="CK75" s="112"/>
      <c r="CM75" s="113"/>
      <c r="CN75" s="113"/>
      <c r="CO75" s="113"/>
      <c r="CP75" s="113"/>
      <c r="CQ75" s="113"/>
      <c r="CR75" s="113"/>
      <c r="CS75" s="113"/>
      <c r="CT75" s="113"/>
      <c r="CU75" s="113"/>
      <c r="CV75" s="113"/>
      <c r="CW75" s="113"/>
      <c r="CX75" s="113"/>
      <c r="CY75" s="113"/>
      <c r="CZ75" s="113"/>
      <c r="DA75" s="113"/>
      <c r="DB75" s="113"/>
    </row>
    <row r="76" spans="1:106" ht="15.75" customHeight="1" x14ac:dyDescent="0.25"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89"/>
      <c r="BC76" s="89"/>
      <c r="BD76" s="89"/>
      <c r="BE76" s="89"/>
      <c r="BF76" s="89"/>
      <c r="BG76" s="89"/>
      <c r="BH76" s="89"/>
      <c r="BI76" s="89"/>
      <c r="BJ76" s="89"/>
      <c r="BK76" s="89"/>
      <c r="BW76" s="112"/>
      <c r="BX76" s="112"/>
      <c r="BY76" s="112"/>
      <c r="BZ76" s="112"/>
      <c r="CA76" s="112"/>
      <c r="CB76" s="112"/>
      <c r="CC76" s="112"/>
      <c r="CD76" s="112"/>
      <c r="CE76" s="112"/>
      <c r="CF76" s="112"/>
      <c r="CG76" s="112"/>
      <c r="CH76" s="112"/>
      <c r="CI76" s="112"/>
      <c r="CJ76" s="112"/>
      <c r="CK76" s="112"/>
      <c r="CM76" s="113"/>
      <c r="CN76" s="113"/>
      <c r="CO76" s="113"/>
      <c r="CP76" s="113"/>
      <c r="CQ76" s="113"/>
      <c r="CR76" s="113"/>
      <c r="CS76" s="113"/>
      <c r="CT76" s="113"/>
      <c r="CU76" s="113"/>
      <c r="CV76" s="113"/>
      <c r="CW76" s="113"/>
      <c r="CX76" s="113"/>
      <c r="CY76" s="113"/>
      <c r="CZ76" s="113"/>
      <c r="DA76" s="113"/>
      <c r="DB76" s="113"/>
    </row>
    <row r="77" spans="1:106" x14ac:dyDescent="0.25"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  <c r="BC77" s="89"/>
      <c r="BD77" s="89"/>
      <c r="BE77" s="89"/>
      <c r="BF77" s="89"/>
      <c r="BG77" s="89"/>
      <c r="BH77" s="89"/>
      <c r="BI77" s="89"/>
      <c r="BJ77" s="89"/>
      <c r="BK77" s="89"/>
      <c r="BW77" s="112"/>
      <c r="BX77" s="112"/>
      <c r="BY77" s="112"/>
      <c r="BZ77" s="112"/>
      <c r="CA77" s="112"/>
      <c r="CB77" s="112"/>
      <c r="CC77" s="112"/>
      <c r="CD77" s="112"/>
      <c r="CE77" s="112"/>
      <c r="CF77" s="112"/>
      <c r="CG77" s="112"/>
      <c r="CH77" s="112"/>
      <c r="CI77" s="112"/>
      <c r="CJ77" s="112"/>
      <c r="CK77" s="112"/>
      <c r="CM77" s="113"/>
      <c r="CN77" s="113"/>
      <c r="CO77" s="113"/>
      <c r="CP77" s="113"/>
      <c r="CQ77" s="113"/>
      <c r="CR77" s="113"/>
      <c r="CS77" s="113"/>
      <c r="CT77" s="113"/>
      <c r="CU77" s="113"/>
      <c r="CV77" s="113"/>
      <c r="CW77" s="113"/>
      <c r="CX77" s="113"/>
      <c r="CY77" s="113"/>
      <c r="CZ77" s="113"/>
      <c r="DA77" s="113"/>
      <c r="DB77" s="113"/>
    </row>
    <row r="78" spans="1:106" ht="15" customHeight="1" x14ac:dyDescent="0.25"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  <c r="BC78" s="89"/>
      <c r="BD78" s="89"/>
      <c r="BE78" s="89"/>
      <c r="BF78" s="89"/>
      <c r="BG78" s="89"/>
      <c r="BH78" s="89"/>
      <c r="BI78" s="89"/>
      <c r="BJ78" s="89"/>
      <c r="BK78" s="89"/>
      <c r="CM78" s="113"/>
      <c r="CN78" s="113"/>
      <c r="CO78" s="113"/>
      <c r="CP78" s="113"/>
      <c r="CQ78" s="113"/>
      <c r="CR78" s="113"/>
      <c r="CS78" s="113"/>
      <c r="CT78" s="113"/>
      <c r="CU78" s="113"/>
      <c r="CV78" s="113"/>
      <c r="CW78" s="113"/>
      <c r="CX78" s="113"/>
      <c r="CY78" s="113"/>
      <c r="CZ78" s="113"/>
      <c r="DA78" s="113"/>
      <c r="DB78" s="113"/>
    </row>
    <row r="79" spans="1:106" ht="15" customHeight="1" x14ac:dyDescent="0.25"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  <c r="BC79" s="89"/>
      <c r="BD79" s="89"/>
      <c r="BE79" s="89"/>
      <c r="BF79" s="89"/>
      <c r="BG79" s="89"/>
      <c r="BH79" s="89"/>
      <c r="BI79" s="89"/>
      <c r="BJ79" s="89"/>
      <c r="BK79" s="89"/>
      <c r="CM79" s="113"/>
      <c r="CN79" s="113"/>
      <c r="CO79" s="113"/>
      <c r="CP79" s="113"/>
      <c r="CQ79" s="113"/>
      <c r="CR79" s="113"/>
      <c r="CS79" s="113"/>
      <c r="CT79" s="113"/>
      <c r="CU79" s="113"/>
      <c r="CV79" s="113"/>
      <c r="CW79" s="113"/>
      <c r="CX79" s="113"/>
      <c r="CY79" s="113"/>
      <c r="CZ79" s="113"/>
      <c r="DA79" s="113"/>
      <c r="DB79" s="113"/>
    </row>
    <row r="80" spans="1:106" ht="15" customHeight="1" x14ac:dyDescent="0.25"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  <c r="BC80" s="89"/>
      <c r="BD80" s="89"/>
      <c r="BE80" s="89"/>
      <c r="BF80" s="89"/>
      <c r="BG80" s="89"/>
      <c r="BH80" s="89"/>
      <c r="BI80" s="89"/>
      <c r="BJ80" s="89"/>
      <c r="BK80" s="89"/>
      <c r="CM80" s="113"/>
      <c r="CN80" s="113"/>
      <c r="CO80" s="113"/>
      <c r="CP80" s="113"/>
      <c r="CQ80" s="113"/>
      <c r="CR80" s="113"/>
      <c r="CS80" s="113"/>
      <c r="CT80" s="113"/>
      <c r="CU80" s="113"/>
      <c r="CV80" s="113"/>
      <c r="CW80" s="113"/>
      <c r="CX80" s="113"/>
      <c r="CY80" s="113"/>
      <c r="CZ80" s="113"/>
      <c r="DA80" s="113"/>
      <c r="DB80" s="113"/>
    </row>
    <row r="81" spans="39:106" ht="15" customHeight="1" x14ac:dyDescent="0.25"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  <c r="BC81" s="89"/>
      <c r="BD81" s="89"/>
      <c r="BE81" s="89"/>
      <c r="BF81" s="89"/>
      <c r="BG81" s="89"/>
      <c r="BH81" s="89"/>
      <c r="BI81" s="89"/>
      <c r="BJ81" s="89"/>
      <c r="BK81" s="89"/>
      <c r="CM81" s="113"/>
      <c r="CN81" s="113"/>
      <c r="CO81" s="113"/>
      <c r="CP81" s="113"/>
      <c r="CQ81" s="113"/>
      <c r="CR81" s="113"/>
      <c r="CS81" s="113"/>
      <c r="CT81" s="113"/>
      <c r="CU81" s="113"/>
      <c r="CV81" s="113"/>
      <c r="CW81" s="113"/>
      <c r="CX81" s="113"/>
      <c r="CY81" s="113"/>
      <c r="CZ81" s="113"/>
      <c r="DA81" s="113"/>
      <c r="DB81" s="113"/>
    </row>
    <row r="82" spans="39:106" ht="15" customHeight="1" x14ac:dyDescent="0.25"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  <c r="BC82" s="89"/>
      <c r="BD82" s="89"/>
      <c r="BE82" s="89"/>
      <c r="BF82" s="89"/>
      <c r="BG82" s="89"/>
      <c r="BH82" s="89"/>
      <c r="BI82" s="89"/>
      <c r="BJ82" s="89"/>
      <c r="BK82" s="89"/>
      <c r="CM82" s="113"/>
      <c r="CN82" s="113"/>
      <c r="CO82" s="113"/>
      <c r="CP82" s="113"/>
      <c r="CQ82" s="113"/>
      <c r="CR82" s="113"/>
      <c r="CS82" s="113"/>
      <c r="CT82" s="113"/>
      <c r="CU82" s="113"/>
      <c r="CV82" s="113"/>
      <c r="CW82" s="113"/>
      <c r="CX82" s="113"/>
      <c r="CY82" s="113"/>
      <c r="CZ82" s="113"/>
      <c r="DA82" s="113"/>
      <c r="DB82" s="113"/>
    </row>
    <row r="83" spans="39:106" ht="15" customHeight="1" x14ac:dyDescent="0.25">
      <c r="AM83" s="89"/>
      <c r="AN83" s="89"/>
      <c r="AO83" s="89"/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9"/>
      <c r="BA83" s="89"/>
      <c r="BB83" s="89"/>
      <c r="BC83" s="89"/>
      <c r="BD83" s="89"/>
      <c r="BE83" s="89"/>
      <c r="BF83" s="89"/>
      <c r="BG83" s="89"/>
      <c r="BH83" s="89"/>
      <c r="BI83" s="89"/>
      <c r="BJ83" s="89"/>
      <c r="BK83" s="89"/>
      <c r="CM83" s="113"/>
      <c r="CN83" s="113"/>
      <c r="CO83" s="113"/>
      <c r="CP83" s="113"/>
      <c r="CQ83" s="113"/>
      <c r="CR83" s="113"/>
      <c r="CS83" s="113"/>
      <c r="CT83" s="113"/>
      <c r="CU83" s="113"/>
      <c r="CV83" s="113"/>
      <c r="CW83" s="113"/>
      <c r="CX83" s="113"/>
      <c r="CY83" s="113"/>
      <c r="CZ83" s="113"/>
      <c r="DA83" s="113"/>
      <c r="DB83" s="113"/>
    </row>
    <row r="84" spans="39:106" ht="15" customHeight="1" x14ac:dyDescent="0.25">
      <c r="CM84" s="113"/>
      <c r="CN84" s="113"/>
      <c r="CO84" s="113"/>
      <c r="CP84" s="113"/>
      <c r="CQ84" s="113"/>
      <c r="CR84" s="113"/>
      <c r="CS84" s="113"/>
      <c r="CT84" s="113"/>
      <c r="CU84" s="113"/>
      <c r="CV84" s="113"/>
      <c r="CW84" s="113"/>
      <c r="CX84" s="113"/>
      <c r="CY84" s="113"/>
      <c r="CZ84" s="113"/>
      <c r="DA84" s="113"/>
      <c r="DB84" s="113"/>
    </row>
    <row r="85" spans="39:106" ht="15" customHeight="1" x14ac:dyDescent="0.25">
      <c r="CM85" s="113"/>
      <c r="CN85" s="113"/>
      <c r="CO85" s="113"/>
      <c r="CP85" s="113"/>
      <c r="CQ85" s="113"/>
      <c r="CR85" s="113"/>
      <c r="CS85" s="113"/>
      <c r="CT85" s="113"/>
      <c r="CU85" s="113"/>
      <c r="CV85" s="113"/>
      <c r="CW85" s="113"/>
      <c r="CX85" s="113"/>
      <c r="CY85" s="113"/>
      <c r="CZ85" s="113"/>
      <c r="DA85" s="113"/>
      <c r="DB85" s="113"/>
    </row>
  </sheetData>
  <mergeCells count="81">
    <mergeCell ref="U19:U21"/>
    <mergeCell ref="U22:U24"/>
    <mergeCell ref="U25:U27"/>
    <mergeCell ref="BM3:BN3"/>
    <mergeCell ref="BM5:BM8"/>
    <mergeCell ref="BM9:BM12"/>
    <mergeCell ref="BM13:BM16"/>
    <mergeCell ref="BE4:BE7"/>
    <mergeCell ref="BE8:BE11"/>
    <mergeCell ref="BE12:BE15"/>
    <mergeCell ref="U17:Z17"/>
    <mergeCell ref="U10:U12"/>
    <mergeCell ref="B2:N2"/>
    <mergeCell ref="B10:B12"/>
    <mergeCell ref="B7:B9"/>
    <mergeCell ref="B4:B6"/>
    <mergeCell ref="AM2:BC2"/>
    <mergeCell ref="P9:R9"/>
    <mergeCell ref="AM10:AM12"/>
    <mergeCell ref="AM7:AM9"/>
    <mergeCell ref="AM4:AM6"/>
    <mergeCell ref="P10:R10"/>
    <mergeCell ref="P11:R11"/>
    <mergeCell ref="P12:R12"/>
    <mergeCell ref="P2:S2"/>
    <mergeCell ref="P7:S7"/>
    <mergeCell ref="U4:U6"/>
    <mergeCell ref="P8:R8"/>
    <mergeCell ref="CF2:CM2"/>
    <mergeCell ref="BT14:BT18"/>
    <mergeCell ref="BZ2:CD2"/>
    <mergeCell ref="CB10:CB12"/>
    <mergeCell ref="CB4:CB6"/>
    <mergeCell ref="CD10:CD12"/>
    <mergeCell ref="BT2:BX2"/>
    <mergeCell ref="BZ10:BZ12"/>
    <mergeCell ref="CC4:CC6"/>
    <mergeCell ref="CC10:CC12"/>
    <mergeCell ref="BT4:BT8"/>
    <mergeCell ref="CD4:CD6"/>
    <mergeCell ref="CB7:CB9"/>
    <mergeCell ref="CF9:CF10"/>
    <mergeCell ref="CG9:CG10"/>
    <mergeCell ref="BT9:BT13"/>
    <mergeCell ref="CC7:CC9"/>
    <mergeCell ref="CD7:CD9"/>
    <mergeCell ref="U2:AK2"/>
    <mergeCell ref="BE2:BK2"/>
    <mergeCell ref="BM2:BR2"/>
    <mergeCell ref="BZ7:BZ9"/>
    <mergeCell ref="U7:U9"/>
    <mergeCell ref="BZ4:BZ6"/>
    <mergeCell ref="CQ9:CQ10"/>
    <mergeCell ref="CR15:CV15"/>
    <mergeCell ref="CR16:CR17"/>
    <mergeCell ref="CS16:CS17"/>
    <mergeCell ref="CT16:CT17"/>
    <mergeCell ref="CU16:CU17"/>
    <mergeCell ref="CV16:CV17"/>
    <mergeCell ref="CW9:CW10"/>
    <mergeCell ref="CF8:CK8"/>
    <mergeCell ref="CL8:CQ8"/>
    <mergeCell ref="CR8:CW8"/>
    <mergeCell ref="CN9:CN10"/>
    <mergeCell ref="CV9:CV10"/>
    <mergeCell ref="CU9:CU10"/>
    <mergeCell ref="CT9:CT10"/>
    <mergeCell ref="CR9:CR10"/>
    <mergeCell ref="CS9:CS10"/>
    <mergeCell ref="CJ9:CJ10"/>
    <mergeCell ref="CL9:CL10"/>
    <mergeCell ref="CP9:CP10"/>
    <mergeCell ref="CM9:CM10"/>
    <mergeCell ref="CO9:CO10"/>
    <mergeCell ref="CK9:CK10"/>
    <mergeCell ref="CG5:CI5"/>
    <mergeCell ref="CG6:CI6"/>
    <mergeCell ref="CG3:CI3"/>
    <mergeCell ref="CG4:CI4"/>
    <mergeCell ref="CH9:CH10"/>
    <mergeCell ref="CI9:CI10"/>
  </mergeCells>
  <phoneticPr fontId="12" type="noConversion"/>
  <conditionalFormatting sqref="AD10:AG10">
    <cfRule type="cellIs" dxfId="16" priority="105" operator="equal">
      <formula>$AH$10</formula>
    </cfRule>
  </conditionalFormatting>
  <conditionalFormatting sqref="AD11:AG11">
    <cfRule type="cellIs" dxfId="15" priority="104" operator="equal">
      <formula>$AH$11</formula>
    </cfRule>
  </conditionalFormatting>
  <conditionalFormatting sqref="AD7:AG7">
    <cfRule type="cellIs" dxfId="14" priority="102" operator="equal">
      <formula>$AH$7</formula>
    </cfRule>
  </conditionalFormatting>
  <conditionalFormatting sqref="AD8:AG8">
    <cfRule type="cellIs" dxfId="13" priority="101" operator="equal">
      <formula>$AH$8</formula>
    </cfRule>
  </conditionalFormatting>
  <conditionalFormatting sqref="AD9:AG9">
    <cfRule type="cellIs" dxfId="12" priority="100" operator="equal">
      <formula>$AH$9</formula>
    </cfRule>
  </conditionalFormatting>
  <conditionalFormatting sqref="AD4:AG4">
    <cfRule type="cellIs" dxfId="11" priority="99" operator="equal">
      <formula>$AH$4</formula>
    </cfRule>
  </conditionalFormatting>
  <conditionalFormatting sqref="AD5:AG5">
    <cfRule type="cellIs" dxfId="10" priority="98" operator="equal">
      <formula>$AH$5</formula>
    </cfRule>
  </conditionalFormatting>
  <conditionalFormatting sqref="AD6:AG6">
    <cfRule type="cellIs" dxfId="9" priority="97" operator="equal">
      <formula>$AH$6</formula>
    </cfRule>
  </conditionalFormatting>
  <conditionalFormatting sqref="AD22:AG28 AD12:AG12">
    <cfRule type="cellIs" dxfId="8" priority="94" operator="equal">
      <formula>$AH$12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A1:AP58"/>
  <sheetViews>
    <sheetView topLeftCell="F31" zoomScale="80" zoomScaleNormal="80" workbookViewId="0">
      <selection activeCell="M62" sqref="M62"/>
    </sheetView>
  </sheetViews>
  <sheetFormatPr defaultColWidth="9.140625" defaultRowHeight="15.75" x14ac:dyDescent="0.25"/>
  <cols>
    <col min="1" max="1" width="9.140625" style="138"/>
    <col min="2" max="2" width="10.5703125" style="138" bestFit="1" customWidth="1"/>
    <col min="3" max="4" width="8.7109375" style="138" bestFit="1" customWidth="1"/>
    <col min="5" max="5" width="12.85546875" style="138" bestFit="1" customWidth="1"/>
    <col min="6" max="6" width="14.28515625" style="138" bestFit="1" customWidth="1"/>
    <col min="7" max="7" width="10.7109375" style="138" bestFit="1" customWidth="1"/>
    <col min="8" max="8" width="13.7109375" style="138" bestFit="1" customWidth="1"/>
    <col min="9" max="9" width="15.140625" style="138" bestFit="1" customWidth="1"/>
    <col min="10" max="10" width="12.42578125" style="138" bestFit="1" customWidth="1"/>
    <col min="11" max="11" width="9.85546875" style="138" customWidth="1"/>
    <col min="12" max="12" width="10.85546875" style="138" bestFit="1" customWidth="1"/>
    <col min="13" max="14" width="12.42578125" style="138" bestFit="1" customWidth="1"/>
    <col min="15" max="15" width="13.42578125" style="138" bestFit="1" customWidth="1"/>
    <col min="16" max="16" width="13.85546875" style="138" bestFit="1" customWidth="1"/>
    <col min="17" max="17" width="12.140625" style="138" bestFit="1" customWidth="1"/>
    <col min="18" max="18" width="14.85546875" style="138" bestFit="1" customWidth="1"/>
    <col min="19" max="20" width="9.140625" style="138"/>
    <col min="21" max="21" width="14.85546875" style="138" bestFit="1" customWidth="1"/>
    <col min="22" max="22" width="10.7109375" style="138" bestFit="1" customWidth="1"/>
    <col min="23" max="24" width="9.140625" style="138"/>
    <col min="25" max="25" width="9.28515625" style="138" bestFit="1" customWidth="1"/>
    <col min="26" max="27" width="7.85546875" style="138" bestFit="1" customWidth="1"/>
    <col min="28" max="28" width="10.140625" style="138" bestFit="1" customWidth="1"/>
    <col min="29" max="29" width="9.28515625" style="138" bestFit="1" customWidth="1"/>
    <col min="30" max="31" width="7.85546875" style="138" bestFit="1" customWidth="1"/>
    <col min="32" max="32" width="10.140625" style="138" bestFit="1" customWidth="1"/>
    <col min="33" max="33" width="9.28515625" style="138" bestFit="1" customWidth="1"/>
    <col min="34" max="35" width="7.85546875" style="138" bestFit="1" customWidth="1"/>
    <col min="36" max="36" width="10.140625" style="138" bestFit="1" customWidth="1"/>
    <col min="37" max="16384" width="9.140625" style="138"/>
  </cols>
  <sheetData>
    <row r="1" spans="2:22" ht="16.5" thickBot="1" x14ac:dyDescent="0.3"/>
    <row r="2" spans="2:22" ht="15" customHeight="1" x14ac:dyDescent="0.25">
      <c r="B2" s="923" t="s">
        <v>288</v>
      </c>
      <c r="C2" s="924"/>
      <c r="D2" s="924"/>
      <c r="E2" s="924"/>
      <c r="F2" s="924"/>
      <c r="G2" s="924"/>
      <c r="H2" s="924"/>
      <c r="I2" s="924"/>
      <c r="J2" s="924"/>
      <c r="K2" s="924"/>
      <c r="L2" s="924"/>
      <c r="M2" s="924"/>
      <c r="N2" s="924"/>
      <c r="O2" s="924"/>
      <c r="P2" s="924"/>
      <c r="Q2" s="924"/>
      <c r="R2" s="924"/>
      <c r="S2" s="925"/>
    </row>
    <row r="3" spans="2:22" ht="15.75" customHeight="1" thickBot="1" x14ac:dyDescent="0.3">
      <c r="B3" s="926"/>
      <c r="C3" s="927"/>
      <c r="D3" s="927"/>
      <c r="E3" s="927"/>
      <c r="F3" s="927"/>
      <c r="G3" s="927"/>
      <c r="H3" s="927"/>
      <c r="I3" s="927"/>
      <c r="J3" s="927"/>
      <c r="K3" s="927"/>
      <c r="L3" s="927"/>
      <c r="M3" s="927"/>
      <c r="N3" s="927"/>
      <c r="O3" s="927"/>
      <c r="P3" s="927"/>
      <c r="Q3" s="927"/>
      <c r="R3" s="927"/>
      <c r="S3" s="928"/>
    </row>
    <row r="4" spans="2:22" ht="16.5" thickBot="1" x14ac:dyDescent="0.3">
      <c r="B4" s="158"/>
      <c r="C4" s="920" t="s">
        <v>234</v>
      </c>
      <c r="D4" s="921"/>
      <c r="E4" s="921"/>
      <c r="F4" s="921"/>
      <c r="G4" s="921"/>
      <c r="H4" s="921"/>
      <c r="I4" s="921"/>
      <c r="J4" s="922"/>
      <c r="K4" s="114"/>
      <c r="L4" s="114"/>
      <c r="M4" s="920" t="s">
        <v>238</v>
      </c>
      <c r="N4" s="921"/>
      <c r="O4" s="921"/>
      <c r="P4" s="921"/>
      <c r="Q4" s="921"/>
      <c r="R4" s="922"/>
      <c r="S4" s="162"/>
      <c r="U4" s="919" t="s">
        <v>301</v>
      </c>
      <c r="V4" s="919"/>
    </row>
    <row r="5" spans="2:22" x14ac:dyDescent="0.25">
      <c r="B5" s="158"/>
      <c r="C5" s="245" t="s">
        <v>9</v>
      </c>
      <c r="D5" s="381" t="s">
        <v>73</v>
      </c>
      <c r="E5" s="248" t="s">
        <v>215</v>
      </c>
      <c r="F5" s="248" t="s">
        <v>214</v>
      </c>
      <c r="G5" s="248" t="s">
        <v>213</v>
      </c>
      <c r="H5" s="248" t="s">
        <v>216</v>
      </c>
      <c r="I5" s="248" t="s">
        <v>217</v>
      </c>
      <c r="J5" s="109" t="s">
        <v>218</v>
      </c>
      <c r="K5" s="218"/>
      <c r="L5" s="218"/>
      <c r="M5" s="245" t="s">
        <v>9</v>
      </c>
      <c r="N5" s="248" t="s">
        <v>191</v>
      </c>
      <c r="O5" s="396" t="s">
        <v>192</v>
      </c>
      <c r="P5" s="108" t="s">
        <v>219</v>
      </c>
      <c r="Q5" s="248" t="s">
        <v>74</v>
      </c>
      <c r="R5" s="109" t="s">
        <v>181</v>
      </c>
      <c r="S5" s="162"/>
      <c r="U5" s="229" t="s">
        <v>325</v>
      </c>
      <c r="V5" s="397" t="s">
        <v>242</v>
      </c>
    </row>
    <row r="6" spans="2:22" x14ac:dyDescent="0.25">
      <c r="B6" s="158"/>
      <c r="C6" s="398">
        <v>3</v>
      </c>
      <c r="D6" s="230">
        <f>'Structural Information'!U6</f>
        <v>3</v>
      </c>
      <c r="E6" s="306">
        <f>G32*H32</f>
        <v>31.303416575015969</v>
      </c>
      <c r="F6" s="230">
        <f>G32*H32*I32</f>
        <v>3.5197326226227572E-2</v>
      </c>
      <c r="G6" s="399">
        <f>F6/E6</f>
        <v>1.1243924809894211E-3</v>
      </c>
      <c r="H6" s="306">
        <f>G19*H19</f>
        <v>386.91434997114266</v>
      </c>
      <c r="I6" s="230">
        <f>'System Capacities'!G19*'System Capacities'!H19*'System Capacities'!I19</f>
        <v>0.43504358589446224</v>
      </c>
      <c r="J6" s="400">
        <f>I6/H6</f>
        <v>1.1243924809894211E-3</v>
      </c>
      <c r="K6" s="401"/>
      <c r="L6" s="219"/>
      <c r="M6" s="398">
        <v>3</v>
      </c>
      <c r="N6" s="306">
        <f>'System Capacities'!G32</f>
        <v>10.43447219167199</v>
      </c>
      <c r="O6" s="402">
        <f>'System Capacities'!G19</f>
        <v>128.97144999038088</v>
      </c>
      <c r="P6" s="233" t="e">
        <f>_xlfn.IFS((($N$19+$N$32)=2),(C$47),(($N$19+$N$32)=3),(C$48),(($N$19+$N$32)=4),(C$49),(($N$19+$N$32)=5),(C$50),(($N$19+$N$32)=6),(C$51),(($N$19+$N$32)=7),(C$52),(($N$19+$N$32)=8),(C$53),(($N$19+$N$32)=9),(C$54),(($N$19+$N$32)=10),(C$55))</f>
        <v>#N/A</v>
      </c>
      <c r="Q6" s="235" t="e">
        <f>_xlfn.IFS((($N$19+$N$32)=2),(D$47),(($N$19+$N$32)=3),(D$48),(($N$19+$N$32)=4),(D$49),(($N$19+$N$32)=5),(D$50),(($N$19+$N$32)=6),(D$51),(($N$19+$N$32)=7),(D$52),(($N$19+$N$32)=8),(D$53),(($N$19+$N$32)=9),(D$54),(($N$19+$N$32)=10),(D$55))</f>
        <v>#N/A</v>
      </c>
      <c r="R6" s="403" t="e">
        <f>_xlfn.IFS((($N$19+$N$32)=2),(E$47),(($N$19+$N$32)=3),(E$48),(($N$19+$N$32)=4),(E$49),(($N$19+$N$32)=5),(E$50),(($N$19+$N$32)=6),(E$51),(($N$19+$N$32)=7),(E$52),(($N$19+$N$32)=8),(E$53),(($N$19+$N$32)=9),(E$54),(($N$19+$N$32)=10),(E$55))</f>
        <v>#N/A</v>
      </c>
      <c r="S6" s="162"/>
      <c r="U6" s="230">
        <f>'Post-yield Mechanism'!O226</f>
        <v>36161.060177179243</v>
      </c>
      <c r="V6" s="404" t="e">
        <f>((U6-R6)/U6)</f>
        <v>#N/A</v>
      </c>
    </row>
    <row r="7" spans="2:22" x14ac:dyDescent="0.25">
      <c r="B7" s="158"/>
      <c r="C7" s="405">
        <v>2</v>
      </c>
      <c r="D7" s="230">
        <f>'Structural Information'!U7</f>
        <v>3</v>
      </c>
      <c r="E7" s="306">
        <f>G33*H33</f>
        <v>96.350891414253852</v>
      </c>
      <c r="F7" s="230">
        <f>G33*H33*I33</f>
        <v>0.27193871248431817</v>
      </c>
      <c r="G7" s="399">
        <f>F7/E7</f>
        <v>2.8223787916516192E-3</v>
      </c>
      <c r="H7" s="306">
        <f>G20*H20</f>
        <v>707.55945989718919</v>
      </c>
      <c r="I7" s="230">
        <f>'System Capacities'!G20*'System Capacities'!H20*'System Capacities'!I20</f>
        <v>1.9970008134463011</v>
      </c>
      <c r="J7" s="400">
        <f>I7/H7</f>
        <v>2.8223787916516192E-3</v>
      </c>
      <c r="K7" s="401"/>
      <c r="L7" s="219"/>
      <c r="M7" s="405">
        <v>2</v>
      </c>
      <c r="N7" s="306">
        <f>'System Capacities'!G33</f>
        <v>32.116963804751286</v>
      </c>
      <c r="O7" s="402">
        <f>'System Capacities'!G20</f>
        <v>235.85315329906305</v>
      </c>
      <c r="P7" s="233" t="e">
        <f>_xlfn.IFS((($N$20+$N$33)=2),(G$47),(($N$20+$N$33)=3),(G$48),(($N$20+$N$33)=4),(G$49),(($N$20+$N$33)=5),(G$50),(($N$20+$N$33)=6),(G$51),(($N$20+$N$33)=7),(G$52),(($N$20+$N$33)=8),(G$53),(($N$20+$N$33)=9),(G$54),(($N$20+$N$33)=10),(G$55))</f>
        <v>#N/A</v>
      </c>
      <c r="Q7" s="235" t="e">
        <f>_xlfn.IFS((($N$20+$N$33)=2),(H$47),(($N$20+$N$33)=3),(H$48),(($N$20+$N$33)=4),(H$49),(($N$20+$N$33)=5),(H$50),(($N$20+$N$33)=6),(H$51),(($N$20+$N$33)=7),(H$52),(($N$20+$N$33)=8),(H$53),(($N$20+$N$33)=9),(H$54),(($N$20+$N$33)=10),(H$55))</f>
        <v>#N/A</v>
      </c>
      <c r="R7" s="403" t="e">
        <f>_xlfn.IFS((($N$20+$N$33)=2),(I$47),(($N$20+$N$33)=3),(I$48),(($N$20+$N$33)=4),(I$49),(($N$20+$N$33)=5),(I$50),(($N$20+$N$33)=6),(I$51),(($N$20+$N$33)=7),(I$52),(($N$20+$N$33)=8),(I$53),(($N$20+$N$33)=9),(I$54),(($N$20+$N$33)=10),(I$55))</f>
        <v>#N/A</v>
      </c>
      <c r="S7" s="162"/>
      <c r="U7" s="230">
        <f>'Post-yield Mechanism'!O227</f>
        <v>37366.927022499607</v>
      </c>
      <c r="V7" s="404" t="e">
        <f>((U7-R7)/U7)</f>
        <v>#N/A</v>
      </c>
    </row>
    <row r="8" spans="2:22" ht="16.5" thickBot="1" x14ac:dyDescent="0.3">
      <c r="B8" s="158"/>
      <c r="C8" s="406">
        <v>1</v>
      </c>
      <c r="D8" s="261">
        <f>'Structural Information'!U8</f>
        <v>2.75</v>
      </c>
      <c r="E8" s="365">
        <f>G34*H34</f>
        <v>38</v>
      </c>
      <c r="F8" s="261">
        <f>G34*H34*I34</f>
        <v>4.8195840035031576</v>
      </c>
      <c r="G8" s="407">
        <f>F8/E8</f>
        <v>0.12683115798692521</v>
      </c>
      <c r="H8" s="365">
        <f>G21*H21</f>
        <v>74.414999999999992</v>
      </c>
      <c r="I8" s="261">
        <f>'System Capacities'!G21*'System Capacities'!H21*'System Capacities'!I21</f>
        <v>5.9531999999999998</v>
      </c>
      <c r="J8" s="408">
        <f>I8/H8</f>
        <v>0.08</v>
      </c>
      <c r="K8" s="401"/>
      <c r="L8" s="219"/>
      <c r="M8" s="406">
        <v>1</v>
      </c>
      <c r="N8" s="365">
        <f>'System Capacities'!G34</f>
        <v>13.818181818181818</v>
      </c>
      <c r="O8" s="409">
        <f>'System Capacities'!G21</f>
        <v>27.059999999999995</v>
      </c>
      <c r="P8" s="372">
        <f>_xlfn.IFS((($N$21+$N$34)=2),(K$47),(($N$21+$N$34)=3),(K$48),(($N$21+$N$34)=4),(K$49),(($N$21+$N$34)=5),(K$50),(($N$21+$N$34)=6),(K$51),(($N$21+$N$34)=7),(K$52),(($N$21+$N$34)=8),(K$53),(($N$21+$N$34)=9),(K$54),(($N$21+$N$34)=10),(K$55))</f>
        <v>97.888939193605097</v>
      </c>
      <c r="Q8" s="410">
        <f>_xlfn.IFS((($N$21+$N$34)=2),(L$47),(($N$21+$N$34)=3),(L$48),(($N$21+$N$34)=4),(L$49),(($N$21+$N$34)=5),(L$50),(($N$21+$N$34)=6),(L$51),(($N$21+$N$34)=7),(L$52),(($N$21+$N$34)=8),(L$53),(($N$21+$N$34)=9),(L$54),(($N$21+$N$34)=10),(L$55))</f>
        <v>0.08</v>
      </c>
      <c r="R8" s="411">
        <f>_xlfn.IFS((($N$21+$N$34)=2),(M$47),(($N$21+$N$34)=3),(M$48),(($N$21+$N$34)=4),(M$49),(($N$21+$N$34)=5),(M$50),(($N$21+$N$34)=6),(M$51),(($N$21+$N$34)=7),(M$52),(($N$21+$N$34)=8),(M$53),(($N$21+$N$34)=9),(M$54),(($N$21+$N$34)=10),(M$55))</f>
        <v>-442.67930564394453</v>
      </c>
      <c r="S8" s="162"/>
      <c r="U8" s="230">
        <f>'Post-yield Mechanism'!O228</f>
        <v>46703.693305883076</v>
      </c>
      <c r="V8" s="404">
        <f>((U8-R8)/U8)</f>
        <v>1.0094784646418569</v>
      </c>
    </row>
    <row r="9" spans="2:22" x14ac:dyDescent="0.25">
      <c r="B9" s="158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62"/>
      <c r="U9" s="230"/>
      <c r="V9" s="404"/>
    </row>
    <row r="10" spans="2:22" x14ac:dyDescent="0.25">
      <c r="B10" s="158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62"/>
      <c r="U10" s="230"/>
      <c r="V10" s="404"/>
    </row>
    <row r="11" spans="2:22" x14ac:dyDescent="0.25">
      <c r="B11" s="158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62"/>
      <c r="U11" s="230"/>
      <c r="V11" s="404"/>
    </row>
    <row r="12" spans="2:22" x14ac:dyDescent="0.25">
      <c r="B12" s="158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62"/>
    </row>
    <row r="13" spans="2:22" ht="16.5" thickBot="1" x14ac:dyDescent="0.3">
      <c r="B13" s="197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9"/>
    </row>
    <row r="14" spans="2:22" ht="16.5" thickBot="1" x14ac:dyDescent="0.3"/>
    <row r="15" spans="2:22" x14ac:dyDescent="0.25">
      <c r="B15" s="923" t="s">
        <v>286</v>
      </c>
      <c r="C15" s="924"/>
      <c r="D15" s="924"/>
      <c r="E15" s="924"/>
      <c r="F15" s="924"/>
      <c r="G15" s="924"/>
      <c r="H15" s="924"/>
      <c r="I15" s="924"/>
      <c r="J15" s="924"/>
      <c r="K15" s="924"/>
      <c r="L15" s="924"/>
      <c r="M15" s="924"/>
      <c r="N15" s="924"/>
      <c r="O15" s="924"/>
      <c r="P15" s="924"/>
      <c r="Q15" s="924"/>
      <c r="R15" s="924"/>
      <c r="S15" s="925"/>
    </row>
    <row r="16" spans="2:22" ht="16.5" thickBot="1" x14ac:dyDescent="0.3">
      <c r="B16" s="926"/>
      <c r="C16" s="927"/>
      <c r="D16" s="927"/>
      <c r="E16" s="927"/>
      <c r="F16" s="927"/>
      <c r="G16" s="927"/>
      <c r="H16" s="927"/>
      <c r="I16" s="927"/>
      <c r="J16" s="927"/>
      <c r="K16" s="927"/>
      <c r="L16" s="927"/>
      <c r="M16" s="927"/>
      <c r="N16" s="927"/>
      <c r="O16" s="927"/>
      <c r="P16" s="927"/>
      <c r="Q16" s="927"/>
      <c r="R16" s="927"/>
      <c r="S16" s="928"/>
    </row>
    <row r="17" spans="2:42" ht="16.5" thickBot="1" x14ac:dyDescent="0.3">
      <c r="B17" s="158"/>
      <c r="C17" s="950" t="s">
        <v>382</v>
      </c>
      <c r="D17" s="951"/>
      <c r="E17" s="951"/>
      <c r="F17" s="951"/>
      <c r="G17" s="951"/>
      <c r="H17" s="951"/>
      <c r="I17" s="951"/>
      <c r="J17" s="951"/>
      <c r="K17" s="951"/>
      <c r="L17" s="951"/>
      <c r="M17" s="951"/>
      <c r="N17" s="952"/>
      <c r="O17" s="137"/>
      <c r="P17" s="941" t="s">
        <v>398</v>
      </c>
      <c r="Q17" s="942"/>
      <c r="R17" s="942"/>
      <c r="S17" s="162"/>
      <c r="U17" s="919" t="s">
        <v>301</v>
      </c>
      <c r="V17" s="919"/>
    </row>
    <row r="18" spans="2:42" ht="16.5" customHeight="1" x14ac:dyDescent="0.25">
      <c r="B18" s="158"/>
      <c r="C18" s="245" t="s">
        <v>9</v>
      </c>
      <c r="D18" s="917" t="s">
        <v>171</v>
      </c>
      <c r="E18" s="917"/>
      <c r="F18" s="917"/>
      <c r="G18" s="412" t="s">
        <v>72</v>
      </c>
      <c r="H18" s="248" t="s">
        <v>73</v>
      </c>
      <c r="I18" s="413" t="s">
        <v>74</v>
      </c>
      <c r="J18" s="414" t="s">
        <v>75</v>
      </c>
      <c r="K18" s="929" t="s">
        <v>199</v>
      </c>
      <c r="L18" s="930"/>
      <c r="M18" s="931"/>
      <c r="N18" s="115" t="s">
        <v>198</v>
      </c>
      <c r="O18" s="137"/>
      <c r="P18" s="942"/>
      <c r="Q18" s="942"/>
      <c r="R18" s="942"/>
      <c r="S18" s="162"/>
      <c r="U18" s="229" t="s">
        <v>325</v>
      </c>
      <c r="V18" s="397" t="s">
        <v>242</v>
      </c>
      <c r="AK18" s="415"/>
      <c r="AL18" s="415"/>
      <c r="AM18" s="415"/>
      <c r="AN18" s="415"/>
      <c r="AO18" s="415"/>
      <c r="AP18" s="415"/>
    </row>
    <row r="19" spans="2:42" ht="15" customHeight="1" x14ac:dyDescent="0.25">
      <c r="B19" s="158"/>
      <c r="C19" s="362">
        <v>3</v>
      </c>
      <c r="D19" s="943" t="s">
        <v>182</v>
      </c>
      <c r="E19" s="944"/>
      <c r="F19" s="945"/>
      <c r="G19" s="230">
        <f>_xlfn.IFS(N19=1,'Infill Capacities'!CG11,N19=2,'Infill Capacities'!CH11,N19=3,'Infill Capacities'!CI11,N19=4,'Infill Capacities'!CJ11,N19=-1,'Infill Capacities'!CK11)</f>
        <v>128.97144999038088</v>
      </c>
      <c r="H19" s="230">
        <f>'Structural Information'!$U$6</f>
        <v>3</v>
      </c>
      <c r="I19" s="235">
        <f>_xlfn.IFS(N19=1,'Infill Capacities'!CS11,N19=2,'Infill Capacities'!CT11,N19=3,'Infill Capacities'!CU11,N19=4,'Infill Capacities'!CV11,N19=-1,'Infill Capacities'!CW11)</f>
        <v>1.1243924809894211E-3</v>
      </c>
      <c r="J19" s="230">
        <f>_xlfn.IFS((N19=1),('Infill Capacities'!CM11),(N19=2),('Infill Capacities'!CN11),(N19=3),('Infill Capacities'!CO11),(N19=4),'Infill Capacities'!CP11,(N19=-1),'Infill Capacities'!CQ11)</f>
        <v>38234.410187710455</v>
      </c>
      <c r="K19" s="932"/>
      <c r="L19" s="933"/>
      <c r="M19" s="934"/>
      <c r="N19" s="416">
        <v>-1</v>
      </c>
      <c r="O19">
        <v>1</v>
      </c>
      <c r="P19" s="942"/>
      <c r="Q19" s="942"/>
      <c r="R19" s="942"/>
      <c r="S19" s="162"/>
      <c r="U19" s="230">
        <f>'Post-yield Mechanism'!Q226</f>
        <v>32354.935297247317</v>
      </c>
      <c r="V19" s="404">
        <f>((U19-J19)/U19)</f>
        <v>-0.18171802343129242</v>
      </c>
    </row>
    <row r="20" spans="2:42" x14ac:dyDescent="0.25">
      <c r="B20" s="158"/>
      <c r="C20" s="362">
        <v>2</v>
      </c>
      <c r="D20" s="943" t="s">
        <v>183</v>
      </c>
      <c r="E20" s="944"/>
      <c r="F20" s="945"/>
      <c r="G20" s="230">
        <f>_xlfn.IFS(N20=1,'Infill Capacities'!CG12,N20=2,'Infill Capacities'!CH12,N20=3,'Infill Capacities'!CI12,N20=4,'Infill Capacities'!CJ12,N20=-1,'Infill Capacities'!CK12)</f>
        <v>235.85315329906305</v>
      </c>
      <c r="H20" s="230">
        <f>'Structural Information'!$U$7</f>
        <v>3</v>
      </c>
      <c r="I20" s="235">
        <f>_xlfn.IFS(N20=1,'Infill Capacities'!CS12,N20=2,'Infill Capacities'!CT12,N20=3,'Infill Capacities'!CU12,N20=4,'Infill Capacities'!CV12,N20=-1,'Infill Capacities'!CW12)</f>
        <v>2.8223787916516192E-3</v>
      </c>
      <c r="J20" s="230">
        <f>_xlfn.IFS((N20=1),('Infill Capacities'!CM12),(N20=2),('Infill Capacities'!CN12),(N20=3),('Infill Capacities'!CO12),(N20=4),'Infill Capacities'!CP12,(N20=-1),'Infill Capacities'!CQ12)</f>
        <v>40870.467681435926</v>
      </c>
      <c r="K20" s="932"/>
      <c r="L20" s="933"/>
      <c r="M20" s="934"/>
      <c r="N20" s="416">
        <v>-1</v>
      </c>
      <c r="O20">
        <v>2</v>
      </c>
      <c r="P20" s="942"/>
      <c r="Q20" s="942"/>
      <c r="R20" s="942"/>
      <c r="S20" s="162"/>
      <c r="U20" s="230">
        <f>'Post-yield Mechanism'!Q227</f>
        <v>33199.936204887592</v>
      </c>
      <c r="V20" s="404">
        <f>((U20-J20)/U20)</f>
        <v>-0.23104054866885868</v>
      </c>
    </row>
    <row r="21" spans="2:42" ht="16.5" thickBot="1" x14ac:dyDescent="0.3">
      <c r="B21" s="158"/>
      <c r="C21" s="374">
        <v>1</v>
      </c>
      <c r="D21" s="946" t="s">
        <v>183</v>
      </c>
      <c r="E21" s="947"/>
      <c r="F21" s="948"/>
      <c r="G21" s="261">
        <f>_xlfn.IFS(N21=1,'Infill Capacities'!CG13,N21=2,'Infill Capacities'!CH13,N21=3,'Infill Capacities'!CI13,N21=4,'Infill Capacities'!CJ13,N21=-1,'Infill Capacities'!CK13)</f>
        <v>27.059999999999995</v>
      </c>
      <c r="H21" s="261">
        <f>'Structural Information'!$U$8</f>
        <v>2.75</v>
      </c>
      <c r="I21" s="410">
        <f>_xlfn.IFS(N21=1,'Infill Capacities'!CS13,N21=2,'Infill Capacities'!CT13,N21=3,'Infill Capacities'!CU13,N21=4,'Infill Capacities'!CV13,N21=-1,'Infill Capacities'!CW13)</f>
        <v>0.08</v>
      </c>
      <c r="J21" s="261">
        <f>_xlfn.IFS((N21=1),('Infill Capacities'!CM13),(N21=2),('Infill Capacities'!CN13),(N21=3),('Infill Capacities'!CO13),(N21=4),'Infill Capacities'!CP13,(N21=-1),'Infill Capacities'!CQ13)</f>
        <v>0</v>
      </c>
      <c r="K21" s="935"/>
      <c r="L21" s="936"/>
      <c r="M21" s="937"/>
      <c r="N21" s="417">
        <v>4</v>
      </c>
      <c r="O21"/>
      <c r="P21" s="942"/>
      <c r="Q21" s="942"/>
      <c r="R21" s="942"/>
      <c r="S21" s="162"/>
      <c r="U21" s="230">
        <f>'Post-yield Mechanism'!Q228</f>
        <v>39424.033164850196</v>
      </c>
      <c r="V21" s="404">
        <f>((U21-J21)/U21)</f>
        <v>1</v>
      </c>
    </row>
    <row r="22" spans="2:42" x14ac:dyDescent="0.25">
      <c r="B22" s="158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942"/>
      <c r="Q22" s="942"/>
      <c r="R22" s="942"/>
      <c r="S22" s="162"/>
      <c r="U22" s="230"/>
      <c r="V22" s="404"/>
    </row>
    <row r="23" spans="2:42" x14ac:dyDescent="0.25">
      <c r="B23" s="158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942"/>
      <c r="Q23" s="942"/>
      <c r="R23" s="942"/>
      <c r="S23" s="162"/>
      <c r="U23" s="230"/>
      <c r="V23" s="404"/>
      <c r="Y23" s="418"/>
      <c r="Z23" s="419"/>
      <c r="AA23" s="420"/>
      <c r="AB23" s="419"/>
      <c r="AC23" s="418"/>
      <c r="AD23" s="419"/>
      <c r="AE23" s="420"/>
      <c r="AF23" s="419"/>
      <c r="AG23" s="418"/>
      <c r="AH23" s="419"/>
      <c r="AI23" s="420"/>
      <c r="AJ23" s="419"/>
    </row>
    <row r="24" spans="2:42" x14ac:dyDescent="0.25">
      <c r="B24" s="158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942"/>
      <c r="Q24" s="942"/>
      <c r="R24" s="942"/>
      <c r="S24" s="162"/>
      <c r="U24" s="230"/>
      <c r="V24" s="404"/>
    </row>
    <row r="25" spans="2:42" x14ac:dyDescent="0.25">
      <c r="B25" s="15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62"/>
    </row>
    <row r="26" spans="2:42" ht="16.5" thickBot="1" x14ac:dyDescent="0.3">
      <c r="B26" s="197"/>
      <c r="C26" s="198"/>
      <c r="D26" s="198"/>
      <c r="E26" s="198"/>
      <c r="F26" s="198"/>
      <c r="G26" s="198"/>
      <c r="H26" s="198"/>
      <c r="I26" s="198"/>
      <c r="J26" s="198"/>
      <c r="K26" s="198"/>
      <c r="L26" s="198"/>
      <c r="M26" s="198"/>
      <c r="N26" s="198"/>
      <c r="O26" s="198"/>
      <c r="P26" s="198"/>
      <c r="Q26" s="198"/>
      <c r="R26" s="198"/>
      <c r="S26" s="199"/>
    </row>
    <row r="27" spans="2:42" ht="16.5" thickBot="1" x14ac:dyDescent="0.3">
      <c r="U27" s="388"/>
    </row>
    <row r="28" spans="2:42" x14ac:dyDescent="0.25">
      <c r="B28" s="923" t="s">
        <v>287</v>
      </c>
      <c r="C28" s="924"/>
      <c r="D28" s="924"/>
      <c r="E28" s="924"/>
      <c r="F28" s="924"/>
      <c r="G28" s="924"/>
      <c r="H28" s="924"/>
      <c r="I28" s="924"/>
      <c r="J28" s="924"/>
      <c r="K28" s="924"/>
      <c r="L28" s="924"/>
      <c r="M28" s="924"/>
      <c r="N28" s="924"/>
      <c r="O28" s="924"/>
      <c r="P28" s="924"/>
      <c r="Q28" s="924"/>
      <c r="R28" s="924"/>
      <c r="S28" s="925"/>
      <c r="AD28" s="230"/>
      <c r="AE28" s="227"/>
    </row>
    <row r="29" spans="2:42" ht="16.5" thickBot="1" x14ac:dyDescent="0.3">
      <c r="B29" s="926"/>
      <c r="C29" s="927"/>
      <c r="D29" s="927"/>
      <c r="E29" s="927"/>
      <c r="F29" s="927"/>
      <c r="G29" s="927"/>
      <c r="H29" s="927"/>
      <c r="I29" s="927"/>
      <c r="J29" s="927"/>
      <c r="K29" s="927"/>
      <c r="L29" s="927"/>
      <c r="M29" s="927"/>
      <c r="N29" s="927"/>
      <c r="O29" s="927"/>
      <c r="P29" s="927"/>
      <c r="Q29" s="927"/>
      <c r="R29" s="927"/>
      <c r="S29" s="928"/>
      <c r="X29" s="388"/>
      <c r="AD29" s="230"/>
      <c r="AE29" s="227"/>
    </row>
    <row r="30" spans="2:42" ht="16.5" thickBot="1" x14ac:dyDescent="0.3">
      <c r="B30" s="158"/>
      <c r="C30" s="938" t="s">
        <v>179</v>
      </c>
      <c r="D30" s="939"/>
      <c r="E30" s="939"/>
      <c r="F30" s="939"/>
      <c r="G30" s="939"/>
      <c r="H30" s="939"/>
      <c r="I30" s="939"/>
      <c r="J30" s="939"/>
      <c r="K30" s="939"/>
      <c r="L30" s="939"/>
      <c r="M30" s="939"/>
      <c r="N30" s="940"/>
      <c r="O30" s="137"/>
      <c r="P30" s="941" t="s">
        <v>399</v>
      </c>
      <c r="Q30" s="942"/>
      <c r="R30" s="942"/>
      <c r="S30" s="162"/>
      <c r="U30" s="919" t="s">
        <v>301</v>
      </c>
      <c r="V30" s="919"/>
      <c r="AD30" s="419"/>
      <c r="AE30" s="420"/>
    </row>
    <row r="31" spans="2:42" ht="15.75" customHeight="1" x14ac:dyDescent="0.25">
      <c r="B31" s="158"/>
      <c r="C31" s="245" t="s">
        <v>9</v>
      </c>
      <c r="D31" s="917" t="s">
        <v>71</v>
      </c>
      <c r="E31" s="917"/>
      <c r="F31" s="917"/>
      <c r="G31" s="108" t="s">
        <v>72</v>
      </c>
      <c r="H31" s="248" t="s">
        <v>73</v>
      </c>
      <c r="I31" s="248" t="s">
        <v>74</v>
      </c>
      <c r="J31" s="288" t="s">
        <v>75</v>
      </c>
      <c r="K31" s="929" t="s">
        <v>199</v>
      </c>
      <c r="L31" s="930"/>
      <c r="M31" s="931"/>
      <c r="N31" s="115" t="s">
        <v>198</v>
      </c>
      <c r="O31" s="137"/>
      <c r="P31" s="942"/>
      <c r="Q31" s="942"/>
      <c r="R31" s="942"/>
      <c r="S31" s="162"/>
      <c r="U31" s="229" t="s">
        <v>325</v>
      </c>
      <c r="V31" s="397" t="s">
        <v>242</v>
      </c>
      <c r="AD31" s="419"/>
      <c r="AE31" s="420"/>
    </row>
    <row r="32" spans="2:42" x14ac:dyDescent="0.25">
      <c r="B32" s="158"/>
      <c r="C32" s="362">
        <v>3</v>
      </c>
      <c r="D32" s="943" t="s">
        <v>42</v>
      </c>
      <c r="E32" s="944"/>
      <c r="F32" s="945"/>
      <c r="G32" s="230">
        <f>_xlfn.IFS(N32=1,'Frame Capacities'!BF11,N32=2,'Frame Capacities'!BG11,N32=3,'Frame Capacities'!BH11,N32=4,'Frame Capacities'!BI11,N32=5,'Frame Capacities'!BJ11,N32=-1,'Frame Capacities'!BK11)</f>
        <v>10.43447219167199</v>
      </c>
      <c r="H32" s="230">
        <f>'Structural Information'!$U$6</f>
        <v>3</v>
      </c>
      <c r="I32" s="235">
        <f>_xlfn.IFS(N32=1,'Frame Capacities'!BT11,N32=2,'Frame Capacities'!BU11,N32=3,'Frame Capacities'!BV11,N32=4,'Frame Capacities'!BW11,N32=5,'Frame Capacities'!BX11,N32=-1,'Frame Capacities'!BY11)</f>
        <v>1.1243924809894211E-3</v>
      </c>
      <c r="J32" s="230">
        <f>_xlfn.IFS((N32=1),('Frame Capacities'!BM11),(N32=2),('Frame Capacities'!BN11),(N32=3),('Frame Capacities'!BO11),(N32=4),'Frame Capacities'!BP11,(N32=5),'Frame Capacities'!BQ11,(N32=-1),'Frame Capacities'!BR11)</f>
        <v>3093.365934076111</v>
      </c>
      <c r="K32" s="932"/>
      <c r="L32" s="933"/>
      <c r="M32" s="934"/>
      <c r="N32" s="416">
        <v>-1</v>
      </c>
      <c r="O32">
        <v>1</v>
      </c>
      <c r="P32" s="942"/>
      <c r="Q32" s="942"/>
      <c r="R32" s="942"/>
      <c r="S32" s="162"/>
      <c r="U32" s="230">
        <f>'Post-yield Mechanism'!P226</f>
        <v>3806.1248799319242</v>
      </c>
      <c r="V32" s="404">
        <f>((U32-J32)/U32)</f>
        <v>0.18726630584663356</v>
      </c>
      <c r="AD32" s="230"/>
      <c r="AE32" s="227"/>
    </row>
    <row r="33" spans="1:32" x14ac:dyDescent="0.25">
      <c r="B33" s="158"/>
      <c r="C33" s="362">
        <v>2</v>
      </c>
      <c r="D33" s="943" t="s">
        <v>42</v>
      </c>
      <c r="E33" s="944"/>
      <c r="F33" s="945"/>
      <c r="G33" s="230">
        <f>_xlfn.IFS(N33=1,'Frame Capacities'!BF12,N33=2,'Frame Capacities'!BG12,N33=3,'Frame Capacities'!BH12,N33=4,'Frame Capacities'!BI12,N33=5,'Frame Capacities'!BJ12,N33=-1,'Frame Capacities'!BK12)</f>
        <v>32.116963804751286</v>
      </c>
      <c r="H33" s="230">
        <f>'Structural Information'!$U$7</f>
        <v>3</v>
      </c>
      <c r="I33" s="235">
        <f>_xlfn.IFS(N33=1,'Frame Capacities'!BT12,N33=2,'Frame Capacities'!BU12,N33=3,'Frame Capacities'!BV12,N33=4,'Frame Capacities'!BW12,N33=5,'Frame Capacities'!BX12,N33=-1,'Frame Capacities'!BY12)</f>
        <v>2.8223787916516192E-3</v>
      </c>
      <c r="J33" s="230">
        <f>_xlfn.IFS((N33=1),('Frame Capacities'!BM12),(N33=2),('Frame Capacities'!BN12),(N33=3),('Frame Capacities'!BO12),(N33=4),'Frame Capacities'!BP12,(N33=5),'Frame Capacities'!BQ12,(N33=-1),'Frame Capacities'!BR12)</f>
        <v>3793.1317487398474</v>
      </c>
      <c r="K33" s="932"/>
      <c r="L33" s="933"/>
      <c r="M33" s="934"/>
      <c r="N33" s="416">
        <v>-1</v>
      </c>
      <c r="O33">
        <v>1</v>
      </c>
      <c r="P33" s="942"/>
      <c r="Q33" s="942"/>
      <c r="R33" s="942"/>
      <c r="S33" s="162"/>
      <c r="U33" s="230">
        <f>'Post-yield Mechanism'!P227</f>
        <v>4166.9908176120125</v>
      </c>
      <c r="V33" s="404">
        <f>((U33-J33)/U33)</f>
        <v>8.9719196714336286E-2</v>
      </c>
      <c r="AD33" s="419"/>
      <c r="AE33" s="420"/>
    </row>
    <row r="34" spans="1:32" ht="16.5" thickBot="1" x14ac:dyDescent="0.3">
      <c r="B34" s="158"/>
      <c r="C34" s="374">
        <v>1</v>
      </c>
      <c r="D34" s="946" t="s">
        <v>42</v>
      </c>
      <c r="E34" s="947"/>
      <c r="F34" s="948"/>
      <c r="G34" s="261">
        <f>_xlfn.IFS(N34=1,'Frame Capacities'!BF13,N34=2,'Frame Capacities'!BG13,N34=3,'Frame Capacities'!BH13,N34=4,'Frame Capacities'!BI13,N34=5,'Frame Capacities'!BJ13,N34=-1,'Frame Capacities'!BK13)</f>
        <v>13.818181818181818</v>
      </c>
      <c r="H34" s="261">
        <f>'Structural Information'!$U$8</f>
        <v>2.75</v>
      </c>
      <c r="I34" s="410">
        <f>_xlfn.IFS(N34=1,'Frame Capacities'!BT13,N34=2,'Frame Capacities'!BU13,N34=3,'Frame Capacities'!BV13,N34=4,'Frame Capacities'!BW13,N34=4,'Frame Capacities'!BX13,N34=-1,'Frame Capacities'!BY13)</f>
        <v>0.12683115798692521</v>
      </c>
      <c r="J34" s="261">
        <f>_xlfn.IFS((N34=1),('Frame Capacities'!BM13),(N34=2),('Frame Capacities'!BN13),(N34=3),('Frame Capacities'!BO13),(N34=4),'Frame Capacities'!BP13,(N34=5),'Frame Capacities'!BQ13,(N34=-1),'Frame Capacities'!BR13)</f>
        <v>-442.67930564394453</v>
      </c>
      <c r="K34" s="935"/>
      <c r="L34" s="936"/>
      <c r="M34" s="937"/>
      <c r="N34" s="417">
        <v>4</v>
      </c>
      <c r="O34"/>
      <c r="P34" s="942"/>
      <c r="Q34" s="942"/>
      <c r="R34" s="942"/>
      <c r="S34" s="162"/>
      <c r="U34" s="230">
        <f>'Post-yield Mechanism'!P228</f>
        <v>7279.6601410328813</v>
      </c>
      <c r="V34" s="404">
        <f>((U34-J34)/U34)</f>
        <v>1.0608104357988799</v>
      </c>
      <c r="AD34" s="230"/>
      <c r="AE34" s="227"/>
    </row>
    <row r="35" spans="1:32" x14ac:dyDescent="0.25">
      <c r="B35" s="158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942"/>
      <c r="Q35" s="942"/>
      <c r="R35" s="942"/>
      <c r="S35" s="162"/>
      <c r="U35" s="230"/>
      <c r="V35" s="404"/>
    </row>
    <row r="36" spans="1:32" x14ac:dyDescent="0.25">
      <c r="B36" s="158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942"/>
      <c r="Q36" s="942"/>
      <c r="R36" s="942"/>
      <c r="S36" s="162"/>
      <c r="U36" s="230"/>
      <c r="V36" s="404"/>
    </row>
    <row r="37" spans="1:32" x14ac:dyDescent="0.25">
      <c r="B37" s="158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942"/>
      <c r="Q37" s="942"/>
      <c r="R37" s="942"/>
      <c r="S37" s="162"/>
      <c r="U37" s="230"/>
      <c r="V37" s="404"/>
    </row>
    <row r="38" spans="1:32" x14ac:dyDescent="0.25">
      <c r="B38" s="158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62"/>
    </row>
    <row r="39" spans="1:32" ht="16.5" thickBot="1" x14ac:dyDescent="0.3">
      <c r="B39" s="197"/>
      <c r="C39" s="198"/>
      <c r="D39" s="198"/>
      <c r="E39" s="198"/>
      <c r="F39" s="198"/>
      <c r="G39" s="198"/>
      <c r="H39" s="198"/>
      <c r="I39" s="198"/>
      <c r="J39" s="198"/>
      <c r="K39" s="198"/>
      <c r="L39" s="198"/>
      <c r="M39" s="198"/>
      <c r="N39" s="198"/>
      <c r="O39" s="198"/>
      <c r="P39" s="198"/>
      <c r="Q39" s="198"/>
      <c r="R39" s="198"/>
      <c r="S39" s="199"/>
    </row>
    <row r="41" spans="1:32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</row>
    <row r="42" spans="1:32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</row>
    <row r="43" spans="1:32" x14ac:dyDescent="0.25">
      <c r="A43" s="180"/>
      <c r="B43" s="949" t="s">
        <v>338</v>
      </c>
      <c r="C43" s="949"/>
      <c r="D43" s="949"/>
      <c r="E43" s="949"/>
      <c r="F43" s="949"/>
      <c r="G43" s="949"/>
      <c r="H43" s="949"/>
      <c r="I43" s="949"/>
      <c r="J43" s="949"/>
      <c r="K43" s="949"/>
      <c r="L43" s="949"/>
      <c r="M43" s="949"/>
      <c r="N43" s="180"/>
    </row>
    <row r="44" spans="1:32" x14ac:dyDescent="0.25">
      <c r="A44" s="180"/>
      <c r="B44" s="643" t="s">
        <v>337</v>
      </c>
      <c r="C44" s="643"/>
      <c r="D44" s="643"/>
      <c r="E44" s="643"/>
      <c r="F44" s="652" t="s">
        <v>336</v>
      </c>
      <c r="G44" s="643"/>
      <c r="H44" s="643"/>
      <c r="I44" s="646"/>
      <c r="J44" s="643" t="s">
        <v>335</v>
      </c>
      <c r="K44" s="643"/>
      <c r="L44" s="643"/>
      <c r="M44" s="643"/>
      <c r="N44" s="180"/>
    </row>
    <row r="45" spans="1:32" x14ac:dyDescent="0.25">
      <c r="A45" s="180"/>
      <c r="B45" s="527" t="s">
        <v>334</v>
      </c>
      <c r="C45" s="527" t="s">
        <v>79</v>
      </c>
      <c r="D45" s="527" t="s">
        <v>104</v>
      </c>
      <c r="E45" s="527" t="s">
        <v>326</v>
      </c>
      <c r="F45" s="529" t="s">
        <v>334</v>
      </c>
      <c r="G45" s="246" t="s">
        <v>79</v>
      </c>
      <c r="H45" s="246" t="s">
        <v>104</v>
      </c>
      <c r="I45" s="528" t="s">
        <v>326</v>
      </c>
      <c r="J45" s="527" t="s">
        <v>334</v>
      </c>
      <c r="K45" s="527" t="s">
        <v>79</v>
      </c>
      <c r="L45" s="527" t="s">
        <v>104</v>
      </c>
      <c r="M45" s="527" t="s">
        <v>326</v>
      </c>
      <c r="N45" s="180"/>
      <c r="AC45" s="1073" t="s">
        <v>434</v>
      </c>
      <c r="AD45" s="1073"/>
      <c r="AE45" s="1073" t="s">
        <v>435</v>
      </c>
      <c r="AF45" s="1073"/>
    </row>
    <row r="46" spans="1:32" x14ac:dyDescent="0.25">
      <c r="A46" s="180"/>
      <c r="B46" s="534" t="s">
        <v>403</v>
      </c>
      <c r="C46" s="535">
        <v>0</v>
      </c>
      <c r="D46" s="535">
        <v>0</v>
      </c>
      <c r="E46" s="536" t="s">
        <v>70</v>
      </c>
      <c r="F46" s="535" t="s">
        <v>403</v>
      </c>
      <c r="G46" s="535">
        <v>0</v>
      </c>
      <c r="H46" s="535">
        <v>0</v>
      </c>
      <c r="I46" s="535" t="s">
        <v>70</v>
      </c>
      <c r="J46" s="534" t="s">
        <v>403</v>
      </c>
      <c r="K46" s="535">
        <v>0</v>
      </c>
      <c r="L46" s="535">
        <v>0</v>
      </c>
      <c r="M46" s="536" t="s">
        <v>70</v>
      </c>
      <c r="N46" s="180"/>
      <c r="AC46" s="390" t="s">
        <v>436</v>
      </c>
      <c r="AD46" s="390" t="s">
        <v>300</v>
      </c>
      <c r="AE46" s="390" t="s">
        <v>436</v>
      </c>
      <c r="AF46" s="390" t="s">
        <v>300</v>
      </c>
    </row>
    <row r="47" spans="1:32" x14ac:dyDescent="0.25">
      <c r="A47" s="180"/>
      <c r="B47" s="421" t="s">
        <v>327</v>
      </c>
      <c r="C47" s="257">
        <f>E47*D47*$D$6</f>
        <v>230.6305473153175</v>
      </c>
      <c r="D47" s="307">
        <f>'Infill Capacities'!$CS$11</f>
        <v>1.8601738665676483E-3</v>
      </c>
      <c r="E47" s="530">
        <f>'Infill Capacities'!$CM$11+'Frame Capacities'!$BM$11</f>
        <v>41327.776121786563</v>
      </c>
      <c r="F47" s="304" t="s">
        <v>327</v>
      </c>
      <c r="G47" s="257">
        <f>G46+I47*(H47-H46)*$D$7</f>
        <v>236.57121029315203</v>
      </c>
      <c r="H47" s="307">
        <f>'Infill Capacities'!$CS$12</f>
        <v>1.7655780345468453E-3</v>
      </c>
      <c r="I47" s="257">
        <f>'Infill Capacities'!$CM$12+'Frame Capacities'!$BM$12</f>
        <v>44663.599430175775</v>
      </c>
      <c r="J47" s="421" t="s">
        <v>327</v>
      </c>
      <c r="K47" s="257">
        <f>M47*L47*$D$8</f>
        <v>244.17848343237631</v>
      </c>
      <c r="L47" s="307">
        <f>'Infill Capacities'!$CS$13</f>
        <v>1.7443905747548439E-3</v>
      </c>
      <c r="M47" s="530">
        <f>'Infill Capacities'!$CM$13+'Frame Capacities'!$BM$13</f>
        <v>50901.545260911655</v>
      </c>
      <c r="N47" s="180"/>
      <c r="AC47" s="390">
        <v>0</v>
      </c>
      <c r="AD47" s="390">
        <v>0</v>
      </c>
      <c r="AE47" s="390">
        <v>0</v>
      </c>
      <c r="AF47" s="390">
        <v>0</v>
      </c>
    </row>
    <row r="48" spans="1:32" x14ac:dyDescent="0.25">
      <c r="A48" s="180"/>
      <c r="B48" s="421" t="s">
        <v>328</v>
      </c>
      <c r="C48" s="257">
        <f>C47+E48*(D48-D47)*$D$6</f>
        <v>311.92446766377384</v>
      </c>
      <c r="D48" s="307">
        <f>'Infill Capacities'!$CT$11</f>
        <v>4.8722038007391836E-3</v>
      </c>
      <c r="E48" s="530">
        <f>'Infill Capacities'!$CN$11+'Frame Capacities'!$BM$11</f>
        <v>8996.5817212035126</v>
      </c>
      <c r="F48" s="304" t="s">
        <v>328</v>
      </c>
      <c r="G48" s="422">
        <f>G47+I48*(H48-H47)*$D$7</f>
        <v>324.28583322318525</v>
      </c>
      <c r="H48" s="307">
        <f>'Infill Capacities'!$CT$12</f>
        <v>4.7178107501820677E-3</v>
      </c>
      <c r="I48" s="257">
        <f>'Infill Capacities'!$CN$12+'Frame Capacities'!$BM$12</f>
        <v>9903.7611393224215</v>
      </c>
      <c r="J48" s="421" t="s">
        <v>328</v>
      </c>
      <c r="K48" s="257">
        <f t="shared" ref="K48:K53" si="0">K47+M48*(L48-L47)*$D$8</f>
        <v>346.03015280246001</v>
      </c>
      <c r="L48" s="307">
        <f>'Infill Capacities'!$CT$13</f>
        <v>4.7504278680878037E-3</v>
      </c>
      <c r="M48" s="530">
        <f>'Infill Capacities'!$CN$13+'Frame Capacities'!$BM$13</f>
        <v>12320.862007325763</v>
      </c>
      <c r="N48" s="180"/>
      <c r="AC48" s="390">
        <v>128.61818181818182</v>
      </c>
      <c r="AD48" s="390">
        <v>8.1000948897978157E-3</v>
      </c>
      <c r="AE48" s="390">
        <v>216.47999999999996</v>
      </c>
      <c r="AF48" s="390">
        <v>1.7443905747548439E-3</v>
      </c>
    </row>
    <row r="49" spans="1:32" x14ac:dyDescent="0.25">
      <c r="A49" s="180"/>
      <c r="B49" s="423" t="s">
        <v>329</v>
      </c>
      <c r="C49" s="422">
        <f t="shared" ref="C49:C55" si="1">C48+E49*(D49-D48)*$D$6</f>
        <v>243.77668920947568</v>
      </c>
      <c r="D49" s="424">
        <f>'Frame Capacities'!$BT$11</f>
        <v>9.5976000000000013E-3</v>
      </c>
      <c r="E49" s="425">
        <f>'Infill Capacities'!$CO$11+'Frame Capacities'!$BM$11</f>
        <v>-4807.2003263950901</v>
      </c>
      <c r="F49" s="541" t="s">
        <v>329</v>
      </c>
      <c r="G49" s="422">
        <f>G48+I49*(H49-H48)*$D$7</f>
        <v>265.03809483005693</v>
      </c>
      <c r="H49" s="424">
        <f>'Frame Capacities'!$BT$12</f>
        <v>9.1744770034843208E-3</v>
      </c>
      <c r="I49" s="422">
        <f>'Infill Capacities'!$CO$12+'Frame Capacities'!$BM$12</f>
        <v>-4431.394456878882</v>
      </c>
      <c r="J49" s="423" t="s">
        <v>329</v>
      </c>
      <c r="K49" s="422">
        <f t="shared" si="0"/>
        <v>312.22274937476266</v>
      </c>
      <c r="L49" s="424">
        <f>'Frame Capacities'!$BT$13</f>
        <v>8.1000948897978157E-3</v>
      </c>
      <c r="M49" s="425">
        <f>'Infill Capacities'!$CO$13+'Frame Capacities'!$BM$13</f>
        <v>-3670.09651011804</v>
      </c>
      <c r="N49" s="180"/>
      <c r="AC49" s="390">
        <v>138.49090909090907</v>
      </c>
      <c r="AD49" s="390">
        <v>2.4445445866362128E-2</v>
      </c>
      <c r="AE49" s="390">
        <v>270.59999999999997</v>
      </c>
      <c r="AF49" s="390">
        <v>4.7504278680878037E-3</v>
      </c>
    </row>
    <row r="50" spans="1:32" x14ac:dyDescent="0.25">
      <c r="A50" s="180"/>
      <c r="B50" s="421" t="s">
        <v>331</v>
      </c>
      <c r="C50" s="257">
        <f t="shared" si="1"/>
        <v>118.68832583815092</v>
      </c>
      <c r="D50" s="307">
        <f>'Infill Capacities'!$CU$11</f>
        <v>1.4999703441427674E-2</v>
      </c>
      <c r="E50" s="530">
        <f>'Infill Capacities'!$CO$11+'Frame Capacities'!$BN$11</f>
        <v>-7718.4973549405859</v>
      </c>
      <c r="F50" s="304" t="s">
        <v>331</v>
      </c>
      <c r="G50" s="257">
        <f t="shared" ref="G50:G53" si="2">G49+I50*(H50-H49)*$D$7</f>
        <v>134.57230470654031</v>
      </c>
      <c r="H50" s="307">
        <f>'Infill Capacities'!$CU$12</f>
        <v>1.4588288145529225E-2</v>
      </c>
      <c r="I50" s="257">
        <f>'Infill Capacities'!$CO$12+'Frame Capacities'!$BN$12</f>
        <v>-8032.8987411652415</v>
      </c>
      <c r="J50" s="421" t="s">
        <v>331</v>
      </c>
      <c r="K50" s="257">
        <f t="shared" si="0"/>
        <v>159.31889173839335</v>
      </c>
      <c r="L50" s="307">
        <f>'Infill Capacities'!$CU$13</f>
        <v>1.4127677725404499E-2</v>
      </c>
      <c r="M50" s="530">
        <f>'Infill Capacities'!$CO$13+'Frame Capacities'!$BN$13</f>
        <v>-9224.4941783973391</v>
      </c>
      <c r="N50" s="180"/>
      <c r="AC50" s="390">
        <v>110.81818181818181</v>
      </c>
      <c r="AD50" s="390">
        <v>4.7151067178483844E-2</v>
      </c>
      <c r="AE50" s="390">
        <v>27.059999999999995</v>
      </c>
      <c r="AF50" s="390">
        <v>1.4127677725404499E-2</v>
      </c>
    </row>
    <row r="51" spans="1:32" x14ac:dyDescent="0.25">
      <c r="A51" s="180"/>
      <c r="B51" s="423" t="s">
        <v>330</v>
      </c>
      <c r="C51" s="422">
        <f t="shared" si="1"/>
        <v>122.5376606547192</v>
      </c>
      <c r="D51" s="424">
        <f>'Frame Capacities'!$BU$11</f>
        <v>2.2047099051256281E-2</v>
      </c>
      <c r="E51" s="425">
        <f>'Infill Capacities'!$CP$11+'Frame Capacities'!$BN$11</f>
        <v>182.06890553061578</v>
      </c>
      <c r="F51" s="541" t="s">
        <v>330</v>
      </c>
      <c r="G51" s="422">
        <f t="shared" si="2"/>
        <v>139.44333333333333</v>
      </c>
      <c r="H51" s="424">
        <f>'Frame Capacities'!$BU$12</f>
        <v>2.3061375307443368E-2</v>
      </c>
      <c r="I51" s="422">
        <f>'Infill Capacities'!$CP$12+'Frame Capacities'!$BN$12</f>
        <v>191.62746445348807</v>
      </c>
      <c r="J51" s="423" t="s">
        <v>330</v>
      </c>
      <c r="K51" s="422">
        <f>K50+M51*(L51-L50)*$D$8</f>
        <v>165.55090909090907</v>
      </c>
      <c r="L51" s="424">
        <f>'Frame Capacities'!$BU$13</f>
        <v>2.4445445866362128E-2</v>
      </c>
      <c r="M51" s="425">
        <f>'Infill Capacities'!$CP$13+'Frame Capacities'!$BN$13</f>
        <v>219.63937328574283</v>
      </c>
      <c r="N51" s="180"/>
      <c r="AC51" s="390">
        <v>13.818181818181818</v>
      </c>
      <c r="AD51" s="390">
        <v>0.12683115798692521</v>
      </c>
      <c r="AE51" s="390">
        <v>27.059999999999995</v>
      </c>
      <c r="AF51" s="390">
        <v>0.08</v>
      </c>
    </row>
    <row r="52" spans="1:32" x14ac:dyDescent="0.25">
      <c r="A52" s="180"/>
      <c r="B52" s="423" t="s">
        <v>332</v>
      </c>
      <c r="C52" s="422">
        <f t="shared" si="1"/>
        <v>103.3376606547192</v>
      </c>
      <c r="D52" s="424">
        <f>'Frame Capacities'!$BV$11</f>
        <v>5.9722280551767482E-2</v>
      </c>
      <c r="E52" s="425">
        <f>'Infill Capacities'!$CP$11+'Frame Capacities'!$BO$11</f>
        <v>-169.8731033296591</v>
      </c>
      <c r="F52" s="541" t="s">
        <v>332</v>
      </c>
      <c r="G52" s="422">
        <f t="shared" si="2"/>
        <v>116.95999999999998</v>
      </c>
      <c r="H52" s="424">
        <f>'Frame Capacities'!$BV$12</f>
        <v>4.9753010319082941E-2</v>
      </c>
      <c r="I52" s="422">
        <f>'Infill Capacities'!$CP$12+'Frame Capacities'!$BO$12</f>
        <v>-280.77876987214552</v>
      </c>
      <c r="J52" s="423" t="s">
        <v>332</v>
      </c>
      <c r="K52" s="422">
        <f t="shared" si="0"/>
        <v>137.87818181818182</v>
      </c>
      <c r="L52" s="424">
        <f>'Frame Capacities'!$BV$13</f>
        <v>4.7151067178483844E-2</v>
      </c>
      <c r="M52" s="425">
        <f>'Infill Capacities'!$CP$13+'Frame Capacities'!$BO$13</f>
        <v>-443.18584279317622</v>
      </c>
      <c r="N52" s="180"/>
      <c r="AC52" s="390">
        <v>13.818181818181818</v>
      </c>
      <c r="AD52" s="390">
        <v>0.13</v>
      </c>
      <c r="AE52" s="390"/>
      <c r="AF52" s="390"/>
    </row>
    <row r="53" spans="1:32" x14ac:dyDescent="0.25">
      <c r="A53" s="180"/>
      <c r="B53" s="612" t="s">
        <v>333</v>
      </c>
      <c r="C53" s="613">
        <f t="shared" si="1"/>
        <v>93.026737459671722</v>
      </c>
      <c r="D53" s="614">
        <f>'Infill Capacities'!$CV$11</f>
        <v>0.08</v>
      </c>
      <c r="E53" s="615">
        <f>'Infill Capacities'!$CP$11+'Frame Capacities'!$BP$11</f>
        <v>-169.49511542081925</v>
      </c>
      <c r="F53" s="307" t="s">
        <v>333</v>
      </c>
      <c r="G53" s="257">
        <f t="shared" si="2"/>
        <v>91.497952868694966</v>
      </c>
      <c r="H53" s="307">
        <f>'Infill Capacities'!$CV$12</f>
        <v>0.08</v>
      </c>
      <c r="I53" s="257">
        <f>'Infill Capacities'!$CP$12+'Frame Capacities'!$BP$12</f>
        <v>-280.60144607127762</v>
      </c>
      <c r="J53" s="426" t="s">
        <v>333</v>
      </c>
      <c r="K53" s="257">
        <f t="shared" si="0"/>
        <v>97.888939193605097</v>
      </c>
      <c r="L53" s="307">
        <f>'Infill Capacities'!$CV$13</f>
        <v>0.08</v>
      </c>
      <c r="M53" s="530">
        <f>'Infill Capacities'!$CP$13+'Frame Capacities'!$BP$13</f>
        <v>-442.67930564394453</v>
      </c>
      <c r="N53" s="180"/>
    </row>
    <row r="54" spans="1:32" x14ac:dyDescent="0.25">
      <c r="A54" s="180"/>
      <c r="B54" s="423" t="s">
        <v>402</v>
      </c>
      <c r="C54" s="422">
        <f t="shared" si="1"/>
        <v>36.270993988052531</v>
      </c>
      <c r="D54" s="424">
        <f>'Frame Capacities'!$BW$11</f>
        <v>0.19161726466415097</v>
      </c>
      <c r="E54" s="425">
        <f>'Infill Capacities'!$CP$11+'Frame Capacities'!$BP$11</f>
        <v>-169.49511542081925</v>
      </c>
      <c r="F54" s="541" t="s">
        <v>402</v>
      </c>
      <c r="G54" s="422">
        <f>G53+I54*(H54-H53)*$D$7</f>
        <v>38.259999999999991</v>
      </c>
      <c r="H54" s="424">
        <f>'Frame Capacities'!$BW$12</f>
        <v>0.14324266869621621</v>
      </c>
      <c r="I54" s="422">
        <f>'Infill Capacities'!$CP$12+'Frame Capacities'!$BP$12</f>
        <v>-280.60144607127762</v>
      </c>
      <c r="J54" s="423" t="s">
        <v>402</v>
      </c>
      <c r="K54" s="422">
        <f>K53+M54*(L54-L53)*$D$8</f>
        <v>40.878181818181822</v>
      </c>
      <c r="L54" s="424">
        <f>'Frame Capacities'!$BW$13</f>
        <v>0.12683115798692521</v>
      </c>
      <c r="M54" s="425">
        <f>'Infill Capacities'!$CP$13+'Frame Capacities'!$BP$13</f>
        <v>-442.67930564394453</v>
      </c>
      <c r="N54" s="180"/>
    </row>
    <row r="55" spans="1:32" x14ac:dyDescent="0.25">
      <c r="A55" s="180"/>
      <c r="B55" s="427" t="s">
        <v>404</v>
      </c>
      <c r="C55" s="428">
        <f t="shared" si="1"/>
        <v>36.270993988052531</v>
      </c>
      <c r="D55" s="429">
        <f>'Frame Capacities'!$BX$11</f>
        <v>0.2</v>
      </c>
      <c r="E55" s="430">
        <f>'Infill Capacities'!$CP$11+'Frame Capacities'!$BQ$11</f>
        <v>0</v>
      </c>
      <c r="F55" s="542" t="s">
        <v>404</v>
      </c>
      <c r="G55" s="428">
        <f>G54+I55*(H55-H54)*$D$7</f>
        <v>38.259999999999991</v>
      </c>
      <c r="H55" s="429">
        <f>'Frame Capacities'!$BX$12</f>
        <v>0.15</v>
      </c>
      <c r="I55" s="428">
        <f>'Infill Capacities'!$CP$12+'Frame Capacities'!$BQ$12</f>
        <v>0</v>
      </c>
      <c r="J55" s="427" t="s">
        <v>404</v>
      </c>
      <c r="K55" s="428">
        <f>K54+M55*(L55-L54)*$D$8</f>
        <v>40.878181818181822</v>
      </c>
      <c r="L55" s="429">
        <f>'Frame Capacities'!$BX$13</f>
        <v>0.13</v>
      </c>
      <c r="M55" s="430">
        <f>'Infill Capacities'!$CP$13+'Frame Capacities'!$BQ$13</f>
        <v>0</v>
      </c>
      <c r="N55" s="180"/>
    </row>
    <row r="56" spans="1:32" x14ac:dyDescent="0.25">
      <c r="A56" s="180"/>
      <c r="B56" s="537" t="s">
        <v>426</v>
      </c>
      <c r="C56" s="539">
        <f>'Frame Capacities'!BK11+'Infill Capacities'!CK11</f>
        <v>139.40592218205288</v>
      </c>
      <c r="D56" s="547">
        <f>'Frame Capacities'!BY11</f>
        <v>1.1243924809894211E-3</v>
      </c>
      <c r="E56" s="540">
        <f>'Frame Capacities'!BR11+'Infill Capacities'!CQ11</f>
        <v>41327.776121786563</v>
      </c>
      <c r="F56" s="538" t="s">
        <v>426</v>
      </c>
      <c r="G56" s="539">
        <f>'Frame Capacities'!BK12+'Infill Capacities'!CK12</f>
        <v>267.97011710381435</v>
      </c>
      <c r="H56" s="547">
        <f>'Frame Capacities'!BY12</f>
        <v>2.8223787916516192E-3</v>
      </c>
      <c r="I56" s="539">
        <f>'Frame Capacities'!BR12+'Infill Capacities'!CQ12</f>
        <v>44663.599430175775</v>
      </c>
      <c r="J56" s="537" t="s">
        <v>426</v>
      </c>
      <c r="K56" s="539">
        <f>'Frame Capacities'!BK13+'Infill Capacities'!CK13</f>
        <v>0</v>
      </c>
      <c r="L56" s="547">
        <f>'Frame Capacities'!BY13</f>
        <v>0</v>
      </c>
      <c r="M56" s="540">
        <f>'Frame Capacities'!BR13+'Infill Capacities'!CQ13</f>
        <v>50901.545260911655</v>
      </c>
      <c r="N56" s="180"/>
    </row>
    <row r="57" spans="1:32" ht="15.75" customHeight="1" x14ac:dyDescent="0.25">
      <c r="A57" s="180"/>
      <c r="B57" s="180"/>
      <c r="C57" s="561"/>
      <c r="D57" s="561"/>
      <c r="E57" s="543"/>
      <c r="F57" s="543"/>
      <c r="G57" s="561"/>
      <c r="H57" s="561"/>
      <c r="I57" s="543"/>
      <c r="J57" s="543"/>
      <c r="K57" s="561"/>
      <c r="L57" s="561"/>
      <c r="M57" s="180"/>
      <c r="N57" s="180"/>
    </row>
    <row r="58" spans="1:32" x14ac:dyDescent="0.25">
      <c r="A58" s="180"/>
      <c r="B58" s="180"/>
      <c r="C58" s="562"/>
      <c r="D58" s="562"/>
      <c r="E58" s="543"/>
      <c r="F58" s="543"/>
      <c r="G58" s="562"/>
      <c r="H58" s="562"/>
      <c r="I58" s="543"/>
      <c r="J58" s="543"/>
      <c r="K58" s="562"/>
      <c r="L58" s="562"/>
      <c r="M58" s="180"/>
      <c r="N58" s="180"/>
    </row>
  </sheetData>
  <mergeCells count="28">
    <mergeCell ref="AC45:AD45"/>
    <mergeCell ref="AE45:AF45"/>
    <mergeCell ref="B44:E44"/>
    <mergeCell ref="F44:I44"/>
    <mergeCell ref="J44:M44"/>
    <mergeCell ref="B43:M43"/>
    <mergeCell ref="B2:S3"/>
    <mergeCell ref="B15:S16"/>
    <mergeCell ref="D20:F20"/>
    <mergeCell ref="C17:N17"/>
    <mergeCell ref="P17:R24"/>
    <mergeCell ref="D21:F21"/>
    <mergeCell ref="D18:F18"/>
    <mergeCell ref="D19:F19"/>
    <mergeCell ref="U30:V30"/>
    <mergeCell ref="U4:V4"/>
    <mergeCell ref="U17:V17"/>
    <mergeCell ref="M4:R4"/>
    <mergeCell ref="B28:S29"/>
    <mergeCell ref="C4:J4"/>
    <mergeCell ref="K18:M21"/>
    <mergeCell ref="C30:N30"/>
    <mergeCell ref="P30:R37"/>
    <mergeCell ref="D32:F32"/>
    <mergeCell ref="D33:F33"/>
    <mergeCell ref="D34:F34"/>
    <mergeCell ref="D31:F31"/>
    <mergeCell ref="K31:M34"/>
  </mergeCells>
  <conditionalFormatting sqref="N19:N21 N32:N34">
    <cfRule type="cellIs" dxfId="7" priority="9" operator="equal">
      <formula>4</formula>
    </cfRule>
    <cfRule type="cellIs" dxfId="6" priority="10" operator="equal">
      <formula>3</formula>
    </cfRule>
    <cfRule type="cellIs" dxfId="5" priority="11" operator="equal">
      <formula>2</formula>
    </cfRule>
    <cfRule type="cellIs" dxfId="4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opLeftCell="J43" zoomScale="80" zoomScaleNormal="80" workbookViewId="0">
      <selection activeCell="X70" sqref="X70"/>
    </sheetView>
  </sheetViews>
  <sheetFormatPr defaultColWidth="10.85546875" defaultRowHeight="15.75" x14ac:dyDescent="0.25"/>
  <cols>
    <col min="1" max="2" width="10.85546875" style="138"/>
    <col min="3" max="3" width="11.7109375" style="138" bestFit="1" customWidth="1"/>
    <col min="4" max="4" width="12.85546875" style="138" bestFit="1" customWidth="1"/>
    <col min="5" max="5" width="12" style="138" bestFit="1" customWidth="1"/>
    <col min="6" max="6" width="13.5703125" style="138" customWidth="1"/>
    <col min="7" max="7" width="14.85546875" style="138" bestFit="1" customWidth="1"/>
    <col min="8" max="8" width="12.28515625" style="138" bestFit="1" customWidth="1"/>
    <col min="9" max="9" width="13.42578125" style="138" bestFit="1" customWidth="1"/>
    <col min="10" max="10" width="9.140625" style="138" bestFit="1" customWidth="1"/>
    <col min="11" max="11" width="11.140625" style="138" bestFit="1" customWidth="1"/>
    <col min="12" max="12" width="11.7109375" style="138" customWidth="1"/>
    <col min="13" max="13" width="12.85546875" style="138" bestFit="1" customWidth="1"/>
    <col min="14" max="15" width="14.85546875" style="138" bestFit="1" customWidth="1"/>
    <col min="16" max="16" width="10.28515625" style="138" customWidth="1"/>
    <col min="17" max="17" width="10.85546875" style="138"/>
    <col min="18" max="18" width="12.140625" style="138" bestFit="1" customWidth="1"/>
    <col min="19" max="22" width="10.85546875" style="138"/>
    <col min="23" max="23" width="10.85546875" style="138" customWidth="1"/>
    <col min="24" max="28" width="10.85546875" style="138"/>
    <col min="29" max="29" width="13.85546875" style="138" customWidth="1"/>
    <col min="30" max="30" width="14.85546875" style="138" customWidth="1"/>
    <col min="31" max="31" width="12" style="138" bestFit="1" customWidth="1"/>
    <col min="32" max="32" width="10.85546875" style="138"/>
    <col min="33" max="33" width="12.85546875" style="138" customWidth="1"/>
    <col min="34" max="34" width="14.85546875" style="138" customWidth="1"/>
    <col min="35" max="35" width="11.42578125" style="138" bestFit="1" customWidth="1"/>
    <col min="36" max="16384" width="10.85546875" style="138"/>
  </cols>
  <sheetData>
    <row r="1" spans="1:38" ht="16.5" thickBot="1" x14ac:dyDescent="0.3">
      <c r="A1" s="957" t="s">
        <v>86</v>
      </c>
      <c r="B1" s="958"/>
      <c r="C1" s="958"/>
      <c r="D1" s="958"/>
      <c r="E1" s="958"/>
      <c r="F1" s="958"/>
      <c r="G1" s="958"/>
      <c r="H1" s="958"/>
      <c r="I1" s="958"/>
      <c r="J1" s="958"/>
      <c r="K1" s="958"/>
      <c r="L1" s="958"/>
      <c r="M1" s="958"/>
      <c r="N1" s="958"/>
      <c r="O1" s="958"/>
      <c r="P1" s="959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</row>
    <row r="2" spans="1:38" ht="16.5" thickBot="1" x14ac:dyDescent="0.3">
      <c r="A2" s="960"/>
      <c r="B2" s="961"/>
      <c r="C2" s="961"/>
      <c r="D2" s="961"/>
      <c r="E2" s="961"/>
      <c r="F2" s="961"/>
      <c r="G2" s="961"/>
      <c r="H2" s="961"/>
      <c r="I2" s="961"/>
      <c r="J2" s="961"/>
      <c r="K2" s="961"/>
      <c r="L2" s="961"/>
      <c r="M2" s="961"/>
      <c r="N2" s="961"/>
      <c r="O2" s="961"/>
      <c r="P2" s="962"/>
      <c r="Q2" s="137"/>
      <c r="R2" s="891" t="s">
        <v>247</v>
      </c>
      <c r="S2" s="893"/>
      <c r="T2" s="114"/>
      <c r="U2" s="891" t="s">
        <v>247</v>
      </c>
      <c r="V2" s="892"/>
      <c r="W2" s="892"/>
      <c r="X2" s="892"/>
      <c r="Y2" s="892"/>
      <c r="Z2" s="892"/>
      <c r="AA2" s="892"/>
      <c r="AB2" s="892"/>
      <c r="AC2" s="892"/>
      <c r="AD2" s="892"/>
      <c r="AE2" s="892"/>
      <c r="AF2" s="892"/>
      <c r="AG2" s="892"/>
      <c r="AH2" s="892"/>
      <c r="AI2" s="892"/>
      <c r="AJ2" s="893"/>
      <c r="AK2" s="137"/>
      <c r="AL2" s="137"/>
    </row>
    <row r="3" spans="1:38" x14ac:dyDescent="0.25">
      <c r="A3" s="647" t="s">
        <v>0</v>
      </c>
      <c r="B3" s="648" t="s">
        <v>76</v>
      </c>
      <c r="C3" s="648" t="s">
        <v>77</v>
      </c>
      <c r="D3" s="643" t="s">
        <v>78</v>
      </c>
      <c r="E3" s="648" t="s">
        <v>80</v>
      </c>
      <c r="F3" s="648" t="s">
        <v>81</v>
      </c>
      <c r="G3" s="643" t="s">
        <v>412</v>
      </c>
      <c r="H3" s="643" t="s">
        <v>410</v>
      </c>
      <c r="I3" s="643" t="s">
        <v>413</v>
      </c>
      <c r="J3" s="643" t="s">
        <v>411</v>
      </c>
      <c r="K3" s="643" t="s">
        <v>188</v>
      </c>
      <c r="L3" s="643" t="s">
        <v>187</v>
      </c>
      <c r="M3" s="643" t="s">
        <v>189</v>
      </c>
      <c r="N3" s="646" t="s">
        <v>190</v>
      </c>
      <c r="O3" s="994" t="s">
        <v>352</v>
      </c>
      <c r="P3" s="995" t="s">
        <v>418</v>
      </c>
      <c r="Q3" s="137"/>
      <c r="R3" s="917" t="s">
        <v>85</v>
      </c>
      <c r="S3" s="955" t="s">
        <v>84</v>
      </c>
      <c r="T3" s="137"/>
      <c r="U3" s="955" t="s">
        <v>0</v>
      </c>
      <c r="V3" s="955" t="s">
        <v>76</v>
      </c>
      <c r="W3" s="955" t="s">
        <v>104</v>
      </c>
      <c r="X3" s="917" t="s">
        <v>78</v>
      </c>
      <c r="Y3" s="955" t="s">
        <v>80</v>
      </c>
      <c r="Z3" s="955" t="s">
        <v>81</v>
      </c>
      <c r="AA3" s="643" t="s">
        <v>412</v>
      </c>
      <c r="AB3" s="643" t="s">
        <v>410</v>
      </c>
      <c r="AC3" s="643" t="s">
        <v>413</v>
      </c>
      <c r="AD3" s="643" t="s">
        <v>411</v>
      </c>
      <c r="AE3" s="917" t="s">
        <v>188</v>
      </c>
      <c r="AF3" s="917" t="s">
        <v>187</v>
      </c>
      <c r="AG3" s="917" t="s">
        <v>189</v>
      </c>
      <c r="AH3" s="917" t="s">
        <v>190</v>
      </c>
      <c r="AI3" s="969" t="s">
        <v>352</v>
      </c>
      <c r="AJ3" s="969" t="s">
        <v>418</v>
      </c>
      <c r="AK3" s="989" t="s">
        <v>242</v>
      </c>
      <c r="AL3" s="137"/>
    </row>
    <row r="4" spans="1:38" x14ac:dyDescent="0.25">
      <c r="A4" s="647"/>
      <c r="B4" s="648"/>
      <c r="C4" s="648"/>
      <c r="D4" s="643"/>
      <c r="E4" s="648"/>
      <c r="F4" s="648"/>
      <c r="G4" s="643"/>
      <c r="H4" s="643"/>
      <c r="I4" s="643"/>
      <c r="J4" s="643"/>
      <c r="K4" s="643"/>
      <c r="L4" s="643"/>
      <c r="M4" s="643"/>
      <c r="N4" s="646"/>
      <c r="O4" s="994"/>
      <c r="P4" s="995"/>
      <c r="Q4" s="137"/>
      <c r="R4" s="643"/>
      <c r="S4" s="648"/>
      <c r="T4" s="137"/>
      <c r="U4" s="648"/>
      <c r="V4" s="648"/>
      <c r="W4" s="648"/>
      <c r="X4" s="643"/>
      <c r="Y4" s="648"/>
      <c r="Z4" s="648"/>
      <c r="AA4" s="643"/>
      <c r="AB4" s="643"/>
      <c r="AC4" s="643"/>
      <c r="AD4" s="643"/>
      <c r="AE4" s="643"/>
      <c r="AF4" s="643"/>
      <c r="AG4" s="643"/>
      <c r="AH4" s="643"/>
      <c r="AI4" s="994"/>
      <c r="AJ4" s="994"/>
      <c r="AK4" s="989"/>
      <c r="AL4" s="137"/>
    </row>
    <row r="5" spans="1:38" x14ac:dyDescent="0.25">
      <c r="A5" s="133">
        <v>3</v>
      </c>
      <c r="B5" s="139">
        <f>B6+'Structural Information'!U6</f>
        <v>8.75</v>
      </c>
      <c r="C5" s="140">
        <f>(D5-D6)/(B5-B6)</f>
        <v>2.8318828549993752E-4</v>
      </c>
      <c r="D5" s="141">
        <f>_xlfn.IFS(($C$18=1),($C$24*B5),($C$18=2),($C$24*(B5-B6)*((4*#REF!-B5)/(4*#REF!-$B$7))),($C$18=3),(C29))</f>
        <v>0.19999999993730322</v>
      </c>
      <c r="E5" s="139">
        <f>'Structural Information'!$Z$6</f>
        <v>37.8446</v>
      </c>
      <c r="F5" s="140">
        <f>E5*D5</f>
        <v>7.5689199976272654</v>
      </c>
      <c r="G5" s="139">
        <f>((E5*D5)/(F9)*$L$12)</f>
        <v>35.110626190328169</v>
      </c>
      <c r="H5" s="139">
        <f>J5+$O$12</f>
        <v>35.110626190328169</v>
      </c>
      <c r="I5" s="139">
        <f>G5</f>
        <v>35.110626190328169</v>
      </c>
      <c r="J5" s="142">
        <f>I5-$O$12</f>
        <v>35.110626190328169</v>
      </c>
      <c r="K5" s="143">
        <f>IF(($H$13=0),(_xlfn.IFS((C5&lt;='Frame Capacities'!$BT$11),(C5*'Frame Capacities'!$BJ$4*'Frame Capacities'!$BM$11),(AND((C5&gt;'Frame Capacities'!$BT$11),(C5&lt;='Frame Capacities'!$BU$11))),((C5-'Frame Capacities'!$BT$11)*'Frame Capacities'!$BJ$4*('Frame Capacities'!$BN$11)+'Frame Capacities'!$BF$11),(AND((C5&gt;'Frame Capacities'!$BU$11),(C5&lt;='Frame Capacities'!$BV$11))),((C5-'Frame Capacities'!$BU$11)*'Frame Capacities'!$BJ$4*('Frame Capacities'!$BO$11)+'Frame Capacities'!$BG$11),(AND((C5&gt;'Frame Capacities'!$BV$11),(C5&lt;='Frame Capacities'!$BW$11))),((C5-'Frame Capacities'!$BV$11)*'Frame Capacities'!$BJ$4*('Frame Capacities'!$BP$11)+'Frame Capacities'!$BH$11),(AND((C5&gt;'Frame Capacities'!$BW$11),(C5&lt;='Frame Capacities'!$BX$11))),((C5-'Frame Capacities'!$BW$11)*'Frame Capacities'!$BJ$4*('Frame Capacities'!$BQ$11)+'Frame Capacities'!$BI$11))),((C5-'Frame Capacities'!$BY$11)*'Frame Capacities'!$BJ$4*('Frame Capacities'!$BR$11)+'Frame Capacities'!$BK$11))</f>
        <v>2.6280149858847803</v>
      </c>
      <c r="L5" s="144">
        <f>IF(($H$13=0),(_xlfn.IFS((C5&lt;='Infill Capacities'!$CS$11),(C5*'Infill Capacities'!$CM$11*'Infill Capacities'!$CK$4),(AND((C5&gt;'Infill Capacities'!$CS$11),(C5&lt;='Infill Capacities'!$CT$11))),((C5-'Infill Capacities'!$CS$11)*'Infill Capacities'!$CK$4*('Infill Capacities'!$CN$11)+'Infill Capacities'!$CG$11),(AND((C5&gt;'Infill Capacities'!$CT$11),(C5&lt;='Infill Capacities'!$CU$11))),((C5-'Infill Capacities'!$CT$11)*'Infill Capacities'!$CK$4*('Infill Capacities'!$CO$11)+'Infill Capacities'!$CH$11),(AND((C5&gt;'Infill Capacities'!$CU$11),(C5&lt;='Infill Capacities'!$CV$11))),((C5-'Infill Capacities'!$CU$11)*'Infill Capacities'!$CK$4*('Infill Capacities'!$CP$11)+'Infill Capacities'!$CJ$11))),((C5-'Infill Capacities'!$CW$11)*'Infill Capacities'!$CK$4*('Infill Capacities'!$CQ$11)+'Infill Capacities'!$CK$11))</f>
        <v>32.482611204477209</v>
      </c>
      <c r="M5" s="140">
        <f t="shared" ref="M5:N7" si="0">K5/C13</f>
        <v>0.25185892852177649</v>
      </c>
      <c r="N5" s="145">
        <f t="shared" si="0"/>
        <v>0.25185892852177649</v>
      </c>
      <c r="O5" s="146">
        <f>K5+L5</f>
        <v>35.110626190361991</v>
      </c>
      <c r="P5" s="147">
        <f>J5-O5</f>
        <v>-3.3821834222180769E-11</v>
      </c>
      <c r="Q5" s="148"/>
      <c r="R5" s="140">
        <f>IF(($H$13=0),(_xlfn.IFS(('System Capacities'!$N$19+'System Capacities'!$N$32=2),((ABS(J5)/$G$13)),('System Capacities'!$N$19+'System Capacities'!$N$32=3),(((ABS(J5)-'System Capacities'!$C$47)/($G$13))+('System Capacities'!$D$47*'System Capacities'!$D$6)),('System Capacities'!$N$19+'System Capacities'!$N$32=4),(((ABS(J5)-'System Capacities'!$C$48)/($G$13))+('System Capacities'!$D$48*'System Capacities'!$D$6)),('System Capacities'!$N$19+'System Capacities'!$N$32=5),(((ABS(J5)-'System Capacities'!$C$49)/($G$13))+('System Capacities'!$D$49*'System Capacities'!$D$6)),('System Capacities'!$N$19+'System Capacities'!$N$32=6),(((ABS(J5)-'System Capacities'!$C$50)/($G$13))+('System Capacities'!$D$50*'System Capacities'!$D$6)),('System Capacities'!$N$19+'System Capacities'!$N$32=7),(((ABS(J5)-'System Capacities'!$C$51)/($G$13))+('System Capacities'!$D$51*'System Capacities'!$D$6)),('System Capacities'!$N$19+'System Capacities'!$N$32=8),(((ABS(J5)-'System Capacities'!$C$52)/($G$13))+('System Capacities'!$D$52*'System Capacities'!$D$6)),('System Capacities'!$N$19+'System Capacities'!$N$32=9),(((ABS(J5)-'System Capacities'!$C$53)/($G$13))+('System Capacities'!$D$53*'System Capacities'!$D$6)),('System Capacities'!$N$19+'System Capacities'!$N$32=10),(((ABS(J5)-'System Capacities'!$C$54)/($G$13))+('System Capacities'!$D$54*'System Capacities'!$D$6)))),((ABS(J5-$E$13)/(-1*$G$13))+($F$13*'System Capacities'!$D$6)))</f>
        <v>8.4956485649899383E-4</v>
      </c>
      <c r="S5" s="149">
        <f>S6+R5</f>
        <v>0.19999999993730166</v>
      </c>
      <c r="T5" s="137"/>
      <c r="U5" s="134">
        <v>3</v>
      </c>
      <c r="V5" s="139">
        <f>B5</f>
        <v>8.75</v>
      </c>
      <c r="W5" s="140">
        <f>R5/(V5-V6)</f>
        <v>2.8318828549966463E-4</v>
      </c>
      <c r="X5" s="141">
        <f>S5</f>
        <v>0.19999999993730166</v>
      </c>
      <c r="Y5" s="139">
        <f>'Structural Information'!$Z$6</f>
        <v>37.8446</v>
      </c>
      <c r="Z5" s="140">
        <f>Y5*X5</f>
        <v>7.5689199976272068</v>
      </c>
      <c r="AA5" s="139">
        <f>((Y5*X5)/(Z9)*$L$12)</f>
        <v>35.110626190328034</v>
      </c>
      <c r="AB5" s="139">
        <f>AD5+$O$12</f>
        <v>35.110626190328034</v>
      </c>
      <c r="AC5" s="139">
        <f>AA5</f>
        <v>35.110626190328034</v>
      </c>
      <c r="AD5" s="142">
        <f>AC5-$O$12</f>
        <v>35.110626190328034</v>
      </c>
      <c r="AE5" s="143">
        <f>IF(($H$13=0),(_xlfn.IFS((W5&lt;='Frame Capacities'!$BT$11),(W5*'Frame Capacities'!$BJ$4*'Frame Capacities'!$BM$11),(AND((W5&gt;'Frame Capacities'!$BT$11),(W5&lt;='Frame Capacities'!$BU$11))),((W5-'Frame Capacities'!$BT$11)*'Frame Capacities'!$BJ$4*('Frame Capacities'!$BN$11)+'Frame Capacities'!$BF$11),(AND((W5&gt;'Frame Capacities'!$BU$11),(W5&lt;='Frame Capacities'!$BV$11))),((W5-'Frame Capacities'!$BU$11)*'Frame Capacities'!$BJ$4*('Frame Capacities'!$BO$11)+'Frame Capacities'!$BG$11),(AND((W5&gt;'Frame Capacities'!$BV$11),(W5&lt;='Frame Capacities'!$BW$11))),((W5-'Frame Capacities'!$BV$11)*'Frame Capacities'!$BJ$4*('Frame Capacities'!$BP$11)+'Frame Capacities'!$BH$11),(AND((W5&gt;'Frame Capacities'!$BW$11),(W5&lt;='Frame Capacities'!$BX$11))),((W5-'Frame Capacities'!$BW$11)*'Frame Capacities'!$BJ$4*('Frame Capacities'!$BQ$11)+'Frame Capacities'!$BI$11))),((W5-'Frame Capacities'!$BY$11)*'Frame Capacities'!$BJ$4*('Frame Capacities'!$BR$11)+'Frame Capacities'!$BK$11))</f>
        <v>2.6280149858822472</v>
      </c>
      <c r="AF5" s="144">
        <f>IF(($H$13=0),(_xlfn.IFS((W5&lt;='Infill Capacities'!$CS$11),(W5*'Infill Capacities'!$CM$11*'Infill Capacities'!$CK$4),(AND((W5&gt;'Infill Capacities'!$CS$11),(W5&lt;='Infill Capacities'!$CT$11))),((W5-'Infill Capacities'!$CS$11)*'Infill Capacities'!$CK$4*('Infill Capacities'!$CN$11)+'Infill Capacities'!$CG$11),(AND((W5&gt;'Infill Capacities'!$CT$11),(W5&lt;='Infill Capacities'!$CU$11))),((W5-'Infill Capacities'!$CT$11)*'Infill Capacities'!$CK$4*('Infill Capacities'!$CO$11)+'Infill Capacities'!$CH$11),(AND((W5&gt;'Infill Capacities'!$CU$11),(W5&lt;='Infill Capacities'!$CV$11))),((W5-'Infill Capacities'!$CU$11)*'Infill Capacities'!$CK$4*('Infill Capacities'!$CP$11)+'Infill Capacities'!$CJ$11))),((W5-'Infill Capacities'!$CW$11)*'Infill Capacities'!$CK$4*('Infill Capacities'!$CQ$11)+'Infill Capacities'!$CK$11))</f>
        <v>32.482611204445902</v>
      </c>
      <c r="AG5" s="140">
        <f>AE5/$C$13</f>
        <v>0.25185892852153374</v>
      </c>
      <c r="AH5" s="150">
        <f>AF5/$D$13</f>
        <v>0.25185892852153374</v>
      </c>
      <c r="AI5" s="146">
        <f>AE5+AF5</f>
        <v>35.110626190328148</v>
      </c>
      <c r="AJ5" s="146">
        <f>AD5-AI5</f>
        <v>-1.1368683772161603E-13</v>
      </c>
      <c r="AK5" s="151">
        <f>(AD5-(AI5))/AD5</f>
        <v>-3.2379609838155913E-15</v>
      </c>
      <c r="AL5" s="137"/>
    </row>
    <row r="6" spans="1:38" x14ac:dyDescent="0.25">
      <c r="A6" s="133">
        <v>2</v>
      </c>
      <c r="B6" s="139">
        <f>B7+'Structural Information'!U7</f>
        <v>5.75</v>
      </c>
      <c r="C6" s="140">
        <f>(D6-D7)/(B6-B7)</f>
        <v>1.3628175743952975E-3</v>
      </c>
      <c r="D6" s="141">
        <f>_xlfn.IFS(($C$18=1),($C$24*B6),($C$18=2),($C$24*(B6-B7)*((4*#REF!-B6)/(4*#REF!-$B$7))),($C$18=3),(C30))</f>
        <v>0.19915043508080341</v>
      </c>
      <c r="E6" s="139">
        <f>'Structural Information'!$Z$7</f>
        <v>40.367000000000004</v>
      </c>
      <c r="F6" s="140">
        <f>E6*D6</f>
        <v>8.0391056129067913</v>
      </c>
      <c r="G6" s="139">
        <f>((E6*D6)/(F9)*$L$12)</f>
        <v>37.291718259384794</v>
      </c>
      <c r="H6" s="139">
        <f>J6-J5+$O$13</f>
        <v>37.291718259384787</v>
      </c>
      <c r="I6" s="139">
        <f>I5+G6</f>
        <v>72.402344449712956</v>
      </c>
      <c r="J6" s="142">
        <f>I6-$O$13</f>
        <v>72.402344449712956</v>
      </c>
      <c r="K6" s="143">
        <f>IF(($H$14=0),(_xlfn.IFS((C6&lt;='Frame Capacities'!$BT$12),(C6*'Frame Capacities'!$BJ$5*'Frame Capacities'!$BM$12),(AND((C6&gt;'Frame Capacities'!$BT$12),(C6&lt;='Frame Capacities'!$BU$12))),((C6-'Frame Capacities'!$BT$12)*'Frame Capacities'!$BJ$5*('Frame Capacities'!$BN$12)+'Frame Capacities'!$BF$12),(AND((C6&gt;'Frame Capacities'!$BU$12),(C6&lt;='Frame Capacities'!$BV$12))),((C6-'Frame Capacities'!$BU$12)*'Frame Capacities'!$BJ$5*('Frame Capacities'!$BO$12)+'Frame Capacities'!$BG$12),(AND((C6&gt;'Frame Capacities'!$BV$12),(C6&lt;='Frame Capacities'!$BW$12))),((C6-'Frame Capacities'!$BV$12)*'Frame Capacities'!$BJ$5*('Frame Capacities'!$BP$12)+'Frame Capacities'!$BH$12),(AND((C6&gt;'Frame Capacities'!$BW$12),(C6&lt;='Frame Capacities'!$BX$12))),((C6-'Frame Capacities'!$BW$12)*'Frame Capacities'!$BJ$5*('Frame Capacities'!$BQ$12)+'Frame Capacities'!$BI$12))),(((C6-'Frame Capacities'!$BY$12)*'Frame Capacities'!$BJ$5*('Frame Capacities'!$BR$12)+'Frame Capacities'!$BK$12)))</f>
        <v>15.508039827538294</v>
      </c>
      <c r="L6" s="144">
        <f>IF(($H$14=0),(_xlfn.IFS((C6&lt;='Infill Capacities'!$CS$12),(C6*'Infill Capacities'!$CM$12*'Infill Capacities'!$CK$5),(AND((C6&gt;'Infill Capacities'!$CS$12),(C6&lt;='Infill Capacities'!$CT$12))),((C6-'Infill Capacities'!$CS$12)*'Infill Capacities'!$CK$5*('Infill Capacities'!$CN$12)+'Infill Capacities'!$CG$12),(AND((C6&gt;'Infill Capacities'!$CT$12),(C6&lt;='Infill Capacities'!$CU$12))),((C6-'Infill Capacities'!$CT$12)*'Infill Capacities'!$CK$5*('Infill Capacities'!$CO$12)+'Infill Capacities'!$CH$12),(AND((C6&gt;'Infill Capacities'!$CU$12),(C6&lt;='Infill Capacities'!$CV$12))),((C6-'Infill Capacities'!$CU$12)*'Infill Capacities'!$CK$5*('Infill Capacities'!$CP$12)+'Infill Capacities'!$CJ$12))),((C6-'Infill Capacities'!$CW$12)*'Infill Capacities'!$CK$5*('Infill Capacities'!$CQ$12)+'Infill Capacities'!$CK$12))</f>
        <v>56.894304622207727</v>
      </c>
      <c r="M6" s="140">
        <f t="shared" si="0"/>
        <v>0.48286132904144824</v>
      </c>
      <c r="N6" s="145">
        <f t="shared" si="0"/>
        <v>0.24122766147656904</v>
      </c>
      <c r="O6" s="146">
        <f>K6+L6</f>
        <v>72.402344449746025</v>
      </c>
      <c r="P6" s="147">
        <f>J6-O6</f>
        <v>-3.3068658922275063E-11</v>
      </c>
      <c r="Q6" s="148"/>
      <c r="R6" s="140">
        <f>IF(($H$14=0),(_xlfn.IFS(('System Capacities'!$N$20+'System Capacities'!$N$33=2),(ABS(J6)/$G$14),('System Capacities'!$N$20+'System Capacities'!$N$33=3),(((ABS(J6)-'System Capacities'!$G$47)/($G$14))+('System Capacities'!$H$47*'System Capacities'!$D$7)),('System Capacities'!$N$20+'System Capacities'!$N$33=4),(((ABS(J6)-'System Capacities'!$G$48)/($G$14))+('System Capacities'!$H$48*'System Capacities'!$D$7)),('System Capacities'!$N$20+'System Capacities'!$N$33=5),(((ABS(J6)-'System Capacities'!$G$49)/($G$14))+('System Capacities'!$H$49*'System Capacities'!$D$7)),('System Capacities'!$N$20+'System Capacities'!$N$33=6),(((ABS(J6)-'System Capacities'!$G$50)/($G$14))+('System Capacities'!$H$50*'System Capacities'!$D$7)),('System Capacities'!$N$20+'System Capacities'!$N$33=7),(((ABS(J6)-'System Capacities'!$G$51)/($G$14))+('System Capacities'!$H$51*'System Capacities'!$D$7)),('System Capacities'!$N$20+'System Capacities'!$N$33=8),(((ABS(J6)-'System Capacities'!$G$52)/($G$14))+('System Capacities'!$H$52*'System Capacities'!$D$7)),('System Capacities'!$N$20+'System Capacities'!$N$33=9),(((ABS(J6)-'System Capacities'!$G$53)/($G$14))+('System Capacities'!$H$53*'System Capacities'!$D$7)),('System Capacities'!$N$20+'System Capacities'!$N$33=10),(((ABS(J6)-'System Capacities'!$G$54)/($G$14))+('System Capacities'!$H$54*'System Capacities'!$D$7)))),((ABS(J6-$E$14)/(-1*$G$14))+($F$14*'System Capacities'!$D$7)))</f>
        <v>4.0884527231851518E-3</v>
      </c>
      <c r="S6" s="149">
        <f>S7+R6</f>
        <v>0.19915043508080266</v>
      </c>
      <c r="T6" s="137"/>
      <c r="U6" s="134">
        <v>2</v>
      </c>
      <c r="V6" s="139">
        <f>B6</f>
        <v>5.75</v>
      </c>
      <c r="W6" s="140">
        <f>R6/(V6-V7)</f>
        <v>1.3628175743950505E-3</v>
      </c>
      <c r="X6" s="141">
        <f>S6</f>
        <v>0.19915043508080266</v>
      </c>
      <c r="Y6" s="139">
        <f>'Structural Information'!$Z$7</f>
        <v>40.367000000000004</v>
      </c>
      <c r="Z6" s="140">
        <f>Y6*X6</f>
        <v>8.0391056129067611</v>
      </c>
      <c r="AA6" s="139">
        <f>((Y6*X6)/(Z9)*$L$12)</f>
        <v>37.291718259384794</v>
      </c>
      <c r="AB6" s="139">
        <f>AD6-AD5+$O$13</f>
        <v>37.291718259384794</v>
      </c>
      <c r="AC6" s="139">
        <f>AC5+AA6</f>
        <v>72.402344449712828</v>
      </c>
      <c r="AD6" s="142">
        <f>AC6-$O$13</f>
        <v>72.402344449712828</v>
      </c>
      <c r="AE6" s="143">
        <f>IF(($H$14=0),(_xlfn.IFS((W6&lt;='Frame Capacities'!$BT$12),(W6*'Frame Capacities'!$BJ$5*'Frame Capacities'!$BM$12),(AND((W6&gt;'Frame Capacities'!$BT$12),(W6&lt;='Frame Capacities'!$BU$12))),((W6-'Frame Capacities'!$BT$12)*'Frame Capacities'!$BJ$5*('Frame Capacities'!$BN$12)+'Frame Capacities'!$BF$12),(AND((W6&gt;'Frame Capacities'!$BU$12),(W6&lt;='Frame Capacities'!$BV$12))),((W6-'Frame Capacities'!$BU$12)*'Frame Capacities'!$BJ$5*('Frame Capacities'!$BO$12)+'Frame Capacities'!$BG$12),(AND((W6&gt;'Frame Capacities'!$BV$12),(W6&lt;='Frame Capacities'!$BW$12))),((W6-'Frame Capacities'!$BV$12)*'Frame Capacities'!$BJ$5*('Frame Capacities'!$BP$12)+'Frame Capacities'!$BH$12),(AND((W6&gt;'Frame Capacities'!$BW$12),(W6&lt;='Frame Capacities'!$BX$12))),((W6-'Frame Capacities'!$BW$12)*'Frame Capacities'!$BJ$5*('Frame Capacities'!$BQ$12)+'Frame Capacities'!$BI$12))),(((W6-'Frame Capacities'!$BY$12)*'Frame Capacities'!$BJ$5*('Frame Capacities'!$BR$12)+'Frame Capacities'!$BK$12)))</f>
        <v>15.50803982753548</v>
      </c>
      <c r="AF6" s="144">
        <f>IF(($H$14=0),(_xlfn.IFS((W6&lt;='Infill Capacities'!$CS$12),(W6*'Infill Capacities'!$CM$12*'Infill Capacities'!$CK$5),(AND((W6&gt;'Infill Capacities'!$CS$12),(W6&lt;='Infill Capacities'!$CT$12))),((W6-'Infill Capacities'!$CS$12)*'Infill Capacities'!$CK$5*('Infill Capacities'!$CN$12)+'Infill Capacities'!$CG$12),(AND((W6&gt;'Infill Capacities'!$CT$12),(W6&lt;='Infill Capacities'!$CU$12))),((W6-'Infill Capacities'!$CT$12)*'Infill Capacities'!$CK$5*('Infill Capacities'!$CO$12)+'Infill Capacities'!$CH$12),(AND((W6&gt;'Infill Capacities'!$CU$12),(W6&lt;='Infill Capacities'!$CV$12))),((W6-'Infill Capacities'!$CU$12)*'Infill Capacities'!$CK$5*('Infill Capacities'!$CP$12)+'Infill Capacities'!$CJ$12))),((W6-'Infill Capacities'!$CW$12)*'Infill Capacities'!$CK$5*('Infill Capacities'!$CQ$12)+'Infill Capacities'!$CK$12))</f>
        <v>56.89430462217743</v>
      </c>
      <c r="AG6" s="140">
        <f>AE6/$C$14</f>
        <v>0.48286132904136064</v>
      </c>
      <c r="AH6" s="150">
        <f>AF6/$D$14</f>
        <v>0.24122766147644059</v>
      </c>
      <c r="AI6" s="146">
        <f>AE6+AF6</f>
        <v>72.402344449712913</v>
      </c>
      <c r="AJ6" s="146">
        <f>AD6-AI6</f>
        <v>0</v>
      </c>
      <c r="AK6" s="151">
        <f t="shared" ref="AK6:AK7" si="1">(AD6-(AI6))/AD6</f>
        <v>-1.1776570073698796E-15</v>
      </c>
      <c r="AL6" s="137"/>
    </row>
    <row r="7" spans="1:38" x14ac:dyDescent="0.25">
      <c r="A7" s="133">
        <v>1</v>
      </c>
      <c r="B7" s="139">
        <f>B8+'Structural Information'!U8</f>
        <v>2.75</v>
      </c>
      <c r="C7" s="140">
        <f>(D7-D8)/(B7-B8)</f>
        <v>7.093162994822455E-2</v>
      </c>
      <c r="D7" s="141">
        <f>_xlfn.IFS(($C$18=1),($C$24*B7),($C$18=2),($C$24*(B7-B8)*((4*#REF!-B7)/(4*#REF!-$B$7))),($C$18=3),(C31))</f>
        <v>0.19506198235761751</v>
      </c>
      <c r="E7" s="139">
        <f>'Structural Information'!$Z$8</f>
        <v>40.367000000000004</v>
      </c>
      <c r="F7" s="140">
        <f>E7*D7</f>
        <v>7.8740670418299468</v>
      </c>
      <c r="G7" s="139">
        <f>((E7*D7)/(F9)*$L$12)</f>
        <v>36.52613907795844</v>
      </c>
      <c r="H7" s="139">
        <f>J7-J6+$O$14</f>
        <v>36.526139077958447</v>
      </c>
      <c r="I7" s="139">
        <f>I6+G7</f>
        <v>108.9284835276714</v>
      </c>
      <c r="J7" s="142">
        <f>I7-$O$14</f>
        <v>108.9284835276714</v>
      </c>
      <c r="K7" s="143">
        <f>IF(($H$15=0),(_xlfn.IFS((C7&lt;='Frame Capacities'!$BT$13),(C7*'Frame Capacities'!$BJ$6*'Frame Capacities'!$BM$13),(AND((C7&gt;'Frame Capacities'!$BT$13),(C7&lt;='Frame Capacities'!$BU$13))),((C7-'Frame Capacities'!$BT$13)*'Frame Capacities'!$BJ$6*('Frame Capacities'!$BN$13)+'Frame Capacities'!$BF$13),(AND((C7&gt;'Frame Capacities'!$BU$13),(C7&lt;='Frame Capacities'!$BV$13))),((C7-'Frame Capacities'!$BU$13)*'Frame Capacities'!$BJ$6*('Frame Capacities'!$BO$13)+'Frame Capacities'!$BG$13),(AND((C7&gt;'Frame Capacities'!$BV$13),(C7&lt;='Frame Capacities'!$BW$13))),((C7-'Frame Capacities'!$BV$13)*'Frame Capacities'!$BJ$6*('Frame Capacities'!$BP$13)+'Frame Capacities'!$BH$13),(AND((C7&gt;'Frame Capacities'!$BW$13),(C7&lt;='Frame Capacities'!$BX$13))),((C7-'Frame Capacities'!$BW$13)*'Frame Capacities'!$BJ$6*('Frame Capacities'!$BQ$13)+'Frame Capacities'!$BI$13))),(((C7-'Frame Capacities'!$BY$13)*'Frame Capacities'!$BJ$6*('Frame Capacities'!$BR$13)+'Frame Capacities'!$BK$13)))</f>
        <v>81.868483527671415</v>
      </c>
      <c r="L7" s="144">
        <f>IF(($H$15=0),(_xlfn.IFS((C7&lt;='Infill Capacities'!$CS$13),(C7*'Infill Capacities'!$CM$13*'Infill Capacities'!$CK$6),(AND((C7&gt;'Infill Capacities'!$CS$13),(C7&lt;='Infill Capacities'!$CT$13))),((C7-'Infill Capacities'!$CS$13)*'Infill Capacities'!$CK$6*('Infill Capacities'!$CN$13)+'Infill Capacities'!$CG$13),(AND((C7&gt;'Infill Capacities'!$CT$13),(C7&lt;='Infill Capacities'!$CU$13))),((C7-'Infill Capacities'!$CT$13)*'Infill Capacities'!$CK$6*('Infill Capacities'!$CO$13)+'Infill Capacities'!$CH$13),(AND((C7&gt;'Infill Capacities'!$CU$13),(C7&lt;='Infill Capacities'!$CV$13))),((C7-'Infill Capacities'!$CU$13)*'Infill Capacities'!$CK$6*('Infill Capacities'!$CP$13)+'Infill Capacities'!$CJ$13))),((C7-'Infill Capacities'!$CW$13)*'Infill Capacities'!$CK$6*('Infill Capacities'!$CQ$13)+'Infill Capacities'!$CK$13))</f>
        <v>27.059999999999995</v>
      </c>
      <c r="M7" s="140">
        <f t="shared" si="0"/>
        <v>5.9246928868709574</v>
      </c>
      <c r="N7" s="145">
        <f t="shared" si="0"/>
        <v>1</v>
      </c>
      <c r="O7" s="146">
        <f>K7+L7</f>
        <v>108.9284835276714</v>
      </c>
      <c r="P7" s="147">
        <f>J7-O7</f>
        <v>0</v>
      </c>
      <c r="Q7" s="148"/>
      <c r="R7" s="140">
        <f>IF(($H$15=0),(_xlfn.IFS(('System Capacities'!$N$21+'System Capacities'!$N$34=2),(ABS(J7)/$G$15),('System Capacities'!$N$21+'System Capacities'!$N$34=3),(((ABS(J7)-'System Capacities'!$K$47)/($G$15))+('System Capacities'!$L$47*'System Capacities'!$D$8)),('System Capacities'!$N$21+'System Capacities'!$N$34=4),(((ABS(J7)-'System Capacities'!$K$48)/($G$15))+('System Capacities'!$L$48*'System Capacities'!$D$8)),('System Capacities'!$N$21+'System Capacities'!$N$34=5),(((ABS(J7)-'System Capacities'!$K$49)/($G$15))+('System Capacities'!$L$49*'System Capacities'!$D$8)),('System Capacities'!$N$21+'System Capacities'!$N$34=6),(((ABS(J7)-'System Capacities'!$K$50)/($G$15))+('System Capacities'!$L$50*'System Capacities'!$D$8)),('System Capacities'!$N$21+'System Capacities'!$N$34=7),(((ABS(J7)-'System Capacities'!$K$51)/($G$15))+('System Capacities'!$L$51*'System Capacities'!$D$8)),('System Capacities'!$N$21+'System Capacities'!$N$34=8),(((ABS(J7)-'System Capacities'!$K$52)/($G$15))+('System Capacities'!$L$52*'System Capacities'!$D$8)),('System Capacities'!$N$21+'System Capacities'!$N$34=9),(((ABS(J7)-'System Capacities'!$K$53)/($G$15))+('System Capacities'!$L$53*'System Capacities'!$D$8)),('System Capacities'!$N$21+'System Capacities'!$N$34=10),(((ABS(J7)-'System Capacities'!$K$54)/($G$15))+('System Capacities'!$L$54*'System Capacities'!$D$8)))),((ABS(J7-$E$15)/(-1*$G$15))+($F$15*'System Capacities'!$D$8)))</f>
        <v>0.19506198235761751</v>
      </c>
      <c r="S7" s="149">
        <f>S8+R7</f>
        <v>0.19506198235761751</v>
      </c>
      <c r="T7" s="137"/>
      <c r="U7" s="134">
        <v>1</v>
      </c>
      <c r="V7" s="139">
        <f>B7</f>
        <v>2.75</v>
      </c>
      <c r="W7" s="140">
        <f>R7/(V7-V8)</f>
        <v>7.093162994822455E-2</v>
      </c>
      <c r="X7" s="141">
        <f>S7</f>
        <v>0.19506198235761751</v>
      </c>
      <c r="Y7" s="139">
        <f>'Structural Information'!$Z$8</f>
        <v>40.367000000000004</v>
      </c>
      <c r="Z7" s="140">
        <f>Y7*X7</f>
        <v>7.8740670418299468</v>
      </c>
      <c r="AA7" s="139">
        <f>((Y7*X7)/(Z9)*$L$12)</f>
        <v>36.526139077958582</v>
      </c>
      <c r="AB7" s="139">
        <f>AD7-AD6+$O$14</f>
        <v>36.526139077958575</v>
      </c>
      <c r="AC7" s="139">
        <f>AC6+AA7</f>
        <v>108.9284835276714</v>
      </c>
      <c r="AD7" s="142">
        <f>AC7-$O$14</f>
        <v>108.9284835276714</v>
      </c>
      <c r="AE7" s="143">
        <f>IF(($H$15=0),(_xlfn.IFS((W7&lt;='Frame Capacities'!$BT$13),(W7*'Frame Capacities'!$BJ$6*'Frame Capacities'!$BM$13),(AND((W7&gt;'Frame Capacities'!$BT$13),(W7&lt;='Frame Capacities'!$BU$13))),((W7-'Frame Capacities'!$BT$13)*'Frame Capacities'!$BJ$6*('Frame Capacities'!$BN$13)+'Frame Capacities'!$BF$13),(AND((W7&gt;'Frame Capacities'!$BU$13),(W7&lt;='Frame Capacities'!$BV$13))),((W7-'Frame Capacities'!$BU$13)*'Frame Capacities'!$BJ$6*('Frame Capacities'!$BO$13)+'Frame Capacities'!$BG$13),(AND((W7&gt;'Frame Capacities'!$BV$13),(W7&lt;='Frame Capacities'!$BW$13))),((W7-'Frame Capacities'!$BV$13)*'Frame Capacities'!$BJ$6*('Frame Capacities'!$BP$13)+'Frame Capacities'!$BH$13),(AND((W7&gt;'Frame Capacities'!$BW$13),(W7&lt;='Frame Capacities'!$BX$13))),((W7-'Frame Capacities'!$BW$13)*'Frame Capacities'!$BJ$6*('Frame Capacities'!$BQ$13)+'Frame Capacities'!$BI$13))),(((W7-'Frame Capacities'!$BY$13)*'Frame Capacities'!$BJ$6*('Frame Capacities'!$BR$13)+'Frame Capacities'!$BK$13)))</f>
        <v>81.868483527671415</v>
      </c>
      <c r="AF7" s="144">
        <f>IF(($H$15=0),(_xlfn.IFS((W7&lt;='Infill Capacities'!$CS$13),(W7*'Infill Capacities'!$CM$13*'Infill Capacities'!$CK$6),(AND((W7&gt;'Infill Capacities'!$CS$13),(W7&lt;='Infill Capacities'!$CT$13))),((W7-'Infill Capacities'!$CS$13)*'Infill Capacities'!$CK$6*('Infill Capacities'!$CN$13)+'Infill Capacities'!$CG$13),(AND((W7&gt;'Infill Capacities'!$CT$13),(W7&lt;='Infill Capacities'!$CU$13))),((W7-'Infill Capacities'!$CT$13)*'Infill Capacities'!$CK$6*('Infill Capacities'!$CO$13)+'Infill Capacities'!$CH$13),(AND((W7&gt;'Infill Capacities'!$CU$13),(W7&lt;='Infill Capacities'!$CV$13))),((W7-'Infill Capacities'!$CU$13)*'Infill Capacities'!$CK$6*('Infill Capacities'!$CP$13)+'Infill Capacities'!$CJ$13))),((W7-'Infill Capacities'!$CW$13)*'Infill Capacities'!$CK$6*('Infill Capacities'!$CQ$13)+'Infill Capacities'!$CK$13))</f>
        <v>27.059999999999995</v>
      </c>
      <c r="AG7" s="140">
        <f>AE7/$C$15</f>
        <v>5.9246928868709574</v>
      </c>
      <c r="AH7" s="150">
        <f>AF7/$D$15</f>
        <v>1</v>
      </c>
      <c r="AI7" s="146">
        <f>AE7+AF7</f>
        <v>108.9284835276714</v>
      </c>
      <c r="AJ7" s="146">
        <f>AD7-AI7</f>
        <v>0</v>
      </c>
      <c r="AK7" s="151">
        <f t="shared" si="1"/>
        <v>0</v>
      </c>
      <c r="AL7" s="137"/>
    </row>
    <row r="8" spans="1:38" x14ac:dyDescent="0.25">
      <c r="A8" s="133">
        <v>0</v>
      </c>
      <c r="B8" s="139">
        <f>'Structural Information'!U9</f>
        <v>0</v>
      </c>
      <c r="C8" s="140" t="s">
        <v>70</v>
      </c>
      <c r="D8" s="141">
        <f>_xlfn.IFS(($C$18=1),($C$24*B8),($C$18=2),($C$24*(B8-B9)*((4*#REF!-B8)/(4*#REF!-$B$7))),($C$18=3),(C42))</f>
        <v>0</v>
      </c>
      <c r="E8" s="139" t="s">
        <v>70</v>
      </c>
      <c r="F8" s="140">
        <v>0</v>
      </c>
      <c r="G8" s="139" t="s">
        <v>70</v>
      </c>
      <c r="H8" s="139"/>
      <c r="I8" s="139" t="s">
        <v>70</v>
      </c>
      <c r="J8" s="139"/>
      <c r="K8" s="143" t="s">
        <v>70</v>
      </c>
      <c r="L8" s="143" t="s">
        <v>70</v>
      </c>
      <c r="M8" s="153" t="s">
        <v>70</v>
      </c>
      <c r="N8" s="154" t="s">
        <v>70</v>
      </c>
      <c r="O8" s="155" t="s">
        <v>70</v>
      </c>
      <c r="P8" s="156" t="s">
        <v>70</v>
      </c>
      <c r="Q8" s="137"/>
      <c r="R8" s="140">
        <v>0</v>
      </c>
      <c r="S8" s="149">
        <f>R8</f>
        <v>0</v>
      </c>
      <c r="T8" s="137"/>
      <c r="U8" s="134">
        <v>0</v>
      </c>
      <c r="V8" s="139">
        <f>B8</f>
        <v>0</v>
      </c>
      <c r="W8" s="140" t="s">
        <v>70</v>
      </c>
      <c r="X8" s="141">
        <f>S8</f>
        <v>0</v>
      </c>
      <c r="Y8" s="139" t="str">
        <f>E8</f>
        <v>-</v>
      </c>
      <c r="Z8" s="140">
        <v>0</v>
      </c>
      <c r="AA8" s="139" t="s">
        <v>70</v>
      </c>
      <c r="AB8" s="139"/>
      <c r="AC8" s="157" t="s">
        <v>70</v>
      </c>
      <c r="AD8" s="157"/>
      <c r="AE8" s="143" t="s">
        <v>70</v>
      </c>
      <c r="AF8" s="143" t="s">
        <v>70</v>
      </c>
      <c r="AG8" s="153" t="s">
        <v>70</v>
      </c>
      <c r="AH8" s="143" t="s">
        <v>70</v>
      </c>
      <c r="AI8" s="155" t="s">
        <v>70</v>
      </c>
      <c r="AJ8" s="155" t="s">
        <v>70</v>
      </c>
      <c r="AK8" s="137"/>
      <c r="AL8" s="137"/>
    </row>
    <row r="9" spans="1:38" x14ac:dyDescent="0.25">
      <c r="A9" s="158"/>
      <c r="B9" s="159"/>
      <c r="C9" s="159"/>
      <c r="D9" s="159"/>
      <c r="E9" s="160" t="s">
        <v>82</v>
      </c>
      <c r="F9" s="161">
        <f>SUM(F5:F8)</f>
        <v>23.482092652364003</v>
      </c>
      <c r="G9" s="159"/>
      <c r="H9" s="159"/>
      <c r="I9" s="159"/>
      <c r="J9" s="159"/>
      <c r="K9" s="159"/>
      <c r="L9" s="159"/>
      <c r="M9" s="159"/>
      <c r="N9" s="159"/>
      <c r="O9" s="159"/>
      <c r="P9" s="162"/>
      <c r="Q9" s="137"/>
      <c r="R9" s="137"/>
      <c r="S9" s="137"/>
      <c r="T9" s="137"/>
      <c r="U9" s="137"/>
      <c r="V9" s="137"/>
      <c r="W9" s="137"/>
      <c r="X9" s="137"/>
      <c r="Y9" s="163" t="s">
        <v>82</v>
      </c>
      <c r="Z9" s="164">
        <f>SUM(Z5:Z8)</f>
        <v>23.482092652363914</v>
      </c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</row>
    <row r="10" spans="1:38" x14ac:dyDescent="0.25">
      <c r="A10" s="158"/>
      <c r="B10" s="159"/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62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</row>
    <row r="11" spans="1:38" ht="15.75" customHeight="1" x14ac:dyDescent="0.25">
      <c r="A11" s="158"/>
      <c r="B11" s="963" t="s">
        <v>87</v>
      </c>
      <c r="C11" s="964"/>
      <c r="D11" s="964"/>
      <c r="E11" s="964"/>
      <c r="F11" s="964"/>
      <c r="G11" s="964"/>
      <c r="H11" s="965"/>
      <c r="I11" s="159"/>
      <c r="J11" s="159"/>
      <c r="K11" s="956" t="s">
        <v>273</v>
      </c>
      <c r="L11" s="956"/>
      <c r="M11" s="159"/>
      <c r="N11" s="165" t="s">
        <v>417</v>
      </c>
      <c r="O11" s="166" t="s">
        <v>416</v>
      </c>
      <c r="P11" s="162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</row>
    <row r="12" spans="1:38" x14ac:dyDescent="0.25">
      <c r="A12" s="158"/>
      <c r="B12" s="134" t="s">
        <v>9</v>
      </c>
      <c r="C12" s="134" t="s">
        <v>191</v>
      </c>
      <c r="D12" s="134" t="s">
        <v>192</v>
      </c>
      <c r="E12" s="134" t="s">
        <v>72</v>
      </c>
      <c r="F12" s="134" t="s">
        <v>74</v>
      </c>
      <c r="G12" s="134" t="s">
        <v>181</v>
      </c>
      <c r="H12" s="533" t="s">
        <v>427</v>
      </c>
      <c r="I12" s="567" t="s">
        <v>428</v>
      </c>
      <c r="J12" s="159"/>
      <c r="K12" s="167" t="s">
        <v>274</v>
      </c>
      <c r="L12" s="168">
        <f>S68</f>
        <v>108.9284835276714</v>
      </c>
      <c r="M12" s="159"/>
      <c r="N12" s="169">
        <v>3</v>
      </c>
      <c r="O12" s="170">
        <f t="shared" ref="O12:O14" si="2">P68</f>
        <v>0</v>
      </c>
      <c r="P12" s="162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</row>
    <row r="13" spans="1:38" x14ac:dyDescent="0.25">
      <c r="A13" s="158"/>
      <c r="B13" s="160">
        <v>3</v>
      </c>
      <c r="C13" s="139">
        <f>'System Capacities'!N6</f>
        <v>10.43447219167199</v>
      </c>
      <c r="D13" s="139">
        <f>'System Capacities'!O6</f>
        <v>128.97144999038088</v>
      </c>
      <c r="E13" s="143">
        <f>IF(($H$13=0),('System Capacities'!$P$6),('System Capacities'!$C$56))</f>
        <v>139.40592218205288</v>
      </c>
      <c r="F13" s="171">
        <f>IF(($H$13=0),('System Capacities'!$Q$6),('System Capacities'!$D$56))</f>
        <v>1.1243924809894211E-3</v>
      </c>
      <c r="G13" s="139">
        <f>IF(($H$13=0),('System Capacities'!$R$6),('System Capacities'!$E$56))</f>
        <v>41327.776121786563</v>
      </c>
      <c r="H13" s="544">
        <v>1</v>
      </c>
      <c r="I13" s="159"/>
      <c r="J13" s="159"/>
      <c r="K13" s="159"/>
      <c r="L13" s="159"/>
      <c r="M13" s="159"/>
      <c r="N13" s="169">
        <v>2</v>
      </c>
      <c r="O13" s="170">
        <f>P69</f>
        <v>0</v>
      </c>
      <c r="P13" s="162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</row>
    <row r="14" spans="1:38" ht="15" customHeight="1" thickBot="1" x14ac:dyDescent="0.3">
      <c r="A14" s="158"/>
      <c r="B14" s="160">
        <v>2</v>
      </c>
      <c r="C14" s="139">
        <f>'System Capacities'!N7</f>
        <v>32.116963804751286</v>
      </c>
      <c r="D14" s="139">
        <f>'System Capacities'!O7</f>
        <v>235.85315329906305</v>
      </c>
      <c r="E14" s="143">
        <f>IF(($H$14=0),('System Capacities'!$P$7),('System Capacities'!$G$56))</f>
        <v>267.97011710381435</v>
      </c>
      <c r="F14" s="171">
        <f>IF(($H$14=0),('System Capacities'!$Q$7),('System Capacities'!$H$56))</f>
        <v>2.8223787916516192E-3</v>
      </c>
      <c r="G14" s="139">
        <f>IF(($H$14=0),('System Capacities'!$R$7),('System Capacities'!$I$56))</f>
        <v>44663.599430175775</v>
      </c>
      <c r="H14" s="545">
        <v>1</v>
      </c>
      <c r="I14" s="172"/>
      <c r="J14" s="172"/>
      <c r="K14" s="159"/>
      <c r="L14" s="159"/>
      <c r="M14" s="159"/>
      <c r="N14" s="173">
        <v>1</v>
      </c>
      <c r="O14" s="174">
        <f t="shared" si="2"/>
        <v>0</v>
      </c>
      <c r="P14" s="162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</row>
    <row r="15" spans="1:38" ht="16.5" thickBot="1" x14ac:dyDescent="0.3">
      <c r="A15" s="158"/>
      <c r="B15" s="160">
        <v>1</v>
      </c>
      <c r="C15" s="139">
        <f>'System Capacities'!N8</f>
        <v>13.818181818181818</v>
      </c>
      <c r="D15" s="139">
        <f>'System Capacities'!O8</f>
        <v>27.059999999999995</v>
      </c>
      <c r="E15" s="143">
        <f>IF(($H$15=0),('System Capacities'!$P$8),('System Capacities'!$K$56))</f>
        <v>97.888939193605097</v>
      </c>
      <c r="F15" s="171">
        <f>IF(($H$15=0),('System Capacities'!$Q$8),('System Capacities'!$L$56))</f>
        <v>0.08</v>
      </c>
      <c r="G15" s="139">
        <f>IF(($H$15=0),('System Capacities'!$R$8),('System Capacities'!$M$56))</f>
        <v>-442.67930564394453</v>
      </c>
      <c r="H15" s="546">
        <v>0</v>
      </c>
      <c r="I15" s="159"/>
      <c r="J15" s="159"/>
      <c r="K15" s="159"/>
      <c r="L15" s="175"/>
      <c r="M15" s="159"/>
      <c r="N15" s="159"/>
      <c r="O15" s="159"/>
      <c r="P15" s="162"/>
      <c r="Q15" s="137"/>
      <c r="R15" s="966" t="s">
        <v>248</v>
      </c>
      <c r="S15" s="967"/>
      <c r="T15" s="114"/>
      <c r="U15" s="966" t="s">
        <v>248</v>
      </c>
      <c r="V15" s="996"/>
      <c r="W15" s="996"/>
      <c r="X15" s="996"/>
      <c r="Y15" s="996"/>
      <c r="Z15" s="996"/>
      <c r="AA15" s="996"/>
      <c r="AB15" s="996"/>
      <c r="AC15" s="996"/>
      <c r="AD15" s="996"/>
      <c r="AE15" s="996"/>
      <c r="AF15" s="996"/>
      <c r="AG15" s="996"/>
      <c r="AH15" s="996"/>
      <c r="AI15" s="996"/>
      <c r="AJ15" s="967"/>
      <c r="AK15" s="137"/>
      <c r="AL15" s="137"/>
    </row>
    <row r="16" spans="1:38" ht="16.5" thickBot="1" x14ac:dyDescent="0.3">
      <c r="A16" s="158"/>
      <c r="B16" s="159"/>
      <c r="C16" s="159"/>
      <c r="D16" s="159"/>
      <c r="E16" s="159"/>
      <c r="F16" s="159"/>
      <c r="G16" s="159"/>
      <c r="H16" s="159"/>
      <c r="I16" s="159"/>
      <c r="J16" s="159"/>
      <c r="K16" s="176" t="s">
        <v>265</v>
      </c>
      <c r="L16" s="150">
        <v>1</v>
      </c>
      <c r="M16" s="159"/>
      <c r="N16" s="159"/>
      <c r="O16" s="159"/>
      <c r="P16" s="162"/>
      <c r="Q16" s="137"/>
      <c r="R16" s="917" t="s">
        <v>85</v>
      </c>
      <c r="S16" s="955" t="s">
        <v>84</v>
      </c>
      <c r="T16" s="137"/>
      <c r="U16" s="955" t="s">
        <v>0</v>
      </c>
      <c r="V16" s="955" t="s">
        <v>76</v>
      </c>
      <c r="W16" s="955" t="s">
        <v>104</v>
      </c>
      <c r="X16" s="917" t="s">
        <v>78</v>
      </c>
      <c r="Y16" s="955" t="s">
        <v>80</v>
      </c>
      <c r="Z16" s="955" t="s">
        <v>81</v>
      </c>
      <c r="AA16" s="643" t="s">
        <v>412</v>
      </c>
      <c r="AB16" s="643" t="s">
        <v>410</v>
      </c>
      <c r="AC16" s="643" t="s">
        <v>413</v>
      </c>
      <c r="AD16" s="643" t="s">
        <v>411</v>
      </c>
      <c r="AE16" s="917" t="s">
        <v>188</v>
      </c>
      <c r="AF16" s="917" t="s">
        <v>187</v>
      </c>
      <c r="AG16" s="917" t="s">
        <v>189</v>
      </c>
      <c r="AH16" s="917" t="s">
        <v>190</v>
      </c>
      <c r="AI16" s="968" t="s">
        <v>352</v>
      </c>
      <c r="AJ16" s="969" t="s">
        <v>418</v>
      </c>
      <c r="AK16" s="989" t="s">
        <v>242</v>
      </c>
      <c r="AL16" s="137"/>
    </row>
    <row r="17" spans="1:38" ht="16.5" thickBot="1" x14ac:dyDescent="0.3">
      <c r="A17" s="158"/>
      <c r="B17" s="983" t="s">
        <v>312</v>
      </c>
      <c r="C17" s="984"/>
      <c r="D17" s="985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62"/>
      <c r="Q17" s="137"/>
      <c r="R17" s="643"/>
      <c r="S17" s="648"/>
      <c r="T17" s="137"/>
      <c r="U17" s="648"/>
      <c r="V17" s="648"/>
      <c r="W17" s="648"/>
      <c r="X17" s="643"/>
      <c r="Y17" s="648"/>
      <c r="Z17" s="648"/>
      <c r="AA17" s="643"/>
      <c r="AB17" s="643"/>
      <c r="AC17" s="643"/>
      <c r="AD17" s="643"/>
      <c r="AE17" s="643"/>
      <c r="AF17" s="643"/>
      <c r="AG17" s="643"/>
      <c r="AH17" s="643"/>
      <c r="AI17" s="969"/>
      <c r="AJ17" s="994"/>
      <c r="AK17" s="989"/>
      <c r="AL17" s="137"/>
    </row>
    <row r="18" spans="1:38" ht="16.5" thickBot="1" x14ac:dyDescent="0.3">
      <c r="A18" s="158"/>
      <c r="B18" s="177" t="s">
        <v>311</v>
      </c>
      <c r="C18" s="178">
        <v>3</v>
      </c>
      <c r="D18" s="179"/>
      <c r="E18" s="159"/>
      <c r="F18" s="159"/>
      <c r="G18" s="159"/>
      <c r="H18" s="159"/>
      <c r="I18" s="159"/>
      <c r="J18" s="159"/>
      <c r="K18" s="180"/>
      <c r="L18" s="180"/>
      <c r="M18" s="159"/>
      <c r="N18" s="180"/>
      <c r="O18" s="180"/>
      <c r="P18" s="162"/>
      <c r="Q18" s="137"/>
      <c r="R18" s="140">
        <f>IF(($H$13=0),(_xlfn.IFS(('System Capacities'!$N$19+'System Capacities'!$N$32=2),((ABS(AD5)/$G$13)),('System Capacities'!$N$19+'System Capacities'!$N$32=3),(((ABS(AD5)-'System Capacities'!$C$47)/($G$13))+('System Capacities'!$D$47*'System Capacities'!$D$6)),('System Capacities'!$N$19+'System Capacities'!$N$32=4),(((ABS(AD5)-'System Capacities'!$C$48)/($G$13))+('System Capacities'!$D$48*'System Capacities'!$D$6)),('System Capacities'!$N$19+'System Capacities'!$N$32=5),(((ABS(AD5)-'System Capacities'!$C$49)/($G$13))+('System Capacities'!$D$49*'System Capacities'!$D$6)),('System Capacities'!$N$19+'System Capacities'!$N$32=6),(((ABS(AD5)-'System Capacities'!$C$50)/($G$13))+('System Capacities'!$D$50*'System Capacities'!$D$6)),('System Capacities'!$N$19+'System Capacities'!$N$32=7),(((ABS(AD5)-'System Capacities'!$C$51)/($G$13))+('System Capacities'!$D$51*'System Capacities'!$D$6)),('System Capacities'!$N$19+'System Capacities'!$N$32=8),(((ABS(AD5)-'System Capacities'!$C$52)/($G$13))+('System Capacities'!$D$52*'System Capacities'!$D$6)),('System Capacities'!$N$19+'System Capacities'!$N$32=9),(((ABS(AD5)-'System Capacities'!$C$53)/($G$13))+('System Capacities'!$D$53*'System Capacities'!$D$6)),('System Capacities'!$N$19+'System Capacities'!$N$32=10),(((ABS(AD5)-'System Capacities'!$C$54)/($G$13))+('System Capacities'!$D$54*'System Capacities'!$D$6)))),((ABS(AD5-$E$13)/(-1*$G$13))+($F$13*'System Capacities'!$D$6)))</f>
        <v>8.4956485649899036E-4</v>
      </c>
      <c r="S18" s="181">
        <f>S19+R18</f>
        <v>0.19999999993730164</v>
      </c>
      <c r="T18" s="137"/>
      <c r="U18" s="134">
        <v>3</v>
      </c>
      <c r="V18" s="139">
        <f>V5</f>
        <v>8.75</v>
      </c>
      <c r="W18" s="140">
        <f>R18/(V18-V19)</f>
        <v>2.8318828549966343E-4</v>
      </c>
      <c r="X18" s="141">
        <f>S18</f>
        <v>0.19999999993730164</v>
      </c>
      <c r="Y18" s="139">
        <f>'Structural Information'!$Z$6</f>
        <v>37.8446</v>
      </c>
      <c r="Z18" s="139">
        <f>Y18*X18</f>
        <v>7.5689199976272059</v>
      </c>
      <c r="AA18" s="139">
        <f>((Y18*X18)/(Z22)*$L$12)</f>
        <v>35.110626190328027</v>
      </c>
      <c r="AB18" s="139">
        <f>AD18+$O$12</f>
        <v>35.110626190328027</v>
      </c>
      <c r="AC18" s="139">
        <f>AA18</f>
        <v>35.110626190328027</v>
      </c>
      <c r="AD18" s="142">
        <f>AC18-$O$12</f>
        <v>35.110626190328027</v>
      </c>
      <c r="AE18" s="143">
        <f>IF(($H$13=0),(_xlfn.IFS((W18&lt;='Frame Capacities'!$BT$11),(W18*'Frame Capacities'!$BJ$4*'Frame Capacities'!$BM$11),(AND((W18&gt;'Frame Capacities'!$BT$11),(W18&lt;='Frame Capacities'!$BU$11))),((W18-'Frame Capacities'!$BT$11)*'Frame Capacities'!$BJ$4*('Frame Capacities'!$BN$11)+'Frame Capacities'!$BF$11),(AND((W18&gt;'Frame Capacities'!$BU$11),(W18&lt;='Frame Capacities'!$BV$11))),((W18-'Frame Capacities'!$BU$11)*'Frame Capacities'!$BJ$4*('Frame Capacities'!$BO$11)+'Frame Capacities'!$BG$11),(AND((W18&gt;'Frame Capacities'!$BV$11),(W18&lt;='Frame Capacities'!$BW$11))),((W18-'Frame Capacities'!$BV$11)*'Frame Capacities'!$BJ$4*('Frame Capacities'!$BP$11)+'Frame Capacities'!$BH$11),(AND((W18&gt;'Frame Capacities'!$BW$11),(W18&lt;='Frame Capacities'!$BX$11))),((W18-'Frame Capacities'!$BW$11)*'Frame Capacities'!$BJ$4*('Frame Capacities'!$BQ$11)+'Frame Capacities'!$BI$11))),((W18-'Frame Capacities'!$BY$11)*'Frame Capacities'!$BJ$4*('Frame Capacities'!$BR$11)+'Frame Capacities'!$BK$11))</f>
        <v>2.6280149858822366</v>
      </c>
      <c r="AF18" s="144">
        <f>IF(($H$13=0),(_xlfn.IFS((W18&lt;='Infill Capacities'!$CS$11),(W18*'Infill Capacities'!$CM$11*'Infill Capacities'!$CK$4),(AND((W18&gt;'Infill Capacities'!$CS$11),(W18&lt;='Infill Capacities'!$CT$11))),((W18-'Infill Capacities'!$CS$11)*'Infill Capacities'!$CK$4*('Infill Capacities'!$CN$11)+'Infill Capacities'!$CG$11),(AND((W18&gt;'Infill Capacities'!$CT$11),(W18&lt;='Infill Capacities'!$CU$11))),((W18-'Infill Capacities'!$CT$11)*'Infill Capacities'!$CK$4*('Infill Capacities'!$CO$11)+'Infill Capacities'!$CH$11),(AND((W18&gt;'Infill Capacities'!$CU$11),(W18&lt;='Infill Capacities'!$CV$11))),((W18-'Infill Capacities'!$CU$11)*'Infill Capacities'!$CK$4*('Infill Capacities'!$CP$11)+'Infill Capacities'!$CJ$11))),((W18-'Infill Capacities'!$CW$11)*'Infill Capacities'!$CK$4*('Infill Capacities'!$CQ$11)+'Infill Capacities'!$CK$11))</f>
        <v>32.482611204445774</v>
      </c>
      <c r="AG18" s="171">
        <f>AE18/$C$13</f>
        <v>0.25185892852153274</v>
      </c>
      <c r="AH18" s="182">
        <f>AF18/$D$13</f>
        <v>0.25185892852153274</v>
      </c>
      <c r="AI18" s="146">
        <f>AE18+AF18</f>
        <v>35.110626190328013</v>
      </c>
      <c r="AJ18" s="146">
        <f>AD18-AI18</f>
        <v>0</v>
      </c>
      <c r="AK18" s="151">
        <f>(AD18-(AI18))/AD18</f>
        <v>4.0474512297694901E-16</v>
      </c>
      <c r="AL18" s="137"/>
    </row>
    <row r="19" spans="1:38" x14ac:dyDescent="0.25">
      <c r="A19" s="158"/>
      <c r="B19" s="981" t="s">
        <v>309</v>
      </c>
      <c r="C19" s="982"/>
      <c r="D19" s="183">
        <v>1</v>
      </c>
      <c r="E19" s="159"/>
      <c r="F19" s="159"/>
      <c r="G19" s="159"/>
      <c r="H19" s="159"/>
      <c r="I19" s="159"/>
      <c r="J19" s="159"/>
      <c r="K19" s="180"/>
      <c r="L19" s="180"/>
      <c r="M19" s="159"/>
      <c r="N19" s="180"/>
      <c r="O19" s="180"/>
      <c r="P19" s="162"/>
      <c r="Q19" s="137"/>
      <c r="R19" s="140">
        <f>IF(($H$14=0),(_xlfn.IFS(('System Capacities'!$N$20+'System Capacities'!$N$33=2),(ABS(AD6)/$G$14),('System Capacities'!$N$20+'System Capacities'!$N$33=3),(((ABS(AD6)-'System Capacities'!$G$47)/($G$14))+('System Capacities'!$H$47*'System Capacities'!$D$7)),('System Capacities'!$N$20+'System Capacities'!$N$33=4),(((ABS(AD6)-'System Capacities'!$G$48)/($G$14))+('System Capacities'!$H$48*'System Capacities'!$D$7)),('System Capacities'!$N$20+'System Capacities'!$N$33=5),(((ABS(AD6)-'System Capacities'!$G$49)/($G$14))+('System Capacities'!$H$49*'System Capacities'!$D$7)),('System Capacities'!$N$20+'System Capacities'!$N$33=6),(((ABS(AD6)-'System Capacities'!$G$50)/($G$14))+('System Capacities'!$H$50*'System Capacities'!$D$7)),('System Capacities'!$N$20+'System Capacities'!$N$33=7),(((ABS(AD6)-'System Capacities'!$G$51)/($G$14))+('System Capacities'!$H$51*'System Capacities'!$D$7)),('System Capacities'!$N$20+'System Capacities'!$N$33=8),(((ABS(AD6)-'System Capacities'!$G$52)/($G$14))+('System Capacities'!$H$52*'System Capacities'!$D$7)),('System Capacities'!$N$20+'System Capacities'!$N$33=9),(((ABS(AD6)-'System Capacities'!$G$53)/($G$14))+('System Capacities'!$H$53*'System Capacities'!$D$7)),('System Capacities'!$N$20+'System Capacities'!$N$33=10),(((ABS(AD6)-'System Capacities'!$G$54)/($G$14))+('System Capacities'!$H$54*'System Capacities'!$D$7)))),((ABS(AD6-$E$14)/(-1*$G$14))+($F$14*'System Capacities'!$D$7)))</f>
        <v>4.0884527231851483E-3</v>
      </c>
      <c r="S19" s="181">
        <f>S20+R19</f>
        <v>0.19915043508080266</v>
      </c>
      <c r="T19" s="137"/>
      <c r="U19" s="134">
        <v>2</v>
      </c>
      <c r="V19" s="139">
        <f>V6</f>
        <v>5.75</v>
      </c>
      <c r="W19" s="140">
        <f>R19/(V19-V20)</f>
        <v>1.3628175743950494E-3</v>
      </c>
      <c r="X19" s="141">
        <f>S19</f>
        <v>0.19915043508080266</v>
      </c>
      <c r="Y19" s="139">
        <f>'Structural Information'!$Z$7</f>
        <v>40.367000000000004</v>
      </c>
      <c r="Z19" s="139">
        <f>Y19*X19</f>
        <v>8.0391056129067611</v>
      </c>
      <c r="AA19" s="139">
        <f>((Y19*X19)/(Z22)*$L$12)</f>
        <v>37.291718259384794</v>
      </c>
      <c r="AB19" s="139">
        <f>AD19-AD18+$O$13</f>
        <v>37.291718259384787</v>
      </c>
      <c r="AC19" s="139">
        <f>AC18+AA19</f>
        <v>72.402344449712814</v>
      </c>
      <c r="AD19" s="142">
        <f>AC19-$O$13</f>
        <v>72.402344449712814</v>
      </c>
      <c r="AE19" s="143">
        <f>IF(($H$14=0),(_xlfn.IFS((W19&lt;='Frame Capacities'!$BT$12),(W19*'Frame Capacities'!$BJ$5*'Frame Capacities'!$BM$12),(AND((W19&gt;'Frame Capacities'!$BT$12),(W19&lt;='Frame Capacities'!$BU$12))),((W19-'Frame Capacities'!$BT$12)*'Frame Capacities'!$BJ$5*('Frame Capacities'!$BN$12)+'Frame Capacities'!$BF$12),(AND((W19&gt;'Frame Capacities'!$BU$12),(W19&lt;='Frame Capacities'!$BV$12))),((W19-'Frame Capacities'!$BU$12)*'Frame Capacities'!$BJ$5*('Frame Capacities'!$BO$12)+'Frame Capacities'!$BG$12),(AND((W19&gt;'Frame Capacities'!$BV$12),(W19&lt;='Frame Capacities'!$BW$12))),((W19-'Frame Capacities'!$BV$12)*'Frame Capacities'!$BJ$5*('Frame Capacities'!$BP$12)+'Frame Capacities'!$BH$12),(AND((W19&gt;'Frame Capacities'!$BW$12),(W19&lt;='Frame Capacities'!$BX$12))),((W19-'Frame Capacities'!$BW$12)*'Frame Capacities'!$BJ$5*('Frame Capacities'!$BQ$12)+'Frame Capacities'!$BI$12))),(((W19-'Frame Capacities'!$BY$12)*'Frame Capacities'!$BJ$5*('Frame Capacities'!$BR$12)+'Frame Capacities'!$BK$12)))</f>
        <v>15.50803982753547</v>
      </c>
      <c r="AF19" s="144">
        <f>IF(($H$14=0),(_xlfn.IFS((W19&lt;='Infill Capacities'!$CS$12),(W19*'Infill Capacities'!$CM$12*'Infill Capacities'!$CK$5),(AND((W19&gt;'Infill Capacities'!$CS$12),(W19&lt;='Infill Capacities'!$CT$12))),((W19-'Infill Capacities'!$CS$12)*'Infill Capacities'!$CK$5*('Infill Capacities'!$CN$12)+'Infill Capacities'!$CG$12),(AND((W19&gt;'Infill Capacities'!$CT$12),(W19&lt;='Infill Capacities'!$CU$12))),((W19-'Infill Capacities'!$CT$12)*'Infill Capacities'!$CK$5*('Infill Capacities'!$CO$12)+'Infill Capacities'!$CH$12),(AND((W19&gt;'Infill Capacities'!$CU$12),(W19&lt;='Infill Capacities'!$CV$12))),((W19-'Infill Capacities'!$CU$12)*'Infill Capacities'!$CK$5*('Infill Capacities'!$CP$12)+'Infill Capacities'!$CJ$12))),((W19-'Infill Capacities'!$CW$12)*'Infill Capacities'!$CK$5*('Infill Capacities'!$CQ$12)+'Infill Capacities'!$CK$12))</f>
        <v>56.894304622177316</v>
      </c>
      <c r="AG19" s="171">
        <f>AE19/$C$14</f>
        <v>0.48286132904136031</v>
      </c>
      <c r="AH19" s="182">
        <f>AF19/$D$14</f>
        <v>0.24122766147644012</v>
      </c>
      <c r="AI19" s="146">
        <f>AE19+AF19</f>
        <v>72.402344449712785</v>
      </c>
      <c r="AJ19" s="146">
        <f>AD19-AI19</f>
        <v>0</v>
      </c>
      <c r="AK19" s="151">
        <f t="shared" ref="AK19:AK20" si="3">(AD19-(AI19))/AD19</f>
        <v>3.9255233578995995E-16</v>
      </c>
      <c r="AL19" s="137"/>
    </row>
    <row r="20" spans="1:38" x14ac:dyDescent="0.25">
      <c r="A20" s="158"/>
      <c r="B20" s="981" t="s">
        <v>310</v>
      </c>
      <c r="C20" s="982"/>
      <c r="D20" s="184">
        <v>2</v>
      </c>
      <c r="E20" s="159"/>
      <c r="F20" s="159"/>
      <c r="G20" s="159"/>
      <c r="H20" s="159"/>
      <c r="I20" s="159"/>
      <c r="J20" s="159"/>
      <c r="K20" s="159"/>
      <c r="L20" s="175"/>
      <c r="M20" s="159"/>
      <c r="N20" s="180"/>
      <c r="O20" s="180"/>
      <c r="P20" s="162"/>
      <c r="Q20" s="137"/>
      <c r="R20" s="140">
        <f>IF(($H$15=0),(_xlfn.IFS(('System Capacities'!$N$21+'System Capacities'!$N$34=2),(ABS(AD7)/$G$15),('System Capacities'!$N$21+'System Capacities'!$N$34=3),(((ABS(AD7)-'System Capacities'!$K$47)/($G$15))+('System Capacities'!$L$47*'System Capacities'!$D$8)),('System Capacities'!$N$21+'System Capacities'!$N$34=4),(((ABS(AD7)-'System Capacities'!$K$48)/($G$15))+('System Capacities'!$L$48*'System Capacities'!$D$8)),('System Capacities'!$N$21+'System Capacities'!$N$34=5),(((ABS(AD7)-'System Capacities'!$K$49)/($G$15))+('System Capacities'!$L$49*'System Capacities'!$D$8)),('System Capacities'!$N$21+'System Capacities'!$N$34=6),(((ABS(AD7)-'System Capacities'!$K$50)/($G$15))+('System Capacities'!$L$50*'System Capacities'!$D$8)),('System Capacities'!$N$21+'System Capacities'!$N$34=7),(((ABS(AD7)-'System Capacities'!$K$51)/($G$15))+('System Capacities'!$L$51*'System Capacities'!$D$8)),('System Capacities'!$N$21+'System Capacities'!$N$34=8),(((ABS(AD7)-'System Capacities'!$K$52)/($G$15))+('System Capacities'!$L$52*'System Capacities'!$D$8)),('System Capacities'!$N$21+'System Capacities'!$N$34=9),(((ABS(AD7)-'System Capacities'!$K$53)/($G$15))+('System Capacities'!$L$53*'System Capacities'!$D$8)),('System Capacities'!$N$21+'System Capacities'!$N$34=10),(((ABS(AD7)-'System Capacities'!$K$54)/($G$15))+('System Capacities'!$L$54*'System Capacities'!$D$8)))),((ABS(AD7-$E$15)/(-1*$G$15))+($F$15*'System Capacities'!$D$8)))</f>
        <v>0.19506198235761751</v>
      </c>
      <c r="S20" s="181">
        <f>S21+R20</f>
        <v>0.19506198235761751</v>
      </c>
      <c r="T20" s="137"/>
      <c r="U20" s="134">
        <v>1</v>
      </c>
      <c r="V20" s="139">
        <f>V7</f>
        <v>2.75</v>
      </c>
      <c r="W20" s="140">
        <f>R20/(V20-V21)</f>
        <v>7.093162994822455E-2</v>
      </c>
      <c r="X20" s="141">
        <f>S20</f>
        <v>0.19506198235761751</v>
      </c>
      <c r="Y20" s="139">
        <f>'Structural Information'!$Z$8</f>
        <v>40.367000000000004</v>
      </c>
      <c r="Z20" s="139">
        <f>Y20*X20</f>
        <v>7.8740670418299468</v>
      </c>
      <c r="AA20" s="139">
        <f>((Y20*X20)/(Z22)*$L$12)</f>
        <v>36.526139077958582</v>
      </c>
      <c r="AB20" s="139">
        <f>AD20-AD19+$O$14</f>
        <v>36.526139077958589</v>
      </c>
      <c r="AC20" s="139">
        <f>AC19+AA20</f>
        <v>108.9284835276714</v>
      </c>
      <c r="AD20" s="142">
        <f>AC20-$O$14</f>
        <v>108.9284835276714</v>
      </c>
      <c r="AE20" s="143">
        <f>IF(($H$15=0),(_xlfn.IFS((W20&lt;='Frame Capacities'!$BT$13),(W20*'Frame Capacities'!$BJ$6*'Frame Capacities'!$BM$13),(AND((W20&gt;'Frame Capacities'!$BT$13),(W20&lt;='Frame Capacities'!$BU$13))),((W20-'Frame Capacities'!$BT$13)*'Frame Capacities'!$BJ$6*('Frame Capacities'!$BN$13)+'Frame Capacities'!$BF$13),(AND((W20&gt;'Frame Capacities'!$BU$13),(W20&lt;='Frame Capacities'!$BV$13))),((W20-'Frame Capacities'!$BU$13)*'Frame Capacities'!$BJ$6*('Frame Capacities'!$BO$13)+'Frame Capacities'!$BG$13),(AND((W20&gt;'Frame Capacities'!$BV$13),(W20&lt;='Frame Capacities'!$BW$13))),((W20-'Frame Capacities'!$BV$13)*'Frame Capacities'!$BJ$6*('Frame Capacities'!$BP$13)+'Frame Capacities'!$BH$13),(AND((W20&gt;'Frame Capacities'!$BW$13),(W20&lt;='Frame Capacities'!$BX$13))),((W20-'Frame Capacities'!$BW$13)*'Frame Capacities'!$BJ$6*('Frame Capacities'!$BQ$13)+'Frame Capacities'!$BI$13))),(((W20-'Frame Capacities'!$BY$13)*'Frame Capacities'!$BJ$6*('Frame Capacities'!$BR$13)+'Frame Capacities'!$BK$13)))</f>
        <v>81.868483527671415</v>
      </c>
      <c r="AF20" s="144">
        <f>IF(($H$15=0),(_xlfn.IFS((W20&lt;='Infill Capacities'!$CS$13),(W20*'Infill Capacities'!$CM$13*'Infill Capacities'!$CK$6),(AND((W20&gt;'Infill Capacities'!$CS$13),(W20&lt;='Infill Capacities'!$CT$13))),((W20-'Infill Capacities'!$CS$13)*'Infill Capacities'!$CK$6*('Infill Capacities'!$CN$13)+'Infill Capacities'!$CG$13),(AND((W20&gt;'Infill Capacities'!$CT$13),(W20&lt;='Infill Capacities'!$CU$13))),((W20-'Infill Capacities'!$CT$13)*'Infill Capacities'!$CK$6*('Infill Capacities'!$CO$13)+'Infill Capacities'!$CH$13),(AND((W20&gt;'Infill Capacities'!$CU$13),(W20&lt;='Infill Capacities'!$CV$13))),((W20-'Infill Capacities'!$CU$13)*'Infill Capacities'!$CK$6*('Infill Capacities'!$CP$13)+'Infill Capacities'!$CJ$13))),((W20-'Infill Capacities'!$CW$13)*'Infill Capacities'!$CK$6*('Infill Capacities'!$CQ$13)+'Infill Capacities'!$CK$13))</f>
        <v>27.059999999999995</v>
      </c>
      <c r="AG20" s="171">
        <f>AE20/$C$15</f>
        <v>5.9246928868709574</v>
      </c>
      <c r="AH20" s="182">
        <f>AF20/$D$15</f>
        <v>1</v>
      </c>
      <c r="AI20" s="146">
        <f>AE20+AF20</f>
        <v>108.9284835276714</v>
      </c>
      <c r="AJ20" s="146">
        <f>AD20-AI20</f>
        <v>0</v>
      </c>
      <c r="AK20" s="151">
        <f t="shared" si="3"/>
        <v>0</v>
      </c>
      <c r="AL20" s="137"/>
    </row>
    <row r="21" spans="1:38" ht="16.5" thickBot="1" x14ac:dyDescent="0.3">
      <c r="A21" s="158"/>
      <c r="B21" s="979" t="s">
        <v>322</v>
      </c>
      <c r="C21" s="980"/>
      <c r="D21" s="185">
        <v>3</v>
      </c>
      <c r="E21" s="159"/>
      <c r="F21" s="159"/>
      <c r="G21" s="159"/>
      <c r="H21" s="159"/>
      <c r="I21" s="159"/>
      <c r="J21" s="159"/>
      <c r="K21" s="159"/>
      <c r="L21" s="175"/>
      <c r="M21" s="159"/>
      <c r="N21" s="159"/>
      <c r="O21" s="159"/>
      <c r="P21" s="162"/>
      <c r="Q21" s="137"/>
      <c r="R21" s="140">
        <v>0</v>
      </c>
      <c r="S21" s="181">
        <f>R21</f>
        <v>0</v>
      </c>
      <c r="T21" s="137"/>
      <c r="U21" s="134">
        <v>0</v>
      </c>
      <c r="V21" s="139">
        <f>V8</f>
        <v>0</v>
      </c>
      <c r="W21" s="152" t="s">
        <v>70</v>
      </c>
      <c r="X21" s="141">
        <f>S21</f>
        <v>0</v>
      </c>
      <c r="Y21" s="139" t="str">
        <f>E8</f>
        <v>-</v>
      </c>
      <c r="Z21" s="139">
        <v>0</v>
      </c>
      <c r="AA21" s="139" t="s">
        <v>70</v>
      </c>
      <c r="AB21" s="139"/>
      <c r="AC21" s="157" t="s">
        <v>70</v>
      </c>
      <c r="AD21" s="157"/>
      <c r="AE21" s="143" t="s">
        <v>70</v>
      </c>
      <c r="AF21" s="143" t="s">
        <v>70</v>
      </c>
      <c r="AG21" s="153" t="s">
        <v>70</v>
      </c>
      <c r="AH21" s="143" t="s">
        <v>70</v>
      </c>
      <c r="AI21" s="155" t="s">
        <v>70</v>
      </c>
      <c r="AJ21" s="155" t="s">
        <v>70</v>
      </c>
      <c r="AK21" s="137"/>
      <c r="AL21" s="137"/>
    </row>
    <row r="22" spans="1:38" ht="16.5" thickBot="1" x14ac:dyDescent="0.3">
      <c r="A22" s="158"/>
      <c r="B22" s="159"/>
      <c r="C22" s="159"/>
      <c r="D22" s="159"/>
      <c r="E22" s="180"/>
      <c r="F22" s="180"/>
      <c r="G22" s="180"/>
      <c r="H22" s="180"/>
      <c r="I22" s="159"/>
      <c r="J22" s="159"/>
      <c r="K22" s="159"/>
      <c r="L22" s="159"/>
      <c r="M22" s="159"/>
      <c r="N22" s="159"/>
      <c r="O22" s="159"/>
      <c r="P22" s="162"/>
      <c r="Q22" s="137"/>
      <c r="R22" s="137"/>
      <c r="S22" s="137"/>
      <c r="T22" s="137"/>
      <c r="U22" s="137"/>
      <c r="V22" s="137"/>
      <c r="W22" s="137"/>
      <c r="X22" s="137"/>
      <c r="Y22" s="160" t="s">
        <v>82</v>
      </c>
      <c r="Z22" s="186">
        <f>SUM(Z18:Z21)</f>
        <v>23.482092652363914</v>
      </c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</row>
    <row r="23" spans="1:38" x14ac:dyDescent="0.25">
      <c r="A23" s="158"/>
      <c r="B23" s="977" t="s">
        <v>323</v>
      </c>
      <c r="C23" s="978"/>
      <c r="D23" s="159"/>
      <c r="E23" s="180"/>
      <c r="F23" s="180"/>
      <c r="G23" s="180"/>
      <c r="H23" s="180"/>
      <c r="I23" s="159"/>
      <c r="J23" s="159"/>
      <c r="K23" s="159"/>
      <c r="L23" s="159"/>
      <c r="M23" s="159"/>
      <c r="N23" s="159"/>
      <c r="O23" s="159"/>
      <c r="P23" s="162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</row>
    <row r="24" spans="1:38" ht="16.5" thickBot="1" x14ac:dyDescent="0.3">
      <c r="A24" s="158"/>
      <c r="B24" s="187" t="s">
        <v>321</v>
      </c>
      <c r="C24" s="188">
        <f>0.001</f>
        <v>1E-3</v>
      </c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62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</row>
    <row r="25" spans="1:38" ht="16.5" thickBot="1" x14ac:dyDescent="0.3">
      <c r="A25" s="158"/>
      <c r="B25" s="159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62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</row>
    <row r="26" spans="1:38" ht="16.5" thickBot="1" x14ac:dyDescent="0.3">
      <c r="A26" s="158"/>
      <c r="B26" s="975" t="s">
        <v>324</v>
      </c>
      <c r="C26" s="976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62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</row>
    <row r="27" spans="1:38" ht="16.5" thickBot="1" x14ac:dyDescent="0.3">
      <c r="A27" s="158"/>
      <c r="B27" s="972" t="s">
        <v>0</v>
      </c>
      <c r="C27" s="974" t="s">
        <v>78</v>
      </c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62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</row>
    <row r="28" spans="1:38" ht="16.5" thickBot="1" x14ac:dyDescent="0.3">
      <c r="A28" s="158"/>
      <c r="B28" s="973"/>
      <c r="C28" s="642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62"/>
      <c r="Q28" s="137"/>
      <c r="R28" s="953" t="s">
        <v>249</v>
      </c>
      <c r="S28" s="954"/>
      <c r="T28" s="114"/>
      <c r="U28" s="953" t="s">
        <v>249</v>
      </c>
      <c r="V28" s="997"/>
      <c r="W28" s="997"/>
      <c r="X28" s="997"/>
      <c r="Y28" s="997"/>
      <c r="Z28" s="997"/>
      <c r="AA28" s="997"/>
      <c r="AB28" s="997"/>
      <c r="AC28" s="997"/>
      <c r="AD28" s="997"/>
      <c r="AE28" s="997"/>
      <c r="AF28" s="997"/>
      <c r="AG28" s="997"/>
      <c r="AH28" s="997"/>
      <c r="AI28" s="997"/>
      <c r="AJ28" s="954"/>
      <c r="AK28" s="137"/>
      <c r="AL28" s="137"/>
    </row>
    <row r="29" spans="1:38" x14ac:dyDescent="0.25">
      <c r="A29" s="158"/>
      <c r="B29" s="189">
        <v>3</v>
      </c>
      <c r="C29" s="190">
        <v>0.19999999993730322</v>
      </c>
      <c r="D29" s="191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62"/>
      <c r="Q29" s="137"/>
      <c r="R29" s="917" t="s">
        <v>85</v>
      </c>
      <c r="S29" s="955" t="s">
        <v>84</v>
      </c>
      <c r="T29" s="137"/>
      <c r="U29" s="955" t="s">
        <v>0</v>
      </c>
      <c r="V29" s="955" t="s">
        <v>76</v>
      </c>
      <c r="W29" s="955" t="s">
        <v>104</v>
      </c>
      <c r="X29" s="917" t="s">
        <v>78</v>
      </c>
      <c r="Y29" s="955" t="s">
        <v>80</v>
      </c>
      <c r="Z29" s="955" t="s">
        <v>81</v>
      </c>
      <c r="AA29" s="643" t="s">
        <v>412</v>
      </c>
      <c r="AB29" s="643" t="s">
        <v>410</v>
      </c>
      <c r="AC29" s="643" t="s">
        <v>413</v>
      </c>
      <c r="AD29" s="643" t="s">
        <v>411</v>
      </c>
      <c r="AE29" s="990" t="s">
        <v>188</v>
      </c>
      <c r="AF29" s="990" t="s">
        <v>187</v>
      </c>
      <c r="AG29" s="990" t="s">
        <v>189</v>
      </c>
      <c r="AH29" s="990" t="s">
        <v>190</v>
      </c>
      <c r="AI29" s="968" t="s">
        <v>352</v>
      </c>
      <c r="AJ29" s="969" t="s">
        <v>418</v>
      </c>
      <c r="AK29" s="989" t="s">
        <v>242</v>
      </c>
      <c r="AL29" s="137"/>
    </row>
    <row r="30" spans="1:38" x14ac:dyDescent="0.25">
      <c r="A30" s="158"/>
      <c r="B30" s="189">
        <v>2</v>
      </c>
      <c r="C30" s="190">
        <v>0.19915043508080341</v>
      </c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62"/>
      <c r="Q30" s="137"/>
      <c r="R30" s="643"/>
      <c r="S30" s="648"/>
      <c r="T30" s="137"/>
      <c r="U30" s="648"/>
      <c r="V30" s="648"/>
      <c r="W30" s="648"/>
      <c r="X30" s="643"/>
      <c r="Y30" s="648"/>
      <c r="Z30" s="648"/>
      <c r="AA30" s="643"/>
      <c r="AB30" s="643"/>
      <c r="AC30" s="643"/>
      <c r="AD30" s="643"/>
      <c r="AE30" s="917"/>
      <c r="AF30" s="917"/>
      <c r="AG30" s="917"/>
      <c r="AH30" s="917"/>
      <c r="AI30" s="969"/>
      <c r="AJ30" s="994"/>
      <c r="AK30" s="989"/>
      <c r="AL30" s="137"/>
    </row>
    <row r="31" spans="1:38" x14ac:dyDescent="0.25">
      <c r="A31" s="158"/>
      <c r="B31" s="189">
        <v>1</v>
      </c>
      <c r="C31" s="190">
        <v>0.19506198235761751</v>
      </c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62"/>
      <c r="Q31" s="137"/>
      <c r="R31" s="140">
        <f>IF(($H$13=0),(_xlfn.IFS(('System Capacities'!$N$19+'System Capacities'!$N$32=2),((ABS(AD18)/$G$13)),('System Capacities'!$N$19+'System Capacities'!$N$32=3),(((ABS(AD18)-'System Capacities'!$C$47)/($G$13))+('System Capacities'!$D$47*'System Capacities'!$D$6)),('System Capacities'!$N$19+'System Capacities'!$N$32=4),(((ABS(AD18)-'System Capacities'!$C$48)/($G$13))+('System Capacities'!$D$48*'System Capacities'!$D$6)),('System Capacities'!$N$19+'System Capacities'!$N$32=5),(((ABS(AD18)-'System Capacities'!$C$49)/($G$13))+('System Capacities'!$D$49*'System Capacities'!$D$6)),('System Capacities'!$N$19+'System Capacities'!$N$32=6),(((ABS(AD18)-'System Capacities'!$C$50)/($G$13))+('System Capacities'!$D$50*'System Capacities'!$D$6)),('System Capacities'!$N$19+'System Capacities'!$N$32=7),(((ABS(AD18)-'System Capacities'!$C$51)/($G$13))+('System Capacities'!$D$51*'System Capacities'!$D$6)),('System Capacities'!$N$19+'System Capacities'!$N$32=8),(((ABS(AD18)-'System Capacities'!$C$52)/($G$13))+('System Capacities'!$D$52*'System Capacities'!$D$6)),('System Capacities'!$N$19+'System Capacities'!$N$32=9),(((ABS(AD18)-'System Capacities'!$C$53)/($G$13))+('System Capacities'!$D$53*'System Capacities'!$D$6)),('System Capacities'!$N$19+'System Capacities'!$N$32=10),(((ABS(AD18)-'System Capacities'!$C$54)/($G$13))+('System Capacities'!$D$54*'System Capacities'!$D$6)))),((ABS(AD18-$E$13)/(-1*$G$13))+($F$13*'System Capacities'!$D$6)))</f>
        <v>8.4956485649899036E-4</v>
      </c>
      <c r="S31" s="181">
        <f>S32+R31</f>
        <v>0.19999999993730164</v>
      </c>
      <c r="T31" s="137"/>
      <c r="U31" s="134">
        <v>3</v>
      </c>
      <c r="V31" s="139">
        <f>V5</f>
        <v>8.75</v>
      </c>
      <c r="W31" s="140">
        <f>R31/(V31-V32)</f>
        <v>2.8318828549966343E-4</v>
      </c>
      <c r="X31" s="141">
        <f>S31</f>
        <v>0.19999999993730164</v>
      </c>
      <c r="Y31" s="139">
        <f>'Structural Information'!$Z$6</f>
        <v>37.8446</v>
      </c>
      <c r="Z31" s="139">
        <f>Y31*X31</f>
        <v>7.5689199976272059</v>
      </c>
      <c r="AA31" s="139">
        <f>((Y31*X31)/(Z35)*$L$12)</f>
        <v>35.110626190328027</v>
      </c>
      <c r="AB31" s="139">
        <f>AD31+$O$12</f>
        <v>35.110626190328027</v>
      </c>
      <c r="AC31" s="139">
        <f>AA31</f>
        <v>35.110626190328027</v>
      </c>
      <c r="AD31" s="142">
        <f>AC31-$O$12</f>
        <v>35.110626190328027</v>
      </c>
      <c r="AE31" s="143">
        <f>IF(($H$13=0),(_xlfn.IFS((W31&lt;='Frame Capacities'!$BT$11),(W31*'Frame Capacities'!$BJ$4*'Frame Capacities'!$BM$11),(AND((W31&gt;'Frame Capacities'!$BT$11),(W31&lt;='Frame Capacities'!$BU$11))),((W31-'Frame Capacities'!$BT$11)*'Frame Capacities'!$BJ$4*('Frame Capacities'!$BN$11)+'Frame Capacities'!$BF$11),(AND((W31&gt;'Frame Capacities'!$BU$11),(W31&lt;='Frame Capacities'!$BV$11))),((W31-'Frame Capacities'!$BU$11)*'Frame Capacities'!$BJ$4*('Frame Capacities'!$BO$11)+'Frame Capacities'!$BG$11),(AND((W31&gt;'Frame Capacities'!$BV$11),(W31&lt;='Frame Capacities'!$BW$11))),((W31-'Frame Capacities'!$BV$11)*'Frame Capacities'!$BJ$4*('Frame Capacities'!$BP$11)+'Frame Capacities'!$BH$11),(AND((W31&gt;'Frame Capacities'!$BW$11),(W31&lt;='Frame Capacities'!$BX$11))),((W31-'Frame Capacities'!$BW$11)*'Frame Capacities'!$BJ$4*('Frame Capacities'!$BQ$11)+'Frame Capacities'!$BI$11))),((W31-'Frame Capacities'!$BY$11)*'Frame Capacities'!$BJ$4*('Frame Capacities'!$BR$11)+'Frame Capacities'!$BK$11))</f>
        <v>2.6280149858822366</v>
      </c>
      <c r="AF31" s="144">
        <f>IF(($H$13=0),(_xlfn.IFS((W31&lt;='Infill Capacities'!$CS$11),(W31*'Infill Capacities'!$CM$11*'Infill Capacities'!$CK$4),(AND((W31&gt;'Infill Capacities'!$CS$11),(W31&lt;='Infill Capacities'!$CT$11))),((W31-'Infill Capacities'!$CS$11)*'Infill Capacities'!$CK$4*('Infill Capacities'!$CN$11)+'Infill Capacities'!$CG$11),(AND((W31&gt;'Infill Capacities'!$CT$11),(W31&lt;='Infill Capacities'!$CU$11))),((W31-'Infill Capacities'!$CT$11)*'Infill Capacities'!$CK$4*('Infill Capacities'!$CO$11)+'Infill Capacities'!$CH$11),(AND((W31&gt;'Infill Capacities'!$CU$11),(W31&lt;='Infill Capacities'!$CV$11))),((W31-'Infill Capacities'!$CU$11)*'Infill Capacities'!$CK$4*('Infill Capacities'!$CP$11)+'Infill Capacities'!$CJ$11))),((W31-'Infill Capacities'!$CW$11)*'Infill Capacities'!$CK$4*('Infill Capacities'!$CQ$11)+'Infill Capacities'!$CK$11))</f>
        <v>32.482611204445774</v>
      </c>
      <c r="AG31" s="140">
        <f>AE31/$C$13</f>
        <v>0.25185892852153274</v>
      </c>
      <c r="AH31" s="150">
        <f>AF31/$D$13</f>
        <v>0.25185892852153274</v>
      </c>
      <c r="AI31" s="146">
        <f>AE31+AF31</f>
        <v>35.110626190328013</v>
      </c>
      <c r="AJ31" s="146">
        <f>AD31-AI31</f>
        <v>0</v>
      </c>
      <c r="AK31" s="151">
        <f>(AD31-(AI31))/AD31</f>
        <v>4.0474512297694901E-16</v>
      </c>
      <c r="AL31" s="137"/>
    </row>
    <row r="32" spans="1:38" ht="16.5" thickBot="1" x14ac:dyDescent="0.3">
      <c r="A32" s="158"/>
      <c r="B32" s="192">
        <v>0</v>
      </c>
      <c r="C32" s="193">
        <v>0</v>
      </c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62"/>
      <c r="Q32" s="137"/>
      <c r="R32" s="140">
        <f>IF(($H$14=0),(_xlfn.IFS(('System Capacities'!$N$20+'System Capacities'!$N$33=2),(ABS(AD19)/$G$14),('System Capacities'!$N$20+'System Capacities'!$N$33=3),(((ABS(AD19)-'System Capacities'!$G$47)/($G$14))+('System Capacities'!$H$47*'System Capacities'!$D$7)),('System Capacities'!$N$20+'System Capacities'!$N$33=4),(((ABS(AD19)-'System Capacities'!$G$48)/($G$14))+('System Capacities'!$H$48*'System Capacities'!$D$7)),('System Capacities'!$N$20+'System Capacities'!$N$33=5),(((ABS(AD19)-'System Capacities'!$G$49)/($G$14))+('System Capacities'!$H$49*'System Capacities'!$D$7)),('System Capacities'!$N$20+'System Capacities'!$N$33=6),(((ABS(AD19)-'System Capacities'!$G$50)/($G$14))+('System Capacities'!$H$50*'System Capacities'!$D$7)),('System Capacities'!$N$20+'System Capacities'!$N$33=7),(((ABS(AD19)-'System Capacities'!$G$51)/($G$14))+('System Capacities'!$H$51*'System Capacities'!$D$7)),('System Capacities'!$N$20+'System Capacities'!$N$33=8),(((ABS(AD19)-'System Capacities'!$G$52)/($G$14))+('System Capacities'!$H$52*'System Capacities'!$D$7)),('System Capacities'!$N$20+'System Capacities'!$N$33=9),(((ABS(AD19)-'System Capacities'!$G$53)/($G$14))+('System Capacities'!$H$53*'System Capacities'!$D$7)),('System Capacities'!$N$20+'System Capacities'!$N$33=10),(((ABS(AD19)-'System Capacities'!$G$54)/($G$14))+('System Capacities'!$H$54*'System Capacities'!$D$7)))),((ABS(AD19-$E$14)/(-1*$G$14))+($F$14*'System Capacities'!$D$7)))</f>
        <v>4.0884527231851483E-3</v>
      </c>
      <c r="S32" s="181">
        <f>S33+R32</f>
        <v>0.19915043508080266</v>
      </c>
      <c r="T32" s="137"/>
      <c r="U32" s="134">
        <v>2</v>
      </c>
      <c r="V32" s="139">
        <f>V6</f>
        <v>5.75</v>
      </c>
      <c r="W32" s="140">
        <f>R32/(V32-V33)</f>
        <v>1.3628175743950494E-3</v>
      </c>
      <c r="X32" s="141">
        <f>S32</f>
        <v>0.19915043508080266</v>
      </c>
      <c r="Y32" s="139">
        <f>'Structural Information'!$Z$7</f>
        <v>40.367000000000004</v>
      </c>
      <c r="Z32" s="139">
        <f>Y32*X32</f>
        <v>8.0391056129067611</v>
      </c>
      <c r="AA32" s="139">
        <f>((Y32*X32)/(Z35)*$L$12)</f>
        <v>37.291718259384794</v>
      </c>
      <c r="AB32" s="139">
        <f>AD32-AD31+$O$13</f>
        <v>37.291718259384787</v>
      </c>
      <c r="AC32" s="139">
        <f>AC31+AA32</f>
        <v>72.402344449712814</v>
      </c>
      <c r="AD32" s="142">
        <f>AC32-$O$13</f>
        <v>72.402344449712814</v>
      </c>
      <c r="AE32" s="143">
        <f>IF(($H$14=0),(_xlfn.IFS((W32&lt;='Frame Capacities'!$BT$12),(W32*'Frame Capacities'!$BJ$5*'Frame Capacities'!$BM$12),(AND((W32&gt;'Frame Capacities'!$BT$12),(W32&lt;='Frame Capacities'!$BU$12))),((W32-'Frame Capacities'!$BT$12)*'Frame Capacities'!$BJ$5*('Frame Capacities'!$BN$12)+'Frame Capacities'!$BF$12),(AND((W32&gt;'Frame Capacities'!$BU$12),(W32&lt;='Frame Capacities'!$BV$12))),((W32-'Frame Capacities'!$BU$12)*'Frame Capacities'!$BJ$5*('Frame Capacities'!$BO$12)+'Frame Capacities'!$BG$12),(AND((W32&gt;'Frame Capacities'!$BV$12),(W32&lt;='Frame Capacities'!$BW$12))),((W32-'Frame Capacities'!$BV$12)*'Frame Capacities'!$BJ$5*('Frame Capacities'!$BP$12)+'Frame Capacities'!$BH$12),(AND((W32&gt;'Frame Capacities'!$BW$12),(W32&lt;='Frame Capacities'!$BX$12))),((W32-'Frame Capacities'!$BW$12)*'Frame Capacities'!$BJ$5*('Frame Capacities'!$BQ$12)+'Frame Capacities'!$BI$12))),(((W32-'Frame Capacities'!$BY$12)*'Frame Capacities'!$BJ$5*('Frame Capacities'!$BR$12)+'Frame Capacities'!$BK$12)))</f>
        <v>15.50803982753547</v>
      </c>
      <c r="AF32" s="144">
        <f>IF(($H$14=0),(_xlfn.IFS((W32&lt;='Infill Capacities'!$CS$12),(W32*'Infill Capacities'!$CM$12*'Infill Capacities'!$CK$5),(AND((W32&gt;'Infill Capacities'!$CS$12),(W32&lt;='Infill Capacities'!$CT$12))),((W32-'Infill Capacities'!$CS$12)*'Infill Capacities'!$CK$5*('Infill Capacities'!$CN$12)+'Infill Capacities'!$CG$12),(AND((W32&gt;'Infill Capacities'!$CT$12),(W32&lt;='Infill Capacities'!$CU$12))),((W32-'Infill Capacities'!$CT$12)*'Infill Capacities'!$CK$5*('Infill Capacities'!$CO$12)+'Infill Capacities'!$CH$12),(AND((W32&gt;'Infill Capacities'!$CU$12),(W32&lt;='Infill Capacities'!$CV$12))),((W32-'Infill Capacities'!$CU$12)*'Infill Capacities'!$CK$5*('Infill Capacities'!$CP$12)+'Infill Capacities'!$CJ$12))),((W32-'Infill Capacities'!$CW$12)*'Infill Capacities'!$CK$5*('Infill Capacities'!$CQ$12)+'Infill Capacities'!$CK$12))</f>
        <v>56.894304622177316</v>
      </c>
      <c r="AG32" s="140">
        <f>AE32/$C$14</f>
        <v>0.48286132904136031</v>
      </c>
      <c r="AH32" s="150">
        <f>AF32/$D$14</f>
        <v>0.24122766147644012</v>
      </c>
      <c r="AI32" s="146">
        <f>AE32+AF32</f>
        <v>72.402344449712785</v>
      </c>
      <c r="AJ32" s="146">
        <f>AD32-AI32</f>
        <v>0</v>
      </c>
      <c r="AK32" s="151">
        <f t="shared" ref="AK32:AK33" si="4">(AD32-(AI32))/AD32</f>
        <v>3.9255233578995995E-16</v>
      </c>
      <c r="AL32" s="137"/>
    </row>
    <row r="33" spans="1:38" x14ac:dyDescent="0.25">
      <c r="A33" s="158"/>
      <c r="B33" s="159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62"/>
      <c r="Q33" s="137"/>
      <c r="R33" s="140">
        <f>IF(($H$15=0),(_xlfn.IFS(('System Capacities'!$N$21+'System Capacities'!$N$34=2),(ABS(AD20)/$G$15),('System Capacities'!$N$21+'System Capacities'!$N$34=3),(((ABS(AD20)-'System Capacities'!$K$47)/($G$15))+('System Capacities'!$L$47*'System Capacities'!$D$8)),('System Capacities'!$N$21+'System Capacities'!$N$34=4),(((ABS(AD20)-'System Capacities'!$K$48)/($G$15))+('System Capacities'!$L$48*'System Capacities'!$D$8)),('System Capacities'!$N$21+'System Capacities'!$N$34=5),(((ABS(AD20)-'System Capacities'!$K$49)/($G$15))+('System Capacities'!$L$49*'System Capacities'!$D$8)),('System Capacities'!$N$21+'System Capacities'!$N$34=6),(((ABS(AD20)-'System Capacities'!$K$50)/($G$15))+('System Capacities'!$L$50*'System Capacities'!$D$8)),('System Capacities'!$N$21+'System Capacities'!$N$34=7),(((ABS(AD20)-'System Capacities'!$K$51)/($G$15))+('System Capacities'!$L$51*'System Capacities'!$D$8)),('System Capacities'!$N$21+'System Capacities'!$N$34=8),(((ABS(AD20)-'System Capacities'!$K$52)/($G$15))+('System Capacities'!$L$52*'System Capacities'!$D$8)),('System Capacities'!$N$21+'System Capacities'!$N$34=9),(((ABS(AD20)-'System Capacities'!$K$53)/($G$15))+('System Capacities'!$L$53*'System Capacities'!$D$8)),('System Capacities'!$N$21+'System Capacities'!$N$34=10),(((ABS(AD20)-'System Capacities'!$K$54)/($G$15))+('System Capacities'!$L$54*'System Capacities'!$D$8)))),((ABS(AD20-$E$15)/(-1*$G$15))+($F$15*'System Capacities'!$D$8)))</f>
        <v>0.19506198235761751</v>
      </c>
      <c r="S33" s="181">
        <f>S34+R33</f>
        <v>0.19506198235761751</v>
      </c>
      <c r="T33" s="137"/>
      <c r="U33" s="134">
        <v>1</v>
      </c>
      <c r="V33" s="139">
        <f>V7</f>
        <v>2.75</v>
      </c>
      <c r="W33" s="140">
        <f>R33/(V33-V34)</f>
        <v>7.093162994822455E-2</v>
      </c>
      <c r="X33" s="141">
        <f>S33</f>
        <v>0.19506198235761751</v>
      </c>
      <c r="Y33" s="139">
        <f>'Structural Information'!$Z$8</f>
        <v>40.367000000000004</v>
      </c>
      <c r="Z33" s="139">
        <f>Y33*X33</f>
        <v>7.8740670418299468</v>
      </c>
      <c r="AA33" s="139">
        <f>((Y33*X33)/(Z35)*$L$12)</f>
        <v>36.526139077958582</v>
      </c>
      <c r="AB33" s="139">
        <f>AD33-AD32+$O$14</f>
        <v>36.526139077958589</v>
      </c>
      <c r="AC33" s="139">
        <f>AC32+AA33</f>
        <v>108.9284835276714</v>
      </c>
      <c r="AD33" s="142">
        <f>AC33-$O$14</f>
        <v>108.9284835276714</v>
      </c>
      <c r="AE33" s="143">
        <f>IF(($H$15=0),(_xlfn.IFS((W33&lt;='Frame Capacities'!$BT$13),(W33*'Frame Capacities'!$BJ$6*'Frame Capacities'!$BM$13),(AND((W33&gt;'Frame Capacities'!$BT$13),(W33&lt;='Frame Capacities'!$BU$13))),((W33-'Frame Capacities'!$BT$13)*'Frame Capacities'!$BJ$6*('Frame Capacities'!$BN$13)+'Frame Capacities'!$BF$13),(AND((W33&gt;'Frame Capacities'!$BU$13),(W33&lt;='Frame Capacities'!$BV$13))),((W33-'Frame Capacities'!$BU$13)*'Frame Capacities'!$BJ$6*('Frame Capacities'!$BO$13)+'Frame Capacities'!$BG$13),(AND((W33&gt;'Frame Capacities'!$BV$13),(W33&lt;='Frame Capacities'!$BW$13))),((W33-'Frame Capacities'!$BV$13)*'Frame Capacities'!$BJ$6*('Frame Capacities'!$BP$13)+'Frame Capacities'!$BH$13),(AND((W33&gt;'Frame Capacities'!$BW$13),(W33&lt;='Frame Capacities'!$BX$13))),((W33-'Frame Capacities'!$BW$13)*'Frame Capacities'!$BJ$6*('Frame Capacities'!$BQ$13)+'Frame Capacities'!$BI$13))),(((W33-'Frame Capacities'!$BY$13)*'Frame Capacities'!$BJ$6*('Frame Capacities'!$BR$13)+'Frame Capacities'!$BK$13)))</f>
        <v>81.868483527671415</v>
      </c>
      <c r="AF33" s="144">
        <f>IF(($H$15=0),(_xlfn.IFS((W33&lt;='Infill Capacities'!$CS$13),(W33*'Infill Capacities'!$CM$13*'Infill Capacities'!$CK$6),(AND((W33&gt;'Infill Capacities'!$CS$13),(W33&lt;='Infill Capacities'!$CT$13))),((W33-'Infill Capacities'!$CS$13)*'Infill Capacities'!$CK$6*('Infill Capacities'!$CN$13)+'Infill Capacities'!$CG$13),(AND((W33&gt;'Infill Capacities'!$CT$13),(W33&lt;='Infill Capacities'!$CU$13))),((W33-'Infill Capacities'!$CT$13)*'Infill Capacities'!$CK$6*('Infill Capacities'!$CO$13)+'Infill Capacities'!$CH$13),(AND((W33&gt;'Infill Capacities'!$CU$13),(W33&lt;='Infill Capacities'!$CV$13))),((W33-'Infill Capacities'!$CU$13)*'Infill Capacities'!$CK$6*('Infill Capacities'!$CP$13)+'Infill Capacities'!$CJ$13))),((W33-'Infill Capacities'!$CW$13)*'Infill Capacities'!$CK$6*('Infill Capacities'!$CQ$13)+'Infill Capacities'!$CK$13))</f>
        <v>27.059999999999995</v>
      </c>
      <c r="AG33" s="140">
        <f>AE33/$C$15</f>
        <v>5.9246928868709574</v>
      </c>
      <c r="AH33" s="150">
        <f>AF33/$D$15</f>
        <v>1</v>
      </c>
      <c r="AI33" s="146">
        <f>AE33+AF33</f>
        <v>108.9284835276714</v>
      </c>
      <c r="AJ33" s="146">
        <f>AD33-AI33</f>
        <v>0</v>
      </c>
      <c r="AK33" s="151">
        <f t="shared" si="4"/>
        <v>0</v>
      </c>
      <c r="AL33" s="137"/>
    </row>
    <row r="34" spans="1:38" x14ac:dyDescent="0.25">
      <c r="A34" s="158"/>
      <c r="B34" s="159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62"/>
      <c r="Q34" s="137"/>
      <c r="R34" s="140">
        <v>0</v>
      </c>
      <c r="S34" s="181">
        <f>R34</f>
        <v>0</v>
      </c>
      <c r="T34" s="137"/>
      <c r="U34" s="134">
        <v>0</v>
      </c>
      <c r="V34" s="139">
        <f>V8</f>
        <v>0</v>
      </c>
      <c r="W34" s="152" t="s">
        <v>70</v>
      </c>
      <c r="X34" s="141">
        <f>S34</f>
        <v>0</v>
      </c>
      <c r="Y34" s="139" t="str">
        <f>E8</f>
        <v>-</v>
      </c>
      <c r="Z34" s="139">
        <v>0</v>
      </c>
      <c r="AA34" s="139" t="s">
        <v>70</v>
      </c>
      <c r="AB34" s="139"/>
      <c r="AC34" s="157" t="s">
        <v>70</v>
      </c>
      <c r="AD34" s="157"/>
      <c r="AE34" s="143" t="s">
        <v>70</v>
      </c>
      <c r="AF34" s="143" t="s">
        <v>70</v>
      </c>
      <c r="AG34" s="153" t="s">
        <v>70</v>
      </c>
      <c r="AH34" s="143" t="s">
        <v>70</v>
      </c>
      <c r="AI34" s="155" t="s">
        <v>70</v>
      </c>
      <c r="AJ34" s="155" t="s">
        <v>70</v>
      </c>
      <c r="AL34" s="137"/>
    </row>
    <row r="35" spans="1:38" x14ac:dyDescent="0.25">
      <c r="A35" s="158"/>
      <c r="B35" s="159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62"/>
      <c r="Q35" s="137"/>
      <c r="R35" s="137"/>
      <c r="S35" s="137"/>
      <c r="T35" s="137"/>
      <c r="U35" s="137"/>
      <c r="V35" s="137"/>
      <c r="W35" s="137"/>
      <c r="X35" s="137"/>
      <c r="Y35" s="194" t="s">
        <v>82</v>
      </c>
      <c r="Z35" s="195">
        <f>SUM(Z31:Z34)</f>
        <v>23.482092652363914</v>
      </c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</row>
    <row r="36" spans="1:38" x14ac:dyDescent="0.25">
      <c r="A36" s="158"/>
      <c r="B36" s="159"/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62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</row>
    <row r="37" spans="1:38" x14ac:dyDescent="0.25">
      <c r="A37" s="158"/>
      <c r="B37" s="159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62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</row>
    <row r="38" spans="1:38" x14ac:dyDescent="0.25">
      <c r="A38" s="158"/>
      <c r="B38" s="159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62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</row>
    <row r="39" spans="1:38" x14ac:dyDescent="0.25">
      <c r="A39" s="158"/>
      <c r="B39" s="159"/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62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</row>
    <row r="40" spans="1:38" ht="16.5" thickBot="1" x14ac:dyDescent="0.3">
      <c r="A40" s="158"/>
      <c r="B40" s="159"/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62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</row>
    <row r="41" spans="1:38" ht="16.5" thickBot="1" x14ac:dyDescent="0.3">
      <c r="A41" s="158"/>
      <c r="B41" s="159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62"/>
      <c r="Q41" s="137"/>
      <c r="R41" s="998" t="s">
        <v>250</v>
      </c>
      <c r="S41" s="1000"/>
      <c r="T41" s="114"/>
      <c r="U41" s="998" t="s">
        <v>250</v>
      </c>
      <c r="V41" s="999"/>
      <c r="W41" s="999"/>
      <c r="X41" s="999"/>
      <c r="Y41" s="999"/>
      <c r="Z41" s="999"/>
      <c r="AA41" s="999"/>
      <c r="AB41" s="999"/>
      <c r="AC41" s="999"/>
      <c r="AD41" s="999"/>
      <c r="AE41" s="999"/>
      <c r="AF41" s="999"/>
      <c r="AG41" s="999"/>
      <c r="AH41" s="999"/>
      <c r="AI41" s="999"/>
      <c r="AJ41" s="1000"/>
      <c r="AK41" s="137"/>
      <c r="AL41" s="137"/>
    </row>
    <row r="42" spans="1:38" x14ac:dyDescent="0.25">
      <c r="A42" s="158"/>
      <c r="B42" s="132"/>
      <c r="C42" s="196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62"/>
      <c r="Q42" s="137"/>
      <c r="R42" s="917" t="s">
        <v>85</v>
      </c>
      <c r="S42" s="955" t="s">
        <v>84</v>
      </c>
      <c r="T42" s="137"/>
      <c r="U42" s="955" t="s">
        <v>0</v>
      </c>
      <c r="V42" s="955" t="s">
        <v>76</v>
      </c>
      <c r="W42" s="955" t="s">
        <v>104</v>
      </c>
      <c r="X42" s="917" t="s">
        <v>78</v>
      </c>
      <c r="Y42" s="955" t="s">
        <v>80</v>
      </c>
      <c r="Z42" s="955" t="s">
        <v>81</v>
      </c>
      <c r="AA42" s="643" t="s">
        <v>412</v>
      </c>
      <c r="AB42" s="643" t="s">
        <v>410</v>
      </c>
      <c r="AC42" s="643" t="s">
        <v>413</v>
      </c>
      <c r="AD42" s="643" t="s">
        <v>411</v>
      </c>
      <c r="AE42" s="990" t="s">
        <v>188</v>
      </c>
      <c r="AF42" s="990" t="s">
        <v>187</v>
      </c>
      <c r="AG42" s="990" t="s">
        <v>189</v>
      </c>
      <c r="AH42" s="990" t="s">
        <v>190</v>
      </c>
      <c r="AI42" s="968" t="s">
        <v>352</v>
      </c>
      <c r="AJ42" s="969" t="s">
        <v>418</v>
      </c>
      <c r="AK42" s="989" t="s">
        <v>242</v>
      </c>
      <c r="AL42" s="137"/>
    </row>
    <row r="43" spans="1:38" x14ac:dyDescent="0.25">
      <c r="A43" s="158"/>
      <c r="B43" s="159"/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62"/>
      <c r="Q43" s="137"/>
      <c r="R43" s="643"/>
      <c r="S43" s="648"/>
      <c r="T43" s="137"/>
      <c r="U43" s="648"/>
      <c r="V43" s="648"/>
      <c r="W43" s="648"/>
      <c r="X43" s="643"/>
      <c r="Y43" s="648"/>
      <c r="Z43" s="648"/>
      <c r="AA43" s="643"/>
      <c r="AB43" s="643"/>
      <c r="AC43" s="643"/>
      <c r="AD43" s="643"/>
      <c r="AE43" s="917"/>
      <c r="AF43" s="917"/>
      <c r="AG43" s="917"/>
      <c r="AH43" s="917"/>
      <c r="AI43" s="969"/>
      <c r="AJ43" s="994"/>
      <c r="AK43" s="989"/>
      <c r="AL43" s="137"/>
    </row>
    <row r="44" spans="1:38" ht="16.5" thickBot="1" x14ac:dyDescent="0.3">
      <c r="A44" s="197"/>
      <c r="B44" s="198"/>
      <c r="C44" s="198"/>
      <c r="D44" s="198"/>
      <c r="E44" s="198"/>
      <c r="F44" s="198"/>
      <c r="G44" s="198"/>
      <c r="H44" s="198"/>
      <c r="I44" s="198"/>
      <c r="J44" s="198"/>
      <c r="K44" s="198"/>
      <c r="L44" s="198"/>
      <c r="M44" s="198"/>
      <c r="N44" s="198"/>
      <c r="O44" s="198"/>
      <c r="P44" s="199"/>
      <c r="Q44" s="137"/>
      <c r="R44" s="140">
        <f>IF(($H$13=0),(_xlfn.IFS(('System Capacities'!$N$19+'System Capacities'!$N$32=2),((ABS(AD31)/$G$13)),('System Capacities'!$N$19+'System Capacities'!$N$32=3),(((ABS(AD31)-'System Capacities'!$C$47)/($G$13))+('System Capacities'!$D$47*'System Capacities'!$D$6)),('System Capacities'!$N$19+'System Capacities'!$N$32=4),(((ABS(AD31)-'System Capacities'!$C$48)/($G$13))+('System Capacities'!$D$48*'System Capacities'!$D$6)),('System Capacities'!$N$19+'System Capacities'!$N$32=5),(((ABS(AD31)-'System Capacities'!$C$49)/($G$13))+('System Capacities'!$D$49*'System Capacities'!$D$6)),('System Capacities'!$N$19+'System Capacities'!$N$32=6),(((ABS(AD31)-'System Capacities'!$C$50)/($G$13))+('System Capacities'!$D$50*'System Capacities'!$D$6)),('System Capacities'!$N$19+'System Capacities'!$N$32=7),(((ABS(AD31)-'System Capacities'!$C$51)/($G$13))+('System Capacities'!$D$51*'System Capacities'!$D$6)),('System Capacities'!$N$19+'System Capacities'!$N$32=8),(((ABS(AD31)-'System Capacities'!$C$52)/($G$13))+('System Capacities'!$D$52*'System Capacities'!$D$6)),('System Capacities'!$N$19+'System Capacities'!$N$32=9),(((ABS(AD31)-'System Capacities'!$C$53)/($G$13))+('System Capacities'!$D$53*'System Capacities'!$D$6)),('System Capacities'!$N$19+'System Capacities'!$N$32=10),(((ABS(AD31)-'System Capacities'!$C$54)/($G$13))+('System Capacities'!$D$54*'System Capacities'!$D$6)))),((ABS(AD31-$E$13)/(-1*$G$13))+($F$13*'System Capacities'!$D$6)))</f>
        <v>8.4956485649899036E-4</v>
      </c>
      <c r="S44" s="181">
        <f>S45+R44</f>
        <v>0.19999999993730164</v>
      </c>
      <c r="T44" s="137"/>
      <c r="U44" s="134">
        <v>3</v>
      </c>
      <c r="V44" s="139">
        <f>V5</f>
        <v>8.75</v>
      </c>
      <c r="W44" s="140">
        <f>R44/(V44-V45)</f>
        <v>2.8318828549966343E-4</v>
      </c>
      <c r="X44" s="141">
        <f>S44</f>
        <v>0.19999999993730164</v>
      </c>
      <c r="Y44" s="139">
        <f>'Structural Information'!$Z$6</f>
        <v>37.8446</v>
      </c>
      <c r="Z44" s="139">
        <f>Y44*X44</f>
        <v>7.5689199976272059</v>
      </c>
      <c r="AA44" s="139">
        <f>((Y44*X44)/(Z48)*$L$12)</f>
        <v>35.110626190328027</v>
      </c>
      <c r="AB44" s="139">
        <f>AD44+$O$12</f>
        <v>35.110626190328027</v>
      </c>
      <c r="AC44" s="139">
        <f>AA44</f>
        <v>35.110626190328027</v>
      </c>
      <c r="AD44" s="142">
        <f>AC44-$O$12</f>
        <v>35.110626190328027</v>
      </c>
      <c r="AE44" s="143">
        <f>IF(($H$13=0),(_xlfn.IFS((W44&lt;='Frame Capacities'!$BT$11),(W44*'Frame Capacities'!$BJ$4*'Frame Capacities'!$BM$11),(AND((W44&gt;'Frame Capacities'!$BT$11),(W44&lt;='Frame Capacities'!$BU$11))),((W44-'Frame Capacities'!$BT$11)*'Frame Capacities'!$BJ$4*('Frame Capacities'!$BN$11)+'Frame Capacities'!$BF$11),(AND((W44&gt;'Frame Capacities'!$BU$11),(W44&lt;='Frame Capacities'!$BV$11))),((W44-'Frame Capacities'!$BU$11)*'Frame Capacities'!$BJ$4*('Frame Capacities'!$BO$11)+'Frame Capacities'!$BG$11),(AND((W44&gt;'Frame Capacities'!$BV$11),(W44&lt;='Frame Capacities'!$BW$11))),((W44-'Frame Capacities'!$BV$11)*'Frame Capacities'!$BJ$4*('Frame Capacities'!$BP$11)+'Frame Capacities'!$BH$11),(AND((W44&gt;'Frame Capacities'!$BW$11),(W44&lt;='Frame Capacities'!$BX$11))),((W44-'Frame Capacities'!$BW$11)*'Frame Capacities'!$BJ$4*('Frame Capacities'!$BQ$11)+'Frame Capacities'!$BI$11))),((W44-'Frame Capacities'!$BY$11)*'Frame Capacities'!$BJ$4*('Frame Capacities'!$BR$11)+'Frame Capacities'!$BK$11))</f>
        <v>2.6280149858822366</v>
      </c>
      <c r="AF44" s="144">
        <f>IF(($H$13=0),(_xlfn.IFS((W44&lt;='Infill Capacities'!$CS$11),(W44*'Infill Capacities'!$CM$11*'Infill Capacities'!$CK$4),(AND((W44&gt;'Infill Capacities'!$CS$11),(W44&lt;='Infill Capacities'!$CT$11))),((W44-'Infill Capacities'!$CS$11)*'Infill Capacities'!$CK$4*('Infill Capacities'!$CN$11)+'Infill Capacities'!$CG$11),(AND((W44&gt;'Infill Capacities'!$CT$11),(W44&lt;='Infill Capacities'!$CU$11))),((W44-'Infill Capacities'!$CT$11)*'Infill Capacities'!$CK$4*('Infill Capacities'!$CO$11)+'Infill Capacities'!$CH$11),(AND((W44&gt;'Infill Capacities'!$CU$11),(W44&lt;='Infill Capacities'!$CV$11))),((W44-'Infill Capacities'!$CU$11)*'Infill Capacities'!$CK$4*('Infill Capacities'!$CP$11)+'Infill Capacities'!$CJ$11))),((W44-'Infill Capacities'!$CW$11)*'Infill Capacities'!$CK$4*('Infill Capacities'!$CQ$11)+'Infill Capacities'!$CK$11))</f>
        <v>32.482611204445774</v>
      </c>
      <c r="AG44" s="140">
        <f>AE44/$C$13</f>
        <v>0.25185892852153274</v>
      </c>
      <c r="AH44" s="150">
        <f>AF44/$D$13</f>
        <v>0.25185892852153274</v>
      </c>
      <c r="AI44" s="146">
        <f>AE44+AF44</f>
        <v>35.110626190328013</v>
      </c>
      <c r="AJ44" s="146">
        <f>AD44-AI44</f>
        <v>0</v>
      </c>
      <c r="AK44" s="151">
        <f>(AD44-(AI44))/AD44</f>
        <v>4.0474512297694901E-16</v>
      </c>
      <c r="AL44" s="137"/>
    </row>
    <row r="45" spans="1:38" ht="16.5" thickBot="1" x14ac:dyDescent="0.3">
      <c r="A45" s="159"/>
      <c r="B45" s="159"/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37"/>
      <c r="R45" s="140">
        <f>IF(($H$14=0),(_xlfn.IFS(('System Capacities'!$N$20+'System Capacities'!$N$33=2),(ABS(AD32)/$G$14),('System Capacities'!$N$20+'System Capacities'!$N$33=3),(((ABS(AD32)-'System Capacities'!$G$47)/($G$14))+('System Capacities'!$H$47*'System Capacities'!$D$7)),('System Capacities'!$N$20+'System Capacities'!$N$33=4),(((ABS(AD32)-'System Capacities'!$G$48)/($G$14))+('System Capacities'!$H$48*'System Capacities'!$D$7)),('System Capacities'!$N$20+'System Capacities'!$N$33=5),(((ABS(AD32)-'System Capacities'!$G$49)/($G$14))+('System Capacities'!$H$49*'System Capacities'!$D$7)),('System Capacities'!$N$20+'System Capacities'!$N$33=6),(((ABS(AD32)-'System Capacities'!$G$50)/($G$14))+('System Capacities'!$H$50*'System Capacities'!$D$7)),('System Capacities'!$N$20+'System Capacities'!$N$33=7),(((ABS(AD32)-'System Capacities'!$G$51)/($G$14))+('System Capacities'!$H$51*'System Capacities'!$D$7)),('System Capacities'!$N$20+'System Capacities'!$N$33=8),(((ABS(AD32)-'System Capacities'!$G$52)/($G$14))+('System Capacities'!$H$52*'System Capacities'!$D$7)),('System Capacities'!$N$20+'System Capacities'!$N$33=9),(((ABS(AD32)-'System Capacities'!$G$53)/($G$14))+('System Capacities'!$H$53*'System Capacities'!$D$7)),('System Capacities'!$N$20+'System Capacities'!$N$33=10),(((ABS(AD32)-'System Capacities'!$G$54)/($G$14))+('System Capacities'!$H$54*'System Capacities'!$D$7)))),((ABS(AD32-$E$14)/(-1*$G$14))+($F$14*'System Capacities'!$D$7)))</f>
        <v>4.0884527231851483E-3</v>
      </c>
      <c r="S45" s="181">
        <f>S46+R45</f>
        <v>0.19915043508080266</v>
      </c>
      <c r="T45" s="137"/>
      <c r="U45" s="134">
        <v>2</v>
      </c>
      <c r="V45" s="139">
        <f>V6</f>
        <v>5.75</v>
      </c>
      <c r="W45" s="140">
        <f>R45/(V45-V46)</f>
        <v>1.3628175743950494E-3</v>
      </c>
      <c r="X45" s="141">
        <f>S45</f>
        <v>0.19915043508080266</v>
      </c>
      <c r="Y45" s="139">
        <f>'Structural Information'!$Z$7</f>
        <v>40.367000000000004</v>
      </c>
      <c r="Z45" s="139">
        <f>Y45*X45</f>
        <v>8.0391056129067611</v>
      </c>
      <c r="AA45" s="139">
        <f>((Y45*X45)/(Z48)*$L$12)</f>
        <v>37.291718259384794</v>
      </c>
      <c r="AB45" s="139">
        <f>AD45-AD44+$O$13</f>
        <v>37.291718259384787</v>
      </c>
      <c r="AC45" s="139">
        <f>AC44+AA45</f>
        <v>72.402344449712814</v>
      </c>
      <c r="AD45" s="142">
        <f>AC45-$O$13</f>
        <v>72.402344449712814</v>
      </c>
      <c r="AE45" s="143">
        <f>IF(($H$14=0),(_xlfn.IFS((W45&lt;='Frame Capacities'!$BT$12),(W45*'Frame Capacities'!$BJ$5*'Frame Capacities'!$BM$12),(AND((W45&gt;'Frame Capacities'!$BT$12),(W45&lt;='Frame Capacities'!$BU$12))),((W45-'Frame Capacities'!$BT$12)*'Frame Capacities'!$BJ$5*('Frame Capacities'!$BN$12)+'Frame Capacities'!$BF$12),(AND((W45&gt;'Frame Capacities'!$BU$12),(W45&lt;='Frame Capacities'!$BV$12))),((W45-'Frame Capacities'!$BU$12)*'Frame Capacities'!$BJ$5*('Frame Capacities'!$BO$12)+'Frame Capacities'!$BG$12),(AND((W45&gt;'Frame Capacities'!$BV$12),(W45&lt;='Frame Capacities'!$BW$12))),((W45-'Frame Capacities'!$BV$12)*'Frame Capacities'!$BJ$5*('Frame Capacities'!$BP$12)+'Frame Capacities'!$BH$12),(AND((W45&gt;'Frame Capacities'!$BW$12),(W45&lt;='Frame Capacities'!$BX$12))),((W45-'Frame Capacities'!$BW$12)*'Frame Capacities'!$BJ$5*('Frame Capacities'!$BQ$12)+'Frame Capacities'!$BI$12))),(((W45-'Frame Capacities'!$BY$12)*'Frame Capacities'!$BJ$5*('Frame Capacities'!$BR$12)+'Frame Capacities'!$BK$12)))</f>
        <v>15.50803982753547</v>
      </c>
      <c r="AF45" s="144">
        <f>IF(($H$14=0),(_xlfn.IFS((W45&lt;='Infill Capacities'!$CS$12),(W45*'Infill Capacities'!$CM$12*'Infill Capacities'!$CK$5),(AND((W45&gt;'Infill Capacities'!$CS$12),(W45&lt;='Infill Capacities'!$CT$12))),((W45-'Infill Capacities'!$CS$12)*'Infill Capacities'!$CK$5*('Infill Capacities'!$CN$12)+'Infill Capacities'!$CG$12),(AND((W45&gt;'Infill Capacities'!$CT$12),(W45&lt;='Infill Capacities'!$CU$12))),((W45-'Infill Capacities'!$CT$12)*'Infill Capacities'!$CK$5*('Infill Capacities'!$CO$12)+'Infill Capacities'!$CH$12),(AND((W45&gt;'Infill Capacities'!$CU$12),(W45&lt;='Infill Capacities'!$CV$12))),((W45-'Infill Capacities'!$CU$12)*'Infill Capacities'!$CK$5*('Infill Capacities'!$CP$12)+'Infill Capacities'!$CJ$12))),((W45-'Infill Capacities'!$CW$12)*'Infill Capacities'!$CK$5*('Infill Capacities'!$CQ$12)+'Infill Capacities'!$CK$12))</f>
        <v>56.894304622177316</v>
      </c>
      <c r="AG45" s="140">
        <f>AE45/$C$14</f>
        <v>0.48286132904136031</v>
      </c>
      <c r="AH45" s="150">
        <f>AF45/$D$14</f>
        <v>0.24122766147644012</v>
      </c>
      <c r="AI45" s="146">
        <f>AE45+AF45</f>
        <v>72.402344449712785</v>
      </c>
      <c r="AJ45" s="146">
        <f>AD45-AI45</f>
        <v>0</v>
      </c>
      <c r="AK45" s="151">
        <f t="shared" ref="AK45:AK46" si="5">(AD45-(AI45))/AD45</f>
        <v>3.9255233578995995E-16</v>
      </c>
      <c r="AL45" s="137"/>
    </row>
    <row r="46" spans="1:38" ht="16.5" thickBot="1" x14ac:dyDescent="0.3">
      <c r="A46" s="159"/>
      <c r="B46" s="159"/>
      <c r="C46" s="159"/>
      <c r="D46" s="159"/>
      <c r="E46" s="986" t="s">
        <v>430</v>
      </c>
      <c r="F46" s="987"/>
      <c r="G46" s="987"/>
      <c r="H46" s="987"/>
      <c r="I46" s="987"/>
      <c r="J46" s="987"/>
      <c r="K46" s="987"/>
      <c r="L46" s="987"/>
      <c r="M46" s="987"/>
      <c r="N46" s="987"/>
      <c r="O46" s="987"/>
      <c r="P46" s="988"/>
      <c r="Q46" s="137"/>
      <c r="R46" s="140">
        <f>IF(($H$15=0),(_xlfn.IFS(('System Capacities'!$N$21+'System Capacities'!$N$34=2),(ABS(AD33)/$G$15),('System Capacities'!$N$21+'System Capacities'!$N$34=3),(((ABS(AD33)-'System Capacities'!$K$47)/($G$15))+('System Capacities'!$L$47*'System Capacities'!$D$8)),('System Capacities'!$N$21+'System Capacities'!$N$34=4),(((ABS(AD33)-'System Capacities'!$K$48)/($G$15))+('System Capacities'!$L$48*'System Capacities'!$D$8)),('System Capacities'!$N$21+'System Capacities'!$N$34=5),(((ABS(AD33)-'System Capacities'!$K$49)/($G$15))+('System Capacities'!$L$49*'System Capacities'!$D$8)),('System Capacities'!$N$21+'System Capacities'!$N$34=6),(((ABS(AD33)-'System Capacities'!$K$50)/($G$15))+('System Capacities'!$L$50*'System Capacities'!$D$8)),('System Capacities'!$N$21+'System Capacities'!$N$34=7),(((ABS(AD33)-'System Capacities'!$K$51)/($G$15))+('System Capacities'!$L$51*'System Capacities'!$D$8)),('System Capacities'!$N$21+'System Capacities'!$N$34=8),(((ABS(AD33)-'System Capacities'!$K$52)/($G$15))+('System Capacities'!$L$52*'System Capacities'!$D$8)),('System Capacities'!$N$21+'System Capacities'!$N$34=9),(((ABS(AD33)-'System Capacities'!$K$53)/($G$15))+('System Capacities'!$L$53*'System Capacities'!$D$8)),('System Capacities'!$N$21+'System Capacities'!$N$34=10),(((ABS(AD33)-'System Capacities'!$K$54)/($G$15))+('System Capacities'!$L$54*'System Capacities'!$D$8)))),((ABS(AD33-$E$15)/(-1*$G$15))+($F$15*'System Capacities'!$D$8)))</f>
        <v>0.19506198235761751</v>
      </c>
      <c r="S46" s="181">
        <f>S47+R46</f>
        <v>0.19506198235761751</v>
      </c>
      <c r="T46" s="137"/>
      <c r="U46" s="134">
        <v>1</v>
      </c>
      <c r="V46" s="139">
        <f>V7</f>
        <v>2.75</v>
      </c>
      <c r="W46" s="140">
        <f>R46/(V46-V47)</f>
        <v>7.093162994822455E-2</v>
      </c>
      <c r="X46" s="141">
        <f>S46</f>
        <v>0.19506198235761751</v>
      </c>
      <c r="Y46" s="139">
        <f>'Structural Information'!$Z$8</f>
        <v>40.367000000000004</v>
      </c>
      <c r="Z46" s="139">
        <f>Y46*X46</f>
        <v>7.8740670418299468</v>
      </c>
      <c r="AA46" s="139">
        <f>((Y46*X46)/(Z48)*$L$12)</f>
        <v>36.526139077958582</v>
      </c>
      <c r="AB46" s="139">
        <f>AD46-AD45+$O$14</f>
        <v>36.526139077958589</v>
      </c>
      <c r="AC46" s="139">
        <f>AC45+AA46</f>
        <v>108.9284835276714</v>
      </c>
      <c r="AD46" s="142">
        <f>AC46-$O$14</f>
        <v>108.9284835276714</v>
      </c>
      <c r="AE46" s="143">
        <f>IF(($H$15=0),(_xlfn.IFS((W46&lt;='Frame Capacities'!$BT$13),(W46*'Frame Capacities'!$BJ$6*'Frame Capacities'!$BM$13),(AND((W46&gt;'Frame Capacities'!$BT$13),(W46&lt;='Frame Capacities'!$BU$13))),((W46-'Frame Capacities'!$BT$13)*'Frame Capacities'!$BJ$6*('Frame Capacities'!$BN$13)+'Frame Capacities'!$BF$13),(AND((W46&gt;'Frame Capacities'!$BU$13),(W46&lt;='Frame Capacities'!$BV$13))),((W46-'Frame Capacities'!$BU$13)*'Frame Capacities'!$BJ$6*('Frame Capacities'!$BO$13)+'Frame Capacities'!$BG$13),(AND((W46&gt;'Frame Capacities'!$BV$13),(W46&lt;='Frame Capacities'!$BW$13))),((W46-'Frame Capacities'!$BV$13)*'Frame Capacities'!$BJ$6*('Frame Capacities'!$BP$13)+'Frame Capacities'!$BH$13),(AND((W46&gt;'Frame Capacities'!$BW$13),(W46&lt;='Frame Capacities'!$BX$13))),((W46-'Frame Capacities'!$BW$13)*'Frame Capacities'!$BJ$6*('Frame Capacities'!$BQ$13)+'Frame Capacities'!$BI$13))),(((W46-'Frame Capacities'!$BY$13)*'Frame Capacities'!$BJ$6*('Frame Capacities'!$BR$13)+'Frame Capacities'!$BK$13)))</f>
        <v>81.868483527671415</v>
      </c>
      <c r="AF46" s="144">
        <f>IF(($H$15=0),(_xlfn.IFS((W46&lt;='Infill Capacities'!$CS$13),(W46*'Infill Capacities'!$CM$13*'Infill Capacities'!$CK$6),(AND((W46&gt;'Infill Capacities'!$CS$13),(W46&lt;='Infill Capacities'!$CT$13))),((W46-'Infill Capacities'!$CS$13)*'Infill Capacities'!$CK$6*('Infill Capacities'!$CN$13)+'Infill Capacities'!$CG$13),(AND((W46&gt;'Infill Capacities'!$CT$13),(W46&lt;='Infill Capacities'!$CU$13))),((W46-'Infill Capacities'!$CT$13)*'Infill Capacities'!$CK$6*('Infill Capacities'!$CO$13)+'Infill Capacities'!$CH$13),(AND((W46&gt;'Infill Capacities'!$CU$13),(W46&lt;='Infill Capacities'!$CV$13))),((W46-'Infill Capacities'!$CU$13)*'Infill Capacities'!$CK$6*('Infill Capacities'!$CP$13)+'Infill Capacities'!$CJ$13))),((W46-'Infill Capacities'!$CW$13)*'Infill Capacities'!$CK$6*('Infill Capacities'!$CQ$13)+'Infill Capacities'!$CK$13))</f>
        <v>27.059999999999995</v>
      </c>
      <c r="AG46" s="140">
        <f>AE46/$C$15</f>
        <v>5.9246928868709574</v>
      </c>
      <c r="AH46" s="150">
        <f>AF46/$D$15</f>
        <v>1</v>
      </c>
      <c r="AI46" s="146">
        <f>AE46+AF46</f>
        <v>108.9284835276714</v>
      </c>
      <c r="AJ46" s="146">
        <f>AD46-AI46</f>
        <v>0</v>
      </c>
      <c r="AK46" s="151">
        <f t="shared" si="5"/>
        <v>0</v>
      </c>
      <c r="AL46" s="137"/>
    </row>
    <row r="47" spans="1:38" x14ac:dyDescent="0.25">
      <c r="A47" s="159"/>
      <c r="B47" s="159"/>
      <c r="C47" s="159"/>
      <c r="D47" s="159"/>
      <c r="E47" s="1007" t="s">
        <v>0</v>
      </c>
      <c r="F47" s="1009" t="s">
        <v>76</v>
      </c>
      <c r="G47" s="1005" t="s">
        <v>104</v>
      </c>
      <c r="H47" s="1012" t="s">
        <v>422</v>
      </c>
      <c r="I47" s="1009" t="s">
        <v>421</v>
      </c>
      <c r="J47" s="1005" t="s">
        <v>85</v>
      </c>
      <c r="K47" s="1019" t="s">
        <v>78</v>
      </c>
      <c r="L47" s="1009" t="s">
        <v>188</v>
      </c>
      <c r="M47" s="1011" t="s">
        <v>187</v>
      </c>
      <c r="N47" s="1011" t="s">
        <v>424</v>
      </c>
      <c r="O47" s="1011" t="s">
        <v>425</v>
      </c>
      <c r="P47" s="1017" t="s">
        <v>352</v>
      </c>
      <c r="Q47" s="137"/>
      <c r="R47" s="140">
        <v>0</v>
      </c>
      <c r="S47" s="181">
        <f>R47</f>
        <v>0</v>
      </c>
      <c r="T47" s="137"/>
      <c r="U47" s="134">
        <v>0</v>
      </c>
      <c r="V47" s="139">
        <f>V8</f>
        <v>0</v>
      </c>
      <c r="W47" s="152" t="s">
        <v>70</v>
      </c>
      <c r="X47" s="141">
        <f>S47</f>
        <v>0</v>
      </c>
      <c r="Y47" s="139" t="str">
        <f>E8</f>
        <v>-</v>
      </c>
      <c r="Z47" s="139">
        <v>0</v>
      </c>
      <c r="AA47" s="139" t="s">
        <v>70</v>
      </c>
      <c r="AB47" s="139"/>
      <c r="AC47" s="157" t="s">
        <v>70</v>
      </c>
      <c r="AD47" s="157"/>
      <c r="AE47" s="143" t="s">
        <v>70</v>
      </c>
      <c r="AF47" s="143" t="s">
        <v>70</v>
      </c>
      <c r="AG47" s="153" t="s">
        <v>70</v>
      </c>
      <c r="AH47" s="143" t="s">
        <v>70</v>
      </c>
      <c r="AI47" s="155" t="s">
        <v>70</v>
      </c>
      <c r="AJ47" s="155" t="s">
        <v>70</v>
      </c>
      <c r="AL47" s="137"/>
    </row>
    <row r="48" spans="1:38" x14ac:dyDescent="0.25">
      <c r="A48" s="159"/>
      <c r="B48" s="159"/>
      <c r="C48" s="159"/>
      <c r="D48" s="159"/>
      <c r="E48" s="1008"/>
      <c r="F48" s="1010"/>
      <c r="G48" s="1006"/>
      <c r="H48" s="1016"/>
      <c r="I48" s="1010"/>
      <c r="J48" s="1006"/>
      <c r="K48" s="1020"/>
      <c r="L48" s="1010"/>
      <c r="M48" s="1012"/>
      <c r="N48" s="1012"/>
      <c r="O48" s="1012"/>
      <c r="P48" s="1018"/>
      <c r="Q48" s="137"/>
      <c r="R48" s="137"/>
      <c r="S48" s="137"/>
      <c r="T48" s="137"/>
      <c r="U48" s="137"/>
      <c r="V48" s="137"/>
      <c r="W48" s="137"/>
      <c r="X48" s="206"/>
      <c r="Y48" s="194" t="s">
        <v>82</v>
      </c>
      <c r="Z48" s="195">
        <f>SUM(Z44:Z47)</f>
        <v>23.482092652363914</v>
      </c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</row>
    <row r="49" spans="1:38" x14ac:dyDescent="0.25">
      <c r="A49" s="159"/>
      <c r="B49" s="159"/>
      <c r="C49" s="159"/>
      <c r="D49" s="159"/>
      <c r="E49" s="513">
        <v>3</v>
      </c>
      <c r="F49" s="387">
        <f>V57</f>
        <v>8.75</v>
      </c>
      <c r="G49" s="508">
        <f>(J49/(F49-F50))</f>
        <v>2.8318828549966354E-4</v>
      </c>
      <c r="H49" s="511"/>
      <c r="I49" s="526">
        <v>1.8973538018496328E-19</v>
      </c>
      <c r="J49" s="508">
        <f>R57+I49</f>
        <v>8.4956485649899057E-4</v>
      </c>
      <c r="K49" s="524">
        <f>K50+J49</f>
        <v>0.19999999993730164</v>
      </c>
      <c r="L49" s="387">
        <f>_xlfn.IFS((G49&lt;='Frame Capacities'!$BT$11),(G49*'Frame Capacities'!$BJ$4*'Frame Capacities'!$BM$11),(AND((G49&gt;'Frame Capacities'!$BT$11),(G49&lt;='Frame Capacities'!$BU$11))),((G49-'Frame Capacities'!$BT$11)*'Frame Capacities'!$BJ$4*('Frame Capacities'!$BN$11)+'Frame Capacities'!$BF$11),(AND((G49&gt;'Frame Capacities'!$BU$11),(G49&lt;='Frame Capacities'!$BV$11))),((G49-'Frame Capacities'!$BU$11)*'Frame Capacities'!$BJ$4*('Frame Capacities'!$BO$11)+'Frame Capacities'!$BG$11),(AND((G49&gt;'Frame Capacities'!$BV$11),(G49&lt;='Frame Capacities'!$BW$11))),((G49-'Frame Capacities'!$BV$11)*'Frame Capacities'!$BJ$4*('Frame Capacities'!$BP$11)+'Frame Capacities'!$BH$11),(AND((G49&gt;'Frame Capacities'!$BW$11),(G49&lt;='Frame Capacities'!$BX$11))),((G49-'Frame Capacities'!$BW$11)*'Frame Capacities'!$BJ$4*('Frame Capacities'!$BQ$11)+'Frame Capacities'!$BI$11))</f>
        <v>2.628014985882237</v>
      </c>
      <c r="M49" s="509">
        <f>_xlfn.IFS((G49&lt;='Infill Capacities'!$CS$11),(G49*'Infill Capacities'!$CM$11*'Infill Capacities'!$CK$4),(AND((G49&gt;'Infill Capacities'!$CS$11),(G49&lt;='Infill Capacities'!$CT$11))),((G49-'Infill Capacities'!$CS$11)*'Infill Capacities'!$CK$4*('Infill Capacities'!$CN$11)+'Infill Capacities'!$CG$11),(AND((G49&gt;'Infill Capacities'!$CT$11),(G49&lt;='Infill Capacities'!$CU$11))),((G49-'Infill Capacities'!$CT$11)*'Infill Capacities'!$CK$4*('Infill Capacities'!$CO$11)+'Infill Capacities'!$CH$11),(AND((G49&gt;'Infill Capacities'!$CU$11),(G49&lt;='Infill Capacities'!$CV$11))),((G49-'Infill Capacities'!$CU$11)*'Infill Capacities'!$CK$4*('Infill Capacities'!$CP$11)+'Infill Capacities'!$CJ$11))</f>
        <v>32.482611204445774</v>
      </c>
      <c r="N49" s="510">
        <f>_xlfn.IFS((AND((G49&gt;0),(G49&lt;'Frame Capacities'!BT11))),(G49/'Frame Capacities'!BT11),(AND((G49&gt;'Frame Capacities'!BT11),(G49&lt;'Frame Capacities'!BU11))),(G49/'Frame Capacities'!BU11),(AND((G49&gt;'Frame Capacities'!BU11),(G49&lt;'Frame Capacities'!BV11))),(G49/'Frame Capacities'!BV11),(AND((G49&gt;'Frame Capacities'!BV11),(G49&lt;'Frame Capacities'!BW11))),(G49/'Frame Capacities'!BW11),(AND((G49&gt;'Frame Capacities'!BW11),(G49&lt;'Frame Capacities'!BX11))),(G49/'Frame Capacities'!BX11))</f>
        <v>2.9506156278617936E-2</v>
      </c>
      <c r="O49" s="510">
        <f>_xlfn.IFS((AND((G49&gt;0),(G49&lt;'Infill Capacities'!CS11))),(G49/'Infill Capacities'!CS11),(AND((G49&gt;'Infill Capacities'!CS11),(G49&lt;'Infill Capacities'!CT11))),(G49/'Infill Capacities'!CT11),(AND((G49&gt;'Infill Capacities'!CT11),(G49&lt;'Infill Capacities'!CU11))),(G49/'Infill Capacities'!CU11),(AND((G49&gt;'Infill Capacities'!CU11),(G49&lt;'Infill Capacities'!CV11))),(G49/'Infill Capacities'!CV11))</f>
        <v>0.15223753574293369</v>
      </c>
      <c r="P49" s="514">
        <f>L49+M49</f>
        <v>35.110626190328013</v>
      </c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</row>
    <row r="50" spans="1:38" x14ac:dyDescent="0.25">
      <c r="A50" s="159"/>
      <c r="B50" s="159"/>
      <c r="C50" s="159"/>
      <c r="D50" s="159"/>
      <c r="E50" s="513">
        <v>2</v>
      </c>
      <c r="F50" s="387">
        <f>V58</f>
        <v>5.75</v>
      </c>
      <c r="G50" s="508">
        <f>(J50/(F50-F51))</f>
        <v>1.3628175743950494E-3</v>
      </c>
      <c r="H50" s="511"/>
      <c r="I50" s="526">
        <v>1.8973538018496328E-19</v>
      </c>
      <c r="J50" s="508">
        <f>R58+I50</f>
        <v>4.0884527231851483E-3</v>
      </c>
      <c r="K50" s="524">
        <f>K51+J50</f>
        <v>0.19915043508080266</v>
      </c>
      <c r="L50" s="387">
        <f>_xlfn.IFS((G50&lt;='Frame Capacities'!$BT$12),(G50*'Frame Capacities'!$BJ$5*'Frame Capacities'!$BM$12),(AND((G50&gt;'Frame Capacities'!$BT$12),(G50&lt;='Frame Capacities'!$BU$12))),((G50-'Frame Capacities'!$BT$12)*'Frame Capacities'!$BJ$5*('Frame Capacities'!$BN$12)+'Frame Capacities'!$BF$12),(AND((G50&gt;'Frame Capacities'!$BU$12),(G50&lt;='Frame Capacities'!$BV$12))),((G50-'Frame Capacities'!$BU$12)*'Frame Capacities'!$BJ$5*('Frame Capacities'!$BO$12)+'Frame Capacities'!$BG$12),(AND((G50&gt;'Frame Capacities'!$BV$12),(G50&lt;='Frame Capacities'!$BW$12))),((G50-'Frame Capacities'!$BV$12)*'Frame Capacities'!$BJ$5*('Frame Capacities'!$BP$12)+'Frame Capacities'!$BH$12),(AND((G50&gt;'Frame Capacities'!$BW$12),(G50&lt;='Frame Capacities'!$BX$12))),((G50-'Frame Capacities'!$BW$12)*'Frame Capacities'!$BJ$5*('Frame Capacities'!$BQ$12)+'Frame Capacities'!$BI$12))</f>
        <v>15.508039827535473</v>
      </c>
      <c r="M50" s="509">
        <f>_xlfn.IFS((G50&lt;='Infill Capacities'!$CS$12),(G50*'Infill Capacities'!$CM$12*'Infill Capacities'!$CK$5),(AND((G50&gt;'Infill Capacities'!$CS$12),(G50&lt;='Infill Capacities'!$CT$12))),((G50-'Infill Capacities'!$CS$12)*'Infill Capacities'!$CK$5*('Infill Capacities'!$CN$12)+'Infill Capacities'!$CG$12),(AND((G50&gt;'Infill Capacities'!$CT$12),(G50&lt;='Infill Capacities'!$CU$12))),((G50-'Infill Capacities'!$CT$12)*'Infill Capacities'!$CK$5*('Infill Capacities'!$CO$12)+'Infill Capacities'!$CH$12),(AND((G50&gt;'Infill Capacities'!$CU$12),(G50&lt;='Infill Capacities'!$CV$12))),((G50-'Infill Capacities'!$CU$12)*'Infill Capacities'!$CK$5*('Infill Capacities'!$CP$12)+'Infill Capacities'!$CJ$12))</f>
        <v>167.09697489001732</v>
      </c>
      <c r="N50" s="510">
        <f>_xlfn.IFS((AND((G50&gt;0),(G50&lt;'Frame Capacities'!BT12))),(G50/'Frame Capacities'!BT12),(AND((G50&gt;'Frame Capacities'!BT12),(G50&lt;'Frame Capacities'!BU12))),(G50/'Frame Capacities'!BU12),(AND((G50&gt;'Frame Capacities'!BU12),(G50&lt;'Frame Capacities'!BV12))),(G50/'Frame Capacities'!BV12),(AND((G50&gt;'Frame Capacities'!BV12),(G50&lt;'Frame Capacities'!BW12))),(G50/'Frame Capacities'!BW12),(AND((G50&gt;'Frame Capacities'!BW12),(G50&lt;'Frame Capacities'!BX12))),(G50/'Frame Capacities'!BX12))</f>
        <v>0.14854444279248538</v>
      </c>
      <c r="O50" s="510">
        <f>_xlfn.IFS((AND((G50&gt;0),(G50&lt;'Infill Capacities'!CS12))),(G50/'Infill Capacities'!CS12),(AND((G50&gt;'Infill Capacities'!CS12),(G50&lt;'Infill Capacities'!CT12))),(G50/'Infill Capacities'!CT12),(AND((G50&gt;'Infill Capacities'!CT12),(G50&lt;'Infill Capacities'!CU12))),(G50/'Infill Capacities'!CU12),(AND((G50&gt;'Infill Capacities'!CU12),(G50&lt;'Infill Capacities'!CV12))),(G50/'Infill Capacities'!CV12))</f>
        <v>0.77188181305440362</v>
      </c>
      <c r="P50" s="514">
        <f>L50+M50</f>
        <v>182.60501471755279</v>
      </c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</row>
    <row r="51" spans="1:38" x14ac:dyDescent="0.25">
      <c r="A51" s="137"/>
      <c r="B51" s="137"/>
      <c r="C51" s="137"/>
      <c r="D51" s="137"/>
      <c r="E51" s="513">
        <v>1</v>
      </c>
      <c r="F51" s="387">
        <f>V59</f>
        <v>2.75</v>
      </c>
      <c r="G51" s="508">
        <f>(J51/(F51-F52))</f>
        <v>7.093162994822455E-2</v>
      </c>
      <c r="H51" s="512"/>
      <c r="I51" s="526">
        <v>-1.8973538018496328E-19</v>
      </c>
      <c r="J51" s="508">
        <f>R59+I51</f>
        <v>0.19506198235761751</v>
      </c>
      <c r="K51" s="524">
        <f>K52+J51</f>
        <v>0.19506198235761751</v>
      </c>
      <c r="L51" s="387">
        <f>_xlfn.IFS((G51&lt;='Frame Capacities'!$BT$13),(G51*'Frame Capacities'!$BJ$6*'Frame Capacities'!$BM$13),(AND((G51&gt;'Frame Capacities'!$BT$13),(G51&lt;='Frame Capacities'!$BU$13))),((G51-'Frame Capacities'!$BT$13)*'Frame Capacities'!$BJ$6*('Frame Capacities'!$BN$13)+'Frame Capacities'!$BF$13),(AND((G51&gt;'Frame Capacities'!$BU$13),(G51&lt;='Frame Capacities'!$BV$13))),((G51-'Frame Capacities'!$BU$13)*'Frame Capacities'!$BJ$6*('Frame Capacities'!$BO$13)+'Frame Capacities'!$BG$13),(AND((G51&gt;'Frame Capacities'!$BV$13),(G51&lt;='Frame Capacities'!$BW$13))),((G51-'Frame Capacities'!$BV$13)*'Frame Capacities'!$BJ$6*('Frame Capacities'!$BP$13)+'Frame Capacities'!$BH$13),(AND((G51&gt;'Frame Capacities'!$BW$13),(G51&lt;='Frame Capacities'!$BX$13))),((G51-'Frame Capacities'!$BW$13)*'Frame Capacities'!$BJ$6*('Frame Capacities'!$BQ$13)+'Frame Capacities'!$BI$13))</f>
        <v>81.868483527671415</v>
      </c>
      <c r="M51" s="509">
        <f>_xlfn.IFS((G51&lt;='Infill Capacities'!$CS$13),(G51*'Infill Capacities'!$CM$13*'Infill Capacities'!$CK$6),(AND((G51&gt;'Infill Capacities'!$CS$13),(G51&lt;='Infill Capacities'!$CT$13))),((G51-'Infill Capacities'!$CS$13)*'Infill Capacities'!$CK$6*('Infill Capacities'!$CN$13)+'Infill Capacities'!$CG$13),(AND((G51&gt;'Infill Capacities'!$CT$13),(G51&lt;='Infill Capacities'!$CU$13))),((G51-'Infill Capacities'!$CT$13)*'Infill Capacities'!$CK$6*('Infill Capacities'!$CO$13)+'Infill Capacities'!$CH$13),(AND((G51&gt;'Infill Capacities'!$CU$13),(G51&lt;='Infill Capacities'!$CV$13))),((G51-'Infill Capacities'!$CU$13)*'Infill Capacities'!$CK$6*('Infill Capacities'!$CP$13)+'Infill Capacities'!$CJ$13),(G51&gt;='Infill Capacities'!$CV$13),(0))</f>
        <v>27.059999999999995</v>
      </c>
      <c r="N51" s="510">
        <f>_xlfn.IFS((AND((G51&gt;0),(G51&lt;'Frame Capacities'!BT13))),(G51/'Frame Capacities'!BT13),(AND((G51&gt;'Frame Capacities'!BT13),(G51&lt;'Frame Capacities'!BU13))),(G51/'Frame Capacities'!BU13),(AND((G51&gt;'Frame Capacities'!BU13),(G51&lt;'Frame Capacities'!BV13))),(G51/'Frame Capacities'!BV13),(AND((G51&gt;'Frame Capacities'!BV13),(G51&lt;'Frame Capacities'!BW13))),(G51/'Frame Capacities'!BW13),(AND((G51&gt;'Frame Capacities'!BW13),(G51&lt;'Frame Capacities'!BX13))),(G51/'Frame Capacities'!BX13))</f>
        <v>0.55926028804007899</v>
      </c>
      <c r="O51" s="510">
        <f>_xlfn.IFS((AND((G51&gt;0),(G51&lt;'Infill Capacities'!CS13))),(G51/'Infill Capacities'!CS13),(AND((G51&gt;'Infill Capacities'!CS13),(G51&lt;'Infill Capacities'!CT13))),(G51/'Infill Capacities'!CT13),(AND((G51&gt;'Infill Capacities'!CT13),(G51&lt;'Infill Capacities'!CU13))),(G51/'Infill Capacities'!CU13),(AND((G51&gt;'Infill Capacities'!CU13),(G51&lt;'Infill Capacities'!CV13))),(G51/'Infill Capacities'!CV13))</f>
        <v>0.88664537435280688</v>
      </c>
      <c r="P51" s="514">
        <f>L51+M51</f>
        <v>108.9284835276714</v>
      </c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</row>
    <row r="52" spans="1:38" ht="16.5" thickBot="1" x14ac:dyDescent="0.3">
      <c r="A52" s="137"/>
      <c r="B52" s="137"/>
      <c r="C52" s="137"/>
      <c r="D52" s="137"/>
      <c r="E52" s="515">
        <v>0</v>
      </c>
      <c r="F52" s="516">
        <f>V60</f>
        <v>0</v>
      </c>
      <c r="G52" s="517" t="s">
        <v>70</v>
      </c>
      <c r="H52" s="518"/>
      <c r="I52" s="517" t="s">
        <v>70</v>
      </c>
      <c r="J52" s="519">
        <f>R60</f>
        <v>0</v>
      </c>
      <c r="K52" s="525">
        <f>J52</f>
        <v>0</v>
      </c>
      <c r="L52" s="516" t="s">
        <v>70</v>
      </c>
      <c r="M52" s="516" t="s">
        <v>70</v>
      </c>
      <c r="N52" s="516" t="s">
        <v>70</v>
      </c>
      <c r="O52" s="516" t="s">
        <v>70</v>
      </c>
      <c r="P52" s="520" t="s">
        <v>70</v>
      </c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</row>
    <row r="53" spans="1:38" ht="16.5" thickBot="1" x14ac:dyDescent="0.3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522" t="s">
        <v>423</v>
      </c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</row>
    <row r="54" spans="1:38" ht="15.75" customHeight="1" thickBot="1" x14ac:dyDescent="0.3">
      <c r="A54" s="137"/>
      <c r="B54" s="137"/>
      <c r="C54" s="211"/>
      <c r="D54" s="211"/>
      <c r="E54" s="137"/>
      <c r="F54" s="137"/>
      <c r="G54" s="137"/>
      <c r="H54" s="137"/>
      <c r="I54" s="137"/>
      <c r="J54" s="137"/>
      <c r="K54" s="137"/>
      <c r="L54" s="211"/>
      <c r="M54" s="211"/>
      <c r="N54" s="211"/>
      <c r="O54" s="211"/>
      <c r="P54" s="211"/>
      <c r="Q54" s="137"/>
      <c r="R54" s="1001" t="s">
        <v>251</v>
      </c>
      <c r="S54" s="1003"/>
      <c r="T54" s="114"/>
      <c r="U54" s="1001" t="s">
        <v>251</v>
      </c>
      <c r="V54" s="1002"/>
      <c r="W54" s="1002"/>
      <c r="X54" s="1002"/>
      <c r="Y54" s="1002"/>
      <c r="Z54" s="1002"/>
      <c r="AA54" s="1002"/>
      <c r="AB54" s="1002"/>
      <c r="AC54" s="1002"/>
      <c r="AD54" s="1002"/>
      <c r="AE54" s="1002"/>
      <c r="AF54" s="1002"/>
      <c r="AG54" s="1002"/>
      <c r="AH54" s="1002"/>
      <c r="AI54" s="1002"/>
      <c r="AJ54" s="1003"/>
      <c r="AK54" s="137"/>
      <c r="AL54" s="137"/>
    </row>
    <row r="55" spans="1:38" ht="22.5" customHeight="1" x14ac:dyDescent="0.25">
      <c r="A55" s="137"/>
      <c r="B55" s="137"/>
      <c r="C55" s="137"/>
      <c r="D55" s="211"/>
      <c r="E55" s="137"/>
      <c r="F55" s="137"/>
      <c r="G55" s="137"/>
      <c r="H55" s="137"/>
      <c r="I55" s="137"/>
      <c r="J55" s="137"/>
      <c r="K55" s="137"/>
      <c r="L55" s="211"/>
      <c r="M55" s="211"/>
      <c r="N55" s="211"/>
      <c r="O55" s="211"/>
      <c r="P55" s="211"/>
      <c r="Q55" s="137"/>
      <c r="R55" s="917" t="s">
        <v>85</v>
      </c>
      <c r="S55" s="955" t="s">
        <v>84</v>
      </c>
      <c r="T55" s="137"/>
      <c r="U55" s="955" t="s">
        <v>0</v>
      </c>
      <c r="V55" s="955" t="s">
        <v>76</v>
      </c>
      <c r="W55" s="955" t="s">
        <v>104</v>
      </c>
      <c r="X55" s="992" t="s">
        <v>78</v>
      </c>
      <c r="Y55" s="955" t="s">
        <v>80</v>
      </c>
      <c r="Z55" s="955" t="s">
        <v>81</v>
      </c>
      <c r="AA55" s="648" t="s">
        <v>412</v>
      </c>
      <c r="AB55" s="648" t="s">
        <v>410</v>
      </c>
      <c r="AC55" s="648" t="s">
        <v>413</v>
      </c>
      <c r="AD55" s="648" t="s">
        <v>411</v>
      </c>
      <c r="AE55" s="991" t="s">
        <v>188</v>
      </c>
      <c r="AF55" s="991" t="s">
        <v>187</v>
      </c>
      <c r="AG55" s="991" t="s">
        <v>189</v>
      </c>
      <c r="AH55" s="991" t="s">
        <v>190</v>
      </c>
      <c r="AI55" s="970" t="s">
        <v>352</v>
      </c>
      <c r="AJ55" s="971" t="s">
        <v>418</v>
      </c>
      <c r="AK55" s="989" t="s">
        <v>242</v>
      </c>
      <c r="AL55" s="137"/>
    </row>
    <row r="56" spans="1:38" ht="22.5" customHeight="1" x14ac:dyDescent="0.25">
      <c r="A56" s="137"/>
      <c r="B56" s="137"/>
      <c r="C56" s="137"/>
      <c r="D56" s="212"/>
      <c r="E56" s="1013" t="s">
        <v>355</v>
      </c>
      <c r="F56" s="1014"/>
      <c r="G56" s="1014"/>
      <c r="H56" s="1014"/>
      <c r="I56" s="1015"/>
      <c r="J56" s="137"/>
      <c r="K56" s="137"/>
      <c r="L56" s="212"/>
      <c r="M56" s="212"/>
      <c r="N56" s="213"/>
      <c r="O56" s="213"/>
      <c r="P56" s="213"/>
      <c r="Q56" s="137"/>
      <c r="R56" s="643"/>
      <c r="S56" s="648"/>
      <c r="T56" s="137"/>
      <c r="U56" s="648"/>
      <c r="V56" s="648"/>
      <c r="W56" s="648"/>
      <c r="X56" s="993"/>
      <c r="Y56" s="648"/>
      <c r="Z56" s="648"/>
      <c r="AA56" s="648"/>
      <c r="AB56" s="648"/>
      <c r="AC56" s="648"/>
      <c r="AD56" s="648"/>
      <c r="AE56" s="955"/>
      <c r="AF56" s="955"/>
      <c r="AG56" s="955"/>
      <c r="AH56" s="955"/>
      <c r="AI56" s="971"/>
      <c r="AJ56" s="1004"/>
      <c r="AK56" s="989"/>
      <c r="AL56" s="137"/>
    </row>
    <row r="57" spans="1:38" ht="15" customHeight="1" x14ac:dyDescent="0.25">
      <c r="A57" s="137"/>
      <c r="B57" s="137"/>
      <c r="C57" s="137"/>
      <c r="D57" s="148"/>
      <c r="E57" s="200" t="s">
        <v>9</v>
      </c>
      <c r="F57" s="200" t="s">
        <v>2</v>
      </c>
      <c r="G57" s="160" t="s">
        <v>356</v>
      </c>
      <c r="H57" s="160" t="s">
        <v>357</v>
      </c>
      <c r="I57" s="200" t="s">
        <v>354</v>
      </c>
      <c r="J57" s="137"/>
      <c r="K57" s="137"/>
      <c r="L57" s="148"/>
      <c r="M57" s="214"/>
      <c r="N57" s="213"/>
      <c r="O57" s="213"/>
      <c r="P57" s="213"/>
      <c r="Q57" s="137"/>
      <c r="R57" s="140">
        <f>IF(($H$13=0),(_xlfn.IFS(('System Capacities'!$N$19+'System Capacities'!$N$32=2),((ABS(AD44)/$G$13)),('System Capacities'!$N$19+'System Capacities'!$N$32=3),(((ABS(AD44)-'System Capacities'!$C$47)/($G$13))+('System Capacities'!$D$47*'System Capacities'!$D$6)),('System Capacities'!$N$19+'System Capacities'!$N$32=4),(((ABS(AD44)-'System Capacities'!$C$48)/($G$13))+('System Capacities'!$D$48*'System Capacities'!$D$6)),('System Capacities'!$N$19+'System Capacities'!$N$32=5),(((ABS(AD44)-'System Capacities'!$C$49)/($G$13))+('System Capacities'!$D$49*'System Capacities'!$D$6)),('System Capacities'!$N$19+'System Capacities'!$N$32=6),(((ABS(AD44)-'System Capacities'!$C$50)/($G$13))+('System Capacities'!$D$50*'System Capacities'!$D$6)),('System Capacities'!$N$19+'System Capacities'!$N$32=7),(((ABS(AD44)-'System Capacities'!$C$51)/($G$13))+('System Capacities'!$D$51*'System Capacities'!$D$6)),('System Capacities'!$N$19+'System Capacities'!$N$32=8),(((ABS(AD44)-'System Capacities'!$C$52)/($G$13))+('System Capacities'!$D$52*'System Capacities'!$D$6)),('System Capacities'!$N$19+'System Capacities'!$N$32=9),(((ABS(AD44)-'System Capacities'!$C$53)/($G$13))+('System Capacities'!$D$53*'System Capacities'!$D$6)),('System Capacities'!$N$19+'System Capacities'!$N$32=10),(((ABS(AD44)-'System Capacities'!$C$54)/($G$13))+('System Capacities'!$D$54*'System Capacities'!$D$6)))),((ABS(AD44-$E$13)/(-1*$G$13))+($F$13*'System Capacities'!$D$6)))</f>
        <v>8.4956485649899036E-4</v>
      </c>
      <c r="S57" s="181">
        <f>S58+R57</f>
        <v>0.19999999993730164</v>
      </c>
      <c r="T57" s="137"/>
      <c r="U57" s="134">
        <v>3</v>
      </c>
      <c r="V57" s="139">
        <f>V5</f>
        <v>8.75</v>
      </c>
      <c r="W57" s="140">
        <f>(R57/(V57-V58))</f>
        <v>2.8318828549966343E-4</v>
      </c>
      <c r="X57" s="523">
        <f>S57</f>
        <v>0.19999999993730164</v>
      </c>
      <c r="Y57" s="139">
        <f>'Structural Information'!$Z$6</f>
        <v>37.8446</v>
      </c>
      <c r="Z57" s="139">
        <f>Y57*X57</f>
        <v>7.5689199976272059</v>
      </c>
      <c r="AA57" s="139">
        <f>((Y57*X57)/(Z61)*$L$12)</f>
        <v>35.110626190328027</v>
      </c>
      <c r="AB57" s="139">
        <f>AD57+$O$12</f>
        <v>35.110626190328027</v>
      </c>
      <c r="AC57" s="139">
        <f>AA57</f>
        <v>35.110626190328027</v>
      </c>
      <c r="AD57" s="142">
        <f>AC57-$O$12</f>
        <v>35.110626190328027</v>
      </c>
      <c r="AE57" s="143">
        <f>IF(($H$13=0),(_xlfn.IFS((W57&lt;='Frame Capacities'!$BT$11),(W57*'Frame Capacities'!$BJ$4*'Frame Capacities'!$BM$11),(AND((W57&gt;'Frame Capacities'!$BT$11),(W57&lt;='Frame Capacities'!$BU$11))),((W57-'Frame Capacities'!$BT$11)*'Frame Capacities'!$BJ$4*('Frame Capacities'!$BN$11)+'Frame Capacities'!$BF$11),(AND((W57&gt;'Frame Capacities'!$BU$11),(W57&lt;='Frame Capacities'!$BV$11))),((W57-'Frame Capacities'!$BU$11)*'Frame Capacities'!$BJ$4*('Frame Capacities'!$BO$11)+'Frame Capacities'!$BG$11),(AND((W57&gt;'Frame Capacities'!$BV$11),(W57&lt;='Frame Capacities'!$BW$11))),((W57-'Frame Capacities'!$BV$11)*'Frame Capacities'!$BJ$4*('Frame Capacities'!$BP$11)+'Frame Capacities'!$BH$11),(AND((W57&gt;'Frame Capacities'!$BW$11),(W57&lt;='Frame Capacities'!$BX$11))),((W57-'Frame Capacities'!$BW$11)*'Frame Capacities'!$BJ$4*('Frame Capacities'!$BQ$11)+'Frame Capacities'!$BI$11))),((W57-'Frame Capacities'!$BY$11)*'Frame Capacities'!$BJ$4*('Frame Capacities'!$BR$11)+'Frame Capacities'!$BK$11))</f>
        <v>2.6280149858822366</v>
      </c>
      <c r="AF57" s="144">
        <f>IF(($H$13=0),(_xlfn.IFS((W57&lt;='Infill Capacities'!$CS$11),(W57*'Infill Capacities'!$CM$11*'Infill Capacities'!$CK$4),(AND((W57&gt;'Infill Capacities'!$CS$11),(W57&lt;='Infill Capacities'!$CT$11))),((W57-'Infill Capacities'!$CS$11)*'Infill Capacities'!$CK$4*('Infill Capacities'!$CN$11)+'Infill Capacities'!$CG$11),(AND((W57&gt;'Infill Capacities'!$CT$11),(W57&lt;='Infill Capacities'!$CU$11))),((W57-'Infill Capacities'!$CT$11)*'Infill Capacities'!$CK$4*('Infill Capacities'!$CO$11)+'Infill Capacities'!$CH$11),(AND((W57&gt;'Infill Capacities'!$CU$11),(W57&lt;='Infill Capacities'!$CV$11))),((W57-'Infill Capacities'!$CU$11)*'Infill Capacities'!$CK$4*('Infill Capacities'!$CP$11)+'Infill Capacities'!$CJ$11))),((W57-'Infill Capacities'!$CW$11)*'Infill Capacities'!$CK$4*('Infill Capacities'!$CQ$11)+'Infill Capacities'!$CK$11))</f>
        <v>32.482611204445774</v>
      </c>
      <c r="AG57" s="215">
        <f>AE57/$C$13</f>
        <v>0.25185892852153274</v>
      </c>
      <c r="AH57" s="216">
        <f>AF57/$D$13</f>
        <v>0.25185892852153274</v>
      </c>
      <c r="AI57" s="146">
        <f>AE57+AF57</f>
        <v>35.110626190328013</v>
      </c>
      <c r="AJ57" s="146">
        <f>AD57-AI57</f>
        <v>0</v>
      </c>
      <c r="AK57" s="151">
        <f>(AD57-(AI57))/AD57</f>
        <v>4.0474512297694901E-16</v>
      </c>
      <c r="AL57" s="137"/>
    </row>
    <row r="58" spans="1:38" ht="15" customHeight="1" x14ac:dyDescent="0.25">
      <c r="A58" s="137"/>
      <c r="B58" s="137"/>
      <c r="C58" s="137"/>
      <c r="D58" s="148"/>
      <c r="E58" s="202">
        <v>3</v>
      </c>
      <c r="F58" s="203">
        <v>8.75</v>
      </c>
      <c r="G58" s="204">
        <f>AB57</f>
        <v>35.110626190328027</v>
      </c>
      <c r="H58" s="204">
        <f>G58/$AC$59</f>
        <v>0.3223273202128879</v>
      </c>
      <c r="I58" s="205">
        <f>H58/MAX($H$58:$H$61)</f>
        <v>0.94151269582468577</v>
      </c>
      <c r="J58" s="137"/>
      <c r="K58" s="137"/>
      <c r="L58" s="148"/>
      <c r="M58" s="214"/>
      <c r="N58" s="213"/>
      <c r="O58" s="213"/>
      <c r="P58" s="213"/>
      <c r="Q58" s="137"/>
      <c r="R58" s="140">
        <f>IF(($H$14=0),(_xlfn.IFS(('System Capacities'!$N$20+'System Capacities'!$N$33=2),(ABS(AD45)/$G$14),('System Capacities'!$N$20+'System Capacities'!$N$33=3),(((ABS(AD45)-'System Capacities'!$G$47)/($G$14))+('System Capacities'!$H$47*'System Capacities'!$D$7)),('System Capacities'!$N$20+'System Capacities'!$N$33=4),(((ABS(AD45)-'System Capacities'!$G$48)/($G$14))+('System Capacities'!$H$48*'System Capacities'!$D$7)),('System Capacities'!$N$20+'System Capacities'!$N$33=5),(((ABS(AD45)-'System Capacities'!$G$49)/($G$14))+('System Capacities'!$H$49*'System Capacities'!$D$7)),('System Capacities'!$N$20+'System Capacities'!$N$33=6),(((ABS(AD45)-'System Capacities'!$G$50)/($G$14))+('System Capacities'!$H$50*'System Capacities'!$D$7)),('System Capacities'!$N$20+'System Capacities'!$N$33=7),(((ABS(AD45)-'System Capacities'!$G$51)/($G$14))+('System Capacities'!$H$51*'System Capacities'!$D$7)),('System Capacities'!$N$20+'System Capacities'!$N$33=8),(((ABS(AD45)-'System Capacities'!$G$52)/($G$14))+('System Capacities'!$H$52*'System Capacities'!$D$7)),('System Capacities'!$N$20+'System Capacities'!$N$33=9),(((ABS(AD45)-'System Capacities'!$G$53)/($G$14))+('System Capacities'!$H$53*'System Capacities'!$D$7)),('System Capacities'!$N$20+'System Capacities'!$N$33=10),(((ABS(AD45)-'System Capacities'!$G$54)/($G$14))+('System Capacities'!$H$54*'System Capacities'!$D$7)))),((ABS(AD45-$E$14)/(-1*$G$14))+($F$14*'System Capacities'!$D$7)))</f>
        <v>4.0884527231851483E-3</v>
      </c>
      <c r="S58" s="181">
        <f>S59+R58</f>
        <v>0.19915043508080266</v>
      </c>
      <c r="T58" s="137"/>
      <c r="U58" s="134">
        <v>2</v>
      </c>
      <c r="V58" s="139">
        <f>V6</f>
        <v>5.75</v>
      </c>
      <c r="W58" s="140">
        <f>(R58/(V58-V59))</f>
        <v>1.3628175743950494E-3</v>
      </c>
      <c r="X58" s="523">
        <f>S58</f>
        <v>0.19915043508080266</v>
      </c>
      <c r="Y58" s="139">
        <f>'Structural Information'!$Z$7</f>
        <v>40.367000000000004</v>
      </c>
      <c r="Z58" s="139">
        <f>Y58*X58</f>
        <v>8.0391056129067611</v>
      </c>
      <c r="AA58" s="139">
        <f>((Y58*X58)/(Z61)*$L$12)</f>
        <v>37.291718259384794</v>
      </c>
      <c r="AB58" s="139">
        <f>AD58-AD57+$O$13</f>
        <v>37.291718259384787</v>
      </c>
      <c r="AC58" s="139">
        <f>AC57+AA58</f>
        <v>72.402344449712814</v>
      </c>
      <c r="AD58" s="142">
        <f>AC58-$O$13</f>
        <v>72.402344449712814</v>
      </c>
      <c r="AE58" s="143">
        <f>IF(($H$14=0),(_xlfn.IFS((W58&lt;='Frame Capacities'!$BT$12),(W58*'Frame Capacities'!$BJ$5*'Frame Capacities'!$BM$12),(AND((W58&gt;'Frame Capacities'!$BT$12),(W58&lt;='Frame Capacities'!$BU$12))),((W58-'Frame Capacities'!$BT$12)*'Frame Capacities'!$BJ$5*('Frame Capacities'!$BN$12)+'Frame Capacities'!$BF$12),(AND((W58&gt;'Frame Capacities'!$BU$12),(W58&lt;='Frame Capacities'!$BV$12))),((W58-'Frame Capacities'!$BU$12)*'Frame Capacities'!$BJ$5*('Frame Capacities'!$BO$12)+'Frame Capacities'!$BG$12),(AND((W58&gt;'Frame Capacities'!$BV$12),(W58&lt;='Frame Capacities'!$BW$12))),((W58-'Frame Capacities'!$BV$12)*'Frame Capacities'!$BJ$5*('Frame Capacities'!$BP$12)+'Frame Capacities'!$BH$12),(AND((W58&gt;'Frame Capacities'!$BW$12),(W58&lt;='Frame Capacities'!$BX$12))),((W58-'Frame Capacities'!$BW$12)*'Frame Capacities'!$BJ$5*('Frame Capacities'!$BQ$12)+'Frame Capacities'!$BI$12))),(((W58-'Frame Capacities'!$BY$12)*'Frame Capacities'!$BJ$5*('Frame Capacities'!$BR$12)+'Frame Capacities'!$BK$12)))</f>
        <v>15.50803982753547</v>
      </c>
      <c r="AF58" s="144">
        <f>IF(($H$14=0),(_xlfn.IFS((W58&lt;='Infill Capacities'!$CS$12),(W58*'Infill Capacities'!$CM$12*'Infill Capacities'!$CK$5),(AND((W58&gt;'Infill Capacities'!$CS$12),(W58&lt;='Infill Capacities'!$CT$12))),((W58-'Infill Capacities'!$CS$12)*'Infill Capacities'!$CK$5*('Infill Capacities'!$CN$12)+'Infill Capacities'!$CG$12),(AND((W58&gt;'Infill Capacities'!$CT$12),(W58&lt;='Infill Capacities'!$CU$12))),((W58-'Infill Capacities'!$CT$12)*'Infill Capacities'!$CK$5*('Infill Capacities'!$CO$12)+'Infill Capacities'!$CH$12),(AND((W58&gt;'Infill Capacities'!$CU$12),(W58&lt;='Infill Capacities'!$CV$12))),((W58-'Infill Capacities'!$CU$12)*'Infill Capacities'!$CK$5*('Infill Capacities'!$CP$12)+'Infill Capacities'!$CJ$12))),((W58-'Infill Capacities'!$CW$12)*'Infill Capacities'!$CK$5*('Infill Capacities'!$CQ$12)+'Infill Capacities'!$CK$12))</f>
        <v>56.894304622177316</v>
      </c>
      <c r="AG58" s="215">
        <f>AE58/$C$14</f>
        <v>0.48286132904136031</v>
      </c>
      <c r="AH58" s="216">
        <f>AF58/$D$14</f>
        <v>0.24122766147644012</v>
      </c>
      <c r="AI58" s="146">
        <f>AE58+AF58</f>
        <v>72.402344449712785</v>
      </c>
      <c r="AJ58" s="146">
        <f>AD58-AI58</f>
        <v>0</v>
      </c>
      <c r="AK58" s="151">
        <f t="shared" ref="AK58:AK59" si="6">(AD58-(AI58))/AD58</f>
        <v>3.9255233578995995E-16</v>
      </c>
      <c r="AL58" s="137"/>
    </row>
    <row r="59" spans="1:38" ht="15" customHeight="1" x14ac:dyDescent="0.25">
      <c r="A59" s="137"/>
      <c r="B59" s="137"/>
      <c r="C59" s="137"/>
      <c r="D59" s="148"/>
      <c r="E59" s="202">
        <v>2</v>
      </c>
      <c r="F59" s="203">
        <v>5.75</v>
      </c>
      <c r="G59" s="204">
        <f>AB58</f>
        <v>37.291718259384787</v>
      </c>
      <c r="H59" s="204">
        <f>G59/$AC$59</f>
        <v>0.3423504766768507</v>
      </c>
      <c r="I59" s="205">
        <f>H59/MAX($H$58:$H$61)</f>
        <v>1</v>
      </c>
      <c r="J59" s="137"/>
      <c r="K59" s="137"/>
      <c r="L59" s="148"/>
      <c r="M59" s="214"/>
      <c r="N59" s="213"/>
      <c r="O59" s="213"/>
      <c r="P59" s="213"/>
      <c r="Q59" s="137"/>
      <c r="R59" s="140">
        <f>IF(($H$15=0),(_xlfn.IFS(('System Capacities'!$N$21+'System Capacities'!$N$34=2),(ABS(AD46)/$G$15),('System Capacities'!$N$21+'System Capacities'!$N$34=3),(((ABS(AD46)-'System Capacities'!$K$47)/($G$15))+('System Capacities'!$L$47*'System Capacities'!$D$8)),('System Capacities'!$N$21+'System Capacities'!$N$34=4),(((ABS(AD46)-'System Capacities'!$K$48)/($G$15))+('System Capacities'!$L$48*'System Capacities'!$D$8)),('System Capacities'!$N$21+'System Capacities'!$N$34=5),(((ABS(AD46)-'System Capacities'!$K$49)/($G$15))+('System Capacities'!$L$49*'System Capacities'!$D$8)),('System Capacities'!$N$21+'System Capacities'!$N$34=6),(((ABS(AD46)-'System Capacities'!$K$50)/($G$15))+('System Capacities'!$L$50*'System Capacities'!$D$8)),('System Capacities'!$N$21+'System Capacities'!$N$34=7),(((ABS(AD46)-'System Capacities'!$K$51)/($G$15))+('System Capacities'!$L$51*'System Capacities'!$D$8)),('System Capacities'!$N$21+'System Capacities'!$N$34=8),(((ABS(AD46)-'System Capacities'!$K$52)/($G$15))+('System Capacities'!$L$52*'System Capacities'!$D$8)),('System Capacities'!$N$21+'System Capacities'!$N$34=9),(((ABS(AD46)-'System Capacities'!$K$53)/($G$15))+('System Capacities'!$L$53*'System Capacities'!$D$8)),('System Capacities'!$N$21+'System Capacities'!$N$34=10),(((ABS(AD46)-'System Capacities'!$K$54)/($G$15))+('System Capacities'!$L$54*'System Capacities'!$D$8)))),((ABS(AD46-$E$15)/(-1*$G$15))+($F$15*'System Capacities'!$D$8)))</f>
        <v>0.19506198235761751</v>
      </c>
      <c r="S59" s="181">
        <f>S60+R59</f>
        <v>0.19506198235761751</v>
      </c>
      <c r="T59" s="137"/>
      <c r="U59" s="134">
        <v>1</v>
      </c>
      <c r="V59" s="139">
        <f>V7</f>
        <v>2.75</v>
      </c>
      <c r="W59" s="140">
        <f>(R59/(V59-V60))</f>
        <v>7.093162994822455E-2</v>
      </c>
      <c r="X59" s="523">
        <f>S59</f>
        <v>0.19506198235761751</v>
      </c>
      <c r="Y59" s="139">
        <f>'Structural Information'!$Z$8</f>
        <v>40.367000000000004</v>
      </c>
      <c r="Z59" s="139">
        <f>Y59*X59</f>
        <v>7.8740670418299468</v>
      </c>
      <c r="AA59" s="139">
        <f>((Y59*X59)/(Z61)*$L$12)</f>
        <v>36.526139077958582</v>
      </c>
      <c r="AB59" s="139">
        <f>AD59-AD58+$O$14</f>
        <v>36.526139077958589</v>
      </c>
      <c r="AC59" s="139">
        <f>AC58+AA59</f>
        <v>108.9284835276714</v>
      </c>
      <c r="AD59" s="142">
        <f>AC59-$O$14</f>
        <v>108.9284835276714</v>
      </c>
      <c r="AE59" s="143">
        <f>IF(($H$15=0),(_xlfn.IFS((W59&lt;='Frame Capacities'!$BT$13),(W59*'Frame Capacities'!$BJ$6*'Frame Capacities'!$BM$13),(AND((W59&gt;'Frame Capacities'!$BT$13),(W59&lt;='Frame Capacities'!$BU$13))),((W59-'Frame Capacities'!$BT$13)*'Frame Capacities'!$BJ$6*('Frame Capacities'!$BN$13)+'Frame Capacities'!$BF$13),(AND((W59&gt;'Frame Capacities'!$BU$13),(W59&lt;='Frame Capacities'!$BV$13))),((W59-'Frame Capacities'!$BU$13)*'Frame Capacities'!$BJ$6*('Frame Capacities'!$BO$13)+'Frame Capacities'!$BG$13),(AND((W59&gt;'Frame Capacities'!$BV$13),(W59&lt;='Frame Capacities'!$BW$13))),((W59-'Frame Capacities'!$BV$13)*'Frame Capacities'!$BJ$6*('Frame Capacities'!$BP$13)+'Frame Capacities'!$BH$13),(AND((W59&gt;'Frame Capacities'!$BW$13),(W59&lt;='Frame Capacities'!$BX$13))),((W59-'Frame Capacities'!$BW$13)*'Frame Capacities'!$BJ$6*('Frame Capacities'!$BQ$13)+'Frame Capacities'!$BI$13))),(((W59-'Frame Capacities'!$BY$13)*'Frame Capacities'!$BJ$6*('Frame Capacities'!$BR$13)+'Frame Capacities'!$BK$13)))</f>
        <v>81.868483527671415</v>
      </c>
      <c r="AF59" s="144">
        <f>IF(($H$15=0),(_xlfn.IFS((W59&lt;='Infill Capacities'!$CS$13),(W59*'Infill Capacities'!$CM$13*'Infill Capacities'!$CK$6),(AND((W59&gt;'Infill Capacities'!$CS$13),(W59&lt;='Infill Capacities'!$CT$13))),((W59-'Infill Capacities'!$CS$13)*'Infill Capacities'!$CK$6*('Infill Capacities'!$CN$13)+'Infill Capacities'!$CG$13),(AND((W59&gt;'Infill Capacities'!$CT$13),(W59&lt;='Infill Capacities'!$CU$13))),((W59-'Infill Capacities'!$CT$13)*'Infill Capacities'!$CK$6*('Infill Capacities'!$CO$13)+'Infill Capacities'!$CH$13),(AND((W59&gt;'Infill Capacities'!$CU$13),(W59&lt;='Infill Capacities'!$CV$13))),((W59-'Infill Capacities'!$CU$13)*'Infill Capacities'!$CK$6*('Infill Capacities'!$CP$13)+'Infill Capacities'!$CJ$13))),((W59-'Infill Capacities'!$CW$13)*'Infill Capacities'!$CK$6*('Infill Capacities'!$CQ$13)+'Infill Capacities'!$CK$13))</f>
        <v>27.059999999999995</v>
      </c>
      <c r="AG59" s="215">
        <f>AE59/$C$15</f>
        <v>5.9246928868709574</v>
      </c>
      <c r="AH59" s="216">
        <f>AF59/$D$15</f>
        <v>1</v>
      </c>
      <c r="AI59" s="146">
        <f>AE59+AF59</f>
        <v>108.9284835276714</v>
      </c>
      <c r="AJ59" s="146">
        <f>AD59-AI59</f>
        <v>0</v>
      </c>
      <c r="AK59" s="151">
        <f t="shared" si="6"/>
        <v>0</v>
      </c>
      <c r="AL59" s="137"/>
    </row>
    <row r="60" spans="1:38" ht="15" customHeight="1" x14ac:dyDescent="0.25">
      <c r="A60" s="137"/>
      <c r="B60" s="137"/>
      <c r="C60" s="137"/>
      <c r="D60" s="148"/>
      <c r="E60" s="202">
        <v>1</v>
      </c>
      <c r="F60" s="203">
        <v>2.75</v>
      </c>
      <c r="G60" s="204">
        <f>AB59</f>
        <v>36.526139077958589</v>
      </c>
      <c r="H60" s="204">
        <f>G60/$AC$59</f>
        <v>0.33532220311026134</v>
      </c>
      <c r="I60" s="205">
        <f>H60/MAX($H$58:$H$61)</f>
        <v>0.97947053079986379</v>
      </c>
      <c r="J60" s="137"/>
      <c r="K60" s="137"/>
      <c r="L60" s="148"/>
      <c r="M60" s="214"/>
      <c r="N60" s="213"/>
      <c r="O60" s="213"/>
      <c r="P60" s="213"/>
      <c r="Q60" s="137"/>
      <c r="R60" s="140">
        <v>0</v>
      </c>
      <c r="S60" s="181">
        <f>R60</f>
        <v>0</v>
      </c>
      <c r="T60" s="137"/>
      <c r="U60" s="134">
        <v>0</v>
      </c>
      <c r="V60" s="139">
        <f>V8</f>
        <v>0</v>
      </c>
      <c r="W60" s="152" t="s">
        <v>70</v>
      </c>
      <c r="X60" s="523">
        <f>S60</f>
        <v>0</v>
      </c>
      <c r="Y60" s="139" t="str">
        <f>E8</f>
        <v>-</v>
      </c>
      <c r="Z60" s="139">
        <v>0</v>
      </c>
      <c r="AA60" s="139" t="s">
        <v>70</v>
      </c>
      <c r="AB60" s="139"/>
      <c r="AC60" s="157" t="s">
        <v>70</v>
      </c>
      <c r="AD60" s="157"/>
      <c r="AE60" s="143" t="s">
        <v>70</v>
      </c>
      <c r="AF60" s="143" t="s">
        <v>70</v>
      </c>
      <c r="AG60" s="153" t="s">
        <v>70</v>
      </c>
      <c r="AH60" s="143" t="s">
        <v>70</v>
      </c>
      <c r="AI60" s="155" t="s">
        <v>70</v>
      </c>
      <c r="AJ60" s="155" t="s">
        <v>70</v>
      </c>
      <c r="AL60" s="137"/>
    </row>
    <row r="61" spans="1:38" ht="15" customHeight="1" x14ac:dyDescent="0.25">
      <c r="A61" s="137"/>
      <c r="B61" s="137"/>
      <c r="C61" s="137"/>
      <c r="D61" s="148"/>
      <c r="E61" s="207">
        <v>0</v>
      </c>
      <c r="F61" s="208">
        <v>0</v>
      </c>
      <c r="G61" s="209">
        <v>0</v>
      </c>
      <c r="H61" s="209">
        <f>G61/$AC$59</f>
        <v>0</v>
      </c>
      <c r="I61" s="210">
        <f>H61/MAX($H$58:$H$61)</f>
        <v>0</v>
      </c>
      <c r="J61" s="137"/>
      <c r="K61" s="137"/>
      <c r="L61" s="148"/>
      <c r="M61" s="214"/>
      <c r="N61" s="213"/>
      <c r="O61" s="213"/>
      <c r="P61" s="213"/>
      <c r="Q61" s="137"/>
      <c r="R61" s="137"/>
      <c r="S61" s="137"/>
      <c r="T61" s="137"/>
      <c r="U61" s="137"/>
      <c r="V61" s="137"/>
      <c r="W61" s="137"/>
      <c r="Y61" s="194" t="s">
        <v>82</v>
      </c>
      <c r="Z61" s="195">
        <f>SUM(Z57:Z60)</f>
        <v>23.482092652363914</v>
      </c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</row>
    <row r="62" spans="1:38" ht="15" customHeight="1" x14ac:dyDescent="0.25">
      <c r="A62" s="137"/>
      <c r="B62" s="137"/>
      <c r="C62" s="137"/>
      <c r="D62" s="148"/>
      <c r="E62" s="137"/>
      <c r="F62" s="137"/>
      <c r="G62" s="137"/>
      <c r="H62" s="137"/>
      <c r="I62" s="137"/>
      <c r="J62" s="137"/>
      <c r="K62" s="137"/>
      <c r="L62" s="148"/>
      <c r="M62" s="214"/>
      <c r="N62" s="213"/>
      <c r="O62" s="213"/>
      <c r="P62" s="213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</row>
    <row r="63" spans="1:38" ht="15" customHeight="1" x14ac:dyDescent="0.25">
      <c r="A63" s="137"/>
      <c r="B63" s="137"/>
      <c r="C63" s="137"/>
      <c r="D63" s="148"/>
      <c r="E63" s="214"/>
      <c r="F63" s="217"/>
      <c r="G63" s="148"/>
      <c r="H63" s="148"/>
      <c r="I63" s="214"/>
      <c r="J63" s="214"/>
      <c r="K63" s="213"/>
      <c r="L63" s="148"/>
      <c r="M63" s="214"/>
      <c r="N63" s="213"/>
      <c r="O63" s="213"/>
      <c r="P63" s="213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</row>
    <row r="64" spans="1:38" x14ac:dyDescent="0.25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</row>
    <row r="65" spans="1:38" ht="15" customHeight="1" x14ac:dyDescent="0.25">
      <c r="A65" s="137"/>
      <c r="B65" s="137"/>
      <c r="C65" s="137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</row>
    <row r="66" spans="1:38" ht="15" customHeight="1" x14ac:dyDescent="0.25">
      <c r="A66" s="137"/>
      <c r="B66" s="137"/>
      <c r="C66" s="137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</row>
    <row r="67" spans="1:38" ht="15.75" customHeight="1" x14ac:dyDescent="0.25">
      <c r="A67" s="137"/>
      <c r="B67" s="137"/>
      <c r="C67" s="218"/>
      <c r="D67" s="212"/>
      <c r="E67" s="212"/>
      <c r="F67" s="213"/>
      <c r="G67" s="212"/>
      <c r="H67" s="212"/>
      <c r="I67" s="212"/>
      <c r="J67" s="212"/>
      <c r="K67" s="213"/>
      <c r="L67" s="212"/>
      <c r="M67" s="212"/>
      <c r="N67" s="213"/>
      <c r="O67" s="165" t="s">
        <v>417</v>
      </c>
      <c r="P67" s="166" t="s">
        <v>416</v>
      </c>
      <c r="Q67" s="137"/>
      <c r="R67" s="956" t="s">
        <v>273</v>
      </c>
      <c r="S67" s="956"/>
      <c r="T67" s="137"/>
      <c r="V67" s="137"/>
      <c r="W67" s="219"/>
      <c r="X67" s="219"/>
      <c r="Y67" s="220"/>
      <c r="Z67" s="220"/>
      <c r="AA67" s="654"/>
      <c r="AB67" s="137"/>
      <c r="AC67" s="137"/>
      <c r="AD67" s="220"/>
      <c r="AE67" s="137"/>
      <c r="AF67" s="137"/>
      <c r="AG67" s="137"/>
      <c r="AH67" s="137"/>
      <c r="AI67" s="137"/>
      <c r="AJ67" s="137"/>
      <c r="AK67" s="137"/>
      <c r="AL67" s="137"/>
    </row>
    <row r="68" spans="1:38" ht="15" customHeight="1" x14ac:dyDescent="0.25">
      <c r="A68" s="137"/>
      <c r="B68" s="137"/>
      <c r="C68" s="217"/>
      <c r="D68" s="148"/>
      <c r="E68" s="214"/>
      <c r="F68" s="213"/>
      <c r="G68" s="148"/>
      <c r="H68" s="148"/>
      <c r="I68" s="214"/>
      <c r="J68" s="214"/>
      <c r="K68" s="213"/>
      <c r="L68" s="148"/>
      <c r="M68" s="214"/>
      <c r="N68" s="213"/>
      <c r="O68" s="221">
        <v>3</v>
      </c>
      <c r="P68" s="222">
        <v>0</v>
      </c>
      <c r="Q68" s="137"/>
      <c r="R68" s="167" t="s">
        <v>275</v>
      </c>
      <c r="S68" s="139">
        <v>108.9284835276714</v>
      </c>
      <c r="T68" s="223" t="s">
        <v>266</v>
      </c>
      <c r="U68" s="137"/>
      <c r="V68" s="137"/>
      <c r="W68" s="219"/>
      <c r="X68" s="219"/>
      <c r="Y68" s="220"/>
      <c r="Z68" s="220"/>
      <c r="AA68" s="654"/>
      <c r="AB68" s="137"/>
      <c r="AC68" s="137"/>
      <c r="AD68" s="220"/>
      <c r="AE68" s="137"/>
      <c r="AF68" s="137"/>
      <c r="AG68" s="137"/>
      <c r="AH68" s="137"/>
      <c r="AI68" s="137"/>
      <c r="AJ68" s="137"/>
      <c r="AK68" s="137"/>
      <c r="AL68" s="137"/>
    </row>
    <row r="69" spans="1:38" x14ac:dyDescent="0.25">
      <c r="A69" s="137"/>
      <c r="B69" s="137"/>
      <c r="C69" s="217"/>
      <c r="D69" s="148"/>
      <c r="E69" s="214"/>
      <c r="F69" s="213"/>
      <c r="G69" s="148"/>
      <c r="H69" s="148"/>
      <c r="I69" s="214"/>
      <c r="J69" s="214"/>
      <c r="K69" s="213"/>
      <c r="L69" s="148"/>
      <c r="M69" s="214"/>
      <c r="N69" s="213"/>
      <c r="O69" s="221">
        <v>2</v>
      </c>
      <c r="P69" s="222">
        <v>0</v>
      </c>
      <c r="Q69" s="137"/>
      <c r="R69" s="130" t="s">
        <v>414</v>
      </c>
      <c r="S69" s="224">
        <f>(D5-X57)*1000</f>
        <v>1.5820678100908481E-12</v>
      </c>
      <c r="T69" s="137"/>
      <c r="U69" s="137"/>
      <c r="V69" s="137"/>
      <c r="W69" s="219"/>
      <c r="X69" s="219"/>
      <c r="Y69" s="220"/>
      <c r="Z69" s="220"/>
      <c r="AA69" s="521"/>
      <c r="AB69" s="137"/>
      <c r="AC69" s="137"/>
      <c r="AD69" s="220"/>
      <c r="AE69" s="137"/>
      <c r="AF69" s="137"/>
      <c r="AG69" s="137"/>
      <c r="AH69" s="137"/>
      <c r="AI69" s="137"/>
      <c r="AJ69" s="137"/>
      <c r="AK69" s="137"/>
      <c r="AL69" s="137"/>
    </row>
    <row r="70" spans="1:38" x14ac:dyDescent="0.25">
      <c r="A70" s="137"/>
      <c r="B70" s="137"/>
      <c r="C70" s="217"/>
      <c r="D70" s="148"/>
      <c r="E70" s="214"/>
      <c r="F70" s="213"/>
      <c r="G70" s="148"/>
      <c r="H70" s="148"/>
      <c r="I70" s="214"/>
      <c r="J70" s="214"/>
      <c r="K70" s="213"/>
      <c r="L70" s="148"/>
      <c r="M70" s="214"/>
      <c r="N70" s="213"/>
      <c r="O70" s="225">
        <v>1</v>
      </c>
      <c r="P70" s="226">
        <v>0</v>
      </c>
      <c r="Q70" s="137"/>
      <c r="R70" s="131" t="s">
        <v>415</v>
      </c>
      <c r="S70" s="131">
        <v>5.0000000000000001E-3</v>
      </c>
      <c r="T70" s="137"/>
      <c r="U70" s="137"/>
      <c r="V70" s="137"/>
      <c r="W70" s="219"/>
      <c r="X70" s="219">
        <f>X57*1000</f>
        <v>199.99999993730162</v>
      </c>
      <c r="Y70" s="220"/>
      <c r="Z70" s="220"/>
      <c r="AA70" s="521"/>
      <c r="AB70" s="137"/>
      <c r="AC70" s="137"/>
      <c r="AD70" s="220"/>
      <c r="AE70" s="137"/>
      <c r="AF70" s="137"/>
      <c r="AG70" s="137"/>
      <c r="AH70" s="137"/>
      <c r="AI70" s="137"/>
      <c r="AJ70" s="137"/>
      <c r="AK70" s="137"/>
      <c r="AL70" s="137"/>
    </row>
    <row r="71" spans="1:38" x14ac:dyDescent="0.25">
      <c r="A71" s="137"/>
      <c r="B71" s="137"/>
      <c r="C71" s="217"/>
      <c r="D71" s="148"/>
      <c r="E71" s="214"/>
      <c r="F71" s="213"/>
      <c r="G71" s="148"/>
      <c r="H71" s="148"/>
      <c r="I71" s="214"/>
      <c r="J71" s="214"/>
      <c r="K71" s="213"/>
      <c r="L71" s="148"/>
      <c r="M71" s="214"/>
      <c r="N71" s="213"/>
      <c r="O71" s="213"/>
      <c r="P71" s="213"/>
      <c r="Q71" s="137"/>
      <c r="R71" s="137"/>
      <c r="S71" s="137"/>
      <c r="T71" s="137"/>
      <c r="U71" s="137"/>
      <c r="V71" s="137"/>
      <c r="W71" s="219"/>
      <c r="X71" s="219"/>
      <c r="Y71" s="220"/>
      <c r="Z71" s="220"/>
      <c r="AA71" s="521"/>
      <c r="AB71" s="220"/>
      <c r="AC71" s="220"/>
      <c r="AD71" s="220"/>
      <c r="AE71" s="137"/>
      <c r="AF71" s="137"/>
      <c r="AG71" s="137"/>
      <c r="AH71" s="137"/>
      <c r="AI71" s="137"/>
      <c r="AJ71" s="137"/>
      <c r="AK71" s="137"/>
      <c r="AL71" s="137"/>
    </row>
    <row r="72" spans="1:38" x14ac:dyDescent="0.25">
      <c r="A72" s="137"/>
      <c r="B72" s="137"/>
      <c r="C72" s="217"/>
      <c r="D72" s="137"/>
      <c r="E72" s="137"/>
      <c r="F72" s="137"/>
      <c r="G72" s="137"/>
      <c r="H72" s="137"/>
      <c r="I72" s="214"/>
      <c r="J72" s="214"/>
      <c r="K72" s="213"/>
      <c r="L72" s="148"/>
      <c r="M72" s="214"/>
      <c r="N72" s="213"/>
      <c r="O72" s="213"/>
      <c r="P72" s="213"/>
      <c r="Q72" s="137"/>
      <c r="R72" s="137"/>
      <c r="S72" s="137"/>
      <c r="T72" s="137"/>
      <c r="U72" s="137"/>
      <c r="V72" s="137"/>
      <c r="W72" s="219"/>
      <c r="X72" s="219"/>
      <c r="Y72" s="220"/>
      <c r="Z72" s="220"/>
      <c r="AA72" s="220"/>
      <c r="AB72" s="220"/>
      <c r="AC72" s="220"/>
      <c r="AD72" s="220"/>
      <c r="AE72" s="137"/>
      <c r="AF72" s="137"/>
      <c r="AG72" s="137"/>
      <c r="AH72" s="137"/>
      <c r="AI72" s="137"/>
      <c r="AJ72" s="137"/>
      <c r="AK72" s="137"/>
      <c r="AL72" s="137"/>
    </row>
    <row r="73" spans="1:38" x14ac:dyDescent="0.25">
      <c r="A73" s="137"/>
      <c r="B73" s="137"/>
      <c r="C73" s="217"/>
      <c r="D73" s="137"/>
      <c r="E73" s="137"/>
      <c r="F73" s="137"/>
      <c r="G73" s="137"/>
      <c r="H73" s="137"/>
      <c r="I73" s="214"/>
      <c r="J73" s="214"/>
      <c r="K73" s="213"/>
      <c r="L73" s="148"/>
      <c r="M73" s="214"/>
      <c r="N73" s="213"/>
      <c r="O73" s="213"/>
      <c r="P73" s="213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</row>
    <row r="74" spans="1:38" x14ac:dyDescent="0.25">
      <c r="A74" s="137"/>
      <c r="B74" s="137"/>
      <c r="C74" s="217"/>
      <c r="D74" s="137"/>
      <c r="E74" s="137"/>
      <c r="F74" s="137"/>
      <c r="G74" s="137"/>
      <c r="H74" s="137"/>
      <c r="I74" s="214"/>
      <c r="J74" s="214"/>
      <c r="K74" s="213"/>
      <c r="L74" s="148"/>
      <c r="M74" s="214"/>
      <c r="N74" s="213"/>
      <c r="O74" s="213"/>
      <c r="P74" s="213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</row>
    <row r="75" spans="1:38" x14ac:dyDescent="0.25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59"/>
      <c r="N75" s="159"/>
      <c r="O75" s="159"/>
      <c r="P75" s="159"/>
      <c r="Q75" s="159"/>
      <c r="R75" s="159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</row>
    <row r="76" spans="1:38" x14ac:dyDescent="0.25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59"/>
      <c r="N76" s="159"/>
      <c r="O76" s="159"/>
      <c r="P76" s="159"/>
      <c r="Q76" s="159"/>
      <c r="R76" s="159"/>
      <c r="S76" s="159"/>
      <c r="T76" s="159"/>
      <c r="U76" s="159"/>
      <c r="V76" s="159"/>
      <c r="W76" s="159"/>
      <c r="X76" s="159"/>
      <c r="Y76" s="159"/>
      <c r="Z76" s="159"/>
      <c r="AA76" s="159"/>
      <c r="AB76" s="159"/>
      <c r="AC76" s="159"/>
      <c r="AD76" s="159"/>
      <c r="AE76" s="159"/>
      <c r="AF76" s="159"/>
      <c r="AG76" s="137"/>
      <c r="AH76" s="137"/>
      <c r="AI76" s="137"/>
      <c r="AJ76" s="137"/>
      <c r="AK76" s="137"/>
      <c r="AL76" s="137"/>
    </row>
    <row r="77" spans="1:38" x14ac:dyDescent="0.25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59"/>
      <c r="N77" s="159"/>
      <c r="O77" s="159"/>
      <c r="P77" s="159"/>
      <c r="Q77" s="159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59"/>
      <c r="AD77" s="159"/>
      <c r="AE77" s="159"/>
      <c r="AF77" s="159"/>
      <c r="AG77" s="137"/>
      <c r="AH77" s="137"/>
      <c r="AI77" s="137"/>
      <c r="AJ77" s="137"/>
      <c r="AK77" s="137"/>
      <c r="AL77" s="137"/>
    </row>
    <row r="78" spans="1:38" x14ac:dyDescent="0.25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59"/>
      <c r="N78" s="159"/>
      <c r="O78" s="159"/>
      <c r="P78" s="159"/>
      <c r="Q78" s="159"/>
      <c r="R78" s="159"/>
      <c r="S78" s="159"/>
      <c r="T78" s="159"/>
      <c r="U78" s="159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</row>
    <row r="79" spans="1:38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59"/>
      <c r="N79" s="159"/>
      <c r="O79" s="159"/>
      <c r="P79" s="159"/>
      <c r="Q79" s="507"/>
      <c r="R79" s="50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</row>
    <row r="80" spans="1:38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59"/>
      <c r="N80" s="159"/>
      <c r="O80" s="159"/>
      <c r="P80" s="159"/>
      <c r="Q80" s="507"/>
      <c r="R80" s="159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</row>
    <row r="81" spans="1:38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59"/>
      <c r="N81" s="159"/>
      <c r="O81" s="159"/>
      <c r="P81" s="159"/>
      <c r="Q81" s="50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</row>
    <row r="82" spans="1:38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59"/>
      <c r="N82" s="159"/>
      <c r="O82" s="159"/>
      <c r="P82" s="159"/>
      <c r="Q82" s="159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</row>
    <row r="83" spans="1:38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59"/>
      <c r="N83" s="159"/>
      <c r="O83" s="159"/>
      <c r="P83" s="159"/>
      <c r="Q83" s="159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</row>
    <row r="84" spans="1:38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59"/>
      <c r="N84" s="159"/>
      <c r="O84" s="159"/>
      <c r="P84" s="159"/>
      <c r="Q84" s="159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</row>
    <row r="85" spans="1:38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59"/>
      <c r="N85" s="159"/>
      <c r="O85" s="159"/>
      <c r="P85" s="159"/>
      <c r="Q85" s="159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</row>
    <row r="86" spans="1:38" x14ac:dyDescent="0.25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522"/>
      <c r="Y86" s="201"/>
      <c r="Z86" s="506"/>
      <c r="AA86" s="159"/>
      <c r="AB86" s="159"/>
      <c r="AC86" s="159"/>
      <c r="AD86" s="159"/>
      <c r="AE86" s="159"/>
      <c r="AF86" s="159"/>
      <c r="AG86" s="137"/>
      <c r="AH86" s="137"/>
      <c r="AI86" s="137"/>
      <c r="AJ86" s="137"/>
      <c r="AK86" s="137"/>
      <c r="AL86" s="137"/>
    </row>
    <row r="87" spans="1:38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37"/>
      <c r="AH87" s="137"/>
      <c r="AI87" s="137"/>
      <c r="AJ87" s="137"/>
      <c r="AK87" s="137"/>
      <c r="AL87" s="137"/>
    </row>
    <row r="88" spans="1:38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59"/>
      <c r="N88" s="159"/>
      <c r="O88" s="159"/>
      <c r="P88" s="159"/>
      <c r="Q88" s="159"/>
      <c r="R88" s="159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</row>
    <row r="89" spans="1:38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</row>
    <row r="90" spans="1:38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</row>
    <row r="91" spans="1:38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</row>
    <row r="93" spans="1:38" x14ac:dyDescent="0.25"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8" x14ac:dyDescent="0.25">
      <c r="R94" s="119"/>
      <c r="S94" s="117"/>
      <c r="U94" s="117"/>
      <c r="V94" s="117"/>
      <c r="W94" s="117"/>
      <c r="X94" s="119"/>
      <c r="Y94" s="117"/>
      <c r="Z94" s="117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</row>
    <row r="95" spans="1:38" x14ac:dyDescent="0.25">
      <c r="R95" s="119"/>
      <c r="S95" s="117"/>
      <c r="U95" s="117"/>
      <c r="V95" s="117"/>
      <c r="W95" s="117"/>
      <c r="X95" s="119"/>
      <c r="Y95" s="117"/>
      <c r="Z95" s="117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</row>
    <row r="96" spans="1:38" x14ac:dyDescent="0.25">
      <c r="R96" s="227"/>
      <c r="S96" s="228"/>
      <c r="U96" s="229"/>
      <c r="V96" s="230"/>
      <c r="W96" s="227"/>
      <c r="X96" s="231"/>
      <c r="Y96" s="230"/>
      <c r="Z96" s="230"/>
      <c r="AA96" s="230"/>
      <c r="AB96" s="230"/>
      <c r="AC96" s="232"/>
      <c r="AD96" s="232"/>
      <c r="AE96" s="233"/>
      <c r="AF96" s="234"/>
      <c r="AG96" s="227"/>
      <c r="AH96" s="235"/>
      <c r="AI96" s="235"/>
      <c r="AJ96" s="235"/>
    </row>
    <row r="97" spans="18:36" x14ac:dyDescent="0.25">
      <c r="R97" s="227"/>
      <c r="S97" s="228"/>
      <c r="U97" s="229"/>
      <c r="V97" s="230"/>
      <c r="W97" s="227"/>
      <c r="X97" s="231"/>
      <c r="Y97" s="230"/>
      <c r="Z97" s="230"/>
      <c r="AA97" s="230"/>
      <c r="AB97" s="230"/>
      <c r="AC97" s="232"/>
      <c r="AD97" s="232"/>
      <c r="AE97" s="233"/>
      <c r="AF97" s="234"/>
      <c r="AG97" s="227"/>
      <c r="AH97" s="235"/>
      <c r="AI97" s="235"/>
      <c r="AJ97" s="235"/>
    </row>
    <row r="98" spans="18:36" x14ac:dyDescent="0.25">
      <c r="R98" s="227"/>
      <c r="AD98" s="232"/>
      <c r="AE98" s="233"/>
      <c r="AF98" s="234"/>
      <c r="AG98" s="227"/>
      <c r="AH98" s="235"/>
      <c r="AI98" s="235"/>
      <c r="AJ98" s="235"/>
    </row>
    <row r="99" spans="18:36" x14ac:dyDescent="0.25">
      <c r="R99" s="227"/>
      <c r="AD99" s="232"/>
      <c r="AE99" s="233"/>
      <c r="AF99" s="234"/>
      <c r="AG99" s="227"/>
      <c r="AH99" s="235"/>
      <c r="AI99" s="235"/>
      <c r="AJ99" s="235"/>
    </row>
    <row r="100" spans="18:36" x14ac:dyDescent="0.25">
      <c r="R100" s="227"/>
      <c r="AD100" s="232"/>
      <c r="AE100" s="233"/>
      <c r="AF100" s="234"/>
      <c r="AG100" s="227"/>
      <c r="AH100" s="235"/>
      <c r="AI100" s="235"/>
      <c r="AJ100" s="235"/>
    </row>
    <row r="101" spans="18:36" x14ac:dyDescent="0.25">
      <c r="R101" s="227"/>
      <c r="AE101" s="233"/>
      <c r="AF101" s="234"/>
      <c r="AG101" s="227"/>
      <c r="AH101" s="235"/>
      <c r="AI101" s="235"/>
      <c r="AJ101" s="235"/>
    </row>
    <row r="102" spans="18:36" x14ac:dyDescent="0.25">
      <c r="R102" s="227"/>
      <c r="AE102" s="233"/>
      <c r="AF102" s="233"/>
      <c r="AG102" s="237"/>
      <c r="AH102" s="233"/>
      <c r="AI102" s="233"/>
      <c r="AJ102" s="233"/>
    </row>
    <row r="106" spans="18:36" x14ac:dyDescent="0.25">
      <c r="R106" s="5"/>
      <c r="S106" s="5"/>
      <c r="AE106" s="5"/>
      <c r="AF106" s="5"/>
      <c r="AG106" s="5"/>
      <c r="AH106" s="5"/>
      <c r="AI106" s="5"/>
      <c r="AJ106" s="5"/>
    </row>
    <row r="107" spans="18:36" x14ac:dyDescent="0.25">
      <c r="R107" s="119"/>
      <c r="S107" s="117"/>
      <c r="AE107" s="119"/>
      <c r="AF107" s="119"/>
      <c r="AG107" s="119"/>
      <c r="AH107" s="119"/>
      <c r="AI107" s="119"/>
      <c r="AJ107" s="119"/>
    </row>
    <row r="108" spans="18:36" x14ac:dyDescent="0.25">
      <c r="R108" s="119"/>
      <c r="S108" s="117"/>
      <c r="AE108" s="119"/>
      <c r="AF108" s="119"/>
      <c r="AG108" s="119"/>
      <c r="AH108" s="119"/>
      <c r="AI108" s="119"/>
      <c r="AJ108" s="119"/>
    </row>
    <row r="109" spans="18:36" x14ac:dyDescent="0.25">
      <c r="R109" s="227"/>
      <c r="S109" s="228"/>
      <c r="U109" s="229"/>
      <c r="V109" s="230"/>
      <c r="W109" s="227"/>
      <c r="X109" s="231"/>
      <c r="Y109" s="230"/>
      <c r="Z109" s="230"/>
      <c r="AA109" s="230"/>
      <c r="AB109" s="230"/>
      <c r="AC109" s="232"/>
      <c r="AD109" s="232"/>
      <c r="AE109" s="233"/>
      <c r="AF109" s="234"/>
      <c r="AG109" s="227"/>
      <c r="AH109" s="235"/>
      <c r="AI109" s="235"/>
      <c r="AJ109" s="235"/>
    </row>
    <row r="110" spans="18:36" x14ac:dyDescent="0.25">
      <c r="R110" s="227"/>
      <c r="S110" s="228"/>
      <c r="U110" s="229"/>
      <c r="V110" s="230"/>
      <c r="W110" s="227"/>
      <c r="X110" s="231"/>
      <c r="Y110" s="230"/>
      <c r="Z110" s="230"/>
      <c r="AA110" s="230"/>
      <c r="AB110" s="230"/>
      <c r="AC110" s="232"/>
      <c r="AD110" s="232"/>
      <c r="AE110" s="233"/>
      <c r="AF110" s="234"/>
      <c r="AG110" s="227"/>
      <c r="AH110" s="235"/>
      <c r="AI110" s="235"/>
      <c r="AJ110" s="235"/>
    </row>
    <row r="111" spans="18:36" x14ac:dyDescent="0.25">
      <c r="R111" s="227"/>
      <c r="S111" s="228"/>
      <c r="U111" s="229"/>
      <c r="V111" s="230"/>
      <c r="W111" s="227"/>
      <c r="X111" s="231"/>
      <c r="Y111" s="230"/>
      <c r="Z111" s="230"/>
      <c r="AA111" s="230"/>
      <c r="AB111" s="230"/>
      <c r="AC111" s="232"/>
      <c r="AD111" s="232"/>
      <c r="AE111" s="233"/>
      <c r="AF111" s="234"/>
      <c r="AG111" s="227"/>
      <c r="AH111" s="235"/>
      <c r="AI111" s="235"/>
      <c r="AJ111" s="235"/>
    </row>
    <row r="112" spans="18:36" x14ac:dyDescent="0.25">
      <c r="R112" s="227"/>
      <c r="S112" s="228"/>
      <c r="U112" s="229"/>
      <c r="V112" s="230"/>
      <c r="W112" s="227"/>
      <c r="X112" s="231"/>
      <c r="Y112" s="230"/>
      <c r="Z112" s="230"/>
      <c r="AA112" s="230"/>
      <c r="AB112" s="230"/>
      <c r="AC112" s="232"/>
      <c r="AD112" s="232"/>
      <c r="AE112" s="233"/>
      <c r="AF112" s="234"/>
      <c r="AG112" s="227"/>
      <c r="AH112" s="235"/>
      <c r="AI112" s="235"/>
      <c r="AJ112" s="235"/>
    </row>
    <row r="113" spans="18:36" x14ac:dyDescent="0.25">
      <c r="R113" s="236"/>
      <c r="S113" s="228"/>
      <c r="U113" s="229"/>
      <c r="V113" s="230"/>
      <c r="W113" s="227"/>
      <c r="X113" s="231"/>
      <c r="Y113" s="230"/>
      <c r="Z113" s="230"/>
      <c r="AA113" s="230"/>
      <c r="AB113" s="230"/>
      <c r="AC113" s="232"/>
      <c r="AD113" s="232"/>
      <c r="AE113" s="233"/>
      <c r="AF113" s="234"/>
      <c r="AG113" s="227"/>
      <c r="AH113" s="235"/>
      <c r="AI113" s="235"/>
      <c r="AJ113" s="235"/>
    </row>
    <row r="114" spans="18:36" x14ac:dyDescent="0.25">
      <c r="R114" s="227"/>
      <c r="S114" s="228"/>
      <c r="U114" s="229"/>
      <c r="V114" s="230"/>
      <c r="W114" s="227"/>
      <c r="X114" s="231"/>
      <c r="Y114" s="230"/>
      <c r="Z114" s="230"/>
      <c r="AA114" s="230"/>
      <c r="AB114" s="230"/>
      <c r="AC114" s="232"/>
      <c r="AD114" s="232"/>
      <c r="AE114" s="233"/>
      <c r="AF114" s="234"/>
      <c r="AG114" s="227"/>
      <c r="AH114" s="235"/>
      <c r="AI114" s="235"/>
      <c r="AJ114" s="235"/>
    </row>
    <row r="115" spans="18:36" x14ac:dyDescent="0.25">
      <c r="R115" s="227"/>
      <c r="S115" s="228"/>
      <c r="U115" s="229"/>
      <c r="V115" s="230"/>
      <c r="W115" s="236"/>
      <c r="X115" s="231"/>
      <c r="Y115" s="230"/>
      <c r="Z115" s="230"/>
      <c r="AA115" s="230"/>
      <c r="AB115" s="230"/>
      <c r="AC115" s="232"/>
      <c r="AD115" s="232"/>
      <c r="AE115" s="233"/>
      <c r="AF115" s="233"/>
      <c r="AG115" s="237"/>
      <c r="AH115" s="233"/>
      <c r="AI115" s="233"/>
      <c r="AJ115" s="233"/>
    </row>
    <row r="116" spans="18:36" x14ac:dyDescent="0.25">
      <c r="X116" s="238"/>
      <c r="Y116" s="239"/>
      <c r="Z116" s="240"/>
    </row>
    <row r="119" spans="18:36" x14ac:dyDescent="0.25"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</row>
    <row r="120" spans="18:36" x14ac:dyDescent="0.25">
      <c r="R120" s="119"/>
      <c r="S120" s="117"/>
      <c r="U120" s="117"/>
      <c r="V120" s="117"/>
      <c r="W120" s="117"/>
      <c r="X120" s="119"/>
      <c r="Y120" s="117"/>
      <c r="Z120" s="117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</row>
    <row r="121" spans="18:36" x14ac:dyDescent="0.25">
      <c r="R121" s="119"/>
      <c r="S121" s="117"/>
      <c r="U121" s="117"/>
      <c r="V121" s="117"/>
      <c r="W121" s="117"/>
      <c r="X121" s="119"/>
      <c r="Y121" s="117"/>
      <c r="Z121" s="117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</row>
    <row r="122" spans="18:36" x14ac:dyDescent="0.25">
      <c r="R122" s="227"/>
      <c r="S122" s="228"/>
      <c r="U122" s="229"/>
      <c r="V122" s="230"/>
      <c r="W122" s="227"/>
      <c r="X122" s="231"/>
      <c r="Y122" s="230"/>
      <c r="Z122" s="230"/>
      <c r="AA122" s="230"/>
      <c r="AB122" s="230"/>
      <c r="AC122" s="232"/>
      <c r="AD122" s="232"/>
      <c r="AE122" s="233"/>
      <c r="AF122" s="234"/>
      <c r="AG122" s="227"/>
      <c r="AH122" s="235"/>
      <c r="AI122" s="235"/>
      <c r="AJ122" s="235"/>
    </row>
    <row r="123" spans="18:36" x14ac:dyDescent="0.25">
      <c r="R123" s="227"/>
      <c r="S123" s="228"/>
      <c r="U123" s="229"/>
      <c r="V123" s="230"/>
      <c r="W123" s="227"/>
      <c r="X123" s="231"/>
      <c r="Y123" s="230"/>
      <c r="Z123" s="230"/>
      <c r="AA123" s="230"/>
      <c r="AB123" s="230"/>
      <c r="AC123" s="232"/>
      <c r="AD123" s="232"/>
      <c r="AE123" s="233"/>
      <c r="AF123" s="234"/>
      <c r="AG123" s="227"/>
      <c r="AH123" s="235"/>
      <c r="AI123" s="235"/>
      <c r="AJ123" s="235"/>
    </row>
    <row r="124" spans="18:36" x14ac:dyDescent="0.25">
      <c r="R124" s="227"/>
      <c r="S124" s="228"/>
      <c r="U124" s="229"/>
      <c r="V124" s="230"/>
      <c r="W124" s="227"/>
      <c r="X124" s="231"/>
      <c r="Y124" s="230"/>
      <c r="Z124" s="230"/>
      <c r="AA124" s="230"/>
      <c r="AB124" s="230"/>
      <c r="AC124" s="232"/>
      <c r="AD124" s="232"/>
      <c r="AE124" s="233"/>
      <c r="AF124" s="234"/>
      <c r="AG124" s="227"/>
      <c r="AH124" s="235"/>
      <c r="AI124" s="235"/>
      <c r="AJ124" s="235"/>
    </row>
    <row r="125" spans="18:36" x14ac:dyDescent="0.25">
      <c r="R125" s="227"/>
      <c r="S125" s="228"/>
      <c r="U125" s="229"/>
      <c r="V125" s="230"/>
      <c r="W125" s="227"/>
      <c r="X125" s="231"/>
      <c r="Y125" s="230"/>
      <c r="Z125" s="230"/>
      <c r="AA125" s="230"/>
      <c r="AB125" s="230"/>
      <c r="AC125" s="232"/>
      <c r="AD125" s="232"/>
      <c r="AE125" s="233"/>
      <c r="AF125" s="234"/>
      <c r="AG125" s="227"/>
      <c r="AH125" s="235"/>
      <c r="AI125" s="235"/>
      <c r="AJ125" s="235"/>
    </row>
    <row r="126" spans="18:36" x14ac:dyDescent="0.25">
      <c r="R126" s="241"/>
      <c r="S126" s="228"/>
      <c r="U126" s="229"/>
      <c r="V126" s="230"/>
      <c r="W126" s="227"/>
      <c r="X126" s="231"/>
      <c r="Y126" s="230"/>
      <c r="Z126" s="230"/>
      <c r="AA126" s="230"/>
      <c r="AB126" s="230"/>
      <c r="AC126" s="232"/>
      <c r="AD126" s="232"/>
      <c r="AE126" s="233"/>
      <c r="AF126" s="234"/>
      <c r="AG126" s="227"/>
      <c r="AH126" s="235"/>
      <c r="AI126" s="235"/>
      <c r="AJ126" s="235"/>
    </row>
    <row r="127" spans="18:36" x14ac:dyDescent="0.25">
      <c r="R127" s="227"/>
      <c r="S127" s="228"/>
      <c r="U127" s="229"/>
      <c r="V127" s="230"/>
      <c r="W127" s="227"/>
      <c r="X127" s="231"/>
      <c r="Y127" s="230"/>
      <c r="Z127" s="230"/>
      <c r="AA127" s="230"/>
      <c r="AB127" s="230"/>
      <c r="AC127" s="232"/>
      <c r="AD127" s="232"/>
      <c r="AE127" s="233"/>
      <c r="AF127" s="234"/>
      <c r="AG127" s="227"/>
      <c r="AH127" s="235"/>
      <c r="AI127" s="235"/>
      <c r="AJ127" s="235"/>
    </row>
    <row r="128" spans="18:36" x14ac:dyDescent="0.25">
      <c r="R128" s="227"/>
      <c r="S128" s="228"/>
      <c r="U128" s="229"/>
      <c r="V128" s="230"/>
      <c r="W128" s="236"/>
      <c r="X128" s="231"/>
      <c r="Y128" s="230"/>
      <c r="Z128" s="230"/>
      <c r="AA128" s="230"/>
      <c r="AB128" s="230"/>
      <c r="AC128" s="232"/>
      <c r="AD128" s="232"/>
      <c r="AE128" s="233"/>
      <c r="AF128" s="233"/>
      <c r="AG128" s="237"/>
      <c r="AH128" s="233"/>
      <c r="AI128" s="233"/>
      <c r="AJ128" s="233"/>
    </row>
    <row r="129" spans="18:36" x14ac:dyDescent="0.25">
      <c r="X129" s="238"/>
      <c r="Y129" s="239"/>
      <c r="Z129" s="240"/>
    </row>
    <row r="132" spans="18:36" x14ac:dyDescent="0.25"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</row>
    <row r="133" spans="18:36" x14ac:dyDescent="0.25">
      <c r="R133" s="119"/>
      <c r="S133" s="117"/>
      <c r="U133" s="117"/>
      <c r="V133" s="117"/>
      <c r="W133" s="117"/>
      <c r="X133" s="119"/>
      <c r="Y133" s="117"/>
      <c r="Z133" s="117"/>
      <c r="AA133" s="119"/>
      <c r="AB133" s="119"/>
      <c r="AC133" s="119"/>
      <c r="AD133" s="119"/>
      <c r="AE133" s="119"/>
      <c r="AF133" s="119"/>
      <c r="AG133" s="119"/>
      <c r="AH133" s="119"/>
      <c r="AI133" s="119"/>
      <c r="AJ133" s="119"/>
    </row>
    <row r="134" spans="18:36" x14ac:dyDescent="0.25">
      <c r="R134" s="119"/>
      <c r="S134" s="117"/>
      <c r="U134" s="117"/>
      <c r="V134" s="117"/>
      <c r="W134" s="117"/>
      <c r="X134" s="119"/>
      <c r="Y134" s="117"/>
      <c r="Z134" s="117"/>
      <c r="AA134" s="119"/>
      <c r="AB134" s="119"/>
      <c r="AC134" s="119"/>
      <c r="AD134" s="119"/>
      <c r="AE134" s="119"/>
      <c r="AF134" s="119"/>
      <c r="AG134" s="119"/>
      <c r="AH134" s="119"/>
      <c r="AI134" s="119"/>
      <c r="AJ134" s="119"/>
    </row>
    <row r="135" spans="18:36" x14ac:dyDescent="0.25">
      <c r="R135" s="227"/>
      <c r="S135" s="228"/>
      <c r="U135" s="229"/>
      <c r="V135" s="230"/>
      <c r="W135" s="227"/>
      <c r="X135" s="231"/>
      <c r="Y135" s="230"/>
      <c r="Z135" s="230"/>
      <c r="AA135" s="230"/>
      <c r="AB135" s="230"/>
      <c r="AC135" s="232"/>
      <c r="AD135" s="232"/>
      <c r="AE135" s="233"/>
      <c r="AF135" s="234"/>
      <c r="AG135" s="227"/>
      <c r="AH135" s="235"/>
      <c r="AI135" s="235"/>
      <c r="AJ135" s="235"/>
    </row>
    <row r="136" spans="18:36" x14ac:dyDescent="0.25">
      <c r="R136" s="227"/>
      <c r="S136" s="228"/>
      <c r="U136" s="229"/>
      <c r="V136" s="230"/>
      <c r="W136" s="227"/>
      <c r="X136" s="231"/>
      <c r="Y136" s="230"/>
      <c r="Z136" s="230"/>
      <c r="AA136" s="230"/>
      <c r="AB136" s="230"/>
      <c r="AC136" s="232"/>
      <c r="AD136" s="232"/>
      <c r="AE136" s="233"/>
      <c r="AF136" s="234"/>
      <c r="AG136" s="227"/>
      <c r="AH136" s="235"/>
      <c r="AI136" s="235"/>
      <c r="AJ136" s="235"/>
    </row>
    <row r="137" spans="18:36" x14ac:dyDescent="0.25">
      <c r="R137" s="227"/>
      <c r="S137" s="228"/>
      <c r="U137" s="229"/>
      <c r="V137" s="230"/>
      <c r="W137" s="227"/>
      <c r="X137" s="231"/>
      <c r="Y137" s="230"/>
      <c r="Z137" s="230"/>
      <c r="AA137" s="230"/>
      <c r="AB137" s="230"/>
      <c r="AC137" s="232"/>
      <c r="AD137" s="232"/>
      <c r="AE137" s="233"/>
      <c r="AF137" s="234"/>
      <c r="AG137" s="227"/>
      <c r="AH137" s="235"/>
      <c r="AI137" s="235"/>
      <c r="AJ137" s="235"/>
    </row>
    <row r="138" spans="18:36" x14ac:dyDescent="0.25">
      <c r="R138" s="227"/>
      <c r="S138" s="228"/>
      <c r="U138" s="229"/>
      <c r="V138" s="230"/>
      <c r="W138" s="227"/>
      <c r="X138" s="231"/>
      <c r="Y138" s="230"/>
      <c r="Z138" s="230"/>
      <c r="AA138" s="230"/>
      <c r="AB138" s="230"/>
      <c r="AC138" s="232"/>
      <c r="AD138" s="232"/>
      <c r="AE138" s="233"/>
      <c r="AF138" s="234"/>
      <c r="AG138" s="227"/>
      <c r="AH138" s="235"/>
      <c r="AI138" s="235"/>
      <c r="AJ138" s="235"/>
    </row>
    <row r="139" spans="18:36" x14ac:dyDescent="0.25">
      <c r="R139" s="227"/>
      <c r="S139" s="228"/>
      <c r="U139" s="229"/>
      <c r="V139" s="230"/>
      <c r="W139" s="227"/>
      <c r="X139" s="231"/>
      <c r="Y139" s="230"/>
      <c r="Z139" s="230"/>
      <c r="AA139" s="230"/>
      <c r="AB139" s="230"/>
      <c r="AC139" s="232"/>
      <c r="AD139" s="232"/>
      <c r="AE139" s="233"/>
      <c r="AF139" s="234"/>
      <c r="AG139" s="227"/>
      <c r="AH139" s="235"/>
      <c r="AI139" s="235"/>
      <c r="AJ139" s="235"/>
    </row>
    <row r="140" spans="18:36" x14ac:dyDescent="0.25">
      <c r="R140" s="227"/>
      <c r="S140" s="228"/>
      <c r="U140" s="229"/>
      <c r="V140" s="230"/>
      <c r="W140" s="227"/>
      <c r="X140" s="231"/>
      <c r="Y140" s="230"/>
      <c r="Z140" s="230"/>
      <c r="AA140" s="230"/>
      <c r="AB140" s="230"/>
      <c r="AC140" s="232"/>
      <c r="AD140" s="232"/>
      <c r="AE140" s="233"/>
      <c r="AF140" s="234"/>
      <c r="AG140" s="227"/>
      <c r="AH140" s="235"/>
      <c r="AI140" s="235"/>
      <c r="AJ140" s="235"/>
    </row>
    <row r="141" spans="18:36" x14ac:dyDescent="0.25">
      <c r="R141" s="227"/>
      <c r="S141" s="228"/>
      <c r="U141" s="229"/>
      <c r="V141" s="230"/>
      <c r="W141" s="236"/>
      <c r="X141" s="231"/>
      <c r="Y141" s="230"/>
      <c r="Z141" s="230"/>
      <c r="AA141" s="230"/>
      <c r="AB141" s="230"/>
      <c r="AC141" s="232"/>
      <c r="AD141" s="232"/>
      <c r="AE141" s="233"/>
      <c r="AF141" s="233"/>
      <c r="AG141" s="237"/>
      <c r="AH141" s="233"/>
      <c r="AI141" s="233"/>
      <c r="AJ141" s="233"/>
    </row>
    <row r="142" spans="18:36" x14ac:dyDescent="0.25">
      <c r="X142" s="238"/>
      <c r="Y142" s="239"/>
      <c r="Z142" s="240"/>
    </row>
  </sheetData>
  <mergeCells count="148">
    <mergeCell ref="AJ55:AJ56"/>
    <mergeCell ref="AG29:AG30"/>
    <mergeCell ref="AH29:AH30"/>
    <mergeCell ref="AA67:AA68"/>
    <mergeCell ref="J47:J48"/>
    <mergeCell ref="E47:E48"/>
    <mergeCell ref="F47:F48"/>
    <mergeCell ref="G47:G48"/>
    <mergeCell ref="L47:L48"/>
    <mergeCell ref="M47:M48"/>
    <mergeCell ref="N47:N48"/>
    <mergeCell ref="O47:O48"/>
    <mergeCell ref="E56:I56"/>
    <mergeCell ref="R55:R56"/>
    <mergeCell ref="S55:S56"/>
    <mergeCell ref="U55:U56"/>
    <mergeCell ref="V55:V56"/>
    <mergeCell ref="W55:W56"/>
    <mergeCell ref="I47:I48"/>
    <mergeCell ref="H47:H48"/>
    <mergeCell ref="P47:P48"/>
    <mergeCell ref="K47:K48"/>
    <mergeCell ref="V42:V43"/>
    <mergeCell ref="AB55:AB56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4:S54"/>
    <mergeCell ref="R41:S41"/>
    <mergeCell ref="AG42:AG43"/>
    <mergeCell ref="AH42:AH43"/>
    <mergeCell ref="W42:W43"/>
    <mergeCell ref="X42:X43"/>
    <mergeCell ref="Y42:Y43"/>
    <mergeCell ref="AF29:AF30"/>
    <mergeCell ref="AB3:AB4"/>
    <mergeCell ref="AD3:AD4"/>
    <mergeCell ref="AB16:AB17"/>
    <mergeCell ref="AD16:AD17"/>
    <mergeCell ref="AB29:AB30"/>
    <mergeCell ref="AD29:AD30"/>
    <mergeCell ref="AB42:AB43"/>
    <mergeCell ref="AD42:AD43"/>
    <mergeCell ref="V16:V17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U15:AJ15"/>
    <mergeCell ref="Y16:Y17"/>
    <mergeCell ref="AI29:AI30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R3:R4"/>
    <mergeCell ref="J3:J4"/>
    <mergeCell ref="P3:P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U29:U30"/>
    <mergeCell ref="AE29:AE30"/>
    <mergeCell ref="Z16:Z17"/>
    <mergeCell ref="AI42:AI43"/>
    <mergeCell ref="AI55:AI56"/>
    <mergeCell ref="B27:B28"/>
    <mergeCell ref="C27:C28"/>
    <mergeCell ref="B26:C26"/>
    <mergeCell ref="B23:C23"/>
    <mergeCell ref="W16:W17"/>
    <mergeCell ref="B21:C21"/>
    <mergeCell ref="AI16:AI17"/>
    <mergeCell ref="B20:C20"/>
    <mergeCell ref="B19:C19"/>
    <mergeCell ref="B17:D17"/>
    <mergeCell ref="AE16:AE17"/>
    <mergeCell ref="Z42:Z43"/>
    <mergeCell ref="AA42:AA43"/>
    <mergeCell ref="AC42:AC43"/>
    <mergeCell ref="R42:R43"/>
    <mergeCell ref="S42:S43"/>
    <mergeCell ref="U42:U43"/>
    <mergeCell ref="E46:P46"/>
    <mergeCell ref="AD55:AD56"/>
    <mergeCell ref="AA16:AA17"/>
    <mergeCell ref="AC16:AC17"/>
    <mergeCell ref="U16:U17"/>
    <mergeCell ref="R2:S2"/>
    <mergeCell ref="R28:S28"/>
    <mergeCell ref="R29:R30"/>
    <mergeCell ref="S29:S30"/>
    <mergeCell ref="K11:L11"/>
    <mergeCell ref="S16:S17"/>
    <mergeCell ref="H3:H4"/>
    <mergeCell ref="A1:P2"/>
    <mergeCell ref="A3:A4"/>
    <mergeCell ref="B3:B4"/>
    <mergeCell ref="C3:C4"/>
    <mergeCell ref="D3:D4"/>
    <mergeCell ref="E3:E4"/>
    <mergeCell ref="F3:F4"/>
    <mergeCell ref="G3:G4"/>
    <mergeCell ref="B11:H11"/>
    <mergeCell ref="R15:S15"/>
  </mergeCells>
  <conditionalFormatting sqref="AG57:AH59">
    <cfRule type="cellIs" dxfId="3" priority="3" operator="between">
      <formula>0.95</formula>
      <formula>0.999</formula>
    </cfRule>
    <cfRule type="cellIs" dxfId="2" priority="4" operator="between">
      <formula>0.999</formula>
      <formula>1.001</formula>
    </cfRule>
  </conditionalFormatting>
  <conditionalFormatting sqref="N49:O51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CommandButton4">
          <controlPr defaultSize="0" autoLine="0" r:id="rId5">
            <anchor moveWithCells="1">
              <from>
                <xdr:col>21</xdr:col>
                <xdr:colOff>0</xdr:colOff>
                <xdr:row>71</xdr:row>
                <xdr:rowOff>76200</xdr:rowOff>
              </from>
              <to>
                <xdr:col>22</xdr:col>
                <xdr:colOff>247650</xdr:colOff>
                <xdr:row>74</xdr:row>
                <xdr:rowOff>28575</xdr:rowOff>
              </to>
            </anchor>
          </controlPr>
        </control>
      </mc:Choice>
      <mc:Fallback>
        <control shapeId="4103" r:id="rId4" name="CommandButton4"/>
      </mc:Fallback>
    </mc:AlternateContent>
    <mc:AlternateContent xmlns:mc="http://schemas.openxmlformats.org/markup-compatibility/2006">
      <mc:Choice Requires="x14">
        <control shapeId="4102" r:id="rId6" name="CommandButton3">
          <controlPr defaultSize="0" autoLine="0" r:id="rId7">
            <anchor moveWithCells="1">
              <from>
                <xdr:col>24</xdr:col>
                <xdr:colOff>19050</xdr:colOff>
                <xdr:row>63</xdr:row>
                <xdr:rowOff>142875</xdr:rowOff>
              </from>
              <to>
                <xdr:col>25</xdr:col>
                <xdr:colOff>228600</xdr:colOff>
                <xdr:row>66</xdr:row>
                <xdr:rowOff>95250</xdr:rowOff>
              </to>
            </anchor>
          </controlPr>
        </control>
      </mc:Choice>
      <mc:Fallback>
        <control shapeId="4102" r:id="rId6" name="CommandButton3"/>
      </mc:Fallback>
    </mc:AlternateContent>
    <mc:AlternateContent xmlns:mc="http://schemas.openxmlformats.org/markup-compatibility/2006">
      <mc:Choice Requires="x14">
        <control shapeId="4101" r:id="rId8" name="CommandButton2">
          <controlPr defaultSize="0" autoLine="0" autoPict="0" r:id="rId9">
            <anchor moveWithCells="1">
              <from>
                <xdr:col>20</xdr:col>
                <xdr:colOff>733425</xdr:colOff>
                <xdr:row>67</xdr:row>
                <xdr:rowOff>9525</xdr:rowOff>
              </from>
              <to>
                <xdr:col>22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4101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1">
          <controlPr defaultSize="0" autoLine="0" r:id="rId11">
            <anchor moveWithCells="1">
              <from>
                <xdr:col>22</xdr:col>
                <xdr:colOff>285750</xdr:colOff>
                <xdr:row>63</xdr:row>
                <xdr:rowOff>161925</xdr:rowOff>
              </from>
              <to>
                <xdr:col>23</xdr:col>
                <xdr:colOff>514350</xdr:colOff>
                <xdr:row>66</xdr:row>
                <xdr:rowOff>114300</xdr:rowOff>
              </to>
            </anchor>
          </controlPr>
        </control>
      </mc:Choice>
      <mc:Fallback>
        <control shapeId="4099" r:id="rId10" name="CommandButton1"/>
      </mc:Fallback>
    </mc:AlternateContent>
    <mc:AlternateContent xmlns:mc="http://schemas.openxmlformats.org/markup-compatibility/2006">
      <mc:Choice Requires="x14">
        <control shapeId="4104" r:id="rId12" name="CommandButton5">
          <controlPr defaultSize="0" autoLine="0" r:id="rId13">
            <anchor moveWithCells="1">
              <from>
                <xdr:col>21</xdr:col>
                <xdr:colOff>19050</xdr:colOff>
                <xdr:row>64</xdr:row>
                <xdr:rowOff>9525</xdr:rowOff>
              </from>
              <to>
                <xdr:col>22</xdr:col>
                <xdr:colOff>238125</xdr:colOff>
                <xdr:row>66</xdr:row>
                <xdr:rowOff>152400</xdr:rowOff>
              </to>
            </anchor>
          </controlPr>
        </control>
      </mc:Choice>
      <mc:Fallback>
        <control shapeId="4104" r:id="rId12" name="CommandButton5"/>
      </mc:Fallback>
    </mc:AlternateContent>
    <mc:AlternateContent xmlns:mc="http://schemas.openxmlformats.org/markup-compatibility/2006">
      <mc:Choice Requires="x14">
        <control shapeId="4106" r:id="rId14" name="SpinButton1">
          <controlPr defaultSize="0" autoLine="0" r:id="rId15">
            <anchor moveWithCells="1">
              <from>
                <xdr:col>7</xdr:col>
                <xdr:colOff>9525</xdr:colOff>
                <xdr:row>48</xdr:row>
                <xdr:rowOff>9525</xdr:rowOff>
              </from>
              <to>
                <xdr:col>7</xdr:col>
                <xdr:colOff>723900</xdr:colOff>
                <xdr:row>49</xdr:row>
                <xdr:rowOff>9525</xdr:rowOff>
              </to>
            </anchor>
          </controlPr>
        </control>
      </mc:Choice>
      <mc:Fallback>
        <control shapeId="4106" r:id="rId14" name="SpinButton1"/>
      </mc:Fallback>
    </mc:AlternateContent>
    <mc:AlternateContent xmlns:mc="http://schemas.openxmlformats.org/markup-compatibility/2006">
      <mc:Choice Requires="x14">
        <control shapeId="4107" r:id="rId16" name="SpinButton2">
          <controlPr defaultSize="0" autoLine="0" autoPict="0" r:id="rId17">
            <anchor moveWithCells="1">
              <from>
                <xdr:col>7</xdr:col>
                <xdr:colOff>9525</xdr:colOff>
                <xdr:row>49</xdr:row>
                <xdr:rowOff>9525</xdr:rowOff>
              </from>
              <to>
                <xdr:col>7</xdr:col>
                <xdr:colOff>723900</xdr:colOff>
                <xdr:row>50</xdr:row>
                <xdr:rowOff>0</xdr:rowOff>
              </to>
            </anchor>
          </controlPr>
        </control>
      </mc:Choice>
      <mc:Fallback>
        <control shapeId="4107" r:id="rId16" name="SpinButton2"/>
      </mc:Fallback>
    </mc:AlternateContent>
    <mc:AlternateContent xmlns:mc="http://schemas.openxmlformats.org/markup-compatibility/2006">
      <mc:Choice Requires="x14">
        <control shapeId="4108" r:id="rId18" name="SpinButton3">
          <controlPr defaultSize="0" autoLine="0" r:id="rId15">
            <anchor moveWithCells="1">
              <from>
                <xdr:col>7</xdr:col>
                <xdr:colOff>9525</xdr:colOff>
                <xdr:row>50</xdr:row>
                <xdr:rowOff>9525</xdr:rowOff>
              </from>
              <to>
                <xdr:col>7</xdr:col>
                <xdr:colOff>723900</xdr:colOff>
                <xdr:row>51</xdr:row>
                <xdr:rowOff>9525</xdr:rowOff>
              </to>
            </anchor>
          </controlPr>
        </control>
      </mc:Choice>
      <mc:Fallback>
        <control shapeId="4108" r:id="rId18" name="SpinButton3"/>
      </mc:Fallback>
    </mc:AlternateContent>
    <mc:AlternateContent xmlns:mc="http://schemas.openxmlformats.org/markup-compatibility/2006">
      <mc:Choice Requires="x14">
        <control shapeId="4112" r:id="rId19" name="ToggleButton1">
          <controlPr defaultSize="0" autoLine="0" r:id="rId20">
            <anchor moveWithCells="1">
              <from>
                <xdr:col>8</xdr:col>
                <xdr:colOff>9525</xdr:colOff>
                <xdr:row>12</xdr:row>
                <xdr:rowOff>19050</xdr:rowOff>
              </from>
              <to>
                <xdr:col>8</xdr:col>
                <xdr:colOff>876300</xdr:colOff>
                <xdr:row>12</xdr:row>
                <xdr:rowOff>190500</xdr:rowOff>
              </to>
            </anchor>
          </controlPr>
        </control>
      </mc:Choice>
      <mc:Fallback>
        <control shapeId="4112" r:id="rId19" name="ToggleButton1"/>
      </mc:Fallback>
    </mc:AlternateContent>
    <mc:AlternateContent xmlns:mc="http://schemas.openxmlformats.org/markup-compatibility/2006">
      <mc:Choice Requires="x14">
        <control shapeId="4113" r:id="rId21" name="ToggleButton2">
          <controlPr defaultSize="0" autoLine="0" r:id="rId20">
            <anchor moveWithCells="1">
              <from>
                <xdr:col>8</xdr:col>
                <xdr:colOff>9525</xdr:colOff>
                <xdr:row>13</xdr:row>
                <xdr:rowOff>19050</xdr:rowOff>
              </from>
              <to>
                <xdr:col>8</xdr:col>
                <xdr:colOff>876300</xdr:colOff>
                <xdr:row>14</xdr:row>
                <xdr:rowOff>0</xdr:rowOff>
              </to>
            </anchor>
          </controlPr>
        </control>
      </mc:Choice>
      <mc:Fallback>
        <control shapeId="4113" r:id="rId21" name="ToggleButton2"/>
      </mc:Fallback>
    </mc:AlternateContent>
    <mc:AlternateContent xmlns:mc="http://schemas.openxmlformats.org/markup-compatibility/2006">
      <mc:Choice Requires="x14">
        <control shapeId="4114" r:id="rId22" name="ToggleButton3">
          <controlPr defaultSize="0" autoLine="0" r:id="rId23">
            <anchor moveWithCells="1">
              <from>
                <xdr:col>8</xdr:col>
                <xdr:colOff>19050</xdr:colOff>
                <xdr:row>14</xdr:row>
                <xdr:rowOff>28575</xdr:rowOff>
              </from>
              <to>
                <xdr:col>8</xdr:col>
                <xdr:colOff>876300</xdr:colOff>
                <xdr:row>15</xdr:row>
                <xdr:rowOff>0</xdr:rowOff>
              </to>
            </anchor>
          </controlPr>
        </control>
      </mc:Choice>
      <mc:Fallback>
        <control shapeId="4114" r:id="rId22" name="Toggle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opLeftCell="A49" zoomScale="80" zoomScaleNormal="80" workbookViewId="0">
      <selection activeCell="G81" sqref="G81"/>
    </sheetView>
  </sheetViews>
  <sheetFormatPr defaultColWidth="11.85546875" defaultRowHeight="15.75" x14ac:dyDescent="0.25"/>
  <cols>
    <col min="1" max="1" width="4" style="138" customWidth="1"/>
    <col min="2" max="2" width="11.85546875" style="138"/>
    <col min="3" max="3" width="13.85546875" style="138" bestFit="1" customWidth="1"/>
    <col min="4" max="4" width="16.28515625" style="138" bestFit="1" customWidth="1"/>
    <col min="5" max="5" width="11.85546875" style="138"/>
    <col min="6" max="6" width="14.28515625" style="138" customWidth="1"/>
    <col min="7" max="7" width="12.85546875" style="138" bestFit="1" customWidth="1"/>
    <col min="8" max="8" width="13.140625" style="138" bestFit="1" customWidth="1"/>
    <col min="9" max="9" width="3.85546875" style="138" customWidth="1"/>
    <col min="10" max="15" width="11.85546875" style="138"/>
    <col min="16" max="16" width="13" style="138" customWidth="1"/>
    <col min="17" max="17" width="11.85546875" style="138"/>
    <col min="18" max="18" width="13.28515625" style="138" customWidth="1"/>
    <col min="19" max="22" width="11.85546875" style="138"/>
    <col min="23" max="23" width="3.5703125" style="138" customWidth="1"/>
    <col min="24" max="26" width="11.85546875" style="138"/>
    <col min="27" max="27" width="13" style="138" customWidth="1"/>
    <col min="28" max="28" width="13" style="138" bestFit="1" customWidth="1"/>
    <col min="29" max="16384" width="11.85546875" style="138"/>
  </cols>
  <sheetData>
    <row r="2" spans="2:28" x14ac:dyDescent="0.25">
      <c r="B2" s="1053" t="s">
        <v>98</v>
      </c>
      <c r="C2" s="1053"/>
      <c r="D2" s="1053"/>
      <c r="E2" s="1053"/>
      <c r="F2" s="1053"/>
      <c r="G2" s="1053"/>
      <c r="H2" s="1053"/>
      <c r="J2" s="1049" t="s">
        <v>106</v>
      </c>
      <c r="K2" s="1050"/>
      <c r="L2" s="1050"/>
      <c r="M2" s="1050"/>
      <c r="N2" s="1050"/>
      <c r="O2" s="1050"/>
      <c r="P2" s="1050"/>
      <c r="Q2" s="1050"/>
      <c r="R2" s="1050"/>
      <c r="S2" s="1050"/>
      <c r="T2" s="1050"/>
      <c r="U2" s="1050"/>
      <c r="V2" s="1051"/>
      <c r="W2" s="5"/>
      <c r="X2" s="1048" t="s">
        <v>109</v>
      </c>
      <c r="Y2" s="1048"/>
      <c r="Z2" s="1048"/>
      <c r="AA2" s="1048"/>
      <c r="AB2" s="1048"/>
    </row>
    <row r="3" spans="2:28" ht="15" customHeight="1" x14ac:dyDescent="0.25">
      <c r="B3" s="643" t="s">
        <v>61</v>
      </c>
      <c r="C3" s="643" t="s">
        <v>90</v>
      </c>
      <c r="D3" s="643"/>
      <c r="E3" s="648" t="s">
        <v>97</v>
      </c>
      <c r="F3" s="648" t="s">
        <v>89</v>
      </c>
      <c r="G3" s="643" t="s">
        <v>94</v>
      </c>
      <c r="H3" s="643"/>
      <c r="J3" s="1040" t="s">
        <v>9</v>
      </c>
      <c r="K3" s="1041" t="s">
        <v>3</v>
      </c>
      <c r="L3" s="1041" t="s">
        <v>76</v>
      </c>
      <c r="M3" s="1040" t="s">
        <v>78</v>
      </c>
      <c r="N3" s="1040" t="s">
        <v>85</v>
      </c>
      <c r="O3" s="1041" t="s">
        <v>104</v>
      </c>
      <c r="P3" s="1041" t="s">
        <v>262</v>
      </c>
      <c r="Q3" s="1041" t="s">
        <v>263</v>
      </c>
      <c r="R3" s="1040" t="s">
        <v>419</v>
      </c>
      <c r="S3" s="1040" t="s">
        <v>420</v>
      </c>
      <c r="T3" s="1040" t="s">
        <v>79</v>
      </c>
      <c r="U3" s="1041" t="s">
        <v>105</v>
      </c>
      <c r="V3" s="1040" t="s">
        <v>83</v>
      </c>
      <c r="X3" s="643" t="s">
        <v>9</v>
      </c>
      <c r="Y3" s="1042" t="s">
        <v>80</v>
      </c>
      <c r="Z3" s="1042" t="s">
        <v>81</v>
      </c>
      <c r="AA3" s="1042" t="s">
        <v>107</v>
      </c>
      <c r="AB3" s="648" t="s">
        <v>108</v>
      </c>
    </row>
    <row r="4" spans="2:28" x14ac:dyDescent="0.25">
      <c r="B4" s="643"/>
      <c r="C4" s="246" t="s">
        <v>91</v>
      </c>
      <c r="D4" s="246" t="s">
        <v>92</v>
      </c>
      <c r="E4" s="648"/>
      <c r="F4" s="648"/>
      <c r="G4" s="643"/>
      <c r="H4" s="643"/>
      <c r="J4" s="917"/>
      <c r="K4" s="955"/>
      <c r="L4" s="955"/>
      <c r="M4" s="917"/>
      <c r="N4" s="917"/>
      <c r="O4" s="955"/>
      <c r="P4" s="955"/>
      <c r="Q4" s="955"/>
      <c r="R4" s="917"/>
      <c r="S4" s="917"/>
      <c r="T4" s="917"/>
      <c r="U4" s="955"/>
      <c r="V4" s="917"/>
      <c r="X4" s="643"/>
      <c r="Y4" s="1042"/>
      <c r="Z4" s="1042"/>
      <c r="AA4" s="1042"/>
      <c r="AB4" s="648"/>
    </row>
    <row r="5" spans="2:28" ht="13.9" customHeight="1" x14ac:dyDescent="0.25">
      <c r="B5" s="246">
        <v>3</v>
      </c>
      <c r="C5" s="139">
        <f>'Frame Capacities'!E7+'Frame Capacities'!F7+'Frame Capacities'!E10+'Frame Capacities'!F10+'Frame Capacities'!E13+'Frame Capacities'!F13</f>
        <v>544.79999999999995</v>
      </c>
      <c r="D5" s="139">
        <f>'Frame Capacities'!E33+'Frame Capacities'!E36+'Frame Capacities'!E39+'Frame Capacities'!E42</f>
        <v>133.6</v>
      </c>
      <c r="E5" s="139">
        <f>C5/D5</f>
        <v>4.0778443113772456</v>
      </c>
      <c r="F5" s="268" t="s">
        <v>42</v>
      </c>
      <c r="G5" s="431" t="s">
        <v>96</v>
      </c>
      <c r="H5" s="431" t="s">
        <v>93</v>
      </c>
      <c r="J5" s="432">
        <v>3</v>
      </c>
      <c r="K5" s="144">
        <v>3</v>
      </c>
      <c r="L5" s="144">
        <v>8.75</v>
      </c>
      <c r="M5" s="433">
        <v>1.1858046813659274E-2</v>
      </c>
      <c r="N5" s="140">
        <v>2.6161563324770612E-3</v>
      </c>
      <c r="O5" s="434">
        <v>8.7205211082568707E-4</v>
      </c>
      <c r="P5" s="433">
        <v>9.5976000000000013E-3</v>
      </c>
      <c r="Q5" s="433">
        <v>1.8601738665676483E-3</v>
      </c>
      <c r="R5" s="144">
        <v>9.0861476913570785E-2</v>
      </c>
      <c r="S5" s="139">
        <v>0.46880139889008243</v>
      </c>
      <c r="T5" s="611">
        <v>108.1199232082062</v>
      </c>
      <c r="U5" s="144">
        <v>324.35976962461859</v>
      </c>
      <c r="V5" s="139">
        <v>244.58028608654999</v>
      </c>
      <c r="W5" s="415"/>
      <c r="X5" s="268">
        <v>3</v>
      </c>
      <c r="Y5" s="139">
        <f>'Structural Information'!$Z$6</f>
        <v>37.8446</v>
      </c>
      <c r="Z5" s="139">
        <f>Y5*M5</f>
        <v>0.44876303844420978</v>
      </c>
      <c r="AA5" s="139">
        <f>Z5*L5</f>
        <v>3.9266765863868356</v>
      </c>
      <c r="AB5" s="139">
        <f>AA8/Z8</f>
        <v>6.5019631868360159</v>
      </c>
    </row>
    <row r="6" spans="2:28" ht="13.9" customHeight="1" x14ac:dyDescent="0.25">
      <c r="B6" s="246">
        <v>2</v>
      </c>
      <c r="C6" s="139">
        <f>'Frame Capacities'!E6+'Frame Capacities'!F6+'Frame Capacities'!E9+'Frame Capacities'!F9+'Frame Capacities'!E12+'Frame Capacities'!F12</f>
        <v>544.79999999999995</v>
      </c>
      <c r="D6" s="139">
        <f>'Frame Capacities'!E32+'Frame Capacities'!E35+'Frame Capacities'!E38+'Frame Capacities'!E41+'Frame Capacities'!E42+'Frame Capacities'!E39+'Frame Capacities'!E36+'Frame Capacities'!E33</f>
        <v>295.8</v>
      </c>
      <c r="E6" s="139">
        <f>C6/D6</f>
        <v>1.8417849898580119</v>
      </c>
      <c r="F6" s="268" t="s">
        <v>42</v>
      </c>
      <c r="G6" s="431" t="s">
        <v>96</v>
      </c>
      <c r="H6" s="431" t="s">
        <v>93</v>
      </c>
      <c r="J6" s="432">
        <v>2</v>
      </c>
      <c r="K6" s="144">
        <v>3</v>
      </c>
      <c r="L6" s="144">
        <v>5.75</v>
      </c>
      <c r="M6" s="433">
        <v>9.241890481182213E-3</v>
      </c>
      <c r="N6" s="140">
        <v>4.4331981932179878E-3</v>
      </c>
      <c r="O6" s="434">
        <v>1.4777327310726625E-3</v>
      </c>
      <c r="P6" s="433">
        <v>9.1744770034843208E-3</v>
      </c>
      <c r="Q6" s="433">
        <v>1.7655780345468453E-3</v>
      </c>
      <c r="R6" s="139">
        <v>0.16106996949378619</v>
      </c>
      <c r="S6" s="139">
        <v>0.8369682348545634</v>
      </c>
      <c r="T6" s="611">
        <v>198.0025882964672</v>
      </c>
      <c r="U6" s="144">
        <v>918.36753451402024</v>
      </c>
      <c r="V6" s="435"/>
      <c r="W6" s="415"/>
      <c r="X6" s="268">
        <v>2</v>
      </c>
      <c r="Y6" s="139">
        <f>'Structural Information'!$Z$7</f>
        <v>40.367000000000004</v>
      </c>
      <c r="Z6" s="139">
        <f>Y6*M6</f>
        <v>0.37306739305388242</v>
      </c>
      <c r="AA6" s="139">
        <f>Z6*L6</f>
        <v>2.1451375100598238</v>
      </c>
      <c r="AB6" s="246" t="s">
        <v>339</v>
      </c>
    </row>
    <row r="7" spans="2:28" ht="13.9" customHeight="1" x14ac:dyDescent="0.25">
      <c r="B7" s="246">
        <v>1</v>
      </c>
      <c r="C7" s="139">
        <f>'Frame Capacities'!E5+'Frame Capacities'!F5+'Frame Capacities'!E8+'Frame Capacities'!F8+'Frame Capacities'!E11+'Frame Capacities'!F11</f>
        <v>544.79999999999995</v>
      </c>
      <c r="D7" s="139">
        <f>'Frame Capacities'!E31+'Frame Capacities'!E34+'Frame Capacities'!E37+'Frame Capacities'!E40+'Frame Capacities'!E41+'Frame Capacities'!E38+'Frame Capacities'!E35+'Frame Capacities'!E32</f>
        <v>344.4</v>
      </c>
      <c r="E7" s="139">
        <f>C7/D7</f>
        <v>1.5818815331010452</v>
      </c>
      <c r="F7" s="268" t="s">
        <v>42</v>
      </c>
      <c r="G7" s="431" t="s">
        <v>96</v>
      </c>
      <c r="H7" s="431" t="s">
        <v>93</v>
      </c>
      <c r="J7" s="432">
        <v>1</v>
      </c>
      <c r="K7" s="144">
        <v>2.75</v>
      </c>
      <c r="L7" s="144">
        <v>2.75</v>
      </c>
      <c r="M7" s="433">
        <v>4.8086922879642252E-3</v>
      </c>
      <c r="N7" s="140">
        <v>4.8086922879642252E-3</v>
      </c>
      <c r="O7" s="434">
        <v>1.7486153774415364E-3</v>
      </c>
      <c r="P7" s="433">
        <v>8.1000948897978157E-3</v>
      </c>
      <c r="Q7" s="433">
        <v>1.7443905747548439E-3</v>
      </c>
      <c r="R7" s="139">
        <v>0.21587591271849693</v>
      </c>
      <c r="S7" s="139">
        <v>1.0024219362038724</v>
      </c>
      <c r="T7" s="611">
        <v>244.32162976238135</v>
      </c>
      <c r="U7" s="144">
        <v>1590.2520163605691</v>
      </c>
      <c r="V7" s="436"/>
      <c r="W7" s="415"/>
      <c r="X7" s="268">
        <v>1</v>
      </c>
      <c r="Y7" s="139">
        <f>'Structural Information'!$Z$8</f>
        <v>40.367000000000004</v>
      </c>
      <c r="Z7" s="139">
        <f>Y7*M7</f>
        <v>0.1941124815882519</v>
      </c>
      <c r="AA7" s="139">
        <f>Z7*L7</f>
        <v>0.53380932436769268</v>
      </c>
      <c r="AB7" s="143">
        <f>T7/M5</f>
        <v>20603.867871473358</v>
      </c>
    </row>
    <row r="8" spans="2:28" x14ac:dyDescent="0.25">
      <c r="V8" s="437"/>
      <c r="W8" s="415"/>
      <c r="X8" s="438"/>
      <c r="Y8" s="246" t="s">
        <v>82</v>
      </c>
      <c r="Z8" s="439">
        <f>SUM(Z5:Z7)</f>
        <v>1.0159429130863442</v>
      </c>
      <c r="AA8" s="439">
        <f>SUM(AA5:AA7)</f>
        <v>6.6056234208143518</v>
      </c>
      <c r="AB8" s="160" t="s">
        <v>341</v>
      </c>
    </row>
    <row r="9" spans="2:28" x14ac:dyDescent="0.25">
      <c r="W9" s="415"/>
      <c r="X9" s="438"/>
      <c r="Y9" s="440"/>
      <c r="Z9" s="440"/>
      <c r="AA9" s="441"/>
      <c r="AB9" s="139">
        <f>(('Structural Information'!$Z$6*M5+'Structural Information'!$Z$7*M6+'Structural Information'!$Z$8*M7)^2)/('Structural Information'!$Z$6*M5*M5+'Structural Information'!$Z$7*M6*M6+'Structural Information'!$Z$8*M7*M7)</f>
        <v>106.37626559609421</v>
      </c>
    </row>
    <row r="10" spans="2:28" x14ac:dyDescent="0.25">
      <c r="W10" s="415"/>
      <c r="X10" s="438"/>
      <c r="Y10" s="180"/>
      <c r="Z10" s="180"/>
      <c r="AA10" s="442"/>
      <c r="AB10" s="246" t="s">
        <v>340</v>
      </c>
    </row>
    <row r="11" spans="2:28" x14ac:dyDescent="0.25">
      <c r="X11" s="443"/>
      <c r="Y11" s="444"/>
      <c r="Z11" s="444"/>
      <c r="AA11" s="445"/>
      <c r="AB11" s="143">
        <f>2*PI()*SQRT(AB9/AB7)</f>
        <v>0.45146892240196523</v>
      </c>
    </row>
    <row r="13" spans="2:28" x14ac:dyDescent="0.25">
      <c r="B13" s="1054" t="s">
        <v>99</v>
      </c>
      <c r="C13" s="1054"/>
      <c r="D13" s="1054"/>
      <c r="E13" s="1054"/>
      <c r="F13" s="1054"/>
      <c r="G13" s="1054"/>
      <c r="H13" s="1054"/>
      <c r="J13" s="1046" t="s">
        <v>110</v>
      </c>
      <c r="K13" s="1046"/>
      <c r="L13" s="1046"/>
      <c r="M13" s="1046"/>
      <c r="N13" s="1046"/>
      <c r="O13" s="1046"/>
      <c r="P13" s="1046"/>
      <c r="Q13" s="1046"/>
      <c r="R13" s="1046"/>
      <c r="S13" s="1046"/>
      <c r="T13" s="1046"/>
      <c r="U13" s="1046"/>
      <c r="V13" s="1046"/>
      <c r="X13" s="1048" t="s">
        <v>109</v>
      </c>
      <c r="Y13" s="1048"/>
      <c r="Z13" s="1048"/>
      <c r="AA13" s="1048"/>
      <c r="AB13" s="1048"/>
    </row>
    <row r="14" spans="2:28" ht="15" customHeight="1" x14ac:dyDescent="0.25">
      <c r="B14" s="643" t="s">
        <v>61</v>
      </c>
      <c r="C14" s="643" t="s">
        <v>102</v>
      </c>
      <c r="D14" s="643"/>
      <c r="E14" s="648" t="s">
        <v>100</v>
      </c>
      <c r="F14" s="648" t="s">
        <v>89</v>
      </c>
      <c r="G14" s="643" t="s">
        <v>94</v>
      </c>
      <c r="H14" s="643"/>
      <c r="J14" s="1040" t="s">
        <v>9</v>
      </c>
      <c r="K14" s="1041" t="s">
        <v>3</v>
      </c>
      <c r="L14" s="1041" t="s">
        <v>76</v>
      </c>
      <c r="M14" s="1040" t="s">
        <v>78</v>
      </c>
      <c r="N14" s="1040" t="s">
        <v>85</v>
      </c>
      <c r="O14" s="1041" t="s">
        <v>104</v>
      </c>
      <c r="P14" s="1041" t="s">
        <v>262</v>
      </c>
      <c r="Q14" s="1041" t="s">
        <v>263</v>
      </c>
      <c r="R14" s="1040" t="s">
        <v>419</v>
      </c>
      <c r="S14" s="1040" t="s">
        <v>420</v>
      </c>
      <c r="T14" s="1040" t="s">
        <v>79</v>
      </c>
      <c r="U14" s="1041" t="s">
        <v>105</v>
      </c>
      <c r="V14" s="1040" t="s">
        <v>83</v>
      </c>
      <c r="X14" s="643" t="s">
        <v>9</v>
      </c>
      <c r="Y14" s="1042" t="s">
        <v>80</v>
      </c>
      <c r="Z14" s="1042" t="s">
        <v>81</v>
      </c>
      <c r="AA14" s="1042" t="s">
        <v>107</v>
      </c>
      <c r="AB14" s="648" t="s">
        <v>108</v>
      </c>
    </row>
    <row r="15" spans="2:28" x14ac:dyDescent="0.25">
      <c r="B15" s="643"/>
      <c r="C15" s="246" t="s">
        <v>101</v>
      </c>
      <c r="D15" s="246" t="s">
        <v>103</v>
      </c>
      <c r="E15" s="648"/>
      <c r="F15" s="648"/>
      <c r="G15" s="643"/>
      <c r="H15" s="643"/>
      <c r="J15" s="917"/>
      <c r="K15" s="955"/>
      <c r="L15" s="955"/>
      <c r="M15" s="917"/>
      <c r="N15" s="917"/>
      <c r="O15" s="955"/>
      <c r="P15" s="955"/>
      <c r="Q15" s="955"/>
      <c r="R15" s="917"/>
      <c r="S15" s="917"/>
      <c r="T15" s="917"/>
      <c r="U15" s="955"/>
      <c r="V15" s="917"/>
      <c r="X15" s="643"/>
      <c r="Y15" s="1042"/>
      <c r="Z15" s="1042"/>
      <c r="AA15" s="1042"/>
      <c r="AB15" s="648"/>
    </row>
    <row r="16" spans="2:28" ht="13.9" customHeight="1" x14ac:dyDescent="0.25">
      <c r="B16" s="246">
        <v>3</v>
      </c>
      <c r="C16" s="157">
        <f>'Yield Mechanism'!AE57</f>
        <v>2.6280149858822366</v>
      </c>
      <c r="D16" s="139">
        <f>'Yield Mechanism'!C13</f>
        <v>10.43447219167199</v>
      </c>
      <c r="E16" s="139">
        <f>C16/D16</f>
        <v>0.25185892852153274</v>
      </c>
      <c r="F16" s="268" t="s">
        <v>42</v>
      </c>
      <c r="G16" s="431" t="s">
        <v>95</v>
      </c>
      <c r="H16" s="431" t="s">
        <v>70</v>
      </c>
      <c r="J16" s="432">
        <v>3</v>
      </c>
      <c r="K16" s="144">
        <v>3</v>
      </c>
      <c r="L16" s="144">
        <v>8.75</v>
      </c>
      <c r="M16" s="433">
        <v>1.8482293170831509E-2</v>
      </c>
      <c r="N16" s="140">
        <v>3.0288411642418779E-3</v>
      </c>
      <c r="O16" s="434">
        <v>1.0096137214139593E-3</v>
      </c>
      <c r="P16" s="433">
        <v>9.5976000000000013E-3</v>
      </c>
      <c r="Q16" s="433">
        <v>1.8601738665676483E-3</v>
      </c>
      <c r="R16" s="144">
        <v>0.10519439457926556</v>
      </c>
      <c r="S16" s="139">
        <v>0.54275234135875494</v>
      </c>
      <c r="T16" s="611">
        <v>125.17526954423968</v>
      </c>
      <c r="U16" s="144">
        <v>375.52580863271908</v>
      </c>
      <c r="V16" s="139">
        <v>310.05695506527309</v>
      </c>
      <c r="W16" s="415"/>
      <c r="X16" s="268">
        <v>3</v>
      </c>
      <c r="Y16" s="139">
        <f>'Structural Information'!$Z$6</f>
        <v>37.8446</v>
      </c>
      <c r="Z16" s="139">
        <f>Y16*M16</f>
        <v>0.69945499213285012</v>
      </c>
      <c r="AA16" s="139">
        <f>Z16*L16</f>
        <v>6.1202311811624384</v>
      </c>
      <c r="AB16" s="139">
        <f>AA19/Z19</f>
        <v>6.2514486476584521</v>
      </c>
    </row>
    <row r="17" spans="2:28" ht="13.9" customHeight="1" x14ac:dyDescent="0.25">
      <c r="B17" s="246">
        <v>2</v>
      </c>
      <c r="C17" s="157">
        <f>'Yield Mechanism'!AE58</f>
        <v>15.50803982753547</v>
      </c>
      <c r="D17" s="139">
        <f>'Yield Mechanism'!C14</f>
        <v>32.116963804751286</v>
      </c>
      <c r="E17" s="139">
        <f>C17/D17</f>
        <v>0.48286132904136031</v>
      </c>
      <c r="F17" s="268" t="s">
        <v>42</v>
      </c>
      <c r="G17" s="431" t="s">
        <v>95</v>
      </c>
      <c r="H17" s="431" t="s">
        <v>70</v>
      </c>
      <c r="J17" s="432">
        <v>2</v>
      </c>
      <c r="K17" s="144">
        <v>3</v>
      </c>
      <c r="L17" s="144">
        <v>5.75</v>
      </c>
      <c r="M17" s="433">
        <v>1.5453452006589631E-2</v>
      </c>
      <c r="N17" s="140">
        <v>5.30214620758848E-3</v>
      </c>
      <c r="O17" s="434">
        <v>1.7673820691961599E-3</v>
      </c>
      <c r="P17" s="433">
        <v>9.1744770034843208E-3</v>
      </c>
      <c r="Q17" s="433">
        <v>1.7655780345468453E-3</v>
      </c>
      <c r="R17" s="139">
        <v>0.19264117927647934</v>
      </c>
      <c r="S17" s="139">
        <v>1.0010217813169486</v>
      </c>
      <c r="T17" s="611">
        <v>236.62481047791366</v>
      </c>
      <c r="U17" s="144">
        <v>1085.4002400664599</v>
      </c>
      <c r="V17" s="435"/>
      <c r="W17" s="415"/>
      <c r="X17" s="268">
        <v>2</v>
      </c>
      <c r="Y17" s="139">
        <f>'Structural Information'!$Z$7</f>
        <v>40.367000000000004</v>
      </c>
      <c r="Z17" s="139">
        <f>Y17*M17</f>
        <v>0.62380949715000367</v>
      </c>
      <c r="AA17" s="139">
        <f>Z17*L17</f>
        <v>3.5869046086125209</v>
      </c>
      <c r="AB17" s="504" t="s">
        <v>339</v>
      </c>
    </row>
    <row r="18" spans="2:28" ht="13.9" customHeight="1" x14ac:dyDescent="0.25">
      <c r="B18" s="246">
        <v>1</v>
      </c>
      <c r="C18" s="157">
        <f>'Yield Mechanism'!AE59</f>
        <v>81.868483527671415</v>
      </c>
      <c r="D18" s="139">
        <f>'Yield Mechanism'!C15</f>
        <v>13.818181818181818</v>
      </c>
      <c r="E18" s="139">
        <f>C18/D18</f>
        <v>5.9246928868709574</v>
      </c>
      <c r="F18" s="268" t="s">
        <v>42</v>
      </c>
      <c r="G18" s="431" t="s">
        <v>95</v>
      </c>
      <c r="H18" s="431" t="s">
        <v>70</v>
      </c>
      <c r="J18" s="432">
        <v>1</v>
      </c>
      <c r="K18" s="144">
        <v>2.75</v>
      </c>
      <c r="L18" s="144">
        <v>2.75</v>
      </c>
      <c r="M18" s="433">
        <v>1.0151305799001151E-2</v>
      </c>
      <c r="N18" s="140">
        <v>1.0151305799001151E-2</v>
      </c>
      <c r="O18" s="434">
        <v>3.6913839269095096E-3</v>
      </c>
      <c r="P18" s="433">
        <v>8.1000948897978157E-3</v>
      </c>
      <c r="Q18" s="433">
        <v>1.7443905747548439E-3</v>
      </c>
      <c r="R18" s="139">
        <v>0.45572107205297802</v>
      </c>
      <c r="S18" s="139">
        <v>2.1161453061785176</v>
      </c>
      <c r="T18" s="611">
        <v>310.1472335903415</v>
      </c>
      <c r="U18" s="144">
        <v>1938.3051324398989</v>
      </c>
      <c r="V18" s="436"/>
      <c r="W18" s="415"/>
      <c r="X18" s="268">
        <v>1</v>
      </c>
      <c r="Y18" s="139">
        <f>'Structural Information'!$Z$8</f>
        <v>40.367000000000004</v>
      </c>
      <c r="Z18" s="139">
        <f>Y18*M18</f>
        <v>0.40977776118827952</v>
      </c>
      <c r="AA18" s="139">
        <f>Z18*L18</f>
        <v>1.1268888432677686</v>
      </c>
      <c r="AB18" s="143">
        <f>T18/M16</f>
        <v>16780.776645173632</v>
      </c>
    </row>
    <row r="19" spans="2:28" x14ac:dyDescent="0.25">
      <c r="V19" s="437"/>
      <c r="W19" s="415"/>
      <c r="X19" s="438"/>
      <c r="Y19" s="504" t="s">
        <v>82</v>
      </c>
      <c r="Z19" s="439">
        <f>SUM(Z16:Z18)</f>
        <v>1.7330422504711334</v>
      </c>
      <c r="AA19" s="439">
        <f>SUM(AA16:AA18)</f>
        <v>10.834024633042727</v>
      </c>
      <c r="AB19" s="505" t="s">
        <v>341</v>
      </c>
    </row>
    <row r="20" spans="2:28" x14ac:dyDescent="0.25">
      <c r="W20" s="415"/>
      <c r="X20" s="438"/>
      <c r="Y20" s="440"/>
      <c r="Z20" s="440"/>
      <c r="AA20" s="441"/>
      <c r="AB20" s="139">
        <f>(('Structural Information'!$Z$6*M16+'Structural Information'!$Z$7*M17+'Structural Information'!$Z$8*M18)^2)/('Structural Information'!$Z$6*M16*M16+'Structural Information'!$Z$7*M17*M17+'Structural Information'!$Z$8*M18*M18)</f>
        <v>112.373228942791</v>
      </c>
    </row>
    <row r="21" spans="2:28" x14ac:dyDescent="0.25">
      <c r="W21" s="415"/>
      <c r="X21" s="438"/>
      <c r="Y21" s="180"/>
      <c r="Z21" s="180"/>
      <c r="AA21" s="442"/>
      <c r="AB21" s="504" t="s">
        <v>340</v>
      </c>
    </row>
    <row r="22" spans="2:28" x14ac:dyDescent="0.25">
      <c r="X22" s="443"/>
      <c r="Y22" s="444"/>
      <c r="Z22" s="444"/>
      <c r="AA22" s="445"/>
      <c r="AB22" s="143">
        <f>2*PI()*SQRT(AB20/AB18)</f>
        <v>0.5141682672844079</v>
      </c>
    </row>
    <row r="24" spans="2:28" ht="15.75" customHeight="1" x14ac:dyDescent="0.25">
      <c r="B24" s="1055" t="s">
        <v>261</v>
      </c>
      <c r="C24" s="1056"/>
      <c r="D24" s="1056"/>
      <c r="E24" s="1056"/>
      <c r="F24" s="1056"/>
      <c r="G24" s="1056"/>
      <c r="H24" s="1057"/>
      <c r="J24" s="1049" t="s">
        <v>111</v>
      </c>
      <c r="K24" s="1050"/>
      <c r="L24" s="1050"/>
      <c r="M24" s="1050"/>
      <c r="N24" s="1050"/>
      <c r="O24" s="1050"/>
      <c r="P24" s="1050"/>
      <c r="Q24" s="1050"/>
      <c r="R24" s="1050"/>
      <c r="S24" s="1050"/>
      <c r="T24" s="1050"/>
      <c r="U24" s="1050"/>
      <c r="V24" s="1051"/>
      <c r="X24" s="1052" t="s">
        <v>109</v>
      </c>
      <c r="Y24" s="1052"/>
      <c r="Z24" s="1052"/>
      <c r="AA24" s="1052"/>
      <c r="AB24" s="1052"/>
    </row>
    <row r="25" spans="2:28" ht="15" customHeight="1" x14ac:dyDescent="0.25">
      <c r="B25" s="246" t="s">
        <v>9</v>
      </c>
      <c r="C25" s="246" t="s">
        <v>313</v>
      </c>
      <c r="D25" s="246" t="s">
        <v>264</v>
      </c>
      <c r="E25" s="251" t="s">
        <v>74</v>
      </c>
      <c r="F25" s="160" t="s">
        <v>191</v>
      </c>
      <c r="G25" s="160" t="s">
        <v>192</v>
      </c>
      <c r="H25" s="246" t="s">
        <v>219</v>
      </c>
      <c r="J25" s="1040" t="s">
        <v>9</v>
      </c>
      <c r="K25" s="1041" t="s">
        <v>3</v>
      </c>
      <c r="L25" s="1041" t="s">
        <v>76</v>
      </c>
      <c r="M25" s="1040" t="s">
        <v>78</v>
      </c>
      <c r="N25" s="1040" t="s">
        <v>85</v>
      </c>
      <c r="O25" s="1041" t="s">
        <v>104</v>
      </c>
      <c r="P25" s="1041" t="s">
        <v>262</v>
      </c>
      <c r="Q25" s="1041" t="s">
        <v>263</v>
      </c>
      <c r="R25" s="1040" t="s">
        <v>419</v>
      </c>
      <c r="S25" s="1040" t="s">
        <v>420</v>
      </c>
      <c r="T25" s="1040" t="s">
        <v>79</v>
      </c>
      <c r="U25" s="1041" t="s">
        <v>105</v>
      </c>
      <c r="V25" s="1040" t="s">
        <v>83</v>
      </c>
      <c r="X25" s="643" t="s">
        <v>9</v>
      </c>
      <c r="Y25" s="1042" t="s">
        <v>80</v>
      </c>
      <c r="Z25" s="1042" t="s">
        <v>81</v>
      </c>
      <c r="AA25" s="1042" t="s">
        <v>107</v>
      </c>
      <c r="AB25" s="648" t="s">
        <v>108</v>
      </c>
    </row>
    <row r="26" spans="2:28" x14ac:dyDescent="0.25">
      <c r="B26" s="446">
        <v>3</v>
      </c>
      <c r="C26" s="447">
        <f>'Frame Capacities'!BT11</f>
        <v>9.5976000000000013E-3</v>
      </c>
      <c r="D26" s="235">
        <f>'Infill Capacities'!CS11</f>
        <v>1.8601738665676483E-3</v>
      </c>
      <c r="E26" s="227" t="e">
        <f>'System Capacities'!Q6</f>
        <v>#N/A</v>
      </c>
      <c r="F26" s="448">
        <f>'System Capacities'!N6</f>
        <v>10.43447219167199</v>
      </c>
      <c r="G26" s="233">
        <f>'System Capacities'!O6</f>
        <v>128.97144999038088</v>
      </c>
      <c r="H26" s="305" t="e">
        <f>'System Capacities'!P6</f>
        <v>#N/A</v>
      </c>
      <c r="J26" s="917"/>
      <c r="K26" s="955"/>
      <c r="L26" s="955"/>
      <c r="M26" s="917"/>
      <c r="N26" s="917"/>
      <c r="O26" s="955"/>
      <c r="P26" s="955"/>
      <c r="Q26" s="955"/>
      <c r="R26" s="917"/>
      <c r="S26" s="917"/>
      <c r="T26" s="917"/>
      <c r="U26" s="955"/>
      <c r="V26" s="917"/>
      <c r="X26" s="643"/>
      <c r="Y26" s="1042"/>
      <c r="Z26" s="1042"/>
      <c r="AA26" s="1042"/>
      <c r="AB26" s="648"/>
    </row>
    <row r="27" spans="2:28" ht="13.9" customHeight="1" x14ac:dyDescent="0.25">
      <c r="B27" s="446">
        <v>2</v>
      </c>
      <c r="C27" s="447">
        <f>'Frame Capacities'!BT12</f>
        <v>9.1744770034843208E-3</v>
      </c>
      <c r="D27" s="235">
        <f>'Infill Capacities'!CS12</f>
        <v>1.7655780345468453E-3</v>
      </c>
      <c r="E27" s="227" t="e">
        <f>'System Capacities'!Q7</f>
        <v>#N/A</v>
      </c>
      <c r="F27" s="448">
        <f>'System Capacities'!N7</f>
        <v>32.116963804751286</v>
      </c>
      <c r="G27" s="233">
        <f>'System Capacities'!O7</f>
        <v>235.85315329906305</v>
      </c>
      <c r="H27" s="305" t="e">
        <f>'System Capacities'!P7</f>
        <v>#N/A</v>
      </c>
      <c r="J27" s="432">
        <v>3</v>
      </c>
      <c r="K27" s="144">
        <v>3</v>
      </c>
      <c r="L27" s="144">
        <v>8.75</v>
      </c>
      <c r="M27" s="433">
        <v>2.4905172195710968E-2</v>
      </c>
      <c r="N27" s="140">
        <v>3.3737152080970285E-3</v>
      </c>
      <c r="O27" s="434">
        <v>1.1245717360323429E-3</v>
      </c>
      <c r="P27" s="433">
        <v>9.5976000000000013E-3</v>
      </c>
      <c r="Q27" s="433">
        <v>1.8601738665676483E-3</v>
      </c>
      <c r="R27" s="144">
        <v>0.1171721822155896</v>
      </c>
      <c r="S27" s="139">
        <v>0.60455194874196239</v>
      </c>
      <c r="T27" s="611">
        <v>139.42814681890059</v>
      </c>
      <c r="U27" s="144">
        <v>418.28444045670176</v>
      </c>
      <c r="V27" s="139">
        <v>345.99686778453838</v>
      </c>
      <c r="W27" s="415"/>
      <c r="X27" s="268">
        <v>3</v>
      </c>
      <c r="Y27" s="139">
        <f>'Structural Information'!$Z$6</f>
        <v>37.8446</v>
      </c>
      <c r="Z27" s="139">
        <f>Y27*M27</f>
        <v>0.94252627967780334</v>
      </c>
      <c r="AA27" s="139">
        <f>Z27*L27</f>
        <v>8.2471049471807785</v>
      </c>
      <c r="AB27" s="139">
        <f>AA30/Z30</f>
        <v>6.2826741501656436</v>
      </c>
    </row>
    <row r="28" spans="2:28" ht="13.9" customHeight="1" x14ac:dyDescent="0.25">
      <c r="B28" s="163">
        <v>1</v>
      </c>
      <c r="C28" s="449">
        <f>'Frame Capacities'!BT13</f>
        <v>8.1000948897978157E-3</v>
      </c>
      <c r="D28" s="450">
        <f>'Infill Capacities'!CS13</f>
        <v>1.7443905747548439E-3</v>
      </c>
      <c r="E28" s="356">
        <f>'System Capacities'!Q8</f>
        <v>0.08</v>
      </c>
      <c r="F28" s="451">
        <f>'System Capacities'!N8</f>
        <v>13.818181818181818</v>
      </c>
      <c r="G28" s="358">
        <f>'System Capacities'!O8</f>
        <v>27.059999999999995</v>
      </c>
      <c r="H28" s="329">
        <f>'System Capacities'!P8</f>
        <v>97.888939193605097</v>
      </c>
      <c r="J28" s="432">
        <v>2</v>
      </c>
      <c r="K28" s="144">
        <v>3</v>
      </c>
      <c r="L28" s="144">
        <v>5.75</v>
      </c>
      <c r="M28" s="433">
        <v>2.1531456987613939E-2</v>
      </c>
      <c r="N28" s="140">
        <v>8.4704818146626743E-3</v>
      </c>
      <c r="O28" s="434">
        <v>2.8234939382208914E-3</v>
      </c>
      <c r="P28" s="433">
        <v>9.1744770034843208E-3</v>
      </c>
      <c r="Q28" s="433">
        <v>1.7655780345468453E-3</v>
      </c>
      <c r="R28" s="139">
        <v>0.30775530170805088</v>
      </c>
      <c r="S28" s="139">
        <v>1.5991895475441682</v>
      </c>
      <c r="T28" s="611">
        <v>268.00324953958659</v>
      </c>
      <c r="U28" s="144">
        <v>1222.2941890754614</v>
      </c>
      <c r="V28" s="435"/>
      <c r="W28" s="415"/>
      <c r="X28" s="268">
        <v>2</v>
      </c>
      <c r="Y28" s="139">
        <f>'Structural Information'!$Z$7</f>
        <v>40.367000000000004</v>
      </c>
      <c r="Z28" s="139">
        <f>Y28*M28</f>
        <v>0.86916032421901201</v>
      </c>
      <c r="AA28" s="139">
        <f>Z28*L28</f>
        <v>4.9976718642593188</v>
      </c>
      <c r="AB28" s="504" t="s">
        <v>339</v>
      </c>
    </row>
    <row r="29" spans="2:28" ht="13.9" customHeight="1" x14ac:dyDescent="0.25">
      <c r="J29" s="432">
        <v>1</v>
      </c>
      <c r="K29" s="144">
        <v>2.75</v>
      </c>
      <c r="L29" s="144">
        <v>2.75</v>
      </c>
      <c r="M29" s="433">
        <v>1.3060975172951265E-2</v>
      </c>
      <c r="N29" s="140">
        <v>1.3060975172951265E-2</v>
      </c>
      <c r="O29" s="434">
        <v>4.749445517436824E-3</v>
      </c>
      <c r="P29" s="433">
        <v>8.1000948897978157E-3</v>
      </c>
      <c r="Q29" s="433">
        <v>1.7443905747548439E-3</v>
      </c>
      <c r="R29" s="139">
        <v>0.58634442954721655</v>
      </c>
      <c r="S29" s="139">
        <v>2.7226961588601277</v>
      </c>
      <c r="T29" s="611">
        <v>345.99686843372285</v>
      </c>
      <c r="U29" s="144">
        <v>2173.7855772681992</v>
      </c>
      <c r="V29" s="436"/>
      <c r="W29" s="415"/>
      <c r="X29" s="268">
        <v>1</v>
      </c>
      <c r="Y29" s="139">
        <f>'Structural Information'!$Z$8</f>
        <v>40.367000000000004</v>
      </c>
      <c r="Z29" s="139">
        <f>Y29*M29</f>
        <v>0.52723238480652379</v>
      </c>
      <c r="AA29" s="139">
        <f>Z29*L29</f>
        <v>1.4498890582179405</v>
      </c>
      <c r="AB29" s="143">
        <f>T29/M27</f>
        <v>13892.570816808427</v>
      </c>
    </row>
    <row r="30" spans="2:28" x14ac:dyDescent="0.25">
      <c r="V30" s="437"/>
      <c r="W30" s="415"/>
      <c r="X30" s="438"/>
      <c r="Y30" s="504" t="s">
        <v>82</v>
      </c>
      <c r="Z30" s="439">
        <f>SUM(Z27:Z29)</f>
        <v>2.3389189887033393</v>
      </c>
      <c r="AA30" s="439">
        <f>SUM(AA27:AA29)</f>
        <v>14.694665869658039</v>
      </c>
      <c r="AB30" s="505" t="s">
        <v>341</v>
      </c>
    </row>
    <row r="31" spans="2:28" x14ac:dyDescent="0.25">
      <c r="W31" s="415"/>
      <c r="X31" s="438"/>
      <c r="Y31" s="440"/>
      <c r="Z31" s="440"/>
      <c r="AA31" s="441"/>
      <c r="AB31" s="139">
        <f>(('Structural Information'!$Z$6*M27+'Structural Information'!$Z$7*M28+'Structural Information'!$Z$8*M29)^2)/('Structural Information'!$Z$6*M27*M27+'Structural Information'!$Z$7*M28*M28+'Structural Information'!$Z$8*M29*M29)</f>
        <v>111.47482719581554</v>
      </c>
    </row>
    <row r="32" spans="2:28" x14ac:dyDescent="0.25">
      <c r="W32" s="415"/>
      <c r="X32" s="438"/>
      <c r="Y32" s="180"/>
      <c r="Z32" s="180"/>
      <c r="AA32" s="442"/>
      <c r="AB32" s="504" t="s">
        <v>340</v>
      </c>
    </row>
    <row r="33" spans="2:28" x14ac:dyDescent="0.25">
      <c r="X33" s="443"/>
      <c r="Y33" s="444"/>
      <c r="Z33" s="444"/>
      <c r="AA33" s="445"/>
      <c r="AB33" s="143">
        <f>2*PI()*SQRT(AB31/AB29)</f>
        <v>0.56282964290170567</v>
      </c>
    </row>
    <row r="35" spans="2:28" ht="15.75" customHeight="1" x14ac:dyDescent="0.25">
      <c r="B35" s="838" t="s">
        <v>223</v>
      </c>
      <c r="C35" s="838"/>
      <c r="D35" s="838"/>
      <c r="E35" s="861" t="s">
        <v>221</v>
      </c>
      <c r="F35" s="861"/>
      <c r="G35" s="861"/>
      <c r="H35" s="117"/>
      <c r="J35" s="1046" t="s">
        <v>112</v>
      </c>
      <c r="K35" s="1046"/>
      <c r="L35" s="1046"/>
      <c r="M35" s="1046"/>
      <c r="N35" s="1046"/>
      <c r="O35" s="1046"/>
      <c r="P35" s="1046"/>
      <c r="Q35" s="1046"/>
      <c r="R35" s="1046"/>
      <c r="S35" s="1046"/>
      <c r="T35" s="1046"/>
      <c r="U35" s="1046"/>
      <c r="V35" s="1046"/>
      <c r="X35" s="1047" t="s">
        <v>109</v>
      </c>
      <c r="Y35" s="1047"/>
      <c r="Z35" s="1047"/>
      <c r="AA35" s="1047"/>
      <c r="AB35" s="1047"/>
    </row>
    <row r="36" spans="2:28" ht="15" customHeight="1" x14ac:dyDescent="0.25">
      <c r="B36" s="246" t="s">
        <v>115</v>
      </c>
      <c r="C36" s="452" t="s">
        <v>83</v>
      </c>
      <c r="D36" s="246" t="s">
        <v>116</v>
      </c>
      <c r="E36" s="249" t="s">
        <v>222</v>
      </c>
      <c r="F36" s="249" t="s">
        <v>384</v>
      </c>
      <c r="G36" s="246" t="s">
        <v>224</v>
      </c>
      <c r="H36" s="229"/>
      <c r="J36" s="1040" t="s">
        <v>9</v>
      </c>
      <c r="K36" s="1041" t="s">
        <v>3</v>
      </c>
      <c r="L36" s="1041" t="s">
        <v>76</v>
      </c>
      <c r="M36" s="1040" t="s">
        <v>78</v>
      </c>
      <c r="N36" s="1040" t="s">
        <v>85</v>
      </c>
      <c r="O36" s="1041" t="s">
        <v>104</v>
      </c>
      <c r="P36" s="1041" t="s">
        <v>262</v>
      </c>
      <c r="Q36" s="1041" t="s">
        <v>263</v>
      </c>
      <c r="R36" s="1040" t="s">
        <v>419</v>
      </c>
      <c r="S36" s="1040" t="s">
        <v>420</v>
      </c>
      <c r="T36" s="1040" t="s">
        <v>79</v>
      </c>
      <c r="U36" s="1041" t="s">
        <v>105</v>
      </c>
      <c r="V36" s="1040" t="s">
        <v>83</v>
      </c>
      <c r="X36" s="643" t="s">
        <v>9</v>
      </c>
      <c r="Y36" s="1042" t="s">
        <v>80</v>
      </c>
      <c r="Z36" s="1042" t="s">
        <v>81</v>
      </c>
      <c r="AA36" s="1042" t="s">
        <v>107</v>
      </c>
      <c r="AB36" s="648" t="s">
        <v>108</v>
      </c>
    </row>
    <row r="37" spans="2:28" x14ac:dyDescent="0.25">
      <c r="B37" s="250">
        <v>0</v>
      </c>
      <c r="C37" s="235">
        <v>0</v>
      </c>
      <c r="D37" s="453">
        <v>0</v>
      </c>
      <c r="E37" s="306" t="s">
        <v>220</v>
      </c>
      <c r="F37" s="454"/>
      <c r="G37" s="305" t="s">
        <v>220</v>
      </c>
      <c r="H37" s="230"/>
      <c r="J37" s="917"/>
      <c r="K37" s="955"/>
      <c r="L37" s="955"/>
      <c r="M37" s="917"/>
      <c r="N37" s="917"/>
      <c r="O37" s="955"/>
      <c r="P37" s="955"/>
      <c r="Q37" s="955"/>
      <c r="R37" s="917"/>
      <c r="S37" s="917"/>
      <c r="T37" s="917"/>
      <c r="U37" s="955"/>
      <c r="V37" s="917"/>
      <c r="X37" s="643"/>
      <c r="Y37" s="1042"/>
      <c r="Z37" s="1042"/>
      <c r="AA37" s="1042"/>
      <c r="AB37" s="648"/>
    </row>
    <row r="38" spans="2:28" ht="13.9" customHeight="1" x14ac:dyDescent="0.25">
      <c r="B38" s="250">
        <v>1</v>
      </c>
      <c r="C38" s="230">
        <f>V5*-1</f>
        <v>-244.58028608654999</v>
      </c>
      <c r="D38" s="455">
        <f>M5</f>
        <v>1.1858046813659274E-2</v>
      </c>
      <c r="E38" s="306">
        <f>((C38-C37)/(D38-D37))*-1</f>
        <v>20625.680597315415</v>
      </c>
      <c r="F38" s="454">
        <v>17764.084632878785</v>
      </c>
      <c r="G38" s="305">
        <f>((F38-E38)/F38)*100</f>
        <v>-16.108884997880637</v>
      </c>
      <c r="H38" s="230"/>
      <c r="J38" s="432">
        <v>3</v>
      </c>
      <c r="K38" s="144">
        <v>3</v>
      </c>
      <c r="L38" s="144">
        <v>8.75</v>
      </c>
      <c r="M38" s="433">
        <v>3.2699269935775876E-2</v>
      </c>
      <c r="N38" s="140">
        <v>2.7916832719569393E-3</v>
      </c>
      <c r="O38" s="434">
        <v>9.3056109065231313E-4</v>
      </c>
      <c r="P38" s="433">
        <v>9.5976000000000013E-3</v>
      </c>
      <c r="Q38" s="433">
        <v>1.8601738665676483E-3</v>
      </c>
      <c r="R38" s="144">
        <v>9.6957686364540413E-2</v>
      </c>
      <c r="S38" s="139">
        <v>0.50025489948924173</v>
      </c>
      <c r="T38" s="611">
        <v>115.37406126637296</v>
      </c>
      <c r="U38" s="144">
        <v>346.12218379911889</v>
      </c>
      <c r="V38" s="139">
        <v>311.84093536070583</v>
      </c>
      <c r="W38" s="415"/>
      <c r="X38" s="268">
        <v>3</v>
      </c>
      <c r="Y38" s="139">
        <f>'Structural Information'!$Z$6</f>
        <v>37.8446</v>
      </c>
      <c r="Z38" s="139">
        <f>Y38*M38</f>
        <v>1.2374907910114636</v>
      </c>
      <c r="AA38" s="139">
        <f>Z38*L38</f>
        <v>10.828044421350306</v>
      </c>
      <c r="AB38" s="139">
        <f>AA41/Z41</f>
        <v>6.0510513526973444</v>
      </c>
    </row>
    <row r="39" spans="2:28" ht="13.9" customHeight="1" x14ac:dyDescent="0.25">
      <c r="B39" s="250">
        <v>2</v>
      </c>
      <c r="C39" s="233">
        <f>V16*-1</f>
        <v>-310.05695506527309</v>
      </c>
      <c r="D39" s="453">
        <f>M16</f>
        <v>1.8482293170831509E-2</v>
      </c>
      <c r="E39" s="306">
        <f>((C39-C38)/(D39-D38))*-1</f>
        <v>9884.395212419884</v>
      </c>
      <c r="G39" s="442"/>
      <c r="H39" s="230"/>
      <c r="J39" s="432">
        <v>2</v>
      </c>
      <c r="K39" s="144">
        <v>3</v>
      </c>
      <c r="L39" s="144">
        <v>5.75</v>
      </c>
      <c r="M39" s="433">
        <v>2.9907586663818937E-2</v>
      </c>
      <c r="N39" s="140">
        <v>7.5706869792014214E-3</v>
      </c>
      <c r="O39" s="434">
        <v>2.523562326400474E-3</v>
      </c>
      <c r="P39" s="433">
        <v>9.1744770034843208E-3</v>
      </c>
      <c r="Q39" s="433">
        <v>1.7655780345468453E-3</v>
      </c>
      <c r="R39" s="139">
        <v>0.27506334425843182</v>
      </c>
      <c r="S39" s="139">
        <v>1.4293122575282682</v>
      </c>
      <c r="T39" s="611">
        <v>227.93146038245968</v>
      </c>
      <c r="U39" s="144">
        <v>1029.9165649464978</v>
      </c>
      <c r="V39" s="435"/>
      <c r="W39" s="415"/>
      <c r="X39" s="268">
        <v>2</v>
      </c>
      <c r="Y39" s="139">
        <f>'Structural Information'!$Z$7</f>
        <v>40.367000000000004</v>
      </c>
      <c r="Z39" s="139">
        <f>Y39*M39</f>
        <v>1.2072795508583791</v>
      </c>
      <c r="AA39" s="139">
        <f>Z39*L39</f>
        <v>6.9418574174356795</v>
      </c>
      <c r="AB39" s="504" t="s">
        <v>339</v>
      </c>
    </row>
    <row r="40" spans="2:28" ht="13.9" customHeight="1" x14ac:dyDescent="0.25">
      <c r="B40" s="250">
        <v>3</v>
      </c>
      <c r="C40" s="230">
        <f>V27*-1</f>
        <v>-345.99686778453838</v>
      </c>
      <c r="D40" s="455">
        <f>M27</f>
        <v>2.4905172195710968E-2</v>
      </c>
      <c r="E40" s="306">
        <f>((C40-C39)/(D40-D39))*-1</f>
        <v>5595.6079166444824</v>
      </c>
      <c r="F40" s="230"/>
      <c r="G40" s="305"/>
      <c r="H40" s="230"/>
      <c r="J40" s="432">
        <v>1</v>
      </c>
      <c r="K40" s="144">
        <v>2.75</v>
      </c>
      <c r="L40" s="144">
        <v>2.75</v>
      </c>
      <c r="M40" s="433">
        <v>2.2336899684617516E-2</v>
      </c>
      <c r="N40" s="140">
        <v>2.2336899684617516E-2</v>
      </c>
      <c r="O40" s="434">
        <v>8.1225089762245514E-3</v>
      </c>
      <c r="P40" s="433">
        <v>8.1000948897978157E-3</v>
      </c>
      <c r="Q40" s="433">
        <v>1.7443905747548439E-3</v>
      </c>
      <c r="R40" s="139">
        <v>1.0027671387473456</v>
      </c>
      <c r="S40" s="139">
        <v>4.6563591283827508</v>
      </c>
      <c r="T40" s="611">
        <v>311.65416319792951</v>
      </c>
      <c r="U40" s="144">
        <v>1886.965513740804</v>
      </c>
      <c r="V40" s="436"/>
      <c r="W40" s="415"/>
      <c r="X40" s="268">
        <v>1</v>
      </c>
      <c r="Y40" s="139">
        <f>'Structural Information'!$Z$8</f>
        <v>40.367000000000004</v>
      </c>
      <c r="Z40" s="139">
        <f>Y40*M40</f>
        <v>0.90167362956895536</v>
      </c>
      <c r="AA40" s="139">
        <f>Z40*L40</f>
        <v>2.4796024813146271</v>
      </c>
      <c r="AB40" s="143">
        <f>T40/M38</f>
        <v>9530.9211431950789</v>
      </c>
    </row>
    <row r="41" spans="2:28" x14ac:dyDescent="0.25">
      <c r="B41" s="250">
        <v>4</v>
      </c>
      <c r="C41" s="230">
        <f>V38*-1</f>
        <v>-311.84093536070583</v>
      </c>
      <c r="D41" s="455">
        <f>M38</f>
        <v>3.2699269935775876E-2</v>
      </c>
      <c r="E41" s="1061">
        <f>((C42-C40)/(D42-D40))*-1</f>
        <v>-9233.0457222097648</v>
      </c>
      <c r="F41" s="1062">
        <f>N236</f>
        <v>5721.8458404205212</v>
      </c>
      <c r="G41" s="1063">
        <f>((F41-E41)/F41)*100</f>
        <v>261.36481093190713</v>
      </c>
      <c r="V41" s="437"/>
      <c r="W41" s="415"/>
      <c r="X41" s="438"/>
      <c r="Y41" s="504" t="s">
        <v>82</v>
      </c>
      <c r="Z41" s="439">
        <f>SUM(Z38:Z40)</f>
        <v>3.3464439714387981</v>
      </c>
      <c r="AA41" s="439">
        <f>SUM(AA38:AA40)</f>
        <v>20.249504320100613</v>
      </c>
      <c r="AB41" s="505" t="s">
        <v>341</v>
      </c>
    </row>
    <row r="42" spans="2:28" x14ac:dyDescent="0.25">
      <c r="B42" s="250">
        <v>5</v>
      </c>
      <c r="C42" s="230">
        <f>V49*-1</f>
        <v>-158.5132660437703</v>
      </c>
      <c r="D42" s="455">
        <f>M49</f>
        <v>4.521088792392218E-2</v>
      </c>
      <c r="E42" s="1061"/>
      <c r="F42" s="1062"/>
      <c r="G42" s="1063"/>
      <c r="H42" s="230"/>
      <c r="W42" s="415"/>
      <c r="X42" s="438"/>
      <c r="Y42" s="440"/>
      <c r="Z42" s="440"/>
      <c r="AA42" s="441"/>
      <c r="AB42" s="139">
        <f>(('Structural Information'!$Z$6*M38+'Structural Information'!$Z$7*M39+'Structural Information'!$Z$8*M40)^2)/('Structural Information'!$Z$6*M38*M38+'Structural Information'!$Z$7*M39*M39+'Structural Information'!$Z$8*M40*M40)</f>
        <v>115.79363863539612</v>
      </c>
    </row>
    <row r="43" spans="2:28" x14ac:dyDescent="0.25">
      <c r="B43" s="250">
        <v>6</v>
      </c>
      <c r="C43" s="230">
        <f>V60*-1</f>
        <v>-165.5441925273077</v>
      </c>
      <c r="D43" s="455">
        <f>M60</f>
        <v>7.3497679380479117E-2</v>
      </c>
      <c r="E43" s="306">
        <f>((C43-C42)/(D43-D42))*-1</f>
        <v>248.55864244396713</v>
      </c>
      <c r="F43" s="230"/>
      <c r="G43" s="305"/>
      <c r="H43" s="230"/>
      <c r="W43" s="415"/>
      <c r="X43" s="438"/>
      <c r="Y43" s="180"/>
      <c r="Z43" s="180"/>
      <c r="AA43" s="442"/>
      <c r="AB43" s="504" t="s">
        <v>340</v>
      </c>
    </row>
    <row r="44" spans="2:28" x14ac:dyDescent="0.25">
      <c r="B44" s="250">
        <v>7</v>
      </c>
      <c r="C44" s="230">
        <f>V71*-1</f>
        <v>-137.89355150441932</v>
      </c>
      <c r="D44" s="455">
        <f>M71</f>
        <v>0.13524399533529052</v>
      </c>
      <c r="E44" s="306">
        <f>((C44-C43)/(D44-D43))*-1</f>
        <v>-447.81037694822635</v>
      </c>
      <c r="G44" s="442"/>
      <c r="X44" s="443"/>
      <c r="Y44" s="444"/>
      <c r="Z44" s="444"/>
      <c r="AA44" s="445"/>
      <c r="AB44" s="143">
        <f>2*PI()*SQRT(AB42/AB40)</f>
        <v>0.69255581603204808</v>
      </c>
    </row>
    <row r="45" spans="2:28" x14ac:dyDescent="0.25">
      <c r="B45" s="250">
        <v>8</v>
      </c>
      <c r="C45" s="230">
        <f>V82*-1</f>
        <v>-108.92848352767136</v>
      </c>
      <c r="D45" s="455">
        <f>M82</f>
        <v>0.19999999993730164</v>
      </c>
      <c r="E45" s="306">
        <f>((C45-C44)/(D45-D44))*-1</f>
        <v>-447.29547714944101</v>
      </c>
      <c r="G45" s="442"/>
    </row>
    <row r="46" spans="2:28" x14ac:dyDescent="0.25">
      <c r="B46" s="250">
        <v>9</v>
      </c>
      <c r="C46" s="230">
        <f>V93*-1</f>
        <v>-108.92848352767136</v>
      </c>
      <c r="D46" s="455">
        <f>M93</f>
        <v>0.19999999993730164</v>
      </c>
      <c r="E46" s="306" t="e">
        <f>((C46-C45)/(D46-D45))*-1</f>
        <v>#DIV/0!</v>
      </c>
      <c r="G46" s="442"/>
      <c r="J46" s="1049" t="s">
        <v>113</v>
      </c>
      <c r="K46" s="1050"/>
      <c r="L46" s="1050"/>
      <c r="M46" s="1050"/>
      <c r="N46" s="1050"/>
      <c r="O46" s="1050"/>
      <c r="P46" s="1050"/>
      <c r="Q46" s="1050"/>
      <c r="R46" s="1050"/>
      <c r="S46" s="1050"/>
      <c r="T46" s="1050"/>
      <c r="U46" s="1050"/>
      <c r="V46" s="1051"/>
      <c r="X46" s="1046" t="s">
        <v>109</v>
      </c>
      <c r="Y46" s="1046"/>
      <c r="Z46" s="1046"/>
      <c r="AA46" s="1046"/>
      <c r="AB46" s="1046"/>
    </row>
    <row r="47" spans="2:28" ht="15" customHeight="1" x14ac:dyDescent="0.25">
      <c r="B47" s="250">
        <v>10</v>
      </c>
      <c r="C47" s="230">
        <f>V104*-1</f>
        <v>-108.92848352767136</v>
      </c>
      <c r="D47" s="455">
        <f>M104</f>
        <v>0.19999999993730164</v>
      </c>
      <c r="E47" s="306" t="e">
        <f>((C47-C46)/(D47-D46))*-1</f>
        <v>#DIV/0!</v>
      </c>
      <c r="G47" s="442"/>
      <c r="J47" s="1040" t="s">
        <v>9</v>
      </c>
      <c r="K47" s="1041" t="s">
        <v>3</v>
      </c>
      <c r="L47" s="1041" t="s">
        <v>76</v>
      </c>
      <c r="M47" s="1040" t="s">
        <v>78</v>
      </c>
      <c r="N47" s="1040" t="s">
        <v>85</v>
      </c>
      <c r="O47" s="1041" t="s">
        <v>104</v>
      </c>
      <c r="P47" s="1041" t="s">
        <v>262</v>
      </c>
      <c r="Q47" s="1041" t="s">
        <v>263</v>
      </c>
      <c r="R47" s="1040" t="s">
        <v>419</v>
      </c>
      <c r="S47" s="1040" t="s">
        <v>420</v>
      </c>
      <c r="T47" s="1040" t="s">
        <v>79</v>
      </c>
      <c r="U47" s="1041" t="s">
        <v>105</v>
      </c>
      <c r="V47" s="1040" t="s">
        <v>83</v>
      </c>
      <c r="X47" s="643" t="s">
        <v>9</v>
      </c>
      <c r="Y47" s="1042" t="s">
        <v>80</v>
      </c>
      <c r="Z47" s="1042" t="s">
        <v>81</v>
      </c>
      <c r="AA47" s="1042" t="s">
        <v>107</v>
      </c>
      <c r="AB47" s="648" t="s">
        <v>108</v>
      </c>
    </row>
    <row r="48" spans="2:28" x14ac:dyDescent="0.25">
      <c r="B48" s="250">
        <v>11</v>
      </c>
      <c r="C48" s="230">
        <f>V115*-1</f>
        <v>-108.92848352767136</v>
      </c>
      <c r="D48" s="455">
        <f>M115</f>
        <v>0.19999999993730164</v>
      </c>
      <c r="E48" s="306" t="e">
        <f t="shared" ref="E48:E57" si="0">((C48-C47)/(D48-D47))*-1</f>
        <v>#DIV/0!</v>
      </c>
      <c r="G48" s="442"/>
      <c r="J48" s="917"/>
      <c r="K48" s="955"/>
      <c r="L48" s="955"/>
      <c r="M48" s="917"/>
      <c r="N48" s="917"/>
      <c r="O48" s="955"/>
      <c r="P48" s="955"/>
      <c r="Q48" s="955"/>
      <c r="R48" s="917"/>
      <c r="S48" s="917"/>
      <c r="T48" s="917"/>
      <c r="U48" s="955"/>
      <c r="V48" s="917"/>
      <c r="X48" s="643"/>
      <c r="Y48" s="1042"/>
      <c r="Z48" s="1042"/>
      <c r="AA48" s="1042"/>
      <c r="AB48" s="648"/>
    </row>
    <row r="49" spans="2:28" ht="13.9" customHeight="1" x14ac:dyDescent="0.25">
      <c r="B49" s="250">
        <v>12</v>
      </c>
      <c r="C49" s="230">
        <f>V126*-1</f>
        <v>-108.92848352767136</v>
      </c>
      <c r="D49" s="455">
        <f>M126</f>
        <v>0.19999999993730164</v>
      </c>
      <c r="E49" s="306" t="e">
        <f t="shared" si="0"/>
        <v>#DIV/0!</v>
      </c>
      <c r="G49" s="442"/>
      <c r="J49" s="432">
        <v>3</v>
      </c>
      <c r="K49" s="144">
        <v>3</v>
      </c>
      <c r="L49" s="144">
        <v>8.75</v>
      </c>
      <c r="M49" s="433">
        <v>4.521088792392218E-2</v>
      </c>
      <c r="N49" s="140">
        <v>1.291034987342822E-3</v>
      </c>
      <c r="O49" s="434">
        <v>4.3034499578094065E-4</v>
      </c>
      <c r="P49" s="433">
        <v>9.5976000000000013E-3</v>
      </c>
      <c r="Q49" s="433">
        <v>1.8601738665676483E-3</v>
      </c>
      <c r="R49" s="144">
        <v>4.483881343053895E-2</v>
      </c>
      <c r="S49" s="139">
        <v>0.2313466517917509</v>
      </c>
      <c r="T49" s="611">
        <v>53.355604922297807</v>
      </c>
      <c r="U49" s="144">
        <v>160.06681476689343</v>
      </c>
      <c r="V49" s="139">
        <v>158.5132660437703</v>
      </c>
      <c r="W49" s="415"/>
      <c r="X49" s="268">
        <v>3</v>
      </c>
      <c r="Y49" s="139">
        <f>'Structural Information'!$Z$6</f>
        <v>37.8446</v>
      </c>
      <c r="Z49" s="139">
        <f>Y49*M49</f>
        <v>1.7109879691256653</v>
      </c>
      <c r="AA49" s="139">
        <f>Z49*L49</f>
        <v>14.971144729849572</v>
      </c>
      <c r="AB49" s="139">
        <f>AA52/Z52</f>
        <v>5.8305694513372686</v>
      </c>
    </row>
    <row r="50" spans="2:28" ht="13.9" customHeight="1" x14ac:dyDescent="0.25">
      <c r="B50" s="250">
        <v>13</v>
      </c>
      <c r="C50" s="230">
        <f>V137*-1</f>
        <v>-108.92848352767136</v>
      </c>
      <c r="D50" s="455">
        <f>M137</f>
        <v>0.19999999993730164</v>
      </c>
      <c r="E50" s="306" t="e">
        <f t="shared" si="0"/>
        <v>#DIV/0!</v>
      </c>
      <c r="G50" s="442"/>
      <c r="J50" s="432">
        <v>2</v>
      </c>
      <c r="K50" s="144">
        <v>3</v>
      </c>
      <c r="L50" s="144">
        <v>5.75</v>
      </c>
      <c r="M50" s="433">
        <v>4.3919852936579358E-2</v>
      </c>
      <c r="N50" s="140">
        <v>4.8998502017373255E-3</v>
      </c>
      <c r="O50" s="434">
        <v>1.6332834005791084E-3</v>
      </c>
      <c r="P50" s="433">
        <v>9.1744770034843208E-3</v>
      </c>
      <c r="Q50" s="433">
        <v>1.7655780345468453E-3</v>
      </c>
      <c r="R50" s="139">
        <v>0.17802468739731031</v>
      </c>
      <c r="S50" s="139">
        <v>0.92507007258861162</v>
      </c>
      <c r="T50" s="611">
        <v>108.64227641042193</v>
      </c>
      <c r="U50" s="144">
        <v>485.9936439981592</v>
      </c>
      <c r="V50" s="435"/>
      <c r="W50" s="415"/>
      <c r="X50" s="268">
        <v>2</v>
      </c>
      <c r="Y50" s="139">
        <f>'Structural Information'!$Z$7</f>
        <v>40.367000000000004</v>
      </c>
      <c r="Z50" s="139">
        <f>Y50*M50</f>
        <v>1.7729127034908991</v>
      </c>
      <c r="AA50" s="139">
        <f>Z50*L50</f>
        <v>10.194248045072669</v>
      </c>
      <c r="AB50" s="504" t="s">
        <v>339</v>
      </c>
    </row>
    <row r="51" spans="2:28" ht="13.9" customHeight="1" x14ac:dyDescent="0.25">
      <c r="B51" s="250">
        <v>14</v>
      </c>
      <c r="C51" s="230">
        <f>V148*-1</f>
        <v>-108.92848352767136</v>
      </c>
      <c r="D51" s="455">
        <f>M148</f>
        <v>0.19999999993730164</v>
      </c>
      <c r="E51" s="306" t="e">
        <f t="shared" si="0"/>
        <v>#DIV/0!</v>
      </c>
      <c r="G51" s="442"/>
      <c r="J51" s="432">
        <v>1</v>
      </c>
      <c r="K51" s="144">
        <v>2.75</v>
      </c>
      <c r="L51" s="144">
        <v>2.75</v>
      </c>
      <c r="M51" s="433">
        <v>3.9020002734842033E-2</v>
      </c>
      <c r="N51" s="140">
        <v>3.9020002734842033E-2</v>
      </c>
      <c r="O51" s="434">
        <v>1.4189091903578921E-2</v>
      </c>
      <c r="P51" s="433">
        <v>8.1000948897978157E-3</v>
      </c>
      <c r="Q51" s="433">
        <v>1.7443905747548439E-3</v>
      </c>
      <c r="R51" s="139">
        <v>1.7517192201600358</v>
      </c>
      <c r="S51" s="139">
        <v>8.1341255272335165</v>
      </c>
      <c r="T51" s="611">
        <v>159.35598641030734</v>
      </c>
      <c r="U51" s="144">
        <v>924.22260662650433</v>
      </c>
      <c r="V51" s="436"/>
      <c r="W51" s="415"/>
      <c r="X51" s="268">
        <v>1</v>
      </c>
      <c r="Y51" s="139">
        <f>'Structural Information'!$Z$8</f>
        <v>40.367000000000004</v>
      </c>
      <c r="Z51" s="139">
        <f>Y51*M51</f>
        <v>1.5751204503973686</v>
      </c>
      <c r="AA51" s="139">
        <f>Z51*L51</f>
        <v>4.3315812385927632</v>
      </c>
      <c r="AB51" s="143">
        <f>T51/M49</f>
        <v>3524.7258730786443</v>
      </c>
    </row>
    <row r="52" spans="2:28" x14ac:dyDescent="0.25">
      <c r="B52" s="250">
        <v>15</v>
      </c>
      <c r="C52" s="230">
        <f>V159*-1</f>
        <v>-108.92848352767136</v>
      </c>
      <c r="D52" s="455">
        <f>M159</f>
        <v>0.19999999993730164</v>
      </c>
      <c r="E52" s="306" t="e">
        <f t="shared" si="0"/>
        <v>#DIV/0!</v>
      </c>
      <c r="G52" s="442"/>
      <c r="V52" s="437"/>
      <c r="W52" s="415"/>
      <c r="X52" s="438"/>
      <c r="Y52" s="504" t="s">
        <v>82</v>
      </c>
      <c r="Z52" s="439">
        <f>SUM(Z49:Z51)</f>
        <v>5.0590211230139328</v>
      </c>
      <c r="AA52" s="439">
        <f>SUM(AA49:AA51)</f>
        <v>29.496974013515</v>
      </c>
      <c r="AB52" s="505" t="s">
        <v>341</v>
      </c>
    </row>
    <row r="53" spans="2:28" x14ac:dyDescent="0.25">
      <c r="B53" s="250">
        <v>16</v>
      </c>
      <c r="C53" s="230">
        <f>V170*-1</f>
        <v>-108.92848352767136</v>
      </c>
      <c r="D53" s="455">
        <f>M170</f>
        <v>0.19999999993730164</v>
      </c>
      <c r="E53" s="306" t="e">
        <f t="shared" si="0"/>
        <v>#DIV/0!</v>
      </c>
      <c r="G53" s="442"/>
      <c r="W53" s="415"/>
      <c r="X53" s="438"/>
      <c r="Y53" s="440"/>
      <c r="Z53" s="440"/>
      <c r="AA53" s="441"/>
      <c r="AB53" s="139">
        <f>(('Structural Information'!$Z$6*M49+'Structural Information'!$Z$7*M50+'Structural Information'!$Z$8*M51)^2)/('Structural Information'!$Z$6*M49*M49+'Structural Information'!$Z$7*M50*M50+'Structural Information'!$Z$8*M51*M51)</f>
        <v>118.11608344149128</v>
      </c>
    </row>
    <row r="54" spans="2:28" x14ac:dyDescent="0.25">
      <c r="B54" s="250">
        <v>17</v>
      </c>
      <c r="C54" s="230">
        <f>V181*-1</f>
        <v>-108.92848352767136</v>
      </c>
      <c r="D54" s="455">
        <f>M181</f>
        <v>0.19999999993730164</v>
      </c>
      <c r="E54" s="306" t="e">
        <f t="shared" si="0"/>
        <v>#DIV/0!</v>
      </c>
      <c r="G54" s="442"/>
      <c r="W54" s="415"/>
      <c r="X54" s="438"/>
      <c r="Y54" s="180"/>
      <c r="Z54" s="180"/>
      <c r="AA54" s="442"/>
      <c r="AB54" s="504" t="s">
        <v>340</v>
      </c>
    </row>
    <row r="55" spans="2:28" x14ac:dyDescent="0.25">
      <c r="B55" s="250">
        <v>18</v>
      </c>
      <c r="C55" s="230">
        <f>V192*-1</f>
        <v>-108.92848352767136</v>
      </c>
      <c r="D55" s="455">
        <f>M192</f>
        <v>0.19999999993730164</v>
      </c>
      <c r="E55" s="306" t="e">
        <f t="shared" si="0"/>
        <v>#DIV/0!</v>
      </c>
      <c r="G55" s="442"/>
      <c r="X55" s="443"/>
      <c r="Y55" s="444"/>
      <c r="Z55" s="444"/>
      <c r="AA55" s="445"/>
      <c r="AB55" s="143">
        <f>2*PI()*SQRT(AB53/AB51)</f>
        <v>1.1501956323396942</v>
      </c>
    </row>
    <row r="56" spans="2:28" x14ac:dyDescent="0.25">
      <c r="B56" s="250">
        <v>19</v>
      </c>
      <c r="C56" s="230">
        <f>V203*-1</f>
        <v>-108.92848352767136</v>
      </c>
      <c r="D56" s="455">
        <f>M203</f>
        <v>0.19999999993730164</v>
      </c>
      <c r="E56" s="306" t="e">
        <f t="shared" si="0"/>
        <v>#DIV/0!</v>
      </c>
      <c r="G56" s="442"/>
    </row>
    <row r="57" spans="2:28" x14ac:dyDescent="0.25">
      <c r="B57" s="248">
        <v>20</v>
      </c>
      <c r="C57" s="328">
        <f>V214*-1</f>
        <v>-108.92848352767136</v>
      </c>
      <c r="D57" s="456">
        <f>M214</f>
        <v>0.19999999993730164</v>
      </c>
      <c r="E57" s="327" t="e">
        <f t="shared" si="0"/>
        <v>#DIV/0!</v>
      </c>
      <c r="F57" s="444"/>
      <c r="G57" s="445"/>
      <c r="J57" s="1043" t="s">
        <v>114</v>
      </c>
      <c r="K57" s="1044"/>
      <c r="L57" s="1044"/>
      <c r="M57" s="1044"/>
      <c r="N57" s="1044"/>
      <c r="O57" s="1044"/>
      <c r="P57" s="1044"/>
      <c r="Q57" s="1044"/>
      <c r="R57" s="1044"/>
      <c r="S57" s="1044"/>
      <c r="T57" s="1044"/>
      <c r="U57" s="1044"/>
      <c r="V57" s="1045"/>
      <c r="W57" s="457"/>
      <c r="X57" s="1039" t="s">
        <v>109</v>
      </c>
      <c r="Y57" s="1039"/>
      <c r="Z57" s="1039"/>
      <c r="AA57" s="1039"/>
      <c r="AB57" s="1039"/>
    </row>
    <row r="58" spans="2:28" ht="15" customHeight="1" x14ac:dyDescent="0.25">
      <c r="J58" s="1040" t="s">
        <v>9</v>
      </c>
      <c r="K58" s="1041" t="s">
        <v>3</v>
      </c>
      <c r="L58" s="1041" t="s">
        <v>76</v>
      </c>
      <c r="M58" s="1040" t="s">
        <v>78</v>
      </c>
      <c r="N58" s="1040" t="s">
        <v>85</v>
      </c>
      <c r="O58" s="1041" t="s">
        <v>104</v>
      </c>
      <c r="P58" s="1041" t="s">
        <v>262</v>
      </c>
      <c r="Q58" s="1041" t="s">
        <v>263</v>
      </c>
      <c r="R58" s="1040" t="s">
        <v>419</v>
      </c>
      <c r="S58" s="1040" t="s">
        <v>420</v>
      </c>
      <c r="T58" s="1040" t="s">
        <v>79</v>
      </c>
      <c r="U58" s="1041" t="s">
        <v>105</v>
      </c>
      <c r="V58" s="1040" t="s">
        <v>83</v>
      </c>
      <c r="X58" s="643" t="s">
        <v>9</v>
      </c>
      <c r="Y58" s="1042" t="s">
        <v>80</v>
      </c>
      <c r="Z58" s="1042" t="s">
        <v>81</v>
      </c>
      <c r="AA58" s="1042" t="s">
        <v>107</v>
      </c>
      <c r="AB58" s="648" t="s">
        <v>108</v>
      </c>
    </row>
    <row r="59" spans="2:28" x14ac:dyDescent="0.25">
      <c r="J59" s="917"/>
      <c r="K59" s="955"/>
      <c r="L59" s="955"/>
      <c r="M59" s="917"/>
      <c r="N59" s="917"/>
      <c r="O59" s="955"/>
      <c r="P59" s="955"/>
      <c r="Q59" s="955"/>
      <c r="R59" s="917"/>
      <c r="S59" s="917"/>
      <c r="T59" s="917"/>
      <c r="U59" s="955"/>
      <c r="V59" s="917"/>
      <c r="X59" s="643"/>
      <c r="Y59" s="1042"/>
      <c r="Z59" s="1042"/>
      <c r="AA59" s="1042"/>
      <c r="AB59" s="648"/>
    </row>
    <row r="60" spans="2:28" x14ac:dyDescent="0.25">
      <c r="J60" s="432">
        <v>3</v>
      </c>
      <c r="K60" s="144">
        <v>3</v>
      </c>
      <c r="L60" s="144">
        <v>8.75</v>
      </c>
      <c r="M60" s="433">
        <v>7.3497679380479117E-2</v>
      </c>
      <c r="N60" s="140">
        <v>1.3252332256012828E-3</v>
      </c>
      <c r="O60" s="434">
        <v>4.417444085337609E-4</v>
      </c>
      <c r="P60" s="433">
        <v>9.5976000000000013E-3</v>
      </c>
      <c r="Q60" s="433">
        <v>1.8601738665676483E-3</v>
      </c>
      <c r="R60" s="144">
        <v>4.6026549192898315E-2</v>
      </c>
      <c r="S60" s="139">
        <v>0.23747479548718634</v>
      </c>
      <c r="T60" s="611">
        <v>54.768942056802629</v>
      </c>
      <c r="U60" s="144">
        <v>164.30682617040787</v>
      </c>
      <c r="V60" s="139">
        <v>165.5441925273077</v>
      </c>
      <c r="W60" s="415"/>
      <c r="X60" s="268">
        <v>3</v>
      </c>
      <c r="Y60" s="139">
        <f>'Structural Information'!$Z$6</f>
        <v>37.8446</v>
      </c>
      <c r="Z60" s="139">
        <f>Y60*M60</f>
        <v>2.7814902770824799</v>
      </c>
      <c r="AA60" s="139">
        <f>Z60*L60</f>
        <v>24.338039924471698</v>
      </c>
      <c r="AB60" s="139">
        <f>AA63/Z63</f>
        <v>5.774640725880233</v>
      </c>
    </row>
    <row r="61" spans="2:28" x14ac:dyDescent="0.25">
      <c r="J61" s="432">
        <v>2</v>
      </c>
      <c r="K61" s="144">
        <v>3</v>
      </c>
      <c r="L61" s="144">
        <v>5.75</v>
      </c>
      <c r="M61" s="433">
        <v>7.2172446154877834E-2</v>
      </c>
      <c r="N61" s="140">
        <v>4.9780499839840175E-3</v>
      </c>
      <c r="O61" s="434">
        <v>1.6593499946613393E-3</v>
      </c>
      <c r="P61" s="433">
        <v>9.1744770034843208E-3</v>
      </c>
      <c r="Q61" s="433">
        <v>1.7655780345468453E-3</v>
      </c>
      <c r="R61" s="139">
        <v>0.18086589502934547</v>
      </c>
      <c r="S61" s="139">
        <v>0.9398338460226876</v>
      </c>
      <c r="T61" s="611">
        <v>112.134960160215</v>
      </c>
      <c r="U61" s="144">
        <v>500.71170665105291</v>
      </c>
      <c r="V61" s="435"/>
      <c r="W61" s="415"/>
      <c r="X61" s="268">
        <v>2</v>
      </c>
      <c r="Y61" s="139">
        <f>'Structural Information'!$Z$7</f>
        <v>40.367000000000004</v>
      </c>
      <c r="Z61" s="139">
        <f>Y61*M61</f>
        <v>2.913385133933954</v>
      </c>
      <c r="AA61" s="139">
        <f>Z61*L61</f>
        <v>16.751964520120236</v>
      </c>
      <c r="AB61" s="504" t="s">
        <v>339</v>
      </c>
    </row>
    <row r="62" spans="2:28" x14ac:dyDescent="0.25">
      <c r="J62" s="432">
        <v>1</v>
      </c>
      <c r="K62" s="144">
        <v>2.75</v>
      </c>
      <c r="L62" s="144">
        <v>2.75</v>
      </c>
      <c r="M62" s="433">
        <v>6.7194396170893816E-2</v>
      </c>
      <c r="N62" s="140">
        <v>6.7194396170893816E-2</v>
      </c>
      <c r="O62" s="434">
        <v>2.4434325880325024E-2</v>
      </c>
      <c r="P62" s="433">
        <v>8.1000948897978157E-3</v>
      </c>
      <c r="Q62" s="433">
        <v>1.7443905747548439E-3</v>
      </c>
      <c r="R62" s="139">
        <v>3.0165481037883155</v>
      </c>
      <c r="S62" s="139">
        <v>14.007370960347579</v>
      </c>
      <c r="T62" s="611">
        <v>165.5441925273077</v>
      </c>
      <c r="U62" s="144">
        <v>955.95823610114917</v>
      </c>
      <c r="V62" s="436"/>
      <c r="W62" s="415"/>
      <c r="X62" s="268">
        <v>1</v>
      </c>
      <c r="Y62" s="139">
        <f>'Structural Information'!$Z$8</f>
        <v>40.367000000000004</v>
      </c>
      <c r="Z62" s="139">
        <f>Y62*M62</f>
        <v>2.7124361902304708</v>
      </c>
      <c r="AA62" s="139">
        <f>Z62*L62</f>
        <v>7.4591995231337949</v>
      </c>
      <c r="AB62" s="143">
        <f>T62/M60</f>
        <v>2252.3730534446781</v>
      </c>
    </row>
    <row r="63" spans="2:28" x14ac:dyDescent="0.25">
      <c r="V63" s="437"/>
      <c r="W63" s="415"/>
      <c r="X63" s="438"/>
      <c r="Y63" s="504" t="s">
        <v>82</v>
      </c>
      <c r="Z63" s="439">
        <f>SUM(Z60:Z62)</f>
        <v>8.4073116012469047</v>
      </c>
      <c r="AA63" s="439">
        <f>SUM(AA60:AA62)</f>
        <v>48.549203967725731</v>
      </c>
      <c r="AB63" s="505" t="s">
        <v>341</v>
      </c>
    </row>
    <row r="64" spans="2:28" x14ac:dyDescent="0.25">
      <c r="W64" s="415"/>
      <c r="X64" s="438"/>
      <c r="Y64" s="440"/>
      <c r="Z64" s="440"/>
      <c r="AA64" s="441"/>
      <c r="AB64" s="139">
        <f>(('Structural Information'!$Z$6*M60+'Structural Information'!$Z$7*M61+'Structural Information'!$Z$8*M62)^2)/('Structural Information'!$Z$6*M60*M60+'Structural Information'!$Z$7*M61*M61+'Structural Information'!$Z$8*M62*M62)</f>
        <v>118.40478593366011</v>
      </c>
    </row>
    <row r="65" spans="10:28" x14ac:dyDescent="0.25">
      <c r="W65" s="415"/>
      <c r="X65" s="438"/>
      <c r="Y65" s="180"/>
      <c r="Z65" s="180"/>
      <c r="AA65" s="442"/>
      <c r="AB65" s="504" t="s">
        <v>340</v>
      </c>
    </row>
    <row r="66" spans="10:28" x14ac:dyDescent="0.25">
      <c r="X66" s="443"/>
      <c r="Y66" s="444"/>
      <c r="Z66" s="444"/>
      <c r="AA66" s="445"/>
      <c r="AB66" s="143">
        <f>2*PI()*SQRT(AB64/AB62)</f>
        <v>1.4406030680629607</v>
      </c>
    </row>
    <row r="67" spans="10:28" x14ac:dyDescent="0.25">
      <c r="R67" s="458"/>
      <c r="S67" s="458"/>
    </row>
    <row r="68" spans="10:28" x14ac:dyDescent="0.25">
      <c r="J68" s="1043" t="s">
        <v>276</v>
      </c>
      <c r="K68" s="1044"/>
      <c r="L68" s="1044"/>
      <c r="M68" s="1044"/>
      <c r="N68" s="1044"/>
      <c r="O68" s="1044"/>
      <c r="P68" s="1044"/>
      <c r="Q68" s="1044"/>
      <c r="R68" s="1044"/>
      <c r="S68" s="1044"/>
      <c r="T68" s="1044"/>
      <c r="U68" s="1044"/>
      <c r="V68" s="1045"/>
      <c r="W68" s="457"/>
      <c r="X68" s="1039" t="s">
        <v>109</v>
      </c>
      <c r="Y68" s="1039"/>
      <c r="Z68" s="1039"/>
      <c r="AA68" s="1039"/>
      <c r="AB68" s="1039"/>
    </row>
    <row r="69" spans="10:28" ht="15" customHeight="1" x14ac:dyDescent="0.25">
      <c r="J69" s="1040" t="s">
        <v>9</v>
      </c>
      <c r="K69" s="1041" t="s">
        <v>3</v>
      </c>
      <c r="L69" s="1041" t="s">
        <v>76</v>
      </c>
      <c r="M69" s="1040" t="s">
        <v>78</v>
      </c>
      <c r="N69" s="1040" t="s">
        <v>85</v>
      </c>
      <c r="O69" s="1041" t="s">
        <v>104</v>
      </c>
      <c r="P69" s="1041" t="s">
        <v>262</v>
      </c>
      <c r="Q69" s="1041" t="s">
        <v>263</v>
      </c>
      <c r="R69" s="1040" t="s">
        <v>419</v>
      </c>
      <c r="S69" s="1040" t="s">
        <v>420</v>
      </c>
      <c r="T69" s="1040" t="s">
        <v>79</v>
      </c>
      <c r="U69" s="1041" t="s">
        <v>105</v>
      </c>
      <c r="V69" s="1040" t="s">
        <v>83</v>
      </c>
      <c r="X69" s="643" t="s">
        <v>9</v>
      </c>
      <c r="Y69" s="1042" t="s">
        <v>80</v>
      </c>
      <c r="Z69" s="1042" t="s">
        <v>81</v>
      </c>
      <c r="AA69" s="1042" t="s">
        <v>107</v>
      </c>
      <c r="AB69" s="648" t="s">
        <v>108</v>
      </c>
    </row>
    <row r="70" spans="10:28" x14ac:dyDescent="0.25">
      <c r="J70" s="917"/>
      <c r="K70" s="955"/>
      <c r="L70" s="955"/>
      <c r="M70" s="917"/>
      <c r="N70" s="917"/>
      <c r="O70" s="955"/>
      <c r="P70" s="955"/>
      <c r="Q70" s="955"/>
      <c r="R70" s="917"/>
      <c r="S70" s="917"/>
      <c r="T70" s="917"/>
      <c r="U70" s="955"/>
      <c r="V70" s="917"/>
      <c r="X70" s="643"/>
      <c r="Y70" s="1042"/>
      <c r="Z70" s="1042"/>
      <c r="AA70" s="1042"/>
      <c r="AB70" s="648"/>
    </row>
    <row r="71" spans="10:28" x14ac:dyDescent="0.25">
      <c r="J71" s="432">
        <v>3</v>
      </c>
      <c r="K71" s="144">
        <v>3</v>
      </c>
      <c r="L71" s="144">
        <v>8.75</v>
      </c>
      <c r="M71" s="433">
        <v>0.13524399533529052</v>
      </c>
      <c r="N71" s="140">
        <v>1.0831339588906752E-3</v>
      </c>
      <c r="O71" s="434">
        <v>3.6104465296355842E-4</v>
      </c>
      <c r="P71" s="433">
        <v>9.5976000000000013E-3</v>
      </c>
      <c r="Q71" s="433">
        <v>1.8601738665676483E-3</v>
      </c>
      <c r="R71" s="144">
        <v>3.76182225726805E-2</v>
      </c>
      <c r="S71" s="139">
        <v>0.19409188541593159</v>
      </c>
      <c r="T71" s="611">
        <v>44.763517762938058</v>
      </c>
      <c r="U71" s="144">
        <v>134.29055328881418</v>
      </c>
      <c r="V71" s="139">
        <v>137.89355150441932</v>
      </c>
      <c r="W71" s="415"/>
      <c r="X71" s="268">
        <v>3</v>
      </c>
      <c r="Y71" s="139">
        <f>'Structural Information'!$Z$6</f>
        <v>37.8446</v>
      </c>
      <c r="Z71" s="139">
        <f>Y71*M71</f>
        <v>5.1182549058659355</v>
      </c>
      <c r="AA71" s="139">
        <f>Z71*L71</f>
        <v>44.784730426326938</v>
      </c>
      <c r="AB71" s="139">
        <f>AA74/Z74</f>
        <v>5.7282041495895557</v>
      </c>
    </row>
    <row r="72" spans="10:28" x14ac:dyDescent="0.25">
      <c r="J72" s="432">
        <v>2</v>
      </c>
      <c r="K72" s="144">
        <v>3</v>
      </c>
      <c r="L72" s="144">
        <v>5.75</v>
      </c>
      <c r="M72" s="433">
        <v>0.13416086137639985</v>
      </c>
      <c r="N72" s="140">
        <v>4.5301066382983091E-3</v>
      </c>
      <c r="O72" s="434">
        <v>1.5100355460994364E-3</v>
      </c>
      <c r="P72" s="433">
        <v>9.1744770034843208E-3</v>
      </c>
      <c r="Q72" s="433">
        <v>1.7655780345468453E-3</v>
      </c>
      <c r="R72" s="139">
        <v>0.16459091297803122</v>
      </c>
      <c r="S72" s="139">
        <v>0.85526412118454076</v>
      </c>
      <c r="T72" s="611">
        <v>92.128198001096166</v>
      </c>
      <c r="U72" s="144">
        <v>410.67514729210268</v>
      </c>
      <c r="V72" s="435"/>
      <c r="W72" s="415"/>
      <c r="X72" s="268">
        <v>2</v>
      </c>
      <c r="Y72" s="139">
        <f>'Structural Information'!$Z$7</f>
        <v>40.367000000000004</v>
      </c>
      <c r="Z72" s="139">
        <f>Y72*M72</f>
        <v>5.4156714911811337</v>
      </c>
      <c r="AA72" s="139">
        <f>Z72*L72</f>
        <v>31.140111074291518</v>
      </c>
      <c r="AB72" s="504" t="s">
        <v>339</v>
      </c>
    </row>
    <row r="73" spans="10:28" x14ac:dyDescent="0.25">
      <c r="J73" s="432">
        <v>1</v>
      </c>
      <c r="K73" s="144">
        <v>2.75</v>
      </c>
      <c r="L73" s="144">
        <v>2.75</v>
      </c>
      <c r="M73" s="433">
        <v>0.12963075473810154</v>
      </c>
      <c r="N73" s="140">
        <v>0.12963075473810154</v>
      </c>
      <c r="O73" s="434">
        <v>4.7138456268400561E-2</v>
      </c>
      <c r="P73" s="433">
        <v>8.1000948897978157E-3</v>
      </c>
      <c r="Q73" s="433">
        <v>1.7443905747548439E-3</v>
      </c>
      <c r="R73" s="139">
        <v>5.8194943281185649</v>
      </c>
      <c r="S73" s="139">
        <v>27.022879480431374</v>
      </c>
      <c r="T73" s="611">
        <v>137.89355150441935</v>
      </c>
      <c r="U73" s="144">
        <v>789.8824139292559</v>
      </c>
      <c r="V73" s="436"/>
      <c r="W73" s="415"/>
      <c r="X73" s="268">
        <v>1</v>
      </c>
      <c r="Y73" s="139">
        <f>'Structural Information'!$Z$8</f>
        <v>40.367000000000004</v>
      </c>
      <c r="Z73" s="139">
        <f>Y73*M73</f>
        <v>5.232804676512945</v>
      </c>
      <c r="AA73" s="139">
        <f>Z73*L73</f>
        <v>14.3902128604106</v>
      </c>
      <c r="AB73" s="143">
        <f>T73/M71</f>
        <v>1019.590933871483</v>
      </c>
    </row>
    <row r="74" spans="10:28" x14ac:dyDescent="0.25">
      <c r="V74" s="437"/>
      <c r="W74" s="415"/>
      <c r="X74" s="438"/>
      <c r="Y74" s="504" t="s">
        <v>82</v>
      </c>
      <c r="Z74" s="439">
        <f>SUM(Z71:Z73)</f>
        <v>15.766731073560013</v>
      </c>
      <c r="AA74" s="439">
        <f>SUM(AA71:AA73)</f>
        <v>90.315054361029055</v>
      </c>
      <c r="AB74" s="505" t="s">
        <v>341</v>
      </c>
    </row>
    <row r="75" spans="10:28" x14ac:dyDescent="0.25">
      <c r="W75" s="415"/>
      <c r="X75" s="438"/>
      <c r="Y75" s="440"/>
      <c r="Z75" s="440"/>
      <c r="AA75" s="441"/>
      <c r="AB75" s="139">
        <f>(('Structural Information'!$Z$6*M71+'Structural Information'!$Z$7*M72+'Structural Information'!$Z$8*M73)^2)/('Structural Information'!$Z$6*M71*M71+'Structural Information'!$Z$7*M72*M72+'Structural Information'!$Z$8*M73*M73)</f>
        <v>118.53884678104033</v>
      </c>
    </row>
    <row r="76" spans="10:28" x14ac:dyDescent="0.25">
      <c r="W76" s="415"/>
      <c r="X76" s="438"/>
      <c r="Y76" s="180"/>
      <c r="Z76" s="180"/>
      <c r="AA76" s="442"/>
      <c r="AB76" s="504" t="s">
        <v>340</v>
      </c>
    </row>
    <row r="77" spans="10:28" x14ac:dyDescent="0.25">
      <c r="X77" s="443"/>
      <c r="Y77" s="444"/>
      <c r="Z77" s="444"/>
      <c r="AA77" s="445"/>
      <c r="AB77" s="143">
        <f>2*PI()*SQRT(AB75/AB73)</f>
        <v>2.1423835979401926</v>
      </c>
    </row>
    <row r="78" spans="10:28" x14ac:dyDescent="0.25">
      <c r="Q78" s="227"/>
      <c r="T78" s="459"/>
    </row>
    <row r="79" spans="10:28" x14ac:dyDescent="0.25">
      <c r="J79" s="1039" t="s">
        <v>277</v>
      </c>
      <c r="K79" s="1039"/>
      <c r="L79" s="1039"/>
      <c r="M79" s="1039"/>
      <c r="N79" s="1039"/>
      <c r="O79" s="1039"/>
      <c r="P79" s="1039"/>
      <c r="Q79" s="1039"/>
      <c r="R79" s="1039"/>
      <c r="S79" s="1039"/>
      <c r="T79" s="1039"/>
      <c r="U79" s="1039"/>
      <c r="V79" s="1039"/>
      <c r="W79" s="457"/>
      <c r="X79" s="1039" t="s">
        <v>109</v>
      </c>
      <c r="Y79" s="1039"/>
      <c r="Z79" s="1039"/>
      <c r="AA79" s="1039"/>
      <c r="AB79" s="1039"/>
    </row>
    <row r="80" spans="10:28" ht="15" customHeight="1" x14ac:dyDescent="0.25">
      <c r="J80" s="1040" t="s">
        <v>9</v>
      </c>
      <c r="K80" s="1041" t="s">
        <v>3</v>
      </c>
      <c r="L80" s="1041" t="s">
        <v>76</v>
      </c>
      <c r="M80" s="1040" t="s">
        <v>78</v>
      </c>
      <c r="N80" s="1040" t="s">
        <v>85</v>
      </c>
      <c r="O80" s="1041" t="s">
        <v>104</v>
      </c>
      <c r="P80" s="1041" t="s">
        <v>262</v>
      </c>
      <c r="Q80" s="1041" t="s">
        <v>263</v>
      </c>
      <c r="R80" s="1040" t="s">
        <v>419</v>
      </c>
      <c r="S80" s="1040" t="s">
        <v>420</v>
      </c>
      <c r="T80" s="1040" t="s">
        <v>79</v>
      </c>
      <c r="U80" s="1041" t="s">
        <v>105</v>
      </c>
      <c r="V80" s="1040" t="s">
        <v>83</v>
      </c>
      <c r="X80" s="643" t="s">
        <v>9</v>
      </c>
      <c r="Y80" s="1042" t="s">
        <v>80</v>
      </c>
      <c r="Z80" s="1042" t="s">
        <v>81</v>
      </c>
      <c r="AA80" s="1042" t="s">
        <v>107</v>
      </c>
      <c r="AB80" s="648" t="s">
        <v>108</v>
      </c>
    </row>
    <row r="81" spans="10:28" x14ac:dyDescent="0.25">
      <c r="J81" s="917"/>
      <c r="K81" s="955"/>
      <c r="L81" s="955"/>
      <c r="M81" s="917"/>
      <c r="N81" s="917"/>
      <c r="O81" s="955"/>
      <c r="P81" s="955"/>
      <c r="Q81" s="955"/>
      <c r="R81" s="917"/>
      <c r="S81" s="917"/>
      <c r="T81" s="917"/>
      <c r="U81" s="955"/>
      <c r="V81" s="917"/>
      <c r="X81" s="643"/>
      <c r="Y81" s="1042"/>
      <c r="Z81" s="1042"/>
      <c r="AA81" s="1042"/>
      <c r="AB81" s="648"/>
    </row>
    <row r="82" spans="10:28" ht="15" customHeight="1" x14ac:dyDescent="0.25">
      <c r="J82" s="432">
        <v>3</v>
      </c>
      <c r="K82" s="144">
        <v>3</v>
      </c>
      <c r="L82" s="144">
        <v>8.75</v>
      </c>
      <c r="M82" s="433">
        <v>0.19999999993730164</v>
      </c>
      <c r="N82" s="140">
        <v>8.4956485649897995E-4</v>
      </c>
      <c r="O82" s="434">
        <v>2.8318828549965996E-4</v>
      </c>
      <c r="P82" s="433">
        <v>9.5976000000000013E-3</v>
      </c>
      <c r="Q82" s="433">
        <v>1.8601738665676483E-3</v>
      </c>
      <c r="R82" s="144">
        <v>2.9506156278617565E-2</v>
      </c>
      <c r="S82" s="139">
        <v>0.15223753574293178</v>
      </c>
      <c r="T82" s="611">
        <v>35.110626190328013</v>
      </c>
      <c r="U82" s="144">
        <v>105.33187857098403</v>
      </c>
      <c r="V82" s="139">
        <v>108.92848352767136</v>
      </c>
      <c r="W82" s="415"/>
      <c r="X82" s="268">
        <v>3</v>
      </c>
      <c r="Y82" s="139">
        <f>'Structural Information'!$Z$6</f>
        <v>37.8446</v>
      </c>
      <c r="Z82" s="139">
        <f>Y82*M82</f>
        <v>7.5689199976272059</v>
      </c>
      <c r="AA82" s="139">
        <f>Z82*L82</f>
        <v>66.228049979238051</v>
      </c>
      <c r="AB82" s="139">
        <f>AA85/Z85</f>
        <v>5.7110153513078803</v>
      </c>
    </row>
    <row r="83" spans="10:28" x14ac:dyDescent="0.25">
      <c r="J83" s="432">
        <v>2</v>
      </c>
      <c r="K83" s="144">
        <v>3</v>
      </c>
      <c r="L83" s="144">
        <v>5.75</v>
      </c>
      <c r="M83" s="433">
        <v>0.19915043508080266</v>
      </c>
      <c r="N83" s="140">
        <v>4.0884527231851431E-3</v>
      </c>
      <c r="O83" s="434">
        <v>1.3628175743950477E-3</v>
      </c>
      <c r="P83" s="433">
        <v>9.1744770034843208E-3</v>
      </c>
      <c r="Q83" s="433">
        <v>1.7655780345468453E-3</v>
      </c>
      <c r="R83" s="139">
        <v>0.14854444279248519</v>
      </c>
      <c r="S83" s="139">
        <v>0.77188181305440262</v>
      </c>
      <c r="T83" s="611">
        <v>72.402344449712785</v>
      </c>
      <c r="U83" s="144">
        <v>322.53891192012236</v>
      </c>
      <c r="V83" s="435"/>
      <c r="W83" s="415"/>
      <c r="X83" s="268">
        <v>2</v>
      </c>
      <c r="Y83" s="139">
        <f>'Structural Information'!$Z$7</f>
        <v>40.367000000000004</v>
      </c>
      <c r="Z83" s="139">
        <f>Y83*M83</f>
        <v>8.0391056129067611</v>
      </c>
      <c r="AA83" s="139">
        <f>Z83*L83</f>
        <v>46.224857274213875</v>
      </c>
      <c r="AB83" s="504" t="s">
        <v>339</v>
      </c>
    </row>
    <row r="84" spans="10:28" ht="15" customHeight="1" x14ac:dyDescent="0.25">
      <c r="J84" s="432">
        <v>1</v>
      </c>
      <c r="K84" s="144">
        <v>2.75</v>
      </c>
      <c r="L84" s="144">
        <v>2.75</v>
      </c>
      <c r="M84" s="433">
        <v>0.19506198235761751</v>
      </c>
      <c r="N84" s="140">
        <v>0.19506198235761751</v>
      </c>
      <c r="O84" s="434">
        <v>7.093162994822455E-2</v>
      </c>
      <c r="P84" s="433">
        <v>8.1000948897978157E-3</v>
      </c>
      <c r="Q84" s="433">
        <v>1.7443905747548439E-3</v>
      </c>
      <c r="R84" s="139">
        <v>8.7568887665209871</v>
      </c>
      <c r="S84" s="139">
        <v>40.6626996125528</v>
      </c>
      <c r="T84" s="611">
        <v>108.9284835276714</v>
      </c>
      <c r="U84" s="144">
        <v>622.0922416212187</v>
      </c>
      <c r="V84" s="436"/>
      <c r="W84" s="415"/>
      <c r="X84" s="268">
        <v>1</v>
      </c>
      <c r="Y84" s="139">
        <f>'Structural Information'!$Z$8</f>
        <v>40.367000000000004</v>
      </c>
      <c r="Z84" s="139">
        <f>Y84*M84</f>
        <v>7.8740670418299468</v>
      </c>
      <c r="AA84" s="139">
        <f>Z84*L84</f>
        <v>21.653684365032355</v>
      </c>
      <c r="AB84" s="143">
        <f>T84/M82</f>
        <v>544.64241780909799</v>
      </c>
    </row>
    <row r="85" spans="10:28" x14ac:dyDescent="0.25">
      <c r="V85" s="437"/>
      <c r="W85" s="415"/>
      <c r="X85" s="438"/>
      <c r="Y85" s="504" t="s">
        <v>82</v>
      </c>
      <c r="Z85" s="439">
        <f>SUM(Z82:Z84)</f>
        <v>23.482092652363914</v>
      </c>
      <c r="AA85" s="439">
        <f>SUM(AA82:AA84)</f>
        <v>134.10659161848429</v>
      </c>
      <c r="AB85" s="505" t="s">
        <v>341</v>
      </c>
    </row>
    <row r="86" spans="10:28" x14ac:dyDescent="0.25">
      <c r="W86" s="415"/>
      <c r="X86" s="438"/>
      <c r="Y86" s="440"/>
      <c r="Z86" s="440"/>
      <c r="AA86" s="441"/>
      <c r="AB86" s="139">
        <f>(('Structural Information'!$Z$6*M82+'Structural Information'!$Z$7*M83+'Structural Information'!$Z$8*M84)^2)/('Structural Information'!$Z$6*M82*M82+'Structural Information'!$Z$7*M83*M83+'Structural Information'!$Z$8*M84*M84)</f>
        <v>118.56449651951772</v>
      </c>
    </row>
    <row r="87" spans="10:28" x14ac:dyDescent="0.25">
      <c r="W87" s="415"/>
      <c r="X87" s="438"/>
      <c r="Y87" s="180"/>
      <c r="Z87" s="180"/>
      <c r="AA87" s="442"/>
      <c r="AB87" s="504" t="s">
        <v>340</v>
      </c>
    </row>
    <row r="88" spans="10:28" x14ac:dyDescent="0.25">
      <c r="X88" s="443"/>
      <c r="Y88" s="444"/>
      <c r="Z88" s="444"/>
      <c r="AA88" s="445"/>
      <c r="AB88" s="143">
        <f>2*PI()*SQRT(AB86/AB84)</f>
        <v>2.9315780957573927</v>
      </c>
    </row>
    <row r="89" spans="10:28" x14ac:dyDescent="0.25">
      <c r="S89" s="227"/>
    </row>
    <row r="90" spans="10:28" x14ac:dyDescent="0.25">
      <c r="J90" s="1039" t="s">
        <v>278</v>
      </c>
      <c r="K90" s="1039"/>
      <c r="L90" s="1039"/>
      <c r="M90" s="1039"/>
      <c r="N90" s="1039"/>
      <c r="O90" s="1039"/>
      <c r="P90" s="1039"/>
      <c r="Q90" s="1039"/>
      <c r="R90" s="1039"/>
      <c r="S90" s="1039"/>
      <c r="T90" s="1039"/>
      <c r="U90" s="1039"/>
      <c r="V90" s="1039"/>
      <c r="W90" s="457"/>
      <c r="X90" s="1039" t="s">
        <v>109</v>
      </c>
      <c r="Y90" s="1039"/>
      <c r="Z90" s="1039"/>
      <c r="AA90" s="1039"/>
      <c r="AB90" s="1039"/>
    </row>
    <row r="91" spans="10:28" ht="15" customHeight="1" x14ac:dyDescent="0.25">
      <c r="J91" s="1040" t="s">
        <v>9</v>
      </c>
      <c r="K91" s="1041" t="s">
        <v>3</v>
      </c>
      <c r="L91" s="1041" t="s">
        <v>76</v>
      </c>
      <c r="M91" s="1040" t="s">
        <v>78</v>
      </c>
      <c r="N91" s="1040" t="s">
        <v>85</v>
      </c>
      <c r="O91" s="1041" t="s">
        <v>104</v>
      </c>
      <c r="P91" s="1041" t="s">
        <v>262</v>
      </c>
      <c r="Q91" s="1041" t="s">
        <v>263</v>
      </c>
      <c r="R91" s="1040" t="s">
        <v>419</v>
      </c>
      <c r="S91" s="1040" t="s">
        <v>420</v>
      </c>
      <c r="T91" s="1040" t="s">
        <v>79</v>
      </c>
      <c r="U91" s="1041" t="s">
        <v>105</v>
      </c>
      <c r="V91" s="1040" t="s">
        <v>83</v>
      </c>
      <c r="X91" s="643" t="s">
        <v>9</v>
      </c>
      <c r="Y91" s="1042" t="s">
        <v>80</v>
      </c>
      <c r="Z91" s="1042" t="s">
        <v>81</v>
      </c>
      <c r="AA91" s="1042" t="s">
        <v>107</v>
      </c>
      <c r="AB91" s="648" t="s">
        <v>108</v>
      </c>
    </row>
    <row r="92" spans="10:28" x14ac:dyDescent="0.25">
      <c r="J92" s="917"/>
      <c r="K92" s="955"/>
      <c r="L92" s="955"/>
      <c r="M92" s="917"/>
      <c r="N92" s="917"/>
      <c r="O92" s="955"/>
      <c r="P92" s="955"/>
      <c r="Q92" s="955"/>
      <c r="R92" s="917"/>
      <c r="S92" s="917"/>
      <c r="T92" s="917"/>
      <c r="U92" s="955"/>
      <c r="V92" s="917"/>
      <c r="X92" s="643"/>
      <c r="Y92" s="1042"/>
      <c r="Z92" s="1042"/>
      <c r="AA92" s="1042"/>
      <c r="AB92" s="648"/>
    </row>
    <row r="93" spans="10:28" x14ac:dyDescent="0.25">
      <c r="J93" s="432">
        <v>3</v>
      </c>
      <c r="K93" s="144">
        <f>'Structural Information'!$U$6</f>
        <v>3</v>
      </c>
      <c r="L93" s="144">
        <f>L94+K93</f>
        <v>8.75</v>
      </c>
      <c r="M93" s="433">
        <f>'Yield Mechanism'!$K$49</f>
        <v>0.19999999993730164</v>
      </c>
      <c r="N93" s="140">
        <f>M93-M94</f>
        <v>8.4956485649897995E-4</v>
      </c>
      <c r="O93" s="434">
        <f>N93/K93</f>
        <v>2.8318828549965996E-4</v>
      </c>
      <c r="P93" s="433">
        <f>$C$26</f>
        <v>9.5976000000000013E-3</v>
      </c>
      <c r="Q93" s="433">
        <f>$D$26</f>
        <v>1.8601738665676483E-3</v>
      </c>
      <c r="R93" s="144">
        <f>O93/P93</f>
        <v>2.9506156278617565E-2</v>
      </c>
      <c r="S93" s="139">
        <f>O93/Q93</f>
        <v>0.15223753574293178</v>
      </c>
      <c r="T93" s="611">
        <f>'Yield Mechanism'!$AI$57</f>
        <v>35.110626190328013</v>
      </c>
      <c r="U93" s="144">
        <f>T93*K93</f>
        <v>105.33187857098403</v>
      </c>
      <c r="V93" s="139">
        <f>U95/AB93</f>
        <v>108.92848352767136</v>
      </c>
      <c r="W93" s="415"/>
      <c r="X93" s="268">
        <v>3</v>
      </c>
      <c r="Y93" s="139">
        <f>'Structural Information'!$Z$6</f>
        <v>37.8446</v>
      </c>
      <c r="Z93" s="139">
        <f>Y93*M93</f>
        <v>7.5689199976272059</v>
      </c>
      <c r="AA93" s="139">
        <f>Z93*L93</f>
        <v>66.228049979238051</v>
      </c>
      <c r="AB93" s="139">
        <f>AA96/Z96</f>
        <v>5.7110153513078803</v>
      </c>
    </row>
    <row r="94" spans="10:28" x14ac:dyDescent="0.25">
      <c r="J94" s="432">
        <v>2</v>
      </c>
      <c r="K94" s="144">
        <f>'Structural Information'!$U$7</f>
        <v>3</v>
      </c>
      <c r="L94" s="144">
        <f>L95+K94</f>
        <v>5.75</v>
      </c>
      <c r="M94" s="433">
        <f>'Yield Mechanism'!$K$50</f>
        <v>0.19915043508080266</v>
      </c>
      <c r="N94" s="140">
        <f>M94-M95</f>
        <v>4.0884527231851431E-3</v>
      </c>
      <c r="O94" s="434">
        <f>N94/K94</f>
        <v>1.3628175743950477E-3</v>
      </c>
      <c r="P94" s="433">
        <f>$C$27</f>
        <v>9.1744770034843208E-3</v>
      </c>
      <c r="Q94" s="433">
        <f>$D$27</f>
        <v>1.7655780345468453E-3</v>
      </c>
      <c r="R94" s="139">
        <f>O94/P94</f>
        <v>0.14854444279248519</v>
      </c>
      <c r="S94" s="139">
        <f>O94/Q94</f>
        <v>0.77188181305440262</v>
      </c>
      <c r="T94" s="611">
        <f>'Yield Mechanism'!$AI$58</f>
        <v>72.402344449712785</v>
      </c>
      <c r="U94" s="144">
        <f>U93+T94*K94</f>
        <v>322.53891192012236</v>
      </c>
      <c r="V94" s="435"/>
      <c r="W94" s="415"/>
      <c r="X94" s="268">
        <v>2</v>
      </c>
      <c r="Y94" s="139">
        <f>'Structural Information'!$Z$7</f>
        <v>40.367000000000004</v>
      </c>
      <c r="Z94" s="139">
        <f>Y94*M94</f>
        <v>8.0391056129067611</v>
      </c>
      <c r="AA94" s="139">
        <f>Z94*L94</f>
        <v>46.224857274213875</v>
      </c>
      <c r="AB94" s="504" t="s">
        <v>339</v>
      </c>
    </row>
    <row r="95" spans="10:28" ht="15" customHeight="1" x14ac:dyDescent="0.25">
      <c r="J95" s="432">
        <v>1</v>
      </c>
      <c r="K95" s="144">
        <f>'Structural Information'!$U$8</f>
        <v>2.75</v>
      </c>
      <c r="L95" s="144">
        <f>K95</f>
        <v>2.75</v>
      </c>
      <c r="M95" s="433">
        <f>'Yield Mechanism'!$K$51</f>
        <v>0.19506198235761751</v>
      </c>
      <c r="N95" s="140">
        <f>M95</f>
        <v>0.19506198235761751</v>
      </c>
      <c r="O95" s="434">
        <f>N95/K95</f>
        <v>7.093162994822455E-2</v>
      </c>
      <c r="P95" s="433">
        <f>$C$28</f>
        <v>8.1000948897978157E-3</v>
      </c>
      <c r="Q95" s="433">
        <f>$D$28</f>
        <v>1.7443905747548439E-3</v>
      </c>
      <c r="R95" s="139">
        <f>O95/P95</f>
        <v>8.7568887665209871</v>
      </c>
      <c r="S95" s="139">
        <f>O95/Q95</f>
        <v>40.6626996125528</v>
      </c>
      <c r="T95" s="611">
        <f>'Yield Mechanism'!$AI$59</f>
        <v>108.9284835276714</v>
      </c>
      <c r="U95" s="144">
        <f>U94+T95*K95</f>
        <v>622.0922416212187</v>
      </c>
      <c r="V95" s="436"/>
      <c r="W95" s="415"/>
      <c r="X95" s="268">
        <v>1</v>
      </c>
      <c r="Y95" s="139">
        <f>'Structural Information'!$Z$8</f>
        <v>40.367000000000004</v>
      </c>
      <c r="Z95" s="139">
        <f>Y95*M95</f>
        <v>7.8740670418299468</v>
      </c>
      <c r="AA95" s="139">
        <f>Z95*L95</f>
        <v>21.653684365032355</v>
      </c>
      <c r="AB95" s="143">
        <f>T95/M93</f>
        <v>544.64241780909799</v>
      </c>
    </row>
    <row r="96" spans="10:28" x14ac:dyDescent="0.25">
      <c r="V96" s="437"/>
      <c r="W96" s="415"/>
      <c r="X96" s="438"/>
      <c r="Y96" s="504" t="s">
        <v>82</v>
      </c>
      <c r="Z96" s="439">
        <f>SUM(Z93:Z95)</f>
        <v>23.482092652363914</v>
      </c>
      <c r="AA96" s="439">
        <f>SUM(AA93:AA95)</f>
        <v>134.10659161848429</v>
      </c>
      <c r="AB96" s="505" t="s">
        <v>341</v>
      </c>
    </row>
    <row r="97" spans="9:28" x14ac:dyDescent="0.25">
      <c r="W97" s="415"/>
      <c r="X97" s="438"/>
      <c r="Y97" s="440"/>
      <c r="Z97" s="440"/>
      <c r="AA97" s="441"/>
      <c r="AB97" s="139">
        <f>(('Structural Information'!$Z$6*M93+'Structural Information'!$Z$7*M94+'Structural Information'!$Z$8*M95)^2)/('Structural Information'!$Z$6*M93*M93+'Structural Information'!$Z$7*M94*M94+'Structural Information'!$Z$8*M95*M95)</f>
        <v>118.56449651951772</v>
      </c>
    </row>
    <row r="98" spans="9:28" x14ac:dyDescent="0.25">
      <c r="W98" s="415"/>
      <c r="X98" s="438"/>
      <c r="Y98" s="180"/>
      <c r="Z98" s="180"/>
      <c r="AA98" s="442"/>
      <c r="AB98" s="504" t="s">
        <v>340</v>
      </c>
    </row>
    <row r="99" spans="9:28" x14ac:dyDescent="0.25">
      <c r="X99" s="443"/>
      <c r="Y99" s="444"/>
      <c r="Z99" s="444"/>
      <c r="AA99" s="445"/>
      <c r="AB99" s="143">
        <f>2*PI()*SQRT(AB97/AB95)</f>
        <v>2.9315780957573927</v>
      </c>
    </row>
    <row r="101" spans="9:28" x14ac:dyDescent="0.25">
      <c r="J101" s="1039" t="s">
        <v>279</v>
      </c>
      <c r="K101" s="1039"/>
      <c r="L101" s="1039"/>
      <c r="M101" s="1039"/>
      <c r="N101" s="1039"/>
      <c r="O101" s="1039"/>
      <c r="P101" s="1039"/>
      <c r="Q101" s="1039"/>
      <c r="R101" s="1039"/>
      <c r="S101" s="1039"/>
      <c r="T101" s="1039"/>
      <c r="U101" s="1039"/>
      <c r="V101" s="1039"/>
      <c r="W101" s="457"/>
      <c r="X101" s="1039" t="s">
        <v>109</v>
      </c>
      <c r="Y101" s="1039"/>
      <c r="Z101" s="1039"/>
      <c r="AA101" s="1039"/>
      <c r="AB101" s="1039"/>
    </row>
    <row r="102" spans="9:28" ht="15" customHeight="1" x14ac:dyDescent="0.25">
      <c r="J102" s="1040" t="s">
        <v>9</v>
      </c>
      <c r="K102" s="1041" t="s">
        <v>3</v>
      </c>
      <c r="L102" s="1041" t="s">
        <v>76</v>
      </c>
      <c r="M102" s="1040" t="s">
        <v>78</v>
      </c>
      <c r="N102" s="1040" t="s">
        <v>85</v>
      </c>
      <c r="O102" s="1041" t="s">
        <v>104</v>
      </c>
      <c r="P102" s="1041" t="s">
        <v>262</v>
      </c>
      <c r="Q102" s="1041" t="s">
        <v>263</v>
      </c>
      <c r="R102" s="1040" t="s">
        <v>419</v>
      </c>
      <c r="S102" s="1040" t="s">
        <v>420</v>
      </c>
      <c r="T102" s="1040" t="s">
        <v>79</v>
      </c>
      <c r="U102" s="1041" t="s">
        <v>105</v>
      </c>
      <c r="V102" s="1040" t="s">
        <v>83</v>
      </c>
      <c r="X102" s="643" t="s">
        <v>9</v>
      </c>
      <c r="Y102" s="1042" t="s">
        <v>80</v>
      </c>
      <c r="Z102" s="1042" t="s">
        <v>81</v>
      </c>
      <c r="AA102" s="1042" t="s">
        <v>107</v>
      </c>
      <c r="AB102" s="648" t="s">
        <v>108</v>
      </c>
    </row>
    <row r="103" spans="9:28" x14ac:dyDescent="0.25">
      <c r="J103" s="917"/>
      <c r="K103" s="955"/>
      <c r="L103" s="955"/>
      <c r="M103" s="917"/>
      <c r="N103" s="917"/>
      <c r="O103" s="955"/>
      <c r="P103" s="955"/>
      <c r="Q103" s="955"/>
      <c r="R103" s="917"/>
      <c r="S103" s="917"/>
      <c r="T103" s="917"/>
      <c r="U103" s="955"/>
      <c r="V103" s="917"/>
      <c r="X103" s="643"/>
      <c r="Y103" s="1042"/>
      <c r="Z103" s="1042"/>
      <c r="AA103" s="1042"/>
      <c r="AB103" s="648"/>
    </row>
    <row r="104" spans="9:28" x14ac:dyDescent="0.25">
      <c r="J104" s="432">
        <v>3</v>
      </c>
      <c r="K104" s="144">
        <f>'Structural Information'!$U$6</f>
        <v>3</v>
      </c>
      <c r="L104" s="144">
        <f>L105+K104</f>
        <v>8.75</v>
      </c>
      <c r="M104" s="433">
        <f>'Yield Mechanism'!$K$49</f>
        <v>0.19999999993730164</v>
      </c>
      <c r="N104" s="140">
        <f>M104-M105</f>
        <v>8.4956485649897995E-4</v>
      </c>
      <c r="O104" s="434">
        <f>N104/K104</f>
        <v>2.8318828549965996E-4</v>
      </c>
      <c r="P104" s="433">
        <f>$C$26</f>
        <v>9.5976000000000013E-3</v>
      </c>
      <c r="Q104" s="433">
        <f>$D$26</f>
        <v>1.8601738665676483E-3</v>
      </c>
      <c r="R104" s="144">
        <f>O104/P104</f>
        <v>2.9506156278617565E-2</v>
      </c>
      <c r="S104" s="139">
        <f>O104/Q104</f>
        <v>0.15223753574293178</v>
      </c>
      <c r="T104" s="611">
        <f>'Yield Mechanism'!$AI$57</f>
        <v>35.110626190328013</v>
      </c>
      <c r="U104" s="144">
        <f>T104*K104</f>
        <v>105.33187857098403</v>
      </c>
      <c r="V104" s="139">
        <f>U106/AB104</f>
        <v>108.92848352767136</v>
      </c>
      <c r="W104" s="415"/>
      <c r="X104" s="268">
        <v>3</v>
      </c>
      <c r="Y104" s="139">
        <f>'Structural Information'!$Z$6</f>
        <v>37.8446</v>
      </c>
      <c r="Z104" s="139">
        <f>Y104*M104</f>
        <v>7.5689199976272059</v>
      </c>
      <c r="AA104" s="139">
        <f>Z104*L104</f>
        <v>66.228049979238051</v>
      </c>
      <c r="AB104" s="139">
        <f>AA107/Z107</f>
        <v>5.7110153513078803</v>
      </c>
    </row>
    <row r="105" spans="9:28" x14ac:dyDescent="0.25">
      <c r="J105" s="432">
        <v>2</v>
      </c>
      <c r="K105" s="144">
        <f>'Structural Information'!$U$7</f>
        <v>3</v>
      </c>
      <c r="L105" s="144">
        <f>L106+K105</f>
        <v>5.75</v>
      </c>
      <c r="M105" s="433">
        <f>'Yield Mechanism'!$K$50</f>
        <v>0.19915043508080266</v>
      </c>
      <c r="N105" s="140">
        <f>M105-M106</f>
        <v>4.0884527231851431E-3</v>
      </c>
      <c r="O105" s="434">
        <f>N105/K105</f>
        <v>1.3628175743950477E-3</v>
      </c>
      <c r="P105" s="433">
        <f>$C$27</f>
        <v>9.1744770034843208E-3</v>
      </c>
      <c r="Q105" s="433">
        <f>$D$27</f>
        <v>1.7655780345468453E-3</v>
      </c>
      <c r="R105" s="139">
        <f>O105/P105</f>
        <v>0.14854444279248519</v>
      </c>
      <c r="S105" s="139">
        <f>O105/Q105</f>
        <v>0.77188181305440262</v>
      </c>
      <c r="T105" s="611">
        <f>'Yield Mechanism'!$AI$58</f>
        <v>72.402344449712785</v>
      </c>
      <c r="U105" s="144">
        <f>U104+T105*K105</f>
        <v>322.53891192012236</v>
      </c>
      <c r="V105" s="435"/>
      <c r="W105" s="415"/>
      <c r="X105" s="268">
        <v>2</v>
      </c>
      <c r="Y105" s="139">
        <f>'Structural Information'!$Z$7</f>
        <v>40.367000000000004</v>
      </c>
      <c r="Z105" s="139">
        <f>Y105*M105</f>
        <v>8.0391056129067611</v>
      </c>
      <c r="AA105" s="139">
        <f>Z105*L105</f>
        <v>46.224857274213875</v>
      </c>
      <c r="AB105" s="504" t="s">
        <v>339</v>
      </c>
    </row>
    <row r="106" spans="9:28" x14ac:dyDescent="0.25">
      <c r="I106" s="119"/>
      <c r="J106" s="432">
        <v>1</v>
      </c>
      <c r="K106" s="144">
        <f>'Structural Information'!$U$8</f>
        <v>2.75</v>
      </c>
      <c r="L106" s="144">
        <f>K106</f>
        <v>2.75</v>
      </c>
      <c r="M106" s="433">
        <f>'Yield Mechanism'!$K$51</f>
        <v>0.19506198235761751</v>
      </c>
      <c r="N106" s="140">
        <f>M106</f>
        <v>0.19506198235761751</v>
      </c>
      <c r="O106" s="434">
        <f>N106/K106</f>
        <v>7.093162994822455E-2</v>
      </c>
      <c r="P106" s="433">
        <f>$C$28</f>
        <v>8.1000948897978157E-3</v>
      </c>
      <c r="Q106" s="433">
        <f>$D$28</f>
        <v>1.7443905747548439E-3</v>
      </c>
      <c r="R106" s="139">
        <f>O106/P106</f>
        <v>8.7568887665209871</v>
      </c>
      <c r="S106" s="139">
        <f>O106/Q106</f>
        <v>40.6626996125528</v>
      </c>
      <c r="T106" s="611">
        <f>'Yield Mechanism'!$AI$59</f>
        <v>108.9284835276714</v>
      </c>
      <c r="U106" s="144">
        <f>U105+T106*K106</f>
        <v>622.0922416212187</v>
      </c>
      <c r="V106" s="436"/>
      <c r="W106" s="415"/>
      <c r="X106" s="268">
        <v>1</v>
      </c>
      <c r="Y106" s="139">
        <f>'Structural Information'!$Z$8</f>
        <v>40.367000000000004</v>
      </c>
      <c r="Z106" s="139">
        <f>Y106*M106</f>
        <v>7.8740670418299468</v>
      </c>
      <c r="AA106" s="139">
        <f>Z106*L106</f>
        <v>21.653684365032355</v>
      </c>
      <c r="AB106" s="143">
        <f>T106/M104</f>
        <v>544.64241780909799</v>
      </c>
    </row>
    <row r="107" spans="9:28" x14ac:dyDescent="0.25">
      <c r="I107" s="119"/>
      <c r="V107" s="437"/>
      <c r="W107" s="415"/>
      <c r="X107" s="438"/>
      <c r="Y107" s="504" t="s">
        <v>82</v>
      </c>
      <c r="Z107" s="439">
        <f>SUM(Z104:Z106)</f>
        <v>23.482092652363914</v>
      </c>
      <c r="AA107" s="439">
        <f>SUM(AA104:AA106)</f>
        <v>134.10659161848429</v>
      </c>
      <c r="AB107" s="505" t="s">
        <v>341</v>
      </c>
    </row>
    <row r="108" spans="9:28" x14ac:dyDescent="0.25">
      <c r="W108" s="415"/>
      <c r="X108" s="438"/>
      <c r="Y108" s="440"/>
      <c r="Z108" s="440"/>
      <c r="AA108" s="441"/>
      <c r="AB108" s="139">
        <f>(('Structural Information'!$Z$6*M104+'Structural Information'!$Z$7*M105+'Structural Information'!$Z$8*M106)^2)/('Structural Information'!$Z$6*M104*M104+'Structural Information'!$Z$7*M105*M105+'Structural Information'!$Z$8*M106*M106)</f>
        <v>118.56449651951772</v>
      </c>
    </row>
    <row r="109" spans="9:28" x14ac:dyDescent="0.25">
      <c r="W109" s="415"/>
      <c r="X109" s="438"/>
      <c r="Y109" s="180"/>
      <c r="Z109" s="180"/>
      <c r="AA109" s="442"/>
      <c r="AB109" s="504" t="s">
        <v>340</v>
      </c>
    </row>
    <row r="110" spans="9:28" x14ac:dyDescent="0.25">
      <c r="X110" s="443"/>
      <c r="Y110" s="444"/>
      <c r="Z110" s="444"/>
      <c r="AA110" s="445"/>
      <c r="AB110" s="143">
        <f>2*PI()*SQRT(AB108/AB106)</f>
        <v>2.9315780957573927</v>
      </c>
    </row>
    <row r="112" spans="9:28" x14ac:dyDescent="0.25">
      <c r="J112" s="1049" t="s">
        <v>342</v>
      </c>
      <c r="K112" s="1050"/>
      <c r="L112" s="1050"/>
      <c r="M112" s="1050"/>
      <c r="N112" s="1050"/>
      <c r="O112" s="1050"/>
      <c r="P112" s="1050"/>
      <c r="Q112" s="1050"/>
      <c r="R112" s="1050"/>
      <c r="S112" s="1050"/>
      <c r="T112" s="1050"/>
      <c r="U112" s="1050"/>
      <c r="V112" s="1051"/>
      <c r="W112" s="5"/>
      <c r="X112" s="1048" t="s">
        <v>109</v>
      </c>
      <c r="Y112" s="1048"/>
      <c r="Z112" s="1048"/>
      <c r="AA112" s="1048"/>
      <c r="AB112" s="1048"/>
    </row>
    <row r="113" spans="2:28" ht="15" customHeight="1" x14ac:dyDescent="0.25">
      <c r="J113" s="1040" t="s">
        <v>9</v>
      </c>
      <c r="K113" s="1041" t="s">
        <v>3</v>
      </c>
      <c r="L113" s="1041" t="s">
        <v>76</v>
      </c>
      <c r="M113" s="1040" t="s">
        <v>78</v>
      </c>
      <c r="N113" s="1040" t="s">
        <v>85</v>
      </c>
      <c r="O113" s="1041" t="s">
        <v>104</v>
      </c>
      <c r="P113" s="1041" t="s">
        <v>262</v>
      </c>
      <c r="Q113" s="1041" t="s">
        <v>263</v>
      </c>
      <c r="R113" s="1040" t="s">
        <v>419</v>
      </c>
      <c r="S113" s="1040" t="s">
        <v>420</v>
      </c>
      <c r="T113" s="1040" t="s">
        <v>79</v>
      </c>
      <c r="U113" s="1041" t="s">
        <v>105</v>
      </c>
      <c r="V113" s="1040" t="s">
        <v>83</v>
      </c>
      <c r="X113" s="643" t="s">
        <v>9</v>
      </c>
      <c r="Y113" s="1042" t="s">
        <v>80</v>
      </c>
      <c r="Z113" s="1042" t="s">
        <v>81</v>
      </c>
      <c r="AA113" s="1042" t="s">
        <v>107</v>
      </c>
      <c r="AB113" s="648" t="s">
        <v>108</v>
      </c>
    </row>
    <row r="114" spans="2:28" x14ac:dyDescent="0.25">
      <c r="J114" s="917"/>
      <c r="K114" s="955"/>
      <c r="L114" s="955"/>
      <c r="M114" s="917"/>
      <c r="N114" s="917"/>
      <c r="O114" s="955"/>
      <c r="P114" s="955"/>
      <c r="Q114" s="955"/>
      <c r="R114" s="917"/>
      <c r="S114" s="917"/>
      <c r="T114" s="917"/>
      <c r="U114" s="955"/>
      <c r="V114" s="917"/>
      <c r="X114" s="643"/>
      <c r="Y114" s="1042"/>
      <c r="Z114" s="1042"/>
      <c r="AA114" s="1042"/>
      <c r="AB114" s="648"/>
    </row>
    <row r="115" spans="2:28" x14ac:dyDescent="0.25">
      <c r="J115" s="432">
        <v>3</v>
      </c>
      <c r="K115" s="144">
        <f>'Structural Information'!$U$6</f>
        <v>3</v>
      </c>
      <c r="L115" s="144">
        <f>L116+K115</f>
        <v>8.75</v>
      </c>
      <c r="M115" s="433">
        <f>'Yield Mechanism'!$K$49</f>
        <v>0.19999999993730164</v>
      </c>
      <c r="N115" s="140">
        <f>M115-M116</f>
        <v>8.4956485649897995E-4</v>
      </c>
      <c r="O115" s="434">
        <f>N115/K115</f>
        <v>2.8318828549965996E-4</v>
      </c>
      <c r="P115" s="433">
        <f>$C$26</f>
        <v>9.5976000000000013E-3</v>
      </c>
      <c r="Q115" s="433">
        <f>$D$26</f>
        <v>1.8601738665676483E-3</v>
      </c>
      <c r="R115" s="144">
        <f>O115/P115</f>
        <v>2.9506156278617565E-2</v>
      </c>
      <c r="S115" s="139">
        <f>O115/Q115</f>
        <v>0.15223753574293178</v>
      </c>
      <c r="T115" s="611">
        <f>'Yield Mechanism'!$AI$57</f>
        <v>35.110626190328013</v>
      </c>
      <c r="U115" s="144">
        <f>T115*K115</f>
        <v>105.33187857098403</v>
      </c>
      <c r="V115" s="139">
        <f>U117/AB115</f>
        <v>108.92848352767136</v>
      </c>
      <c r="W115" s="415"/>
      <c r="X115" s="268">
        <v>3</v>
      </c>
      <c r="Y115" s="139">
        <f>'Structural Information'!$Z$6</f>
        <v>37.8446</v>
      </c>
      <c r="Z115" s="139">
        <f>Y115*M115</f>
        <v>7.5689199976272059</v>
      </c>
      <c r="AA115" s="139">
        <f>Z115*L115</f>
        <v>66.228049979238051</v>
      </c>
      <c r="AB115" s="139">
        <f>AA118/Z118</f>
        <v>5.7110153513078803</v>
      </c>
    </row>
    <row r="116" spans="2:28" x14ac:dyDescent="0.25">
      <c r="J116" s="432">
        <v>2</v>
      </c>
      <c r="K116" s="144">
        <f>'Structural Information'!$U$7</f>
        <v>3</v>
      </c>
      <c r="L116" s="144">
        <f>L117+K116</f>
        <v>5.75</v>
      </c>
      <c r="M116" s="433">
        <f>'Yield Mechanism'!$K$50</f>
        <v>0.19915043508080266</v>
      </c>
      <c r="N116" s="140">
        <f>M116-M117</f>
        <v>4.0884527231851431E-3</v>
      </c>
      <c r="O116" s="434">
        <f>N116/K116</f>
        <v>1.3628175743950477E-3</v>
      </c>
      <c r="P116" s="433">
        <f>$C$27</f>
        <v>9.1744770034843208E-3</v>
      </c>
      <c r="Q116" s="433">
        <f>$D$27</f>
        <v>1.7655780345468453E-3</v>
      </c>
      <c r="R116" s="139">
        <f>O116/P116</f>
        <v>0.14854444279248519</v>
      </c>
      <c r="S116" s="139">
        <f>O116/Q116</f>
        <v>0.77188181305440262</v>
      </c>
      <c r="T116" s="611">
        <f>'Yield Mechanism'!$AI$58</f>
        <v>72.402344449712785</v>
      </c>
      <c r="U116" s="144">
        <f>U115+T116*K116</f>
        <v>322.53891192012236</v>
      </c>
      <c r="V116" s="435"/>
      <c r="W116" s="415"/>
      <c r="X116" s="268">
        <v>2</v>
      </c>
      <c r="Y116" s="139">
        <f>'Structural Information'!$Z$7</f>
        <v>40.367000000000004</v>
      </c>
      <c r="Z116" s="139">
        <f>Y116*M116</f>
        <v>8.0391056129067611</v>
      </c>
      <c r="AA116" s="139">
        <f>Z116*L116</f>
        <v>46.224857274213875</v>
      </c>
      <c r="AB116" s="504" t="s">
        <v>339</v>
      </c>
    </row>
    <row r="117" spans="2:28" ht="15" customHeight="1" x14ac:dyDescent="0.25">
      <c r="J117" s="432">
        <v>1</v>
      </c>
      <c r="K117" s="144">
        <f>'Structural Information'!$U$8</f>
        <v>2.75</v>
      </c>
      <c r="L117" s="144">
        <f>K117</f>
        <v>2.75</v>
      </c>
      <c r="M117" s="433">
        <f>'Yield Mechanism'!$K$51</f>
        <v>0.19506198235761751</v>
      </c>
      <c r="N117" s="140">
        <f>M117</f>
        <v>0.19506198235761751</v>
      </c>
      <c r="O117" s="434">
        <f>N117/K117</f>
        <v>7.093162994822455E-2</v>
      </c>
      <c r="P117" s="433">
        <f>$C$28</f>
        <v>8.1000948897978157E-3</v>
      </c>
      <c r="Q117" s="433">
        <f>$D$28</f>
        <v>1.7443905747548439E-3</v>
      </c>
      <c r="R117" s="139">
        <f>O117/P117</f>
        <v>8.7568887665209871</v>
      </c>
      <c r="S117" s="139">
        <f>O117/Q117</f>
        <v>40.6626996125528</v>
      </c>
      <c r="T117" s="611">
        <f>'Yield Mechanism'!$AI$59</f>
        <v>108.9284835276714</v>
      </c>
      <c r="U117" s="144">
        <f>U116+T117*K117</f>
        <v>622.0922416212187</v>
      </c>
      <c r="V117" s="436"/>
      <c r="W117" s="415"/>
      <c r="X117" s="268">
        <v>1</v>
      </c>
      <c r="Y117" s="139">
        <f>'Structural Information'!$Z$8</f>
        <v>40.367000000000004</v>
      </c>
      <c r="Z117" s="139">
        <f>Y117*M117</f>
        <v>7.8740670418299468</v>
      </c>
      <c r="AA117" s="139">
        <f>Z117*L117</f>
        <v>21.653684365032355</v>
      </c>
      <c r="AB117" s="143">
        <f>T117/M115</f>
        <v>544.64241780909799</v>
      </c>
    </row>
    <row r="118" spans="2:28" ht="15" customHeight="1" x14ac:dyDescent="0.25">
      <c r="V118" s="437"/>
      <c r="W118" s="415"/>
      <c r="X118" s="438"/>
      <c r="Y118" s="504" t="s">
        <v>82</v>
      </c>
      <c r="Z118" s="439">
        <f>SUM(Z115:Z117)</f>
        <v>23.482092652363914</v>
      </c>
      <c r="AA118" s="439">
        <f>SUM(AA115:AA117)</f>
        <v>134.10659161848429</v>
      </c>
      <c r="AB118" s="505" t="s">
        <v>341</v>
      </c>
    </row>
    <row r="119" spans="2:28" x14ac:dyDescent="0.25">
      <c r="W119" s="415"/>
      <c r="X119" s="438"/>
      <c r="Y119" s="440"/>
      <c r="Z119" s="440"/>
      <c r="AA119" s="441"/>
      <c r="AB119" s="139">
        <f>(('Structural Information'!$Z$6*M115+'Structural Information'!$Z$7*M116+'Structural Information'!$Z$8*M117)^2)/('Structural Information'!$Z$6*M115*M115+'Structural Information'!$Z$7*M116*M116+'Structural Information'!$Z$8*M117*M117)</f>
        <v>118.56449651951772</v>
      </c>
    </row>
    <row r="120" spans="2:28" x14ac:dyDescent="0.25">
      <c r="W120" s="415"/>
      <c r="X120" s="438"/>
      <c r="Y120" s="180"/>
      <c r="Z120" s="180"/>
      <c r="AA120" s="442"/>
      <c r="AB120" s="504" t="s">
        <v>340</v>
      </c>
    </row>
    <row r="121" spans="2:28" x14ac:dyDescent="0.25">
      <c r="X121" s="443"/>
      <c r="Y121" s="444"/>
      <c r="Z121" s="444"/>
      <c r="AA121" s="445"/>
      <c r="AB121" s="143">
        <f>2*PI()*SQRT(AB119/AB117)</f>
        <v>2.9315780957573927</v>
      </c>
    </row>
    <row r="123" spans="2:28" x14ac:dyDescent="0.25">
      <c r="B123" s="1064" t="s">
        <v>212</v>
      </c>
      <c r="C123" s="1065"/>
      <c r="D123" s="1065"/>
      <c r="E123" s="1065"/>
      <c r="F123" s="1065"/>
      <c r="G123" s="1065"/>
      <c r="H123" s="1066"/>
      <c r="J123" s="1046" t="s">
        <v>343</v>
      </c>
      <c r="K123" s="1046"/>
      <c r="L123" s="1046"/>
      <c r="M123" s="1046"/>
      <c r="N123" s="1046"/>
      <c r="O123" s="1046"/>
      <c r="P123" s="1046"/>
      <c r="Q123" s="1046"/>
      <c r="R123" s="1046"/>
      <c r="S123" s="1046"/>
      <c r="T123" s="1046"/>
      <c r="U123" s="1046"/>
      <c r="V123" s="1046"/>
      <c r="X123" s="1068" t="s">
        <v>109</v>
      </c>
      <c r="Y123" s="1068"/>
      <c r="Z123" s="1068"/>
      <c r="AA123" s="1068"/>
      <c r="AB123" s="1068"/>
    </row>
    <row r="124" spans="2:28" ht="15" customHeight="1" x14ac:dyDescent="0.25">
      <c r="B124" s="643" t="s">
        <v>211</v>
      </c>
      <c r="C124" s="643" t="s">
        <v>9</v>
      </c>
      <c r="D124" s="646" t="s">
        <v>88</v>
      </c>
      <c r="E124" s="1067"/>
      <c r="F124" s="1067"/>
      <c r="G124" s="1067"/>
      <c r="H124" s="652"/>
      <c r="J124" s="1040" t="s">
        <v>9</v>
      </c>
      <c r="K124" s="1041" t="s">
        <v>3</v>
      </c>
      <c r="L124" s="1041" t="s">
        <v>76</v>
      </c>
      <c r="M124" s="1040" t="s">
        <v>78</v>
      </c>
      <c r="N124" s="1040" t="s">
        <v>85</v>
      </c>
      <c r="O124" s="1041" t="s">
        <v>104</v>
      </c>
      <c r="P124" s="1041" t="s">
        <v>262</v>
      </c>
      <c r="Q124" s="1041" t="s">
        <v>263</v>
      </c>
      <c r="R124" s="1040" t="s">
        <v>419</v>
      </c>
      <c r="S124" s="1040" t="s">
        <v>420</v>
      </c>
      <c r="T124" s="1040" t="s">
        <v>79</v>
      </c>
      <c r="U124" s="1041" t="s">
        <v>105</v>
      </c>
      <c r="V124" s="1040" t="s">
        <v>83</v>
      </c>
      <c r="X124" s="643" t="s">
        <v>9</v>
      </c>
      <c r="Y124" s="1042" t="s">
        <v>80</v>
      </c>
      <c r="Z124" s="1042" t="s">
        <v>81</v>
      </c>
      <c r="AA124" s="1042" t="s">
        <v>107</v>
      </c>
      <c r="AB124" s="648" t="s">
        <v>108</v>
      </c>
    </row>
    <row r="125" spans="2:28" x14ac:dyDescent="0.25">
      <c r="B125" s="643"/>
      <c r="C125" s="643"/>
      <c r="D125" s="460">
        <v>-184.4864</v>
      </c>
      <c r="E125" s="460">
        <v>-308.34960000000001</v>
      </c>
      <c r="F125" s="460">
        <v>-344.13189999999997</v>
      </c>
      <c r="G125" s="461">
        <v>-286.31150000000002</v>
      </c>
      <c r="H125" s="462" t="s">
        <v>272</v>
      </c>
      <c r="J125" s="917"/>
      <c r="K125" s="955"/>
      <c r="L125" s="955"/>
      <c r="M125" s="917"/>
      <c r="N125" s="917"/>
      <c r="O125" s="955"/>
      <c r="P125" s="955"/>
      <c r="Q125" s="955"/>
      <c r="R125" s="917"/>
      <c r="S125" s="917"/>
      <c r="T125" s="917"/>
      <c r="U125" s="955"/>
      <c r="V125" s="917"/>
      <c r="X125" s="643"/>
      <c r="Y125" s="1042"/>
      <c r="Z125" s="1042"/>
      <c r="AA125" s="1042"/>
      <c r="AB125" s="648"/>
    </row>
    <row r="126" spans="2:28" x14ac:dyDescent="0.25">
      <c r="B126" s="246">
        <f>B127+3</f>
        <v>8.75</v>
      </c>
      <c r="C126" s="246">
        <v>3</v>
      </c>
      <c r="D126" s="140">
        <v>1.00129E-2</v>
      </c>
      <c r="E126" s="140">
        <v>2.4985299999999998E-2</v>
      </c>
      <c r="F126" s="140">
        <v>3.4989100000000002E-2</v>
      </c>
      <c r="G126" s="140">
        <v>4.9986999999999997E-2</v>
      </c>
      <c r="H126" s="463">
        <v>3.72545107808488E-4</v>
      </c>
      <c r="I126" s="459"/>
      <c r="J126" s="432">
        <v>3</v>
      </c>
      <c r="K126" s="144">
        <f>'Structural Information'!$U$6</f>
        <v>3</v>
      </c>
      <c r="L126" s="144">
        <f>L127+K126</f>
        <v>8.75</v>
      </c>
      <c r="M126" s="433">
        <f>'Yield Mechanism'!$K$49</f>
        <v>0.19999999993730164</v>
      </c>
      <c r="N126" s="140">
        <f>M126-M127</f>
        <v>8.4956485649897995E-4</v>
      </c>
      <c r="O126" s="434">
        <f>N126/K126</f>
        <v>2.8318828549965996E-4</v>
      </c>
      <c r="P126" s="433">
        <f>$C$26</f>
        <v>9.5976000000000013E-3</v>
      </c>
      <c r="Q126" s="433">
        <f>$D$26</f>
        <v>1.8601738665676483E-3</v>
      </c>
      <c r="R126" s="144">
        <f>O126/P126</f>
        <v>2.9506156278617565E-2</v>
      </c>
      <c r="S126" s="139">
        <f>O126/Q126</f>
        <v>0.15223753574293178</v>
      </c>
      <c r="T126" s="611">
        <f>'Yield Mechanism'!$AI$57</f>
        <v>35.110626190328013</v>
      </c>
      <c r="U126" s="144">
        <f>T126*K126</f>
        <v>105.33187857098403</v>
      </c>
      <c r="V126" s="139">
        <f>U128/AB126</f>
        <v>108.92848352767136</v>
      </c>
      <c r="W126" s="415"/>
      <c r="X126" s="268">
        <v>3</v>
      </c>
      <c r="Y126" s="139">
        <f>'Structural Information'!$Z$6</f>
        <v>37.8446</v>
      </c>
      <c r="Z126" s="139">
        <f>Y126*M126</f>
        <v>7.5689199976272059</v>
      </c>
      <c r="AA126" s="139">
        <f>Z126*L126</f>
        <v>66.228049979238051</v>
      </c>
      <c r="AB126" s="139">
        <f>AA129/Z129</f>
        <v>5.7110153513078803</v>
      </c>
    </row>
    <row r="127" spans="2:28" x14ac:dyDescent="0.25">
      <c r="B127" s="246">
        <f>B128+3</f>
        <v>5.75</v>
      </c>
      <c r="C127" s="246">
        <v>2</v>
      </c>
      <c r="D127" s="140">
        <v>7.5788499999999998E-3</v>
      </c>
      <c r="E127" s="140">
        <v>2.0791299999999999E-2</v>
      </c>
      <c r="F127" s="140">
        <v>3.02668E-2</v>
      </c>
      <c r="G127" s="140">
        <v>4.5845999999999998E-2</v>
      </c>
      <c r="H127" s="463">
        <v>4.3590940322360723E-4</v>
      </c>
      <c r="I127" s="459"/>
      <c r="J127" s="432">
        <v>2</v>
      </c>
      <c r="K127" s="144">
        <f>'Structural Information'!$U$7</f>
        <v>3</v>
      </c>
      <c r="L127" s="144">
        <f>L128+K127</f>
        <v>5.75</v>
      </c>
      <c r="M127" s="433">
        <f>'Yield Mechanism'!$K$50</f>
        <v>0.19915043508080266</v>
      </c>
      <c r="N127" s="140">
        <f>M127-M128</f>
        <v>4.0884527231851431E-3</v>
      </c>
      <c r="O127" s="434">
        <f>N127/K127</f>
        <v>1.3628175743950477E-3</v>
      </c>
      <c r="P127" s="433">
        <f>$C$27</f>
        <v>9.1744770034843208E-3</v>
      </c>
      <c r="Q127" s="433">
        <f>$D$27</f>
        <v>1.7655780345468453E-3</v>
      </c>
      <c r="R127" s="139">
        <f>O127/P127</f>
        <v>0.14854444279248519</v>
      </c>
      <c r="S127" s="139">
        <f>O127/Q127</f>
        <v>0.77188181305440262</v>
      </c>
      <c r="T127" s="611">
        <f>'Yield Mechanism'!$AI$58</f>
        <v>72.402344449712785</v>
      </c>
      <c r="U127" s="144">
        <f>U126+T127*K127</f>
        <v>322.53891192012236</v>
      </c>
      <c r="V127" s="435"/>
      <c r="W127" s="415"/>
      <c r="X127" s="268">
        <v>2</v>
      </c>
      <c r="Y127" s="139">
        <f>'Structural Information'!$Z$7</f>
        <v>40.367000000000004</v>
      </c>
      <c r="Z127" s="139">
        <f>Y127*M127</f>
        <v>8.0391056129067611</v>
      </c>
      <c r="AA127" s="139">
        <f>Z127*L127</f>
        <v>46.224857274213875</v>
      </c>
      <c r="AB127" s="504" t="s">
        <v>339</v>
      </c>
    </row>
    <row r="128" spans="2:28" x14ac:dyDescent="0.25">
      <c r="B128" s="246">
        <v>2.75</v>
      </c>
      <c r="C128" s="246">
        <v>1</v>
      </c>
      <c r="D128" s="140">
        <v>3.6828299999999998E-3</v>
      </c>
      <c r="E128" s="140">
        <v>1.03836E-2</v>
      </c>
      <c r="F128" s="140">
        <v>1.6157999999999999E-2</v>
      </c>
      <c r="G128" s="140">
        <v>3.0802099999999999E-2</v>
      </c>
      <c r="H128" s="463">
        <v>2.6731584374981368E-4</v>
      </c>
      <c r="I128" s="459"/>
      <c r="J128" s="432">
        <v>1</v>
      </c>
      <c r="K128" s="144">
        <f>'Structural Information'!$U$8</f>
        <v>2.75</v>
      </c>
      <c r="L128" s="144">
        <f>K128</f>
        <v>2.75</v>
      </c>
      <c r="M128" s="433">
        <f>'Yield Mechanism'!$K$51</f>
        <v>0.19506198235761751</v>
      </c>
      <c r="N128" s="140">
        <f>M128</f>
        <v>0.19506198235761751</v>
      </c>
      <c r="O128" s="434">
        <f>N128/K128</f>
        <v>7.093162994822455E-2</v>
      </c>
      <c r="P128" s="433">
        <f>$C$28</f>
        <v>8.1000948897978157E-3</v>
      </c>
      <c r="Q128" s="433">
        <f>$D$28</f>
        <v>1.7443905747548439E-3</v>
      </c>
      <c r="R128" s="139">
        <f>O128/P128</f>
        <v>8.7568887665209871</v>
      </c>
      <c r="S128" s="139">
        <f>O128/Q128</f>
        <v>40.6626996125528</v>
      </c>
      <c r="T128" s="611">
        <f>'Yield Mechanism'!$AI$59</f>
        <v>108.9284835276714</v>
      </c>
      <c r="U128" s="144">
        <f>U127+T128*K128</f>
        <v>622.0922416212187</v>
      </c>
      <c r="V128" s="436"/>
      <c r="W128" s="415"/>
      <c r="X128" s="268">
        <v>1</v>
      </c>
      <c r="Y128" s="139">
        <f>'Structural Information'!$Z$8</f>
        <v>40.367000000000004</v>
      </c>
      <c r="Z128" s="139">
        <f>Y128*M128</f>
        <v>7.8740670418299468</v>
      </c>
      <c r="AA128" s="139">
        <f>Z128*L128</f>
        <v>21.653684365032355</v>
      </c>
      <c r="AB128" s="143">
        <f>T128/M126</f>
        <v>544.64241780909799</v>
      </c>
    </row>
    <row r="129" spans="2:28" x14ac:dyDescent="0.25">
      <c r="B129" s="460">
        <v>0</v>
      </c>
      <c r="C129" s="246">
        <v>0</v>
      </c>
      <c r="D129" s="140">
        <v>0</v>
      </c>
      <c r="E129" s="140">
        <v>0</v>
      </c>
      <c r="F129" s="140">
        <v>0</v>
      </c>
      <c r="G129" s="140">
        <v>0</v>
      </c>
      <c r="H129" s="463">
        <v>0</v>
      </c>
      <c r="I129" s="459"/>
      <c r="V129" s="437"/>
      <c r="W129" s="415"/>
      <c r="X129" s="438"/>
      <c r="Y129" s="504" t="s">
        <v>82</v>
      </c>
      <c r="Z129" s="439">
        <f>SUM(Z126:Z128)</f>
        <v>23.482092652363914</v>
      </c>
      <c r="AA129" s="439">
        <f>SUM(AA126:AA128)</f>
        <v>134.10659161848429</v>
      </c>
      <c r="AB129" s="505" t="s">
        <v>341</v>
      </c>
    </row>
    <row r="130" spans="2:28" x14ac:dyDescent="0.25">
      <c r="I130" s="459"/>
      <c r="W130" s="415"/>
      <c r="X130" s="438"/>
      <c r="Y130" s="440"/>
      <c r="Z130" s="440"/>
      <c r="AA130" s="441"/>
      <c r="AB130" s="139">
        <f>(('Structural Information'!$Z$6*M126+'Structural Information'!$Z$7*M127+'Structural Information'!$Z$8*M128)^2)/('Structural Information'!$Z$6*M126*M126+'Structural Information'!$Z$7*M127*M127+'Structural Information'!$Z$8*M128*M128)</f>
        <v>118.56449651951772</v>
      </c>
    </row>
    <row r="131" spans="2:28" x14ac:dyDescent="0.25">
      <c r="I131" s="459"/>
      <c r="W131" s="415"/>
      <c r="X131" s="438"/>
      <c r="Y131" s="180"/>
      <c r="Z131" s="180"/>
      <c r="AA131" s="442"/>
      <c r="AB131" s="504" t="s">
        <v>340</v>
      </c>
    </row>
    <row r="132" spans="2:28" x14ac:dyDescent="0.25">
      <c r="I132" s="459"/>
      <c r="X132" s="443"/>
      <c r="Y132" s="444"/>
      <c r="Z132" s="444"/>
      <c r="AA132" s="445"/>
      <c r="AB132" s="143">
        <f>2*PI()*SQRT(AB130/AB128)</f>
        <v>2.9315780957573927</v>
      </c>
    </row>
    <row r="134" spans="2:28" x14ac:dyDescent="0.25">
      <c r="B134" s="1058" t="s">
        <v>123</v>
      </c>
      <c r="C134" s="1059"/>
      <c r="D134" s="1059"/>
      <c r="E134" s="1059"/>
      <c r="F134" s="1059"/>
      <c r="G134" s="1059"/>
      <c r="H134" s="1060"/>
      <c r="J134" s="1049" t="s">
        <v>344</v>
      </c>
      <c r="K134" s="1050"/>
      <c r="L134" s="1050"/>
      <c r="M134" s="1050"/>
      <c r="N134" s="1050"/>
      <c r="O134" s="1050"/>
      <c r="P134" s="1050"/>
      <c r="Q134" s="1050"/>
      <c r="R134" s="1050"/>
      <c r="S134" s="1050"/>
      <c r="T134" s="1050"/>
      <c r="U134" s="1050"/>
      <c r="V134" s="1051"/>
      <c r="X134" s="1052" t="s">
        <v>109</v>
      </c>
      <c r="Y134" s="1052"/>
      <c r="Z134" s="1052"/>
      <c r="AA134" s="1052"/>
      <c r="AB134" s="1052"/>
    </row>
    <row r="135" spans="2:28" ht="15" customHeight="1" x14ac:dyDescent="0.25">
      <c r="B135" s="643" t="s">
        <v>9</v>
      </c>
      <c r="C135" s="643" t="s">
        <v>117</v>
      </c>
      <c r="D135" s="643" t="s">
        <v>118</v>
      </c>
      <c r="E135" s="643" t="s">
        <v>119</v>
      </c>
      <c r="F135" s="643" t="s">
        <v>120</v>
      </c>
      <c r="G135" s="643" t="s">
        <v>121</v>
      </c>
      <c r="H135" s="643" t="s">
        <v>122</v>
      </c>
      <c r="J135" s="1040" t="s">
        <v>9</v>
      </c>
      <c r="K135" s="1041" t="s">
        <v>3</v>
      </c>
      <c r="L135" s="1041" t="s">
        <v>76</v>
      </c>
      <c r="M135" s="1040" t="s">
        <v>78</v>
      </c>
      <c r="N135" s="1040" t="s">
        <v>85</v>
      </c>
      <c r="O135" s="1041" t="s">
        <v>104</v>
      </c>
      <c r="P135" s="1041" t="s">
        <v>262</v>
      </c>
      <c r="Q135" s="1041" t="s">
        <v>263</v>
      </c>
      <c r="R135" s="1040" t="s">
        <v>419</v>
      </c>
      <c r="S135" s="1040" t="s">
        <v>420</v>
      </c>
      <c r="T135" s="1040" t="s">
        <v>79</v>
      </c>
      <c r="U135" s="1041" t="s">
        <v>105</v>
      </c>
      <c r="V135" s="1040" t="s">
        <v>83</v>
      </c>
      <c r="X135" s="643" t="s">
        <v>9</v>
      </c>
      <c r="Y135" s="1042" t="s">
        <v>80</v>
      </c>
      <c r="Z135" s="1042" t="s">
        <v>81</v>
      </c>
      <c r="AA135" s="1042" t="s">
        <v>107</v>
      </c>
      <c r="AB135" s="648" t="s">
        <v>108</v>
      </c>
    </row>
    <row r="136" spans="2:28" x14ac:dyDescent="0.25">
      <c r="B136" s="643"/>
      <c r="C136" s="643"/>
      <c r="D136" s="643"/>
      <c r="E136" s="643"/>
      <c r="F136" s="643"/>
      <c r="G136" s="643"/>
      <c r="H136" s="643"/>
      <c r="J136" s="917"/>
      <c r="K136" s="955"/>
      <c r="L136" s="955"/>
      <c r="M136" s="917"/>
      <c r="N136" s="917"/>
      <c r="O136" s="955"/>
      <c r="P136" s="955"/>
      <c r="Q136" s="955"/>
      <c r="R136" s="917"/>
      <c r="S136" s="917"/>
      <c r="T136" s="917"/>
      <c r="U136" s="955"/>
      <c r="V136" s="917"/>
      <c r="X136" s="643"/>
      <c r="Y136" s="1042"/>
      <c r="Z136" s="1042"/>
      <c r="AA136" s="1042"/>
      <c r="AB136" s="648"/>
    </row>
    <row r="137" spans="2:28" x14ac:dyDescent="0.25">
      <c r="B137" s="464">
        <v>3</v>
      </c>
      <c r="C137" s="140">
        <f>M5-H126</f>
        <v>1.1485501705850786E-2</v>
      </c>
      <c r="D137" s="140">
        <f>M16-H126</f>
        <v>1.8109748063023019E-2</v>
      </c>
      <c r="E137" s="140">
        <f>M27-H126</f>
        <v>2.4532627087902478E-2</v>
      </c>
      <c r="F137" s="140">
        <f>M38-H126</f>
        <v>3.232672482796739E-2</v>
      </c>
      <c r="G137" s="140">
        <f>M49-H126</f>
        <v>4.4838342816113694E-2</v>
      </c>
      <c r="H137" s="140">
        <f>M104-H126</f>
        <v>0.19962745482949315</v>
      </c>
      <c r="J137" s="432">
        <v>3</v>
      </c>
      <c r="K137" s="144">
        <f>'Structural Information'!$U$6</f>
        <v>3</v>
      </c>
      <c r="L137" s="144">
        <f>L138+K137</f>
        <v>8.75</v>
      </c>
      <c r="M137" s="433">
        <f>'Yield Mechanism'!$K$49</f>
        <v>0.19999999993730164</v>
      </c>
      <c r="N137" s="140">
        <f>M137-M138</f>
        <v>8.4956485649897995E-4</v>
      </c>
      <c r="O137" s="434">
        <f>N137/K137</f>
        <v>2.8318828549965996E-4</v>
      </c>
      <c r="P137" s="433">
        <f>$C$26</f>
        <v>9.5976000000000013E-3</v>
      </c>
      <c r="Q137" s="433">
        <f>$D$26</f>
        <v>1.8601738665676483E-3</v>
      </c>
      <c r="R137" s="144">
        <f>O137/P137</f>
        <v>2.9506156278617565E-2</v>
      </c>
      <c r="S137" s="139">
        <f>O137/Q137</f>
        <v>0.15223753574293178</v>
      </c>
      <c r="T137" s="611">
        <f>'Yield Mechanism'!$AI$57</f>
        <v>35.110626190328013</v>
      </c>
      <c r="U137" s="144">
        <f>T137*K137</f>
        <v>105.33187857098403</v>
      </c>
      <c r="V137" s="139">
        <f>U139/AB137</f>
        <v>108.92848352767136</v>
      </c>
      <c r="W137" s="415"/>
      <c r="X137" s="268">
        <v>3</v>
      </c>
      <c r="Y137" s="139">
        <f>'Structural Information'!$Z$6</f>
        <v>37.8446</v>
      </c>
      <c r="Z137" s="139">
        <f>Y137*M137</f>
        <v>7.5689199976272059</v>
      </c>
      <c r="AA137" s="139">
        <f>Z137*L137</f>
        <v>66.228049979238051</v>
      </c>
      <c r="AB137" s="139">
        <f>AA140/Z140</f>
        <v>5.7110153513078803</v>
      </c>
    </row>
    <row r="138" spans="2:28" x14ac:dyDescent="0.25">
      <c r="B138" s="464">
        <v>2</v>
      </c>
      <c r="C138" s="140">
        <f>M6-H127</f>
        <v>8.8059810779586058E-3</v>
      </c>
      <c r="D138" s="140">
        <f>M17-H127</f>
        <v>1.5017542603366024E-2</v>
      </c>
      <c r="E138" s="140">
        <f>M28-H127</f>
        <v>2.1095547584390334E-2</v>
      </c>
      <c r="F138" s="140">
        <f>M39-H127</f>
        <v>2.9471677260595332E-2</v>
      </c>
      <c r="G138" s="140">
        <f>M50-H127</f>
        <v>4.3483943533355753E-2</v>
      </c>
      <c r="H138" s="140">
        <f>M105-H127</f>
        <v>0.19871452567757905</v>
      </c>
      <c r="I138" s="465"/>
      <c r="J138" s="432">
        <v>2</v>
      </c>
      <c r="K138" s="144">
        <f>'Structural Information'!$U$7</f>
        <v>3</v>
      </c>
      <c r="L138" s="144">
        <f>L139+K138</f>
        <v>5.75</v>
      </c>
      <c r="M138" s="433">
        <f>'Yield Mechanism'!$K$50</f>
        <v>0.19915043508080266</v>
      </c>
      <c r="N138" s="140">
        <f>M138-M139</f>
        <v>4.0884527231851431E-3</v>
      </c>
      <c r="O138" s="434">
        <f>N138/K138</f>
        <v>1.3628175743950477E-3</v>
      </c>
      <c r="P138" s="433">
        <f>$C$27</f>
        <v>9.1744770034843208E-3</v>
      </c>
      <c r="Q138" s="433">
        <f>$D$27</f>
        <v>1.7655780345468453E-3</v>
      </c>
      <c r="R138" s="139">
        <f>O138/P138</f>
        <v>0.14854444279248519</v>
      </c>
      <c r="S138" s="139">
        <f>O138/Q138</f>
        <v>0.77188181305440262</v>
      </c>
      <c r="T138" s="611">
        <f>'Yield Mechanism'!$AI$58</f>
        <v>72.402344449712785</v>
      </c>
      <c r="U138" s="144">
        <f>U137+T138*K138</f>
        <v>322.53891192012236</v>
      </c>
      <c r="V138" s="435"/>
      <c r="W138" s="415"/>
      <c r="X138" s="268">
        <v>2</v>
      </c>
      <c r="Y138" s="139">
        <f>'Structural Information'!$Z$7</f>
        <v>40.367000000000004</v>
      </c>
      <c r="Z138" s="139">
        <f>Y138*M138</f>
        <v>8.0391056129067611</v>
      </c>
      <c r="AA138" s="139">
        <f>Z138*L138</f>
        <v>46.224857274213875</v>
      </c>
      <c r="AB138" s="504" t="s">
        <v>339</v>
      </c>
    </row>
    <row r="139" spans="2:28" x14ac:dyDescent="0.25">
      <c r="B139" s="464">
        <v>1</v>
      </c>
      <c r="C139" s="140">
        <f>M7-H128</f>
        <v>4.5413764442144115E-3</v>
      </c>
      <c r="D139" s="140">
        <f>M18-H128</f>
        <v>9.8839899552513374E-3</v>
      </c>
      <c r="E139" s="140">
        <f>M29-H128</f>
        <v>1.2793659329201451E-2</v>
      </c>
      <c r="F139" s="140">
        <f>M40-H128</f>
        <v>2.2069583840867702E-2</v>
      </c>
      <c r="G139" s="140">
        <f>M51-H128</f>
        <v>3.8752686891092222E-2</v>
      </c>
      <c r="H139" s="140">
        <f>M106-H128</f>
        <v>0.1947946665138677</v>
      </c>
      <c r="I139" s="465"/>
      <c r="J139" s="432">
        <v>1</v>
      </c>
      <c r="K139" s="144">
        <f>'Structural Information'!$U$8</f>
        <v>2.75</v>
      </c>
      <c r="L139" s="144">
        <f>K139</f>
        <v>2.75</v>
      </c>
      <c r="M139" s="433">
        <f>'Yield Mechanism'!$K$51</f>
        <v>0.19506198235761751</v>
      </c>
      <c r="N139" s="140">
        <f>M139</f>
        <v>0.19506198235761751</v>
      </c>
      <c r="O139" s="434">
        <f>N139/K139</f>
        <v>7.093162994822455E-2</v>
      </c>
      <c r="P139" s="433">
        <f>$C$28</f>
        <v>8.1000948897978157E-3</v>
      </c>
      <c r="Q139" s="433">
        <f>$D$28</f>
        <v>1.7443905747548439E-3</v>
      </c>
      <c r="R139" s="139">
        <f>O139/P139</f>
        <v>8.7568887665209871</v>
      </c>
      <c r="S139" s="139">
        <f>O139/Q139</f>
        <v>40.6626996125528</v>
      </c>
      <c r="T139" s="611">
        <f>'Yield Mechanism'!$AI$59</f>
        <v>108.9284835276714</v>
      </c>
      <c r="U139" s="144">
        <f>U138+T139*K139</f>
        <v>622.0922416212187</v>
      </c>
      <c r="V139" s="436"/>
      <c r="W139" s="415"/>
      <c r="X139" s="268">
        <v>1</v>
      </c>
      <c r="Y139" s="139">
        <f>'Structural Information'!$Z$8</f>
        <v>40.367000000000004</v>
      </c>
      <c r="Z139" s="139">
        <f>Y139*M139</f>
        <v>7.8740670418299468</v>
      </c>
      <c r="AA139" s="139">
        <f>Z139*L139</f>
        <v>21.653684365032355</v>
      </c>
      <c r="AB139" s="143">
        <f>T139/M137</f>
        <v>544.64241780909799</v>
      </c>
    </row>
    <row r="140" spans="2:28" x14ac:dyDescent="0.25">
      <c r="B140" s="466">
        <v>0</v>
      </c>
      <c r="C140" s="140">
        <f>M8-H129</f>
        <v>0</v>
      </c>
      <c r="D140" s="140">
        <f>M19-H129</f>
        <v>0</v>
      </c>
      <c r="E140" s="140">
        <f>M30-H129</f>
        <v>0</v>
      </c>
      <c r="F140" s="140">
        <f>M41-H129</f>
        <v>0</v>
      </c>
      <c r="G140" s="140">
        <f>M52-H129</f>
        <v>0</v>
      </c>
      <c r="H140" s="140">
        <f>M107-H129</f>
        <v>0</v>
      </c>
      <c r="V140" s="437"/>
      <c r="W140" s="415"/>
      <c r="X140" s="438"/>
      <c r="Y140" s="504" t="s">
        <v>82</v>
      </c>
      <c r="Z140" s="439">
        <f>SUM(Z137:Z139)</f>
        <v>23.482092652363914</v>
      </c>
      <c r="AA140" s="439">
        <f>SUM(AA137:AA139)</f>
        <v>134.10659161848429</v>
      </c>
      <c r="AB140" s="505" t="s">
        <v>341</v>
      </c>
    </row>
    <row r="141" spans="2:28" x14ac:dyDescent="0.25">
      <c r="W141" s="415"/>
      <c r="X141" s="438"/>
      <c r="Y141" s="440"/>
      <c r="Z141" s="440"/>
      <c r="AA141" s="441"/>
      <c r="AB141" s="139">
        <f>(('Structural Information'!$Z$6*M137+'Structural Information'!$Z$7*M138+'Structural Information'!$Z$8*M139)^2)/('Structural Information'!$Z$6*M137*M137+'Structural Information'!$Z$7*M138*M138+'Structural Information'!$Z$8*M139*M139)</f>
        <v>118.56449651951772</v>
      </c>
    </row>
    <row r="142" spans="2:28" x14ac:dyDescent="0.25">
      <c r="W142" s="415"/>
      <c r="X142" s="438"/>
      <c r="Y142" s="180"/>
      <c r="Z142" s="180"/>
      <c r="AA142" s="442"/>
      <c r="AB142" s="504" t="s">
        <v>340</v>
      </c>
    </row>
    <row r="143" spans="2:28" x14ac:dyDescent="0.25">
      <c r="X143" s="443"/>
      <c r="Y143" s="444"/>
      <c r="Z143" s="444"/>
      <c r="AA143" s="445"/>
      <c r="AB143" s="143">
        <f>2*PI()*SQRT(AB141/AB139)</f>
        <v>2.9315780957573927</v>
      </c>
    </row>
    <row r="145" spans="10:28" x14ac:dyDescent="0.25">
      <c r="J145" s="1046" t="s">
        <v>345</v>
      </c>
      <c r="K145" s="1046"/>
      <c r="L145" s="1046"/>
      <c r="M145" s="1046"/>
      <c r="N145" s="1046"/>
      <c r="O145" s="1046"/>
      <c r="P145" s="1046"/>
      <c r="Q145" s="1046"/>
      <c r="R145" s="1046"/>
      <c r="S145" s="1046"/>
      <c r="T145" s="1046"/>
      <c r="U145" s="1046"/>
      <c r="V145" s="1046"/>
      <c r="X145" s="1047" t="s">
        <v>109</v>
      </c>
      <c r="Y145" s="1047"/>
      <c r="Z145" s="1047"/>
      <c r="AA145" s="1047"/>
      <c r="AB145" s="1047"/>
    </row>
    <row r="146" spans="10:28" ht="15" customHeight="1" x14ac:dyDescent="0.25">
      <c r="J146" s="1040" t="s">
        <v>9</v>
      </c>
      <c r="K146" s="1041" t="s">
        <v>3</v>
      </c>
      <c r="L146" s="1041" t="s">
        <v>76</v>
      </c>
      <c r="M146" s="1040" t="s">
        <v>78</v>
      </c>
      <c r="N146" s="1040" t="s">
        <v>85</v>
      </c>
      <c r="O146" s="1041" t="s">
        <v>104</v>
      </c>
      <c r="P146" s="1041" t="s">
        <v>262</v>
      </c>
      <c r="Q146" s="1041" t="s">
        <v>263</v>
      </c>
      <c r="R146" s="1040" t="s">
        <v>419</v>
      </c>
      <c r="S146" s="1040" t="s">
        <v>420</v>
      </c>
      <c r="T146" s="1040" t="s">
        <v>79</v>
      </c>
      <c r="U146" s="1041" t="s">
        <v>105</v>
      </c>
      <c r="V146" s="1040" t="s">
        <v>83</v>
      </c>
      <c r="X146" s="643" t="s">
        <v>9</v>
      </c>
      <c r="Y146" s="1042" t="s">
        <v>80</v>
      </c>
      <c r="Z146" s="1042" t="s">
        <v>81</v>
      </c>
      <c r="AA146" s="1042" t="s">
        <v>107</v>
      </c>
      <c r="AB146" s="648" t="s">
        <v>108</v>
      </c>
    </row>
    <row r="147" spans="10:28" x14ac:dyDescent="0.25">
      <c r="J147" s="917"/>
      <c r="K147" s="955"/>
      <c r="L147" s="955"/>
      <c r="M147" s="917"/>
      <c r="N147" s="917"/>
      <c r="O147" s="955"/>
      <c r="P147" s="955"/>
      <c r="Q147" s="955"/>
      <c r="R147" s="917"/>
      <c r="S147" s="917"/>
      <c r="T147" s="917"/>
      <c r="U147" s="955"/>
      <c r="V147" s="917"/>
      <c r="X147" s="643"/>
      <c r="Y147" s="1042"/>
      <c r="Z147" s="1042"/>
      <c r="AA147" s="1042"/>
      <c r="AB147" s="648"/>
    </row>
    <row r="148" spans="10:28" x14ac:dyDescent="0.25">
      <c r="J148" s="432">
        <v>3</v>
      </c>
      <c r="K148" s="144">
        <f>'Structural Information'!$U$6</f>
        <v>3</v>
      </c>
      <c r="L148" s="144">
        <f>L149+K148</f>
        <v>8.75</v>
      </c>
      <c r="M148" s="433">
        <f>'Yield Mechanism'!$K$49</f>
        <v>0.19999999993730164</v>
      </c>
      <c r="N148" s="140">
        <f>M148-M149</f>
        <v>8.4956485649897995E-4</v>
      </c>
      <c r="O148" s="434">
        <f>N148/K148</f>
        <v>2.8318828549965996E-4</v>
      </c>
      <c r="P148" s="433">
        <f>$C$26</f>
        <v>9.5976000000000013E-3</v>
      </c>
      <c r="Q148" s="433">
        <f>$D$26</f>
        <v>1.8601738665676483E-3</v>
      </c>
      <c r="R148" s="144">
        <f>O148/P148</f>
        <v>2.9506156278617565E-2</v>
      </c>
      <c r="S148" s="139">
        <f>O148/Q148</f>
        <v>0.15223753574293178</v>
      </c>
      <c r="T148" s="611">
        <f>'Yield Mechanism'!$AI$57</f>
        <v>35.110626190328013</v>
      </c>
      <c r="U148" s="144">
        <f>T148*K148</f>
        <v>105.33187857098403</v>
      </c>
      <c r="V148" s="139">
        <f>U150/AB148</f>
        <v>108.92848352767136</v>
      </c>
      <c r="W148" s="415"/>
      <c r="X148" s="268">
        <v>3</v>
      </c>
      <c r="Y148" s="139">
        <f>'Structural Information'!$Z$6</f>
        <v>37.8446</v>
      </c>
      <c r="Z148" s="139">
        <f>Y148*M148</f>
        <v>7.5689199976272059</v>
      </c>
      <c r="AA148" s="139">
        <f>Z148*L148</f>
        <v>66.228049979238051</v>
      </c>
      <c r="AB148" s="139">
        <f>AA151/Z151</f>
        <v>5.7110153513078803</v>
      </c>
    </row>
    <row r="149" spans="10:28" x14ac:dyDescent="0.25">
      <c r="J149" s="432">
        <v>2</v>
      </c>
      <c r="K149" s="144">
        <f>'Structural Information'!$U$7</f>
        <v>3</v>
      </c>
      <c r="L149" s="144">
        <f>L150+K149</f>
        <v>5.75</v>
      </c>
      <c r="M149" s="433">
        <f>'Yield Mechanism'!$K$50</f>
        <v>0.19915043508080266</v>
      </c>
      <c r="N149" s="140">
        <f>M149-M150</f>
        <v>4.0884527231851431E-3</v>
      </c>
      <c r="O149" s="434">
        <f>N149/K149</f>
        <v>1.3628175743950477E-3</v>
      </c>
      <c r="P149" s="433">
        <f>$C$27</f>
        <v>9.1744770034843208E-3</v>
      </c>
      <c r="Q149" s="433">
        <f>$D$27</f>
        <v>1.7655780345468453E-3</v>
      </c>
      <c r="R149" s="139">
        <f>O149/P149</f>
        <v>0.14854444279248519</v>
      </c>
      <c r="S149" s="139">
        <f>O149/Q149</f>
        <v>0.77188181305440262</v>
      </c>
      <c r="T149" s="611">
        <f>'Yield Mechanism'!$AI$58</f>
        <v>72.402344449712785</v>
      </c>
      <c r="U149" s="144">
        <f>U148+T149*K149</f>
        <v>322.53891192012236</v>
      </c>
      <c r="V149" s="435"/>
      <c r="W149" s="415"/>
      <c r="X149" s="268">
        <v>2</v>
      </c>
      <c r="Y149" s="139">
        <f>'Structural Information'!$Z$7</f>
        <v>40.367000000000004</v>
      </c>
      <c r="Z149" s="139">
        <f>Y149*M149</f>
        <v>8.0391056129067611</v>
      </c>
      <c r="AA149" s="139">
        <f>Z149*L149</f>
        <v>46.224857274213875</v>
      </c>
      <c r="AB149" s="504" t="s">
        <v>339</v>
      </c>
    </row>
    <row r="150" spans="10:28" x14ac:dyDescent="0.25">
      <c r="J150" s="432">
        <v>1</v>
      </c>
      <c r="K150" s="144">
        <f>'Structural Information'!$U$8</f>
        <v>2.75</v>
      </c>
      <c r="L150" s="144">
        <f>K150</f>
        <v>2.75</v>
      </c>
      <c r="M150" s="433">
        <f>'Yield Mechanism'!$K$51</f>
        <v>0.19506198235761751</v>
      </c>
      <c r="N150" s="140">
        <f>M150</f>
        <v>0.19506198235761751</v>
      </c>
      <c r="O150" s="434">
        <f>N150/K150</f>
        <v>7.093162994822455E-2</v>
      </c>
      <c r="P150" s="433">
        <f>$C$28</f>
        <v>8.1000948897978157E-3</v>
      </c>
      <c r="Q150" s="433">
        <f>$D$28</f>
        <v>1.7443905747548439E-3</v>
      </c>
      <c r="R150" s="139">
        <f>O150/P150</f>
        <v>8.7568887665209871</v>
      </c>
      <c r="S150" s="139">
        <f>O150/Q150</f>
        <v>40.6626996125528</v>
      </c>
      <c r="T150" s="611">
        <f>'Yield Mechanism'!$AI$59</f>
        <v>108.9284835276714</v>
      </c>
      <c r="U150" s="144">
        <f>U149+T150*K150</f>
        <v>622.0922416212187</v>
      </c>
      <c r="V150" s="436"/>
      <c r="W150" s="415"/>
      <c r="X150" s="268">
        <v>1</v>
      </c>
      <c r="Y150" s="139">
        <f>'Structural Information'!$Z$8</f>
        <v>40.367000000000004</v>
      </c>
      <c r="Z150" s="139">
        <f>Y150*M150</f>
        <v>7.8740670418299468</v>
      </c>
      <c r="AA150" s="139">
        <f>Z150*L150</f>
        <v>21.653684365032355</v>
      </c>
      <c r="AB150" s="143">
        <f>T150/M148</f>
        <v>544.64241780909799</v>
      </c>
    </row>
    <row r="151" spans="10:28" x14ac:dyDescent="0.25">
      <c r="V151" s="437"/>
      <c r="W151" s="415"/>
      <c r="X151" s="438"/>
      <c r="Y151" s="504" t="s">
        <v>82</v>
      </c>
      <c r="Z151" s="439">
        <f>SUM(Z148:Z150)</f>
        <v>23.482092652363914</v>
      </c>
      <c r="AA151" s="439">
        <f>SUM(AA148:AA150)</f>
        <v>134.10659161848429</v>
      </c>
      <c r="AB151" s="505" t="s">
        <v>341</v>
      </c>
    </row>
    <row r="152" spans="10:28" x14ac:dyDescent="0.25">
      <c r="W152" s="415"/>
      <c r="X152" s="438"/>
      <c r="Y152" s="440"/>
      <c r="Z152" s="440"/>
      <c r="AA152" s="441"/>
      <c r="AB152" s="139">
        <f>(('Structural Information'!$Z$6*M148+'Structural Information'!$Z$7*M149+'Structural Information'!$Z$8*M150)^2)/('Structural Information'!$Z$6*M148*M148+'Structural Information'!$Z$7*M149*M149+'Structural Information'!$Z$8*M150*M150)</f>
        <v>118.56449651951772</v>
      </c>
    </row>
    <row r="153" spans="10:28" x14ac:dyDescent="0.25">
      <c r="W153" s="415"/>
      <c r="X153" s="438"/>
      <c r="Y153" s="180"/>
      <c r="Z153" s="180"/>
      <c r="AA153" s="442"/>
      <c r="AB153" s="504" t="s">
        <v>340</v>
      </c>
    </row>
    <row r="154" spans="10:28" x14ac:dyDescent="0.25">
      <c r="X154" s="443"/>
      <c r="Y154" s="444"/>
      <c r="Z154" s="444"/>
      <c r="AA154" s="445"/>
      <c r="AB154" s="143">
        <f>2*PI()*SQRT(AB152/AB150)</f>
        <v>2.9315780957573927</v>
      </c>
    </row>
    <row r="156" spans="10:28" x14ac:dyDescent="0.25">
      <c r="J156" s="1049" t="s">
        <v>346</v>
      </c>
      <c r="K156" s="1050"/>
      <c r="L156" s="1050"/>
      <c r="M156" s="1050"/>
      <c r="N156" s="1050"/>
      <c r="O156" s="1050"/>
      <c r="P156" s="1050"/>
      <c r="Q156" s="1050"/>
      <c r="R156" s="1050"/>
      <c r="S156" s="1050"/>
      <c r="T156" s="1050"/>
      <c r="U156" s="1050"/>
      <c r="V156" s="1051"/>
      <c r="X156" s="1046" t="s">
        <v>109</v>
      </c>
      <c r="Y156" s="1046"/>
      <c r="Z156" s="1046"/>
      <c r="AA156" s="1046"/>
      <c r="AB156" s="1046"/>
    </row>
    <row r="157" spans="10:28" ht="15" customHeight="1" x14ac:dyDescent="0.25">
      <c r="J157" s="1040" t="s">
        <v>9</v>
      </c>
      <c r="K157" s="1041" t="s">
        <v>3</v>
      </c>
      <c r="L157" s="1041" t="s">
        <v>76</v>
      </c>
      <c r="M157" s="1040" t="s">
        <v>78</v>
      </c>
      <c r="N157" s="1040" t="s">
        <v>85</v>
      </c>
      <c r="O157" s="1041" t="s">
        <v>104</v>
      </c>
      <c r="P157" s="1041" t="s">
        <v>262</v>
      </c>
      <c r="Q157" s="1041" t="s">
        <v>263</v>
      </c>
      <c r="R157" s="1040" t="s">
        <v>419</v>
      </c>
      <c r="S157" s="1040" t="s">
        <v>420</v>
      </c>
      <c r="T157" s="1040" t="s">
        <v>79</v>
      </c>
      <c r="U157" s="1041" t="s">
        <v>105</v>
      </c>
      <c r="V157" s="1040" t="s">
        <v>83</v>
      </c>
      <c r="X157" s="643" t="s">
        <v>9</v>
      </c>
      <c r="Y157" s="1042" t="s">
        <v>80</v>
      </c>
      <c r="Z157" s="1042" t="s">
        <v>81</v>
      </c>
      <c r="AA157" s="1042" t="s">
        <v>107</v>
      </c>
      <c r="AB157" s="648" t="s">
        <v>108</v>
      </c>
    </row>
    <row r="158" spans="10:28" x14ac:dyDescent="0.25">
      <c r="J158" s="917"/>
      <c r="K158" s="955"/>
      <c r="L158" s="955"/>
      <c r="M158" s="917"/>
      <c r="N158" s="917"/>
      <c r="O158" s="955"/>
      <c r="P158" s="955"/>
      <c r="Q158" s="955"/>
      <c r="R158" s="917"/>
      <c r="S158" s="917"/>
      <c r="T158" s="917"/>
      <c r="U158" s="955"/>
      <c r="V158" s="917"/>
      <c r="X158" s="643"/>
      <c r="Y158" s="1042"/>
      <c r="Z158" s="1042"/>
      <c r="AA158" s="1042"/>
      <c r="AB158" s="648"/>
    </row>
    <row r="159" spans="10:28" ht="15" customHeight="1" x14ac:dyDescent="0.25">
      <c r="J159" s="432">
        <v>3</v>
      </c>
      <c r="K159" s="144">
        <f>'Structural Information'!$U$6</f>
        <v>3</v>
      </c>
      <c r="L159" s="144">
        <f>L160+K159</f>
        <v>8.75</v>
      </c>
      <c r="M159" s="433">
        <f>'Yield Mechanism'!$K$49</f>
        <v>0.19999999993730164</v>
      </c>
      <c r="N159" s="140">
        <f>M159-M160</f>
        <v>8.4956485649897995E-4</v>
      </c>
      <c r="O159" s="434">
        <f>N159/K159</f>
        <v>2.8318828549965996E-4</v>
      </c>
      <c r="P159" s="433">
        <f>$C$26</f>
        <v>9.5976000000000013E-3</v>
      </c>
      <c r="Q159" s="433">
        <f>$D$26</f>
        <v>1.8601738665676483E-3</v>
      </c>
      <c r="R159" s="144">
        <f>O159/P159</f>
        <v>2.9506156278617565E-2</v>
      </c>
      <c r="S159" s="139">
        <f>O159/Q159</f>
        <v>0.15223753574293178</v>
      </c>
      <c r="T159" s="611">
        <f>'Yield Mechanism'!$AI$57</f>
        <v>35.110626190328013</v>
      </c>
      <c r="U159" s="144">
        <f>T159*K159</f>
        <v>105.33187857098403</v>
      </c>
      <c r="V159" s="139">
        <f>U161/AB159</f>
        <v>108.92848352767136</v>
      </c>
      <c r="W159" s="415"/>
      <c r="X159" s="268">
        <v>3</v>
      </c>
      <c r="Y159" s="139">
        <f>'Structural Information'!$Z$6</f>
        <v>37.8446</v>
      </c>
      <c r="Z159" s="139">
        <f>Y159*M159</f>
        <v>7.5689199976272059</v>
      </c>
      <c r="AA159" s="139">
        <f>Z159*L159</f>
        <v>66.228049979238051</v>
      </c>
      <c r="AB159" s="139">
        <f>AA162/Z162</f>
        <v>5.7110153513078803</v>
      </c>
    </row>
    <row r="160" spans="10:28" x14ac:dyDescent="0.25">
      <c r="J160" s="432">
        <v>2</v>
      </c>
      <c r="K160" s="144">
        <f>'Structural Information'!$U$7</f>
        <v>3</v>
      </c>
      <c r="L160" s="144">
        <f>L161+K160</f>
        <v>5.75</v>
      </c>
      <c r="M160" s="433">
        <f>'Yield Mechanism'!$K$50</f>
        <v>0.19915043508080266</v>
      </c>
      <c r="N160" s="140">
        <f>M160-M161</f>
        <v>4.0884527231851431E-3</v>
      </c>
      <c r="O160" s="434">
        <f>N160/K160</f>
        <v>1.3628175743950477E-3</v>
      </c>
      <c r="P160" s="433">
        <f>$C$27</f>
        <v>9.1744770034843208E-3</v>
      </c>
      <c r="Q160" s="433">
        <f>$D$27</f>
        <v>1.7655780345468453E-3</v>
      </c>
      <c r="R160" s="139">
        <f>O160/P160</f>
        <v>0.14854444279248519</v>
      </c>
      <c r="S160" s="139">
        <f>O160/Q160</f>
        <v>0.77188181305440262</v>
      </c>
      <c r="T160" s="611">
        <f>'Yield Mechanism'!$AI$58</f>
        <v>72.402344449712785</v>
      </c>
      <c r="U160" s="144">
        <f>U159+T160*K160</f>
        <v>322.53891192012236</v>
      </c>
      <c r="V160" s="435"/>
      <c r="W160" s="415"/>
      <c r="X160" s="268">
        <v>2</v>
      </c>
      <c r="Y160" s="139">
        <f>'Structural Information'!$Z$7</f>
        <v>40.367000000000004</v>
      </c>
      <c r="Z160" s="139">
        <f>Y160*M160</f>
        <v>8.0391056129067611</v>
      </c>
      <c r="AA160" s="139">
        <f>Z160*L160</f>
        <v>46.224857274213875</v>
      </c>
      <c r="AB160" s="504" t="s">
        <v>339</v>
      </c>
    </row>
    <row r="161" spans="10:28" x14ac:dyDescent="0.25">
      <c r="J161" s="432">
        <v>1</v>
      </c>
      <c r="K161" s="144">
        <f>'Structural Information'!$U$8</f>
        <v>2.75</v>
      </c>
      <c r="L161" s="144">
        <f>K161</f>
        <v>2.75</v>
      </c>
      <c r="M161" s="433">
        <f>'Yield Mechanism'!$K$51</f>
        <v>0.19506198235761751</v>
      </c>
      <c r="N161" s="140">
        <f>M161</f>
        <v>0.19506198235761751</v>
      </c>
      <c r="O161" s="434">
        <f>N161/K161</f>
        <v>7.093162994822455E-2</v>
      </c>
      <c r="P161" s="433">
        <f>$C$28</f>
        <v>8.1000948897978157E-3</v>
      </c>
      <c r="Q161" s="433">
        <f>$D$28</f>
        <v>1.7443905747548439E-3</v>
      </c>
      <c r="R161" s="139">
        <f>O161/P161</f>
        <v>8.7568887665209871</v>
      </c>
      <c r="S161" s="139">
        <f>O161/Q161</f>
        <v>40.6626996125528</v>
      </c>
      <c r="T161" s="611">
        <f>'Yield Mechanism'!$AI$59</f>
        <v>108.9284835276714</v>
      </c>
      <c r="U161" s="144">
        <f>U160+T161*K161</f>
        <v>622.0922416212187</v>
      </c>
      <c r="V161" s="436"/>
      <c r="W161" s="415"/>
      <c r="X161" s="268">
        <v>1</v>
      </c>
      <c r="Y161" s="139">
        <f>'Structural Information'!$Z$8</f>
        <v>40.367000000000004</v>
      </c>
      <c r="Z161" s="139">
        <f>Y161*M161</f>
        <v>7.8740670418299468</v>
      </c>
      <c r="AA161" s="139">
        <f>Z161*L161</f>
        <v>21.653684365032355</v>
      </c>
      <c r="AB161" s="143">
        <f>T161/M159</f>
        <v>544.64241780909799</v>
      </c>
    </row>
    <row r="162" spans="10:28" x14ac:dyDescent="0.25">
      <c r="V162" s="437"/>
      <c r="W162" s="415"/>
      <c r="X162" s="438"/>
      <c r="Y162" s="504" t="s">
        <v>82</v>
      </c>
      <c r="Z162" s="439">
        <f>SUM(Z159:Z161)</f>
        <v>23.482092652363914</v>
      </c>
      <c r="AA162" s="439">
        <f>SUM(AA159:AA161)</f>
        <v>134.10659161848429</v>
      </c>
      <c r="AB162" s="505" t="s">
        <v>341</v>
      </c>
    </row>
    <row r="163" spans="10:28" x14ac:dyDescent="0.25">
      <c r="W163" s="415"/>
      <c r="X163" s="438"/>
      <c r="Y163" s="440"/>
      <c r="Z163" s="440"/>
      <c r="AA163" s="441"/>
      <c r="AB163" s="139">
        <f>(('Structural Information'!$Z$6*M159+'Structural Information'!$Z$7*M160+'Structural Information'!$Z$8*M161)^2)/('Structural Information'!$Z$6*M159*M159+'Structural Information'!$Z$7*M160*M160+'Structural Information'!$Z$8*M161*M161)</f>
        <v>118.56449651951772</v>
      </c>
    </row>
    <row r="164" spans="10:28" x14ac:dyDescent="0.25">
      <c r="W164" s="415"/>
      <c r="X164" s="438"/>
      <c r="Y164" s="180"/>
      <c r="Z164" s="180"/>
      <c r="AA164" s="442"/>
      <c r="AB164" s="504" t="s">
        <v>340</v>
      </c>
    </row>
    <row r="165" spans="10:28" x14ac:dyDescent="0.25">
      <c r="X165" s="443"/>
      <c r="Y165" s="444"/>
      <c r="Z165" s="444"/>
      <c r="AA165" s="445"/>
      <c r="AB165" s="143">
        <f>2*PI()*SQRT(AB163/AB161)</f>
        <v>2.9315780957573927</v>
      </c>
    </row>
    <row r="167" spans="10:28" x14ac:dyDescent="0.25">
      <c r="J167" s="1043" t="s">
        <v>347</v>
      </c>
      <c r="K167" s="1044"/>
      <c r="L167" s="1044"/>
      <c r="M167" s="1044"/>
      <c r="N167" s="1044"/>
      <c r="O167" s="1044"/>
      <c r="P167" s="1044"/>
      <c r="Q167" s="1044"/>
      <c r="R167" s="1044"/>
      <c r="S167" s="1044"/>
      <c r="T167" s="1044"/>
      <c r="U167" s="1044"/>
      <c r="V167" s="1045"/>
      <c r="W167" s="457"/>
      <c r="X167" s="1043" t="s">
        <v>109</v>
      </c>
      <c r="Y167" s="1044"/>
      <c r="Z167" s="1044"/>
      <c r="AA167" s="1044"/>
      <c r="AB167" s="1045"/>
    </row>
    <row r="168" spans="10:28" ht="15" customHeight="1" x14ac:dyDescent="0.25">
      <c r="J168" s="1040" t="s">
        <v>9</v>
      </c>
      <c r="K168" s="1041" t="s">
        <v>3</v>
      </c>
      <c r="L168" s="1041" t="s">
        <v>76</v>
      </c>
      <c r="M168" s="1040" t="s">
        <v>78</v>
      </c>
      <c r="N168" s="1040" t="s">
        <v>85</v>
      </c>
      <c r="O168" s="1041" t="s">
        <v>104</v>
      </c>
      <c r="P168" s="1041" t="s">
        <v>262</v>
      </c>
      <c r="Q168" s="1041" t="s">
        <v>263</v>
      </c>
      <c r="R168" s="1040" t="s">
        <v>419</v>
      </c>
      <c r="S168" s="1040" t="s">
        <v>420</v>
      </c>
      <c r="T168" s="1040" t="s">
        <v>79</v>
      </c>
      <c r="U168" s="1041" t="s">
        <v>105</v>
      </c>
      <c r="V168" s="1040" t="s">
        <v>83</v>
      </c>
      <c r="X168" s="643" t="s">
        <v>9</v>
      </c>
      <c r="Y168" s="1042" t="s">
        <v>80</v>
      </c>
      <c r="Z168" s="1042" t="s">
        <v>81</v>
      </c>
      <c r="AA168" s="1042" t="s">
        <v>107</v>
      </c>
      <c r="AB168" s="648" t="s">
        <v>108</v>
      </c>
    </row>
    <row r="169" spans="10:28" x14ac:dyDescent="0.25">
      <c r="J169" s="917"/>
      <c r="K169" s="955"/>
      <c r="L169" s="955"/>
      <c r="M169" s="917"/>
      <c r="N169" s="917"/>
      <c r="O169" s="955"/>
      <c r="P169" s="955"/>
      <c r="Q169" s="955"/>
      <c r="R169" s="917"/>
      <c r="S169" s="917"/>
      <c r="T169" s="917"/>
      <c r="U169" s="955"/>
      <c r="V169" s="917"/>
      <c r="X169" s="643"/>
      <c r="Y169" s="1042"/>
      <c r="Z169" s="1042"/>
      <c r="AA169" s="1042"/>
      <c r="AB169" s="648"/>
    </row>
    <row r="170" spans="10:28" x14ac:dyDescent="0.25">
      <c r="J170" s="432">
        <v>3</v>
      </c>
      <c r="K170" s="144">
        <f>'Structural Information'!$U$6</f>
        <v>3</v>
      </c>
      <c r="L170" s="144">
        <f>L171+K170</f>
        <v>8.75</v>
      </c>
      <c r="M170" s="433">
        <f>'Yield Mechanism'!$K$49</f>
        <v>0.19999999993730164</v>
      </c>
      <c r="N170" s="140">
        <f>M170-M171</f>
        <v>8.4956485649897995E-4</v>
      </c>
      <c r="O170" s="434">
        <f>N170/K170</f>
        <v>2.8318828549965996E-4</v>
      </c>
      <c r="P170" s="433">
        <f>$C$26</f>
        <v>9.5976000000000013E-3</v>
      </c>
      <c r="Q170" s="433">
        <f>$D$26</f>
        <v>1.8601738665676483E-3</v>
      </c>
      <c r="R170" s="144">
        <f>O170/P170</f>
        <v>2.9506156278617565E-2</v>
      </c>
      <c r="S170" s="139">
        <f>O170/Q170</f>
        <v>0.15223753574293178</v>
      </c>
      <c r="T170" s="611">
        <f>'Yield Mechanism'!$AI$57</f>
        <v>35.110626190328013</v>
      </c>
      <c r="U170" s="144">
        <f>T170*K170</f>
        <v>105.33187857098403</v>
      </c>
      <c r="V170" s="139">
        <f>U172/AB170</f>
        <v>108.92848352767136</v>
      </c>
      <c r="W170" s="415"/>
      <c r="X170" s="268">
        <v>3</v>
      </c>
      <c r="Y170" s="139">
        <f>'Structural Information'!$Z$6</f>
        <v>37.8446</v>
      </c>
      <c r="Z170" s="139">
        <f>Y170*M170</f>
        <v>7.5689199976272059</v>
      </c>
      <c r="AA170" s="139">
        <f>Z170*L170</f>
        <v>66.228049979238051</v>
      </c>
      <c r="AB170" s="139">
        <f>AA173/Z173</f>
        <v>5.7110153513078803</v>
      </c>
    </row>
    <row r="171" spans="10:28" x14ac:dyDescent="0.25">
      <c r="J171" s="432">
        <v>2</v>
      </c>
      <c r="K171" s="144">
        <f>'Structural Information'!$U$7</f>
        <v>3</v>
      </c>
      <c r="L171" s="144">
        <f>L172+K171</f>
        <v>5.75</v>
      </c>
      <c r="M171" s="433">
        <f>'Yield Mechanism'!$K$50</f>
        <v>0.19915043508080266</v>
      </c>
      <c r="N171" s="140">
        <f>M171-M172</f>
        <v>4.0884527231851431E-3</v>
      </c>
      <c r="O171" s="434">
        <f>N171/K171</f>
        <v>1.3628175743950477E-3</v>
      </c>
      <c r="P171" s="433">
        <f>$C$27</f>
        <v>9.1744770034843208E-3</v>
      </c>
      <c r="Q171" s="433">
        <f>$D$27</f>
        <v>1.7655780345468453E-3</v>
      </c>
      <c r="R171" s="139">
        <f>O171/P171</f>
        <v>0.14854444279248519</v>
      </c>
      <c r="S171" s="139">
        <f>O171/Q171</f>
        <v>0.77188181305440262</v>
      </c>
      <c r="T171" s="611">
        <f>'Yield Mechanism'!$AI$58</f>
        <v>72.402344449712785</v>
      </c>
      <c r="U171" s="144">
        <f>U170+T171*K171</f>
        <v>322.53891192012236</v>
      </c>
      <c r="V171" s="435"/>
      <c r="W171" s="415"/>
      <c r="X171" s="268">
        <v>2</v>
      </c>
      <c r="Y171" s="139">
        <f>'Structural Information'!$Z$7</f>
        <v>40.367000000000004</v>
      </c>
      <c r="Z171" s="139">
        <f>Y171*M171</f>
        <v>8.0391056129067611</v>
      </c>
      <c r="AA171" s="139">
        <f>Z171*L171</f>
        <v>46.224857274213875</v>
      </c>
      <c r="AB171" s="504" t="s">
        <v>339</v>
      </c>
    </row>
    <row r="172" spans="10:28" x14ac:dyDescent="0.25">
      <c r="J172" s="432">
        <v>1</v>
      </c>
      <c r="K172" s="144">
        <f>'Structural Information'!$U$8</f>
        <v>2.75</v>
      </c>
      <c r="L172" s="144">
        <f>K172</f>
        <v>2.75</v>
      </c>
      <c r="M172" s="433">
        <f>'Yield Mechanism'!$K$51</f>
        <v>0.19506198235761751</v>
      </c>
      <c r="N172" s="140">
        <f>M172</f>
        <v>0.19506198235761751</v>
      </c>
      <c r="O172" s="434">
        <f>N172/K172</f>
        <v>7.093162994822455E-2</v>
      </c>
      <c r="P172" s="433">
        <f>$C$28</f>
        <v>8.1000948897978157E-3</v>
      </c>
      <c r="Q172" s="433">
        <f>$D$28</f>
        <v>1.7443905747548439E-3</v>
      </c>
      <c r="R172" s="139">
        <f>O172/P172</f>
        <v>8.7568887665209871</v>
      </c>
      <c r="S172" s="139">
        <f>O172/Q172</f>
        <v>40.6626996125528</v>
      </c>
      <c r="T172" s="611">
        <f>'Yield Mechanism'!$AI$59</f>
        <v>108.9284835276714</v>
      </c>
      <c r="U172" s="144">
        <f>U171+T172*K172</f>
        <v>622.0922416212187</v>
      </c>
      <c r="V172" s="436"/>
      <c r="W172" s="415"/>
      <c r="X172" s="268">
        <v>1</v>
      </c>
      <c r="Y172" s="139">
        <f>'Structural Information'!$Z$8</f>
        <v>40.367000000000004</v>
      </c>
      <c r="Z172" s="139">
        <f>Y172*M172</f>
        <v>7.8740670418299468</v>
      </c>
      <c r="AA172" s="139">
        <f>Z172*L172</f>
        <v>21.653684365032355</v>
      </c>
      <c r="AB172" s="143">
        <f>T172/M170</f>
        <v>544.64241780909799</v>
      </c>
    </row>
    <row r="173" spans="10:28" x14ac:dyDescent="0.25">
      <c r="V173" s="437"/>
      <c r="W173" s="415"/>
      <c r="X173" s="438"/>
      <c r="Y173" s="504" t="s">
        <v>82</v>
      </c>
      <c r="Z173" s="439">
        <f>SUM(Z170:Z172)</f>
        <v>23.482092652363914</v>
      </c>
      <c r="AA173" s="439">
        <f>SUM(AA170:AA172)</f>
        <v>134.10659161848429</v>
      </c>
      <c r="AB173" s="505" t="s">
        <v>341</v>
      </c>
    </row>
    <row r="174" spans="10:28" x14ac:dyDescent="0.25">
      <c r="W174" s="415"/>
      <c r="X174" s="438"/>
      <c r="Y174" s="440"/>
      <c r="Z174" s="440"/>
      <c r="AA174" s="441"/>
      <c r="AB174" s="139">
        <f>(('Structural Information'!$Z$6*M170+'Structural Information'!$Z$7*M171+'Structural Information'!$Z$8*M172)^2)/('Structural Information'!$Z$6*M170*M170+'Structural Information'!$Z$7*M171*M171+'Structural Information'!$Z$8*M172*M172)</f>
        <v>118.56449651951772</v>
      </c>
    </row>
    <row r="175" spans="10:28" x14ac:dyDescent="0.25">
      <c r="W175" s="415"/>
      <c r="X175" s="438"/>
      <c r="Y175" s="180"/>
      <c r="Z175" s="180"/>
      <c r="AA175" s="442"/>
      <c r="AB175" s="504" t="s">
        <v>340</v>
      </c>
    </row>
    <row r="176" spans="10:28" x14ac:dyDescent="0.25">
      <c r="X176" s="443"/>
      <c r="Y176" s="444"/>
      <c r="Z176" s="444"/>
      <c r="AA176" s="445"/>
      <c r="AB176" s="143">
        <f>2*PI()*SQRT(AB174/AB172)</f>
        <v>2.9315780957573927</v>
      </c>
    </row>
    <row r="177" spans="3:28" x14ac:dyDescent="0.25">
      <c r="R177" s="458"/>
      <c r="S177" s="458"/>
    </row>
    <row r="178" spans="3:28" x14ac:dyDescent="0.25">
      <c r="J178" s="1043" t="s">
        <v>348</v>
      </c>
      <c r="K178" s="1044"/>
      <c r="L178" s="1044"/>
      <c r="M178" s="1044"/>
      <c r="N178" s="1044"/>
      <c r="O178" s="1044"/>
      <c r="P178" s="1044"/>
      <c r="Q178" s="1044"/>
      <c r="R178" s="1044"/>
      <c r="S178" s="1044"/>
      <c r="T178" s="1044"/>
      <c r="U178" s="1044"/>
      <c r="V178" s="1045"/>
      <c r="W178" s="457"/>
      <c r="X178" s="1039" t="s">
        <v>109</v>
      </c>
      <c r="Y178" s="1039"/>
      <c r="Z178" s="1039"/>
      <c r="AA178" s="1039"/>
      <c r="AB178" s="1039"/>
    </row>
    <row r="179" spans="3:28" ht="15" customHeight="1" x14ac:dyDescent="0.25">
      <c r="J179" s="1040" t="s">
        <v>9</v>
      </c>
      <c r="K179" s="1041" t="s">
        <v>3</v>
      </c>
      <c r="L179" s="1041" t="s">
        <v>76</v>
      </c>
      <c r="M179" s="1040" t="s">
        <v>78</v>
      </c>
      <c r="N179" s="1040" t="s">
        <v>85</v>
      </c>
      <c r="O179" s="1041" t="s">
        <v>104</v>
      </c>
      <c r="P179" s="1041" t="s">
        <v>262</v>
      </c>
      <c r="Q179" s="1041" t="s">
        <v>263</v>
      </c>
      <c r="R179" s="1040" t="s">
        <v>419</v>
      </c>
      <c r="S179" s="1040" t="s">
        <v>420</v>
      </c>
      <c r="T179" s="1040" t="s">
        <v>79</v>
      </c>
      <c r="U179" s="1041" t="s">
        <v>105</v>
      </c>
      <c r="V179" s="1040" t="s">
        <v>83</v>
      </c>
      <c r="X179" s="643" t="s">
        <v>9</v>
      </c>
      <c r="Y179" s="1042" t="s">
        <v>80</v>
      </c>
      <c r="Z179" s="1042" t="s">
        <v>81</v>
      </c>
      <c r="AA179" s="1042" t="s">
        <v>107</v>
      </c>
      <c r="AB179" s="648" t="s">
        <v>108</v>
      </c>
    </row>
    <row r="180" spans="3:28" x14ac:dyDescent="0.25">
      <c r="J180" s="917"/>
      <c r="K180" s="955"/>
      <c r="L180" s="955"/>
      <c r="M180" s="917"/>
      <c r="N180" s="917"/>
      <c r="O180" s="955"/>
      <c r="P180" s="955"/>
      <c r="Q180" s="955"/>
      <c r="R180" s="917"/>
      <c r="S180" s="917"/>
      <c r="T180" s="917"/>
      <c r="U180" s="955"/>
      <c r="V180" s="917"/>
      <c r="X180" s="643"/>
      <c r="Y180" s="1042"/>
      <c r="Z180" s="1042"/>
      <c r="AA180" s="1042"/>
      <c r="AB180" s="648"/>
    </row>
    <row r="181" spans="3:28" x14ac:dyDescent="0.25">
      <c r="J181" s="432">
        <v>3</v>
      </c>
      <c r="K181" s="144">
        <f>'Structural Information'!$U$6</f>
        <v>3</v>
      </c>
      <c r="L181" s="144">
        <f>L182+K181</f>
        <v>8.75</v>
      </c>
      <c r="M181" s="433">
        <f>'Yield Mechanism'!$K$49</f>
        <v>0.19999999993730164</v>
      </c>
      <c r="N181" s="140">
        <f>M181-M182</f>
        <v>8.4956485649897995E-4</v>
      </c>
      <c r="O181" s="434">
        <f>N181/K181</f>
        <v>2.8318828549965996E-4</v>
      </c>
      <c r="P181" s="433">
        <f>$C$26</f>
        <v>9.5976000000000013E-3</v>
      </c>
      <c r="Q181" s="433">
        <f>$D$26</f>
        <v>1.8601738665676483E-3</v>
      </c>
      <c r="R181" s="144">
        <f>O181/P181</f>
        <v>2.9506156278617565E-2</v>
      </c>
      <c r="S181" s="139">
        <f>O181/Q181</f>
        <v>0.15223753574293178</v>
      </c>
      <c r="T181" s="611">
        <f>'Yield Mechanism'!$AI$57</f>
        <v>35.110626190328013</v>
      </c>
      <c r="U181" s="144">
        <f>T181*K181</f>
        <v>105.33187857098403</v>
      </c>
      <c r="V181" s="139">
        <f>U183/AB181</f>
        <v>108.92848352767136</v>
      </c>
      <c r="W181" s="415"/>
      <c r="X181" s="268">
        <v>3</v>
      </c>
      <c r="Y181" s="139">
        <f>'Structural Information'!$Z$6</f>
        <v>37.8446</v>
      </c>
      <c r="Z181" s="139">
        <f>Y181*M181</f>
        <v>7.5689199976272059</v>
      </c>
      <c r="AA181" s="139">
        <f>Z181*L181</f>
        <v>66.228049979238051</v>
      </c>
      <c r="AB181" s="139">
        <f>AA184/Z184</f>
        <v>5.7110153513078803</v>
      </c>
    </row>
    <row r="182" spans="3:28" x14ac:dyDescent="0.25">
      <c r="J182" s="432">
        <v>2</v>
      </c>
      <c r="K182" s="144">
        <f>'Structural Information'!$U$7</f>
        <v>3</v>
      </c>
      <c r="L182" s="144">
        <f>L183+K182</f>
        <v>5.75</v>
      </c>
      <c r="M182" s="433">
        <f>'Yield Mechanism'!$K$50</f>
        <v>0.19915043508080266</v>
      </c>
      <c r="N182" s="140">
        <f>M182-M183</f>
        <v>4.0884527231851431E-3</v>
      </c>
      <c r="O182" s="434">
        <f>N182/K182</f>
        <v>1.3628175743950477E-3</v>
      </c>
      <c r="P182" s="433">
        <f>$C$27</f>
        <v>9.1744770034843208E-3</v>
      </c>
      <c r="Q182" s="433">
        <f>$D$27</f>
        <v>1.7655780345468453E-3</v>
      </c>
      <c r="R182" s="139">
        <f>O182/P182</f>
        <v>0.14854444279248519</v>
      </c>
      <c r="S182" s="139">
        <f>O182/Q182</f>
        <v>0.77188181305440262</v>
      </c>
      <c r="T182" s="611">
        <f>'Yield Mechanism'!$AI$58</f>
        <v>72.402344449712785</v>
      </c>
      <c r="U182" s="144">
        <f>U181+T182*K182</f>
        <v>322.53891192012236</v>
      </c>
      <c r="V182" s="435"/>
      <c r="W182" s="415"/>
      <c r="X182" s="268">
        <v>2</v>
      </c>
      <c r="Y182" s="139">
        <f>'Structural Information'!$Z$7</f>
        <v>40.367000000000004</v>
      </c>
      <c r="Z182" s="139">
        <f>Y182*M182</f>
        <v>8.0391056129067611</v>
      </c>
      <c r="AA182" s="139">
        <f>Z182*L182</f>
        <v>46.224857274213875</v>
      </c>
      <c r="AB182" s="504" t="s">
        <v>339</v>
      </c>
    </row>
    <row r="183" spans="3:28" x14ac:dyDescent="0.25">
      <c r="J183" s="432">
        <v>1</v>
      </c>
      <c r="K183" s="144">
        <f>'Structural Information'!$U$8</f>
        <v>2.75</v>
      </c>
      <c r="L183" s="144">
        <f>K183</f>
        <v>2.75</v>
      </c>
      <c r="M183" s="433">
        <f>'Yield Mechanism'!$K$51</f>
        <v>0.19506198235761751</v>
      </c>
      <c r="N183" s="140">
        <f>M183</f>
        <v>0.19506198235761751</v>
      </c>
      <c r="O183" s="434">
        <f>N183/K183</f>
        <v>7.093162994822455E-2</v>
      </c>
      <c r="P183" s="433">
        <f>$C$28</f>
        <v>8.1000948897978157E-3</v>
      </c>
      <c r="Q183" s="433">
        <f>$D$28</f>
        <v>1.7443905747548439E-3</v>
      </c>
      <c r="R183" s="139">
        <f>O183/P183</f>
        <v>8.7568887665209871</v>
      </c>
      <c r="S183" s="139">
        <f>O183/Q183</f>
        <v>40.6626996125528</v>
      </c>
      <c r="T183" s="611">
        <f>'Yield Mechanism'!$AI$59</f>
        <v>108.9284835276714</v>
      </c>
      <c r="U183" s="144">
        <f>U182+T183*K183</f>
        <v>622.0922416212187</v>
      </c>
      <c r="V183" s="436"/>
      <c r="W183" s="415"/>
      <c r="X183" s="268">
        <v>1</v>
      </c>
      <c r="Y183" s="139">
        <f>'Structural Information'!$Z$8</f>
        <v>40.367000000000004</v>
      </c>
      <c r="Z183" s="139">
        <f>Y183*M183</f>
        <v>7.8740670418299468</v>
      </c>
      <c r="AA183" s="139">
        <f>Z183*L183</f>
        <v>21.653684365032355</v>
      </c>
      <c r="AB183" s="143">
        <f>T183/M181</f>
        <v>544.64241780909799</v>
      </c>
    </row>
    <row r="184" spans="3:28" x14ac:dyDescent="0.25">
      <c r="V184" s="437"/>
      <c r="W184" s="415"/>
      <c r="X184" s="438"/>
      <c r="Y184" s="504" t="s">
        <v>82</v>
      </c>
      <c r="Z184" s="439">
        <f>SUM(Z181:Z183)</f>
        <v>23.482092652363914</v>
      </c>
      <c r="AA184" s="439">
        <f>SUM(AA181:AA183)</f>
        <v>134.10659161848429</v>
      </c>
      <c r="AB184" s="505" t="s">
        <v>341</v>
      </c>
    </row>
    <row r="185" spans="3:28" x14ac:dyDescent="0.25">
      <c r="C185" s="1032" t="s">
        <v>293</v>
      </c>
      <c r="D185" s="1033"/>
      <c r="E185" s="1033"/>
      <c r="F185" s="1034"/>
      <c r="W185" s="415"/>
      <c r="X185" s="438"/>
      <c r="Y185" s="440"/>
      <c r="Z185" s="440"/>
      <c r="AA185" s="441"/>
      <c r="AB185" s="139">
        <f>(('Structural Information'!$Z$6*M181+'Structural Information'!$Z$7*M182+'Structural Information'!$Z$8*M183)^2)/('Structural Information'!$Z$6*M181*M181+'Structural Information'!$Z$7*M182*M182+'Structural Information'!$Z$8*M183*M183)</f>
        <v>118.56449651951772</v>
      </c>
    </row>
    <row r="186" spans="3:28" x14ac:dyDescent="0.25">
      <c r="C186" s="917" t="s">
        <v>9</v>
      </c>
      <c r="D186" s="1035" t="str">
        <f>H135</f>
        <v>LS6 Δi</v>
      </c>
      <c r="E186" s="1037">
        <f>D125</f>
        <v>-184.4864</v>
      </c>
      <c r="F186" s="917" t="s">
        <v>242</v>
      </c>
      <c r="W186" s="415"/>
      <c r="X186" s="438"/>
      <c r="Y186" s="180"/>
      <c r="Z186" s="180"/>
      <c r="AA186" s="442"/>
      <c r="AB186" s="504" t="s">
        <v>340</v>
      </c>
    </row>
    <row r="187" spans="3:28" x14ac:dyDescent="0.25">
      <c r="C187" s="643"/>
      <c r="D187" s="1036"/>
      <c r="E187" s="1038"/>
      <c r="F187" s="643"/>
      <c r="X187" s="443"/>
      <c r="Y187" s="444"/>
      <c r="Z187" s="444"/>
      <c r="AA187" s="445"/>
      <c r="AB187" s="143">
        <f>2*PI()*SQRT(AB185/AB183)</f>
        <v>2.9315780957573927</v>
      </c>
    </row>
    <row r="188" spans="3:28" x14ac:dyDescent="0.25">
      <c r="C188" s="467">
        <v>3</v>
      </c>
      <c r="D188" s="468">
        <f>H137/$H$137</f>
        <v>1</v>
      </c>
      <c r="E188" s="468">
        <f>D126/$D$126</f>
        <v>1</v>
      </c>
      <c r="F188" s="469">
        <f>(E188-D188)/E188</f>
        <v>0</v>
      </c>
      <c r="Q188" s="227"/>
      <c r="T188" s="459"/>
    </row>
    <row r="189" spans="3:28" x14ac:dyDescent="0.25">
      <c r="C189" s="467">
        <v>2</v>
      </c>
      <c r="D189" s="468">
        <f>H138/$H$137</f>
        <v>0.99542683568903956</v>
      </c>
      <c r="E189" s="468">
        <f>D127/$D$126</f>
        <v>0.75690858792158111</v>
      </c>
      <c r="F189" s="469">
        <f>(E189-D189)/E189</f>
        <v>-0.31512160328688188</v>
      </c>
      <c r="J189" s="1039" t="s">
        <v>349</v>
      </c>
      <c r="K189" s="1039"/>
      <c r="L189" s="1039"/>
      <c r="M189" s="1039"/>
      <c r="N189" s="1039"/>
      <c r="O189" s="1039"/>
      <c r="P189" s="1039"/>
      <c r="Q189" s="1039"/>
      <c r="R189" s="1039"/>
      <c r="S189" s="1039"/>
      <c r="T189" s="1039"/>
      <c r="U189" s="1039"/>
      <c r="V189" s="1039"/>
      <c r="W189" s="457"/>
      <c r="X189" s="1039" t="s">
        <v>109</v>
      </c>
      <c r="Y189" s="1039"/>
      <c r="Z189" s="1039"/>
      <c r="AA189" s="1039"/>
      <c r="AB189" s="1039"/>
    </row>
    <row r="190" spans="3:28" ht="15" customHeight="1" x14ac:dyDescent="0.25">
      <c r="C190" s="467">
        <v>1</v>
      </c>
      <c r="D190" s="468">
        <f>H139/$H$137</f>
        <v>0.97579096362395012</v>
      </c>
      <c r="E190" s="468">
        <f>D128/$D$126</f>
        <v>0.36780852700016975</v>
      </c>
      <c r="F190" s="469">
        <f>(E190-D190)/E190</f>
        <v>-1.6529862468998708</v>
      </c>
      <c r="J190" s="1040" t="s">
        <v>9</v>
      </c>
      <c r="K190" s="1041" t="s">
        <v>3</v>
      </c>
      <c r="L190" s="1041" t="s">
        <v>76</v>
      </c>
      <c r="M190" s="1040" t="s">
        <v>78</v>
      </c>
      <c r="N190" s="1040" t="s">
        <v>85</v>
      </c>
      <c r="O190" s="1041" t="s">
        <v>104</v>
      </c>
      <c r="P190" s="1041" t="s">
        <v>262</v>
      </c>
      <c r="Q190" s="1041" t="s">
        <v>263</v>
      </c>
      <c r="R190" s="1040" t="s">
        <v>419</v>
      </c>
      <c r="S190" s="1040" t="s">
        <v>420</v>
      </c>
      <c r="T190" s="1040" t="s">
        <v>79</v>
      </c>
      <c r="U190" s="1041" t="s">
        <v>105</v>
      </c>
      <c r="V190" s="1040" t="s">
        <v>83</v>
      </c>
      <c r="X190" s="643" t="s">
        <v>9</v>
      </c>
      <c r="Y190" s="1042" t="s">
        <v>80</v>
      </c>
      <c r="Z190" s="1042" t="s">
        <v>81</v>
      </c>
      <c r="AA190" s="1042" t="s">
        <v>107</v>
      </c>
      <c r="AB190" s="648" t="s">
        <v>108</v>
      </c>
    </row>
    <row r="191" spans="3:28" x14ac:dyDescent="0.25">
      <c r="C191" s="470">
        <v>0</v>
      </c>
      <c r="D191" s="471">
        <f>H140/$H$137</f>
        <v>0</v>
      </c>
      <c r="E191" s="471">
        <f>D129/$D$126</f>
        <v>0</v>
      </c>
      <c r="F191" s="472">
        <v>0</v>
      </c>
      <c r="J191" s="917"/>
      <c r="K191" s="955"/>
      <c r="L191" s="955"/>
      <c r="M191" s="917"/>
      <c r="N191" s="917"/>
      <c r="O191" s="955"/>
      <c r="P191" s="955"/>
      <c r="Q191" s="955"/>
      <c r="R191" s="917"/>
      <c r="S191" s="917"/>
      <c r="T191" s="917"/>
      <c r="U191" s="955"/>
      <c r="V191" s="917"/>
      <c r="X191" s="643"/>
      <c r="Y191" s="1042"/>
      <c r="Z191" s="1042"/>
      <c r="AA191" s="1042"/>
      <c r="AB191" s="648"/>
    </row>
    <row r="192" spans="3:28" x14ac:dyDescent="0.25">
      <c r="J192" s="432">
        <v>3</v>
      </c>
      <c r="K192" s="144">
        <f>'Structural Information'!$U$6</f>
        <v>3</v>
      </c>
      <c r="L192" s="144">
        <f>L193+K192</f>
        <v>8.75</v>
      </c>
      <c r="M192" s="433">
        <f>'Yield Mechanism'!$K$49</f>
        <v>0.19999999993730164</v>
      </c>
      <c r="N192" s="140">
        <f>M192-M193</f>
        <v>8.4956485649897995E-4</v>
      </c>
      <c r="O192" s="434">
        <f>N192/K192</f>
        <v>2.8318828549965996E-4</v>
      </c>
      <c r="P192" s="433">
        <f>$C$26</f>
        <v>9.5976000000000013E-3</v>
      </c>
      <c r="Q192" s="433">
        <f>$D$26</f>
        <v>1.8601738665676483E-3</v>
      </c>
      <c r="R192" s="144">
        <f>O192/P192</f>
        <v>2.9506156278617565E-2</v>
      </c>
      <c r="S192" s="139">
        <f>O192/Q192</f>
        <v>0.15223753574293178</v>
      </c>
      <c r="T192" s="611">
        <f>'Yield Mechanism'!$AI$57</f>
        <v>35.110626190328013</v>
      </c>
      <c r="U192" s="144">
        <f>T192*K192</f>
        <v>105.33187857098403</v>
      </c>
      <c r="V192" s="139">
        <f>U194/AB192</f>
        <v>108.92848352767136</v>
      </c>
      <c r="W192" s="415"/>
      <c r="X192" s="268">
        <v>3</v>
      </c>
      <c r="Y192" s="139">
        <f>'Structural Information'!$Z$6</f>
        <v>37.8446</v>
      </c>
      <c r="Z192" s="139">
        <f>Y192*M192</f>
        <v>7.5689199976272059</v>
      </c>
      <c r="AA192" s="139">
        <f>Z192*L192</f>
        <v>66.228049979238051</v>
      </c>
      <c r="AB192" s="139">
        <f>AA195/Z195</f>
        <v>5.7110153513078803</v>
      </c>
    </row>
    <row r="193" spans="10:28" x14ac:dyDescent="0.25">
      <c r="J193" s="432">
        <v>2</v>
      </c>
      <c r="K193" s="144">
        <f>'Structural Information'!$U$7</f>
        <v>3</v>
      </c>
      <c r="L193" s="144">
        <f>L194+K193</f>
        <v>5.75</v>
      </c>
      <c r="M193" s="433">
        <f>'Yield Mechanism'!$K$50</f>
        <v>0.19915043508080266</v>
      </c>
      <c r="N193" s="140">
        <f>M193-M194</f>
        <v>4.0884527231851431E-3</v>
      </c>
      <c r="O193" s="434">
        <f>N193/K193</f>
        <v>1.3628175743950477E-3</v>
      </c>
      <c r="P193" s="433">
        <f>$C$27</f>
        <v>9.1744770034843208E-3</v>
      </c>
      <c r="Q193" s="433">
        <f>$D$27</f>
        <v>1.7655780345468453E-3</v>
      </c>
      <c r="R193" s="139">
        <f>O193/P193</f>
        <v>0.14854444279248519</v>
      </c>
      <c r="S193" s="139">
        <f>O193/Q193</f>
        <v>0.77188181305440262</v>
      </c>
      <c r="T193" s="611">
        <f>'Yield Mechanism'!$AI$58</f>
        <v>72.402344449712785</v>
      </c>
      <c r="U193" s="144">
        <f>U192+T193*K193</f>
        <v>322.53891192012236</v>
      </c>
      <c r="V193" s="435"/>
      <c r="W193" s="415"/>
      <c r="X193" s="268">
        <v>2</v>
      </c>
      <c r="Y193" s="139">
        <f>'Structural Information'!$Z$7</f>
        <v>40.367000000000004</v>
      </c>
      <c r="Z193" s="139">
        <f>Y193*M193</f>
        <v>8.0391056129067611</v>
      </c>
      <c r="AA193" s="139">
        <f>Z193*L193</f>
        <v>46.224857274213875</v>
      </c>
      <c r="AB193" s="504" t="s">
        <v>339</v>
      </c>
    </row>
    <row r="194" spans="10:28" x14ac:dyDescent="0.25">
      <c r="J194" s="432">
        <v>1</v>
      </c>
      <c r="K194" s="144">
        <f>'Structural Information'!$U$8</f>
        <v>2.75</v>
      </c>
      <c r="L194" s="144">
        <f>K194</f>
        <v>2.75</v>
      </c>
      <c r="M194" s="433">
        <f>'Yield Mechanism'!$K$51</f>
        <v>0.19506198235761751</v>
      </c>
      <c r="N194" s="140">
        <f>M194</f>
        <v>0.19506198235761751</v>
      </c>
      <c r="O194" s="434">
        <f>N194/K194</f>
        <v>7.093162994822455E-2</v>
      </c>
      <c r="P194" s="433">
        <f>$C$28</f>
        <v>8.1000948897978157E-3</v>
      </c>
      <c r="Q194" s="433">
        <f>$D$28</f>
        <v>1.7443905747548439E-3</v>
      </c>
      <c r="R194" s="139">
        <f>O194/P194</f>
        <v>8.7568887665209871</v>
      </c>
      <c r="S194" s="139">
        <f>O194/Q194</f>
        <v>40.6626996125528</v>
      </c>
      <c r="T194" s="611">
        <f>'Yield Mechanism'!$AI$59</f>
        <v>108.9284835276714</v>
      </c>
      <c r="U194" s="144">
        <f>U193+T194*K194</f>
        <v>622.0922416212187</v>
      </c>
      <c r="V194" s="436"/>
      <c r="W194" s="415"/>
      <c r="X194" s="268">
        <v>1</v>
      </c>
      <c r="Y194" s="139">
        <f>'Structural Information'!$Z$8</f>
        <v>40.367000000000004</v>
      </c>
      <c r="Z194" s="139">
        <f>Y194*M194</f>
        <v>7.8740670418299468</v>
      </c>
      <c r="AA194" s="139">
        <f>Z194*L194</f>
        <v>21.653684365032355</v>
      </c>
      <c r="AB194" s="143">
        <f>T194/M192</f>
        <v>544.64241780909799</v>
      </c>
    </row>
    <row r="195" spans="10:28" x14ac:dyDescent="0.25">
      <c r="V195" s="437"/>
      <c r="W195" s="415"/>
      <c r="X195" s="438"/>
      <c r="Y195" s="504" t="s">
        <v>82</v>
      </c>
      <c r="Z195" s="439">
        <f>SUM(Z192:Z194)</f>
        <v>23.482092652363914</v>
      </c>
      <c r="AA195" s="439">
        <f>SUM(AA192:AA194)</f>
        <v>134.10659161848429</v>
      </c>
      <c r="AB195" s="505" t="s">
        <v>341</v>
      </c>
    </row>
    <row r="196" spans="10:28" x14ac:dyDescent="0.25">
      <c r="W196" s="415"/>
      <c r="X196" s="438"/>
      <c r="Y196" s="440"/>
      <c r="Z196" s="440"/>
      <c r="AA196" s="441"/>
      <c r="AB196" s="139">
        <f>(('Structural Information'!$Z$6*M192+'Structural Information'!$Z$7*M193+'Structural Information'!$Z$8*M194)^2)/('Structural Information'!$Z$6*M192*M192+'Structural Information'!$Z$7*M193*M193+'Structural Information'!$Z$8*M194*M194)</f>
        <v>118.56449651951772</v>
      </c>
    </row>
    <row r="197" spans="10:28" x14ac:dyDescent="0.25">
      <c r="W197" s="415"/>
      <c r="X197" s="438"/>
      <c r="Y197" s="180"/>
      <c r="Z197" s="180"/>
      <c r="AA197" s="442"/>
      <c r="AB197" s="504" t="s">
        <v>340</v>
      </c>
    </row>
    <row r="198" spans="10:28" x14ac:dyDescent="0.25">
      <c r="X198" s="443"/>
      <c r="Y198" s="444"/>
      <c r="Z198" s="444"/>
      <c r="AA198" s="445"/>
      <c r="AB198" s="143">
        <f>2*PI()*SQRT(AB196/AB194)</f>
        <v>2.9315780957573927</v>
      </c>
    </row>
    <row r="199" spans="10:28" x14ac:dyDescent="0.25">
      <c r="S199" s="227"/>
    </row>
    <row r="200" spans="10:28" x14ac:dyDescent="0.25">
      <c r="J200" s="1039" t="s">
        <v>350</v>
      </c>
      <c r="K200" s="1039"/>
      <c r="L200" s="1039"/>
      <c r="M200" s="1039"/>
      <c r="N200" s="1039"/>
      <c r="O200" s="1039"/>
      <c r="P200" s="1039"/>
      <c r="Q200" s="1039"/>
      <c r="R200" s="1039"/>
      <c r="S200" s="1039"/>
      <c r="T200" s="1039"/>
      <c r="U200" s="1039"/>
      <c r="V200" s="1039"/>
      <c r="W200" s="457"/>
      <c r="X200" s="1039" t="s">
        <v>109</v>
      </c>
      <c r="Y200" s="1039"/>
      <c r="Z200" s="1039"/>
      <c r="AA200" s="1039"/>
      <c r="AB200" s="1039"/>
    </row>
    <row r="201" spans="10:28" ht="15" customHeight="1" x14ac:dyDescent="0.25">
      <c r="J201" s="1040" t="s">
        <v>9</v>
      </c>
      <c r="K201" s="1041" t="s">
        <v>3</v>
      </c>
      <c r="L201" s="1041" t="s">
        <v>76</v>
      </c>
      <c r="M201" s="1040" t="s">
        <v>78</v>
      </c>
      <c r="N201" s="1040" t="s">
        <v>85</v>
      </c>
      <c r="O201" s="1041" t="s">
        <v>104</v>
      </c>
      <c r="P201" s="1041" t="s">
        <v>262</v>
      </c>
      <c r="Q201" s="1041" t="s">
        <v>263</v>
      </c>
      <c r="R201" s="1040" t="s">
        <v>419</v>
      </c>
      <c r="S201" s="1040" t="s">
        <v>420</v>
      </c>
      <c r="T201" s="1040" t="s">
        <v>79</v>
      </c>
      <c r="U201" s="1041" t="s">
        <v>105</v>
      </c>
      <c r="V201" s="1040" t="s">
        <v>83</v>
      </c>
      <c r="X201" s="643" t="s">
        <v>9</v>
      </c>
      <c r="Y201" s="1042" t="s">
        <v>80</v>
      </c>
      <c r="Z201" s="1042" t="s">
        <v>81</v>
      </c>
      <c r="AA201" s="1042" t="s">
        <v>107</v>
      </c>
      <c r="AB201" s="648" t="s">
        <v>108</v>
      </c>
    </row>
    <row r="202" spans="10:28" x14ac:dyDescent="0.25">
      <c r="J202" s="917"/>
      <c r="K202" s="955"/>
      <c r="L202" s="955"/>
      <c r="M202" s="917"/>
      <c r="N202" s="917"/>
      <c r="O202" s="955"/>
      <c r="P202" s="955"/>
      <c r="Q202" s="955"/>
      <c r="R202" s="917"/>
      <c r="S202" s="917"/>
      <c r="T202" s="917"/>
      <c r="U202" s="955"/>
      <c r="V202" s="917"/>
      <c r="X202" s="643"/>
      <c r="Y202" s="1042"/>
      <c r="Z202" s="1042"/>
      <c r="AA202" s="1042"/>
      <c r="AB202" s="648"/>
    </row>
    <row r="203" spans="10:28" x14ac:dyDescent="0.25">
      <c r="J203" s="432">
        <v>3</v>
      </c>
      <c r="K203" s="144">
        <f>'Structural Information'!$U$6</f>
        <v>3</v>
      </c>
      <c r="L203" s="144">
        <f>L204+K203</f>
        <v>8.75</v>
      </c>
      <c r="M203" s="433">
        <f>'Yield Mechanism'!$K$49</f>
        <v>0.19999999993730164</v>
      </c>
      <c r="N203" s="140">
        <f>M203-M204</f>
        <v>8.4956485649897995E-4</v>
      </c>
      <c r="O203" s="434">
        <f>N203/K203</f>
        <v>2.8318828549965996E-4</v>
      </c>
      <c r="P203" s="433">
        <f>$C$26</f>
        <v>9.5976000000000013E-3</v>
      </c>
      <c r="Q203" s="433">
        <f>$D$26</f>
        <v>1.8601738665676483E-3</v>
      </c>
      <c r="R203" s="144">
        <f>O203/P203</f>
        <v>2.9506156278617565E-2</v>
      </c>
      <c r="S203" s="139">
        <f>O203/Q203</f>
        <v>0.15223753574293178</v>
      </c>
      <c r="T203" s="611">
        <f>'Yield Mechanism'!$AI$57</f>
        <v>35.110626190328013</v>
      </c>
      <c r="U203" s="144">
        <f>T203*K203</f>
        <v>105.33187857098403</v>
      </c>
      <c r="V203" s="139">
        <f>U205/AB203</f>
        <v>108.92848352767136</v>
      </c>
      <c r="W203" s="415"/>
      <c r="X203" s="268">
        <v>3</v>
      </c>
      <c r="Y203" s="139">
        <f>'Structural Information'!$Z$6</f>
        <v>37.8446</v>
      </c>
      <c r="Z203" s="139">
        <f>Y203*M203</f>
        <v>7.5689199976272059</v>
      </c>
      <c r="AA203" s="139">
        <f>Z203*L203</f>
        <v>66.228049979238051</v>
      </c>
      <c r="AB203" s="139">
        <f>AA206/Z206</f>
        <v>5.7110153513078803</v>
      </c>
    </row>
    <row r="204" spans="10:28" x14ac:dyDescent="0.25">
      <c r="J204" s="432">
        <v>2</v>
      </c>
      <c r="K204" s="144">
        <f>'Structural Information'!$U$7</f>
        <v>3</v>
      </c>
      <c r="L204" s="144">
        <f>L205+K204</f>
        <v>5.75</v>
      </c>
      <c r="M204" s="433">
        <f>'Yield Mechanism'!$K$50</f>
        <v>0.19915043508080266</v>
      </c>
      <c r="N204" s="140">
        <f>M204-M205</f>
        <v>4.0884527231851431E-3</v>
      </c>
      <c r="O204" s="434">
        <f>N204/K204</f>
        <v>1.3628175743950477E-3</v>
      </c>
      <c r="P204" s="433">
        <f>$C$27</f>
        <v>9.1744770034843208E-3</v>
      </c>
      <c r="Q204" s="433">
        <f>$D$27</f>
        <v>1.7655780345468453E-3</v>
      </c>
      <c r="R204" s="139">
        <f>O204/P204</f>
        <v>0.14854444279248519</v>
      </c>
      <c r="S204" s="139">
        <f>O204/Q204</f>
        <v>0.77188181305440262</v>
      </c>
      <c r="T204" s="611">
        <f>'Yield Mechanism'!$AI$58</f>
        <v>72.402344449712785</v>
      </c>
      <c r="U204" s="144">
        <f>U203+T204*K204</f>
        <v>322.53891192012236</v>
      </c>
      <c r="V204" s="435"/>
      <c r="W204" s="415"/>
      <c r="X204" s="268">
        <v>2</v>
      </c>
      <c r="Y204" s="139">
        <f>'Structural Information'!$Z$7</f>
        <v>40.367000000000004</v>
      </c>
      <c r="Z204" s="139">
        <f>Y204*M204</f>
        <v>8.0391056129067611</v>
      </c>
      <c r="AA204" s="139">
        <f>Z204*L204</f>
        <v>46.224857274213875</v>
      </c>
      <c r="AB204" s="504" t="s">
        <v>339</v>
      </c>
    </row>
    <row r="205" spans="10:28" x14ac:dyDescent="0.25">
      <c r="J205" s="432">
        <v>1</v>
      </c>
      <c r="K205" s="144">
        <f>'Structural Information'!$U$8</f>
        <v>2.75</v>
      </c>
      <c r="L205" s="144">
        <f>K205</f>
        <v>2.75</v>
      </c>
      <c r="M205" s="433">
        <f>'Yield Mechanism'!$K$51</f>
        <v>0.19506198235761751</v>
      </c>
      <c r="N205" s="140">
        <f>M205</f>
        <v>0.19506198235761751</v>
      </c>
      <c r="O205" s="434">
        <f>N205/K205</f>
        <v>7.093162994822455E-2</v>
      </c>
      <c r="P205" s="433">
        <f>$C$28</f>
        <v>8.1000948897978157E-3</v>
      </c>
      <c r="Q205" s="433">
        <f>$D$28</f>
        <v>1.7443905747548439E-3</v>
      </c>
      <c r="R205" s="139">
        <f>O205/P205</f>
        <v>8.7568887665209871</v>
      </c>
      <c r="S205" s="139">
        <f>O205/Q205</f>
        <v>40.6626996125528</v>
      </c>
      <c r="T205" s="611">
        <f>'Yield Mechanism'!$AI$59</f>
        <v>108.9284835276714</v>
      </c>
      <c r="U205" s="144">
        <f>U204+T205*K205</f>
        <v>622.0922416212187</v>
      </c>
      <c r="V205" s="436"/>
      <c r="W205" s="415"/>
      <c r="X205" s="268">
        <v>1</v>
      </c>
      <c r="Y205" s="139">
        <f>'Structural Information'!$Z$8</f>
        <v>40.367000000000004</v>
      </c>
      <c r="Z205" s="139">
        <f>Y205*M205</f>
        <v>7.8740670418299468</v>
      </c>
      <c r="AA205" s="139">
        <f>Z205*L205</f>
        <v>21.653684365032355</v>
      </c>
      <c r="AB205" s="143">
        <f>T205/M203</f>
        <v>544.64241780909799</v>
      </c>
    </row>
    <row r="206" spans="10:28" x14ac:dyDescent="0.25">
      <c r="V206" s="437"/>
      <c r="W206" s="415"/>
      <c r="X206" s="438"/>
      <c r="Y206" s="504" t="s">
        <v>82</v>
      </c>
      <c r="Z206" s="439">
        <f>SUM(Z203:Z205)</f>
        <v>23.482092652363914</v>
      </c>
      <c r="AA206" s="439">
        <f>SUM(AA203:AA205)</f>
        <v>134.10659161848429</v>
      </c>
      <c r="AB206" s="505" t="s">
        <v>341</v>
      </c>
    </row>
    <row r="207" spans="10:28" x14ac:dyDescent="0.25">
      <c r="W207" s="415"/>
      <c r="X207" s="438"/>
      <c r="Y207" s="440"/>
      <c r="Z207" s="440"/>
      <c r="AA207" s="441"/>
      <c r="AB207" s="139">
        <f>(('Structural Information'!$Z$6*M203+'Structural Information'!$Z$7*M204+'Structural Information'!$Z$8*M205)^2)/('Structural Information'!$Z$6*M203*M203+'Structural Information'!$Z$7*M204*M204+'Structural Information'!$Z$8*M205*M205)</f>
        <v>118.56449651951772</v>
      </c>
    </row>
    <row r="208" spans="10:28" x14ac:dyDescent="0.25">
      <c r="W208" s="415"/>
      <c r="X208" s="438"/>
      <c r="Y208" s="180"/>
      <c r="Z208" s="180"/>
      <c r="AA208" s="442"/>
      <c r="AB208" s="504" t="s">
        <v>340</v>
      </c>
    </row>
    <row r="209" spans="10:28" x14ac:dyDescent="0.25">
      <c r="X209" s="443"/>
      <c r="Y209" s="444"/>
      <c r="Z209" s="444"/>
      <c r="AA209" s="445"/>
      <c r="AB209" s="143">
        <f>2*PI()*SQRT(AB207/AB205)</f>
        <v>2.9315780957573927</v>
      </c>
    </row>
    <row r="211" spans="10:28" x14ac:dyDescent="0.25">
      <c r="J211" s="1039" t="s">
        <v>351</v>
      </c>
      <c r="K211" s="1039"/>
      <c r="L211" s="1039"/>
      <c r="M211" s="1039"/>
      <c r="N211" s="1039"/>
      <c r="O211" s="1039"/>
      <c r="P211" s="1039"/>
      <c r="Q211" s="1039"/>
      <c r="R211" s="1039"/>
      <c r="S211" s="1039"/>
      <c r="T211" s="1039"/>
      <c r="U211" s="1039"/>
      <c r="V211" s="1039"/>
      <c r="W211" s="457"/>
      <c r="X211" s="1039" t="s">
        <v>109</v>
      </c>
      <c r="Y211" s="1039"/>
      <c r="Z211" s="1039"/>
      <c r="AA211" s="1039"/>
      <c r="AB211" s="1039"/>
    </row>
    <row r="212" spans="10:28" ht="15" customHeight="1" x14ac:dyDescent="0.25">
      <c r="J212" s="1040" t="s">
        <v>9</v>
      </c>
      <c r="K212" s="1041" t="s">
        <v>3</v>
      </c>
      <c r="L212" s="1041" t="s">
        <v>76</v>
      </c>
      <c r="M212" s="1040" t="s">
        <v>78</v>
      </c>
      <c r="N212" s="1040" t="s">
        <v>85</v>
      </c>
      <c r="O212" s="1041" t="s">
        <v>104</v>
      </c>
      <c r="P212" s="1041" t="s">
        <v>262</v>
      </c>
      <c r="Q212" s="1041" t="s">
        <v>263</v>
      </c>
      <c r="R212" s="1040" t="s">
        <v>419</v>
      </c>
      <c r="S212" s="1040" t="s">
        <v>420</v>
      </c>
      <c r="T212" s="1040" t="s">
        <v>79</v>
      </c>
      <c r="U212" s="1041" t="s">
        <v>105</v>
      </c>
      <c r="V212" s="1040" t="s">
        <v>83</v>
      </c>
      <c r="X212" s="643" t="s">
        <v>9</v>
      </c>
      <c r="Y212" s="1042" t="s">
        <v>80</v>
      </c>
      <c r="Z212" s="1042" t="s">
        <v>81</v>
      </c>
      <c r="AA212" s="1042" t="s">
        <v>107</v>
      </c>
      <c r="AB212" s="648" t="s">
        <v>108</v>
      </c>
    </row>
    <row r="213" spans="10:28" x14ac:dyDescent="0.25">
      <c r="J213" s="917"/>
      <c r="K213" s="955"/>
      <c r="L213" s="955"/>
      <c r="M213" s="917"/>
      <c r="N213" s="917"/>
      <c r="O213" s="955"/>
      <c r="P213" s="955"/>
      <c r="Q213" s="955"/>
      <c r="R213" s="917"/>
      <c r="S213" s="917"/>
      <c r="T213" s="917"/>
      <c r="U213" s="955"/>
      <c r="V213" s="917"/>
      <c r="X213" s="643"/>
      <c r="Y213" s="1042"/>
      <c r="Z213" s="1042"/>
      <c r="AA213" s="1042"/>
      <c r="AB213" s="648"/>
    </row>
    <row r="214" spans="10:28" x14ac:dyDescent="0.25">
      <c r="J214" s="432">
        <v>3</v>
      </c>
      <c r="K214" s="144">
        <f>'Structural Information'!$U$6</f>
        <v>3</v>
      </c>
      <c r="L214" s="144">
        <f>L215+K214</f>
        <v>8.75</v>
      </c>
      <c r="M214" s="433">
        <f>'Yield Mechanism'!$K$49</f>
        <v>0.19999999993730164</v>
      </c>
      <c r="N214" s="140">
        <f>M214-M215</f>
        <v>8.4956485649897995E-4</v>
      </c>
      <c r="O214" s="434">
        <f>N214/K214</f>
        <v>2.8318828549965996E-4</v>
      </c>
      <c r="P214" s="433">
        <f>$C$26</f>
        <v>9.5976000000000013E-3</v>
      </c>
      <c r="Q214" s="433">
        <f>$D$26</f>
        <v>1.8601738665676483E-3</v>
      </c>
      <c r="R214" s="144">
        <f>O214/P214</f>
        <v>2.9506156278617565E-2</v>
      </c>
      <c r="S214" s="139">
        <f>O214/Q214</f>
        <v>0.15223753574293178</v>
      </c>
      <c r="T214" s="611">
        <f>'Yield Mechanism'!$AI$57</f>
        <v>35.110626190328013</v>
      </c>
      <c r="U214" s="144">
        <f>T214*K214</f>
        <v>105.33187857098403</v>
      </c>
      <c r="V214" s="139">
        <f>U216/AB214</f>
        <v>108.92848352767136</v>
      </c>
      <c r="W214" s="415"/>
      <c r="X214" s="268">
        <v>3</v>
      </c>
      <c r="Y214" s="139">
        <f>'Structural Information'!$Z$6</f>
        <v>37.8446</v>
      </c>
      <c r="Z214" s="139">
        <f>Y214*M214</f>
        <v>7.5689199976272059</v>
      </c>
      <c r="AA214" s="139">
        <f>Z214*L214</f>
        <v>66.228049979238051</v>
      </c>
      <c r="AB214" s="139">
        <f>AA217/Z217</f>
        <v>5.7110153513078803</v>
      </c>
    </row>
    <row r="215" spans="10:28" x14ac:dyDescent="0.25">
      <c r="J215" s="432">
        <v>2</v>
      </c>
      <c r="K215" s="144">
        <f>'Structural Information'!$U$7</f>
        <v>3</v>
      </c>
      <c r="L215" s="144">
        <f>L216+K215</f>
        <v>5.75</v>
      </c>
      <c r="M215" s="433">
        <f>'Yield Mechanism'!$K$50</f>
        <v>0.19915043508080266</v>
      </c>
      <c r="N215" s="140">
        <f>M215-M216</f>
        <v>4.0884527231851431E-3</v>
      </c>
      <c r="O215" s="434">
        <f>N215/K215</f>
        <v>1.3628175743950477E-3</v>
      </c>
      <c r="P215" s="433">
        <f>$C$27</f>
        <v>9.1744770034843208E-3</v>
      </c>
      <c r="Q215" s="433">
        <f>$D$27</f>
        <v>1.7655780345468453E-3</v>
      </c>
      <c r="R215" s="139">
        <f>O215/P215</f>
        <v>0.14854444279248519</v>
      </c>
      <c r="S215" s="139">
        <f>O215/Q215</f>
        <v>0.77188181305440262</v>
      </c>
      <c r="T215" s="611">
        <f>'Yield Mechanism'!$AI$58</f>
        <v>72.402344449712785</v>
      </c>
      <c r="U215" s="144">
        <f>U214+T215*K215</f>
        <v>322.53891192012236</v>
      </c>
      <c r="V215" s="435"/>
      <c r="W215" s="415"/>
      <c r="X215" s="268">
        <v>2</v>
      </c>
      <c r="Y215" s="139">
        <f>'Structural Information'!$Z$7</f>
        <v>40.367000000000004</v>
      </c>
      <c r="Z215" s="139">
        <f>Y215*M215</f>
        <v>8.0391056129067611</v>
      </c>
      <c r="AA215" s="139">
        <f>Z215*L215</f>
        <v>46.224857274213875</v>
      </c>
      <c r="AB215" s="504" t="s">
        <v>339</v>
      </c>
    </row>
    <row r="216" spans="10:28" x14ac:dyDescent="0.25">
      <c r="J216" s="432">
        <v>1</v>
      </c>
      <c r="K216" s="144">
        <f>'Structural Information'!$U$8</f>
        <v>2.75</v>
      </c>
      <c r="L216" s="144">
        <f>K216</f>
        <v>2.75</v>
      </c>
      <c r="M216" s="433">
        <f>'Yield Mechanism'!$K$51</f>
        <v>0.19506198235761751</v>
      </c>
      <c r="N216" s="140">
        <f>M216</f>
        <v>0.19506198235761751</v>
      </c>
      <c r="O216" s="434">
        <f>N216/K216</f>
        <v>7.093162994822455E-2</v>
      </c>
      <c r="P216" s="433">
        <f>$C$28</f>
        <v>8.1000948897978157E-3</v>
      </c>
      <c r="Q216" s="433">
        <f>$D$28</f>
        <v>1.7443905747548439E-3</v>
      </c>
      <c r="R216" s="139">
        <f>O216/P216</f>
        <v>8.7568887665209871</v>
      </c>
      <c r="S216" s="139">
        <f>O216/Q216</f>
        <v>40.6626996125528</v>
      </c>
      <c r="T216" s="611">
        <f>'Yield Mechanism'!$AI$59</f>
        <v>108.9284835276714</v>
      </c>
      <c r="U216" s="144">
        <f>U215+T216*K216</f>
        <v>622.0922416212187</v>
      </c>
      <c r="V216" s="436"/>
      <c r="W216" s="415"/>
      <c r="X216" s="268">
        <v>1</v>
      </c>
      <c r="Y216" s="139">
        <f>'Structural Information'!$Z$8</f>
        <v>40.367000000000004</v>
      </c>
      <c r="Z216" s="139">
        <f>Y216*M216</f>
        <v>7.8740670418299468</v>
      </c>
      <c r="AA216" s="139">
        <f>Z216*L216</f>
        <v>21.653684365032355</v>
      </c>
      <c r="AB216" s="143">
        <f>T216/M214</f>
        <v>544.64241780909799</v>
      </c>
    </row>
    <row r="217" spans="10:28" x14ac:dyDescent="0.25">
      <c r="V217" s="437"/>
      <c r="W217" s="415"/>
      <c r="X217" s="438"/>
      <c r="Y217" s="504" t="s">
        <v>82</v>
      </c>
      <c r="Z217" s="439">
        <f>SUM(Z214:Z216)</f>
        <v>23.482092652363914</v>
      </c>
      <c r="AA217" s="439">
        <f>SUM(AA214:AA216)</f>
        <v>134.10659161848429</v>
      </c>
      <c r="AB217" s="505" t="s">
        <v>341</v>
      </c>
    </row>
    <row r="218" spans="10:28" x14ac:dyDescent="0.25">
      <c r="W218" s="415"/>
      <c r="X218" s="438"/>
      <c r="Y218" s="440"/>
      <c r="Z218" s="440"/>
      <c r="AA218" s="441"/>
      <c r="AB218" s="139">
        <f>(('Structural Information'!$Z$6*M214+'Structural Information'!$Z$7*M215+'Structural Information'!$Z$8*M216)^2)/('Structural Information'!$Z$6*M214*M214+'Structural Information'!$Z$7*M215*M215+'Structural Information'!$Z$8*M216*M216)</f>
        <v>118.56449651951772</v>
      </c>
    </row>
    <row r="219" spans="10:28" x14ac:dyDescent="0.25">
      <c r="W219" s="415"/>
      <c r="X219" s="438"/>
      <c r="Y219" s="180"/>
      <c r="Z219" s="180"/>
      <c r="AA219" s="442"/>
      <c r="AB219" s="504" t="s">
        <v>340</v>
      </c>
    </row>
    <row r="220" spans="10:28" x14ac:dyDescent="0.25">
      <c r="X220" s="443"/>
      <c r="Y220" s="444"/>
      <c r="Z220" s="444"/>
      <c r="AA220" s="445"/>
      <c r="AB220" s="143">
        <f>2*PI()*SQRT(AB218/AB216)</f>
        <v>2.9315780957573927</v>
      </c>
    </row>
    <row r="223" spans="10:28" ht="15.75" customHeight="1" x14ac:dyDescent="0.25">
      <c r="J223" s="1029" t="s">
        <v>405</v>
      </c>
      <c r="K223" s="1030"/>
      <c r="L223" s="1030"/>
      <c r="M223" s="1030"/>
      <c r="N223" s="1030"/>
      <c r="O223" s="1030"/>
      <c r="P223" s="1030"/>
      <c r="Q223" s="1031"/>
      <c r="R223" s="120" t="s">
        <v>241</v>
      </c>
      <c r="S223" s="1021" t="s">
        <v>224</v>
      </c>
    </row>
    <row r="224" spans="10:28" x14ac:dyDescent="0.25">
      <c r="J224" s="648" t="s">
        <v>9</v>
      </c>
      <c r="K224" s="648" t="s">
        <v>406</v>
      </c>
      <c r="L224" s="1028" t="s">
        <v>407</v>
      </c>
      <c r="M224" s="648" t="s">
        <v>267</v>
      </c>
      <c r="N224" s="1028" t="s">
        <v>268</v>
      </c>
      <c r="O224" s="648" t="s">
        <v>408</v>
      </c>
      <c r="P224" s="1024" t="s">
        <v>240</v>
      </c>
      <c r="Q224" s="1026" t="s">
        <v>239</v>
      </c>
      <c r="R224" s="1071" t="s">
        <v>239</v>
      </c>
      <c r="S224" s="1022"/>
    </row>
    <row r="225" spans="9:20" x14ac:dyDescent="0.25">
      <c r="J225" s="648">
        <v>0</v>
      </c>
      <c r="K225" s="648">
        <v>0</v>
      </c>
      <c r="L225" s="1028">
        <v>0</v>
      </c>
      <c r="M225" s="648">
        <v>0</v>
      </c>
      <c r="N225" s="1028">
        <v>0</v>
      </c>
      <c r="O225" s="648">
        <v>0</v>
      </c>
      <c r="P225" s="1025"/>
      <c r="Q225" s="1027"/>
      <c r="R225" s="1071"/>
      <c r="S225" s="1023"/>
      <c r="T225" s="395"/>
    </row>
    <row r="226" spans="9:20" x14ac:dyDescent="0.25">
      <c r="J226" s="355">
        <v>3</v>
      </c>
      <c r="K226" s="150">
        <v>0.5</v>
      </c>
      <c r="L226" s="150">
        <v>0.5</v>
      </c>
      <c r="M226" s="150">
        <v>2.0702199999999998E-3</v>
      </c>
      <c r="N226" s="143">
        <v>74.861350000000002</v>
      </c>
      <c r="O226" s="473">
        <v>36161.060177179243</v>
      </c>
      <c r="P226" s="143">
        <v>3806.1248799319242</v>
      </c>
      <c r="Q226" s="474">
        <f>O226-P226</f>
        <v>32354.935297247317</v>
      </c>
      <c r="R226" s="475">
        <f>'System Capacities'!J19</f>
        <v>38234.410187710455</v>
      </c>
      <c r="S226" s="476">
        <f>(Q226-R226)/Q226</f>
        <v>-0.18171802343129242</v>
      </c>
      <c r="T226" s="395"/>
    </row>
    <row r="227" spans="9:20" x14ac:dyDescent="0.25">
      <c r="J227" s="355">
        <v>2</v>
      </c>
      <c r="K227" s="150">
        <v>0.33333333333333331</v>
      </c>
      <c r="L227" s="150">
        <v>0.83333333333333326</v>
      </c>
      <c r="M227" s="150">
        <v>3.3390200000000007E-3</v>
      </c>
      <c r="N227" s="143">
        <v>124.76891666666666</v>
      </c>
      <c r="O227" s="473">
        <v>37366.927022499607</v>
      </c>
      <c r="P227" s="143">
        <v>4166.9908176120125</v>
      </c>
      <c r="Q227" s="474">
        <f>O227-P227</f>
        <v>33199.936204887592</v>
      </c>
      <c r="R227" s="475">
        <f>'System Capacities'!J20</f>
        <v>40870.467681435926</v>
      </c>
      <c r="S227" s="476">
        <f>(Q227-R227)/Q227</f>
        <v>-0.23104054866885868</v>
      </c>
      <c r="T227" s="395"/>
    </row>
    <row r="228" spans="9:20" x14ac:dyDescent="0.25">
      <c r="J228" s="355">
        <v>1</v>
      </c>
      <c r="K228" s="150">
        <v>0.16666666666666666</v>
      </c>
      <c r="L228" s="150">
        <v>0.99999999999999989</v>
      </c>
      <c r="M228" s="150">
        <v>3.2058E-3</v>
      </c>
      <c r="N228" s="143">
        <v>149.72269999999997</v>
      </c>
      <c r="O228" s="473">
        <v>46703.693305883076</v>
      </c>
      <c r="P228" s="143">
        <v>7279.6601410328813</v>
      </c>
      <c r="Q228" s="474">
        <f>O228-P228</f>
        <v>39424.033164850196</v>
      </c>
      <c r="R228" s="475">
        <f>'System Capacities'!J21</f>
        <v>0</v>
      </c>
      <c r="S228" s="477">
        <f>(Q228-R228)/Q228</f>
        <v>1</v>
      </c>
      <c r="T228" s="395"/>
    </row>
    <row r="229" spans="9:20" x14ac:dyDescent="0.25">
      <c r="J229" s="1072" t="s">
        <v>409</v>
      </c>
      <c r="K229" s="1072">
        <v>0</v>
      </c>
      <c r="L229" s="1072">
        <v>0</v>
      </c>
      <c r="M229" s="150">
        <f>SUM(M226:M228)</f>
        <v>8.6150400000000009E-3</v>
      </c>
      <c r="N229" s="143">
        <f>N228</f>
        <v>149.72269999999997</v>
      </c>
      <c r="O229" s="473">
        <f>N229/M229</f>
        <v>17379.222847485322</v>
      </c>
      <c r="P229" s="159"/>
      <c r="Q229" s="159"/>
      <c r="R229" s="159"/>
      <c r="S229" s="478"/>
      <c r="T229" s="395"/>
    </row>
    <row r="230" spans="9:20" x14ac:dyDescent="0.25">
      <c r="J230" s="479"/>
      <c r="K230" s="159"/>
      <c r="L230" s="159"/>
      <c r="M230" s="159"/>
      <c r="N230" s="159"/>
      <c r="O230" s="159"/>
      <c r="P230" s="159"/>
      <c r="Q230" s="159"/>
      <c r="R230" s="159"/>
      <c r="S230" s="478"/>
      <c r="T230" s="395"/>
    </row>
    <row r="231" spans="9:20" x14ac:dyDescent="0.25">
      <c r="J231" s="479"/>
      <c r="K231" s="1041" t="s">
        <v>267</v>
      </c>
      <c r="L231" s="1024" t="s">
        <v>268</v>
      </c>
      <c r="M231" s="1041" t="s">
        <v>269</v>
      </c>
      <c r="N231" s="1026" t="s">
        <v>239</v>
      </c>
      <c r="O231" s="1021" t="s">
        <v>224</v>
      </c>
      <c r="P231" s="1041" t="s">
        <v>267</v>
      </c>
      <c r="Q231" s="1024" t="s">
        <v>268</v>
      </c>
      <c r="R231" s="1041" t="s">
        <v>270</v>
      </c>
      <c r="S231" s="1021" t="s">
        <v>224</v>
      </c>
      <c r="T231" s="395"/>
    </row>
    <row r="232" spans="9:20" x14ac:dyDescent="0.25">
      <c r="J232" s="479"/>
      <c r="K232" s="955"/>
      <c r="L232" s="1025"/>
      <c r="M232" s="955"/>
      <c r="N232" s="1027"/>
      <c r="O232" s="1023"/>
      <c r="P232" s="955"/>
      <c r="Q232" s="1025"/>
      <c r="R232" s="955"/>
      <c r="S232" s="1023"/>
      <c r="T232" s="395"/>
    </row>
    <row r="233" spans="9:20" x14ac:dyDescent="0.25">
      <c r="J233" s="479"/>
      <c r="K233" s="470">
        <v>8.7310000000000165E-4</v>
      </c>
      <c r="L233" s="480">
        <v>29.771050000000002</v>
      </c>
      <c r="M233" s="481">
        <v>34098.098728667901</v>
      </c>
      <c r="N233" s="482"/>
      <c r="O233" s="476" t="e">
        <f>(N233-R226)/N233</f>
        <v>#DIV/0!</v>
      </c>
      <c r="P233" s="470">
        <v>6.2600000000002931E-5</v>
      </c>
      <c r="Q233" s="480">
        <v>0.62650000000002137</v>
      </c>
      <c r="R233" s="481">
        <v>10007.987220447158</v>
      </c>
      <c r="S233" s="476">
        <f>(R226-R233)/R226</f>
        <v>0.73824659066758702</v>
      </c>
      <c r="T233" s="395"/>
    </row>
    <row r="234" spans="9:20" x14ac:dyDescent="0.25">
      <c r="J234" s="479"/>
      <c r="K234" s="355">
        <v>5.0144700000000009E-3</v>
      </c>
      <c r="L234" s="143">
        <v>49.618416666666668</v>
      </c>
      <c r="M234" s="473">
        <v>9895.0470671210842</v>
      </c>
      <c r="N234" s="474"/>
      <c r="O234" s="476" t="e">
        <f>(N234-R227)/N234</f>
        <v>#DIV/0!</v>
      </c>
      <c r="P234" s="355">
        <v>2.7825999999999979E-3</v>
      </c>
      <c r="Q234" s="143">
        <v>1.0441666666667022</v>
      </c>
      <c r="R234" s="473">
        <v>375.24856848512292</v>
      </c>
      <c r="S234" s="476">
        <f>(R227-R234)/R227</f>
        <v>0.99081858883020402</v>
      </c>
      <c r="T234" s="395"/>
    </row>
    <row r="235" spans="9:20" ht="15" customHeight="1" x14ac:dyDescent="0.25">
      <c r="J235" s="479"/>
      <c r="K235" s="355">
        <v>4.5185299999999989E-3</v>
      </c>
      <c r="L235" s="143">
        <v>59.542099999999998</v>
      </c>
      <c r="M235" s="473">
        <v>13177.316516654755</v>
      </c>
      <c r="N235" s="474"/>
      <c r="O235" s="476" t="e">
        <f>(N235-R228)/N235</f>
        <v>#DIV/0!</v>
      </c>
      <c r="P235" s="355">
        <v>4.955300000000001E-3</v>
      </c>
      <c r="Q235" s="143">
        <v>1.2530000000000425</v>
      </c>
      <c r="R235" s="473">
        <v>252.86057352734289</v>
      </c>
      <c r="S235" s="476" t="e">
        <f>(R228-R235)/R228</f>
        <v>#DIV/0!</v>
      </c>
    </row>
    <row r="236" spans="9:20" x14ac:dyDescent="0.25">
      <c r="J236" s="1069" t="str">
        <f>J229</f>
        <v>Structure Stiffness (kN/m)</v>
      </c>
      <c r="K236" s="1070"/>
      <c r="L236" s="355">
        <f>SUM(K233:K235)</f>
        <v>1.0406100000000001E-2</v>
      </c>
      <c r="M236" s="143">
        <f>L235</f>
        <v>59.542099999999998</v>
      </c>
      <c r="N236" s="473">
        <f>M236/L236</f>
        <v>5721.8458404205212</v>
      </c>
      <c r="O236" s="483"/>
      <c r="P236" s="355">
        <f>SUM(P233:P235)</f>
        <v>7.8005000000000019E-3</v>
      </c>
      <c r="Q236" s="302">
        <f>Q235</f>
        <v>1.2530000000000425</v>
      </c>
      <c r="R236" s="473">
        <f>Q236/P236</f>
        <v>160.63072879944136</v>
      </c>
      <c r="S236" s="484"/>
    </row>
    <row r="238" spans="9:20" x14ac:dyDescent="0.25">
      <c r="I238" s="395"/>
      <c r="J238" s="395"/>
      <c r="K238" s="395"/>
      <c r="L238" s="395"/>
      <c r="M238" s="395"/>
      <c r="N238" s="395"/>
      <c r="O238" s="395"/>
      <c r="P238" s="395"/>
      <c r="Q238" s="395"/>
      <c r="R238" s="395"/>
      <c r="S238" s="395"/>
      <c r="T238" s="395"/>
    </row>
    <row r="239" spans="9:20" x14ac:dyDescent="0.25">
      <c r="I239" s="395"/>
      <c r="J239" s="395"/>
      <c r="K239" s="395"/>
      <c r="L239" s="395"/>
      <c r="M239" s="395"/>
      <c r="N239" s="395"/>
      <c r="O239" s="395"/>
      <c r="P239" s="395"/>
      <c r="Q239" s="395"/>
      <c r="R239" s="395"/>
      <c r="S239" s="395"/>
      <c r="T239" s="395"/>
    </row>
    <row r="240" spans="9:20" x14ac:dyDescent="0.25">
      <c r="I240" s="395"/>
      <c r="J240" s="395"/>
      <c r="K240" s="395"/>
      <c r="L240" s="395"/>
      <c r="M240" s="395"/>
      <c r="N240" s="395"/>
      <c r="O240" s="395"/>
      <c r="P240" s="395"/>
      <c r="Q240" s="395"/>
      <c r="R240" s="395"/>
      <c r="S240" s="395"/>
      <c r="T240" s="395"/>
    </row>
    <row r="241" spans="9:20" x14ac:dyDescent="0.25">
      <c r="I241" s="395"/>
      <c r="J241" s="395"/>
      <c r="K241" s="395"/>
      <c r="L241" s="395"/>
      <c r="M241" s="395"/>
      <c r="N241" s="395"/>
      <c r="O241" s="395"/>
      <c r="P241" s="395"/>
      <c r="Q241" s="395"/>
      <c r="R241" s="395"/>
      <c r="S241" s="395"/>
      <c r="T241" s="395"/>
    </row>
    <row r="242" spans="9:20" x14ac:dyDescent="0.25">
      <c r="I242" s="395"/>
      <c r="J242" s="395"/>
      <c r="K242" s="395"/>
      <c r="L242" s="395"/>
      <c r="M242" s="395"/>
      <c r="N242" s="395"/>
      <c r="O242" s="395"/>
      <c r="P242" s="395"/>
      <c r="Q242" s="395"/>
      <c r="R242" s="395"/>
      <c r="S242" s="395"/>
      <c r="T242" s="395"/>
    </row>
    <row r="243" spans="9:20" x14ac:dyDescent="0.25">
      <c r="I243" s="395"/>
      <c r="J243" s="395"/>
      <c r="K243" s="395"/>
      <c r="L243" s="395"/>
      <c r="M243" s="395"/>
      <c r="N243" s="395"/>
      <c r="O243" s="395"/>
      <c r="P243" s="395"/>
      <c r="Q243" s="395"/>
      <c r="R243" s="395"/>
      <c r="S243" s="395"/>
      <c r="T243" s="395"/>
    </row>
    <row r="244" spans="9:20" x14ac:dyDescent="0.25">
      <c r="I244" s="395"/>
      <c r="J244" s="395"/>
      <c r="K244" s="395"/>
      <c r="L244" s="395"/>
      <c r="M244" s="395"/>
      <c r="N244" s="395"/>
      <c r="O244" s="395"/>
      <c r="P244" s="395"/>
      <c r="Q244" s="395"/>
      <c r="R244" s="395"/>
      <c r="S244" s="395"/>
      <c r="T244" s="395"/>
    </row>
    <row r="245" spans="9:20" x14ac:dyDescent="0.25">
      <c r="I245" s="395"/>
      <c r="J245" s="395"/>
      <c r="K245" s="395"/>
      <c r="L245" s="395"/>
      <c r="M245" s="395"/>
      <c r="N245" s="395"/>
      <c r="O245" s="395"/>
      <c r="P245" s="395"/>
      <c r="Q245" s="395"/>
      <c r="R245" s="395"/>
      <c r="S245" s="395"/>
      <c r="T245" s="395"/>
    </row>
    <row r="246" spans="9:20" x14ac:dyDescent="0.25">
      <c r="I246" s="395"/>
      <c r="J246" s="395"/>
      <c r="K246" s="395"/>
      <c r="L246" s="395"/>
      <c r="M246" s="395"/>
      <c r="N246" s="395"/>
      <c r="O246" s="395"/>
      <c r="P246" s="395"/>
      <c r="Q246" s="395"/>
      <c r="R246" s="395"/>
      <c r="S246" s="395"/>
      <c r="T246" s="395"/>
    </row>
    <row r="247" spans="9:20" x14ac:dyDescent="0.25">
      <c r="I247" s="395"/>
      <c r="J247" s="395"/>
      <c r="K247" s="395"/>
      <c r="L247" s="395"/>
      <c r="M247" s="395"/>
      <c r="N247" s="395"/>
      <c r="O247" s="395"/>
      <c r="P247" s="395"/>
      <c r="Q247" s="395"/>
      <c r="R247" s="395"/>
      <c r="S247" s="395"/>
      <c r="T247" s="395"/>
    </row>
  </sheetData>
  <mergeCells count="457"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  <vt:lpstr>dr_c1</vt:lpstr>
      <vt:lpstr>dr_c2</vt:lpstr>
      <vt:lpstr>dr_c3</vt:lpstr>
      <vt:lpstr>eps_y</vt:lpstr>
      <vt:lpstr>fyk</vt:lpstr>
      <vt:lpstr>Hcol1</vt:lpstr>
      <vt:lpstr>Hcol2</vt:lpstr>
      <vt:lpstr>Hcol3</vt:lpstr>
      <vt:lpstr>Wcol1</vt:lpstr>
      <vt:lpstr>Wcol2</vt:lpstr>
      <vt:lpstr>Wcol3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2021-02-27T19:32:55Z</dcterms:modified>
</cp:coreProperties>
</file>